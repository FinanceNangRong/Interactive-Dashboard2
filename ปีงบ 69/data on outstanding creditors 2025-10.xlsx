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ms-excel.slicerCache+xml" PartName="/xl/slicerCaches/slicerCache1.xml"/>
  <Override ContentType="application/vnd.ms-excel.slicer+xml" PartName="/xl/slicers/slicer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on outstanding creditors" sheetId="1" r:id="rId4"/>
    <sheet state="visible" name="Sheet1" sheetId="2" r:id="rId5"/>
  </sheets>
  <definedNames>
    <definedName hidden="1" localSheetId="0" name="Z_5781F24C_10C7_44BB_9B75_71AE431020B7_.wvu.FilterData">'data on outstanding creditors'!$A$1:$T$3937</definedName>
    <definedName name="SlicerCache_Table_1_Col_13">#N/A</definedName>
  </definedNames>
  <calcPr/>
  <customWorkbookViews>
    <customWorkbookView activeSheetId="0" maximized="1" windowHeight="0" windowWidth="0" guid="{5781F24C-10C7-44BB-9B75-71AE431020B7}" name="ตัวกรอง 1"/>
  </customWorkbookViews>
  <extLst>
    <ext uri="GoogleSheetsCustomDataVersion2">
      <go:sheetsCustomData xmlns:go="http://customooxmlschemas.google.com/" r:id="rId7" roundtripDataChecksum="43TrOA4/P5+Y1XZKBLEKa953NSLcBVdcpQeLx06xQn8="/>
    </ext>
    <ext uri="{46BE6895-7355-4a93-B00E-2C351335B9C9}">
      <x15:slicerCaches>
        <x14:slicerCache r:id="rId6"/>
      </x15:slicerCache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507">
      <text>
        <t xml:space="preserve">======
ID#AAABvDejupo
tc={6F312641-C128-4C3F-A5F5-35D3C11FEC4D}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D3443">
      <text>
        <t xml:space="preserve">======
ID#AAABvDejupk
tc={732A572B-15BA-4B48-A496-2C6354BC277F}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บร00033.203.15/1420 19/5/68</t>
      </text>
    </comment>
    <comment authorId="0" ref="D3907">
      <text>
        <t xml:space="preserve">======
ID#AAABvDejupg
tc={C3DDDB43-E59B-4D8C-BC66-AB25857CB370}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2.3.08 ค่าครุภัณฑ์วิทยาศาสตร์การแพทย์</t>
      </text>
    </comment>
    <comment authorId="0" ref="A3469">
      <text>
        <t xml:space="preserve">======
ID#AAABvDejupc
tc={BE8AF6FF-51BA-4C67-85E5-2B0CC435BFCD}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 กลุ่มงานแผน</t>
      </text>
    </comment>
    <comment authorId="0" ref="D1224">
      <text>
        <t xml:space="preserve">======
ID#AAABvDejupY
tc={3AE42229-6497-4004-A9C8-93B55568EEDF}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67">
      <text>
        <t xml:space="preserve">======
ID#AAABvDejupU
tc={028A5CCC-EF52-4082-A852-2DA9EDF4AF8C}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บร0033.201.2/629 8/8/68</t>
      </text>
    </comment>
    <comment authorId="0" ref="D3470">
      <text>
        <t xml:space="preserve">======
ID#AAABvDejupQ
tc={B0D14306-FD95-4F26-93A8-B1FD91D31AE9}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บร0033.203/1925 24/6/68</t>
      </text>
    </comment>
    <comment authorId="0" ref="D3473">
      <text>
        <t xml:space="preserve">======
ID#AAABvDejupM
tc={08D57C0F-945F-4B22-A9BF-A42725B99F06}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บร0033.203/1925 24/6/68</t>
      </text>
    </comment>
    <comment authorId="0" ref="D1347">
      <text>
        <t xml:space="preserve">======
ID#AAABvDejupI
tc={780A6FBB-9B82-4177-9391-990761703F68}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2648">
      <text>
        <t xml:space="preserve">======
ID#AAABvDejupE
tc={957BD594-107A-489D-BF40-712447B08571}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บร0033.205.16/502 4/6/68</t>
      </text>
    </comment>
    <comment authorId="0" ref="C3502">
      <text>
        <t xml:space="preserve">======
ID#AAABvDejupA
tc={3DE6AC3E-5FBB-4FCD-815A-6E073A9DBDB0}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D3462">
      <text>
        <t xml:space="preserve">======
ID#AAABvDejuo8
tc={372A0F3A-AC54-43DE-896D-C15E0E15EC4F}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บร0033.203.15/1923 24/6/68</t>
      </text>
    </comment>
    <comment authorId="0" ref="D1023">
      <text>
        <t xml:space="preserve">======
ID#AAABvDejuo4
tc={CB693F63-3233-4EE6-A2A4-78688BA3B968}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A3455">
      <text>
        <t xml:space="preserve">======
ID#AAABvDejuo0
tc={DB35BFED-C717-440A-BA33-BCE6AAF03FBF}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ไม่อยู่ในแผน</t>
      </text>
    </comment>
    <comment authorId="0" ref="D1302">
      <text>
        <t xml:space="preserve">======
ID#AAABvDejuow
tc={CD394D04-C0C0-4A8B-9F94-E226F12F222B}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3813">
      <text>
        <t xml:space="preserve">======
ID#AAABvDejuos
tc={7F94BD07-4817-48F4-90D8-7FEF28B70C30}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บร0033.205.15/340 23/7/68</t>
      </text>
    </comment>
    <comment authorId="0" ref="D3812">
      <text>
        <t xml:space="preserve">======
ID#AAABvDejuoo
tc={62927534-83EF-4752-91CA-30543DEEF361}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บร0033.205.15/340 23/7/68</t>
      </text>
    </comment>
    <comment authorId="0" ref="D1524">
      <text>
        <t xml:space="preserve">======
ID#AAABvDejuok
tc={7C7E6FEF-E1D2-4FD9-8888-3AA379703885}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A3468">
      <text>
        <t xml:space="preserve">======
ID#AAABvDejuog
tc={E64B9CED-A2E9-4FDB-993C-9589D93AC5EC}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 กลุ่มงานแผน</t>
      </text>
    </comment>
    <comment authorId="0" ref="D1734">
      <text>
        <t xml:space="preserve">======
ID#AAABvDejuoc
tc={7121BF2F-4C31-4FE0-BDAF-521441513383}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บร0033.203.15/1628 25/3/68</t>
      </text>
    </comment>
    <comment authorId="0" ref="D3773">
      <text>
        <t xml:space="preserve">======
ID#AAABvDejuoY
tc={87CF5133-51D5-4FB6-9F90-27271BC9779C}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บร0033.205.15/337 23/7/68</t>
      </text>
    </comment>
    <comment authorId="0" ref="C3489">
      <text>
        <t xml:space="preserve">======
ID#AAABvDejuoU
tc={05B81F5E-48E9-4452-AA6A-6EED62EDD76F}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D3749">
      <text>
        <t xml:space="preserve">======
ID#AAABvDejuoQ
tc={5F1D2CD8-D6ED-436C-83BB-79E244BED55C}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บร0033.205.15/269 22/5/68</t>
      </text>
    </comment>
    <comment authorId="0" ref="D3537">
      <text>
        <t xml:space="preserve">======
ID#AAABvDejuoM
tc={8B9B10C7-3885-471D-A186-0BAA0CE53776}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บร0033.201.2/920 17/10/68</t>
      </text>
    </comment>
    <comment authorId="0" ref="D3352">
      <text>
        <t xml:space="preserve">======
ID#AAABvDejuoI
tc={7C3E6FC8-1C32-4B29-A0FB-F0C6F16A4669}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บร0033.201.2/698 27/8/68</t>
      </text>
    </comment>
    <comment authorId="0" ref="D1218">
      <text>
        <t xml:space="preserve">======
ID#AAABvDejuoE
tc={87D68789-3F65-4011-81CD-2783219C3044}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A3472">
      <text>
        <t xml:space="preserve">======
ID#AAABvDejuoA
tc={5C3F9FEE-070F-4677-A90E-144D98DCB95D}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 กลุ่มงานแผน</t>
      </text>
    </comment>
    <comment authorId="0" ref="D3711">
      <text>
        <t xml:space="preserve">======
ID#AAABvDejun8
tc={793DF580-0DD5-4367-89DC-105BB856A35B}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บร0033.205.15/189 1/4/68</t>
      </text>
    </comment>
    <comment authorId="0" ref="D24">
      <text>
        <t xml:space="preserve">======
ID#AAABvDejun4
tc={3DCDB448-5E37-401D-8C0C-05FC38390773}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บร0033.205.15/58 6/2/68</t>
      </text>
    </comment>
    <comment authorId="0" ref="D1258">
      <text>
        <t xml:space="preserve">======
ID#AAABvDejun0
tc={C8548D3F-3337-488B-9345-939540C80C51}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26">
      <text>
        <t xml:space="preserve">======
ID#AAABvDejunw
tc={3C6A97D1-A594-4892-B398-7469A445F88B}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บร0033.205.15/58 6/2/68</t>
      </text>
    </comment>
    <comment authorId="0" ref="D3436">
      <text>
        <t xml:space="preserve">======
ID#AAABvDejuns
User    (2026-01-24 03:35:04)
แจ้งหนี้ไม่ตรงเดือนบร0033.203/1551 24/2/68</t>
      </text>
    </comment>
    <comment authorId="0" ref="D83">
      <text>
        <t xml:space="preserve">======
ID#AAABvDejuno
tc={07E82050-309E-44B8-B3E9-911BFC06D166}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2.3.02 ค่าครุภัณฑ์สำนักงาน</t>
      </text>
    </comment>
    <comment authorId="0" ref="D3863">
      <text>
        <t xml:space="preserve">======
ID#AAABvDejunk
tc={5573A004-F117-450E-AA46-C2DE7261E74F}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2.3.09 ค่าครุภัณฑ์คอมพิวเตอร์</t>
      </text>
    </comment>
    <comment authorId="0" ref="D1474">
      <text>
        <t xml:space="preserve">======
ID#AAABvDejung
tc={A950E013-7C1F-4F7D-BB12-6FC47EE4BE6D}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2649">
      <text>
        <t xml:space="preserve">======
ID#AAABvDejunc
tc={36E2DDB8-E3E9-4216-B654-3E4A76270BBB}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บร0033.205.16/502 4/6/68</t>
      </text>
    </comment>
    <comment authorId="0" ref="D153">
      <text>
        <t xml:space="preserve">======
ID#AAABvDejunY
tc={A147112B-16C5-4ABF-B76A-211243E98CDF}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บร0033.205.4/345 21/4/68</t>
      </text>
    </comment>
    <comment authorId="0" ref="D31">
      <text>
        <t xml:space="preserve">======
ID#AAABvDejunU
tc={A2C4D77C-8750-4714-8D47-752E71BC4A55}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บร0033.205.15/58 6/2/68</t>
      </text>
    </comment>
    <comment authorId="0" ref="D2497">
      <text>
        <t xml:space="preserve">======
ID#AAABvDejunQ
tc={BCCD4FA3-30D8-489E-AA34-87C335A5DA7D}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บร0033.205.4/1754</t>
      </text>
    </comment>
    <comment authorId="0" ref="D1901">
      <text>
        <t xml:space="preserve">======
ID#AAABvDejunM
User    (2026-01-24 03:35:04)
แจ้งหนี้ไม่ตรงเดือน บร0033.205.4/345 21/4/68</t>
      </text>
    </comment>
    <comment authorId="0" ref="D1351">
      <text>
        <t xml:space="preserve">======
ID#AAABvDejunI
tc={AC1832D0-756B-49D4-AF68-55ADB48430BB}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84">
      <text>
        <t xml:space="preserve">======
ID#AAABvDejunE
tc={37FF6DEE-B731-4019-9BAC-E28D15D28A61}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2.3.02 ค่าครุภัณฑ์สำนักงาน</t>
      </text>
    </comment>
    <comment authorId="0" ref="A3471">
      <text>
        <t xml:space="preserve">======
ID#AAABvDejunA
tc={A5C21750-E72F-48EA-BE95-1959D630CC7F}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 กลุ่มงานแผน</t>
      </text>
    </comment>
    <comment authorId="0" ref="D3425">
      <text>
        <t xml:space="preserve">======
ID#AAABvDejum8
tc={35F35293-FE7F-4409-97E5-25FDE9A12103}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บร0033.203.15/1921 24/6/68</t>
      </text>
    </comment>
    <comment authorId="0" ref="D32">
      <text>
        <t xml:space="preserve">======
ID#AAABvDejum4
tc={6453DFCB-EB0B-45CF-869D-7D9EF8645E61}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บร0033.205.15/61 17/2/67</t>
      </text>
    </comment>
    <comment authorId="0" ref="D3715">
      <text>
        <t xml:space="preserve">======
ID#AAABvDejum0
tc={E0C80B8C-6756-4AB2-9E6F-DA92A755FDA1}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บร0033.205.15/189 1/4/68</t>
      </text>
    </comment>
    <comment authorId="0" ref="D323">
      <text>
        <t xml:space="preserve">======
ID#AAABvDejumw
tc={7C95584B-53FB-4D97-B40A-33467DA79033}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บร0033.205.4/719 31/7/68</t>
      </text>
    </comment>
    <comment authorId="0" ref="D3705">
      <text>
        <t xml:space="preserve">======
ID#AAABvDejums
tc={F0E18A83-0705-4476-B84D-B949B7C3D338}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บร0033.205.15/189 1/4/68</t>
      </text>
    </comment>
    <comment authorId="0" ref="D3771">
      <text>
        <t xml:space="preserve">======
ID#AAABvDejumo
tc={40B8C2F2-A01D-4431-B5AE-4D6CF2B6C337}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บร0033.205.15/337 23/7/68</t>
      </text>
    </comment>
    <comment authorId="0" ref="D3468">
      <text>
        <t xml:space="preserve">======
ID#AAABvDejumk
tc={2817279B-16AB-4E2E-97C2-4EC149ED35D4}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บร0033.203/1925 24/6/68</t>
      </text>
    </comment>
    <comment authorId="0" ref="D3372">
      <text>
        <t xml:space="preserve">======
ID#AAABvDejumg
tc={6F765024-E6B2-402A-BFDE-145258877A55}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เปลี่ยนแปลงวันตรวจรับ บร0033.201.2/496 30/6/68 จาก 24/2/68 เป็น 31/1/68</t>
      </text>
    </comment>
    <comment authorId="0" ref="D2897">
      <text>
        <t xml:space="preserve">======
ID#AAABvDejumc
tc={0E02FFA4-7730-4F14-BCD0-BBF4DD5023D6}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บร0033.201.2/835 22/9/68</t>
      </text>
    </comment>
    <comment authorId="0" ref="D706">
      <text>
        <t xml:space="preserve">======
ID#AAABvDejumY
tc={6741C366-F882-4F28-883C-52BCA446BAB7}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1.3.03 ค่าครุภัณฑ์สำนักงาน GFMIS (เงินฝากคลังรายได้ค่ารักษาโรงพยาบาลนางรอง ฝากคลัง)</t>
      </text>
    </comment>
    <comment authorId="0" ref="D1959">
      <text>
        <t xml:space="preserve">======
ID#AAABvDejumU
tc={7790207A-F3D4-4E12-B002-E524C710C0BF}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บร0033.203/1835 8/5/68</t>
      </text>
    </comment>
    <comment authorId="0" ref="D1949">
      <text>
        <t xml:space="preserve">======
ID#AAABvDejumQ
tc={64A24721-C388-4CEC-98C3-6B85DA3F6209}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บร0033.203.15/1922 24/6/68</t>
      </text>
    </comment>
    <comment authorId="0" ref="D3530">
      <text>
        <t xml:space="preserve">======
ID#AAABvDejumM
tc={3BDAFD68-DE17-4357-8F36-ED08BED5EA70}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บร0033.201.2/921 17/10/68</t>
      </text>
    </comment>
    <comment authorId="0" ref="D35">
      <text>
        <t xml:space="preserve">======
ID#AAABvDejumI
tc={F0C42D41-09C1-46A8-B060-92C4E750F0C6}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บร0033.205.15/61 17/2/67</t>
      </text>
    </comment>
    <comment authorId="0" ref="A3470">
      <text>
        <t xml:space="preserve">======
ID#AAABvDejumE
tc={0CFF6A7C-FBAE-4418-8977-7A866B8F62E4}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 กลุ่มงานแผน</t>
      </text>
    </comment>
    <comment authorId="0" ref="D188">
      <text>
        <t xml:space="preserve">======
ID#AAABvDejumA
tc={BE2F2A4C-0218-4D43-961F-113FBD4B1CAA}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เงินค่ารักษา สิทธิประกันสังคม</t>
      </text>
    </comment>
    <comment authorId="0" ref="D3716">
      <text>
        <t xml:space="preserve">======
ID#AAABvDejul8
tc={1B366FF1-F9FC-4953-B072-4C17C50C6D5E}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บร0033.205.15/189 1/4/68</t>
      </text>
    </comment>
    <comment authorId="0" ref="D1405">
      <text>
        <t xml:space="preserve">======
ID#AAABvDejul4
tc={9AB9F120-E3E6-488C-B247-0A8B6C88C01F}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3396">
      <text>
        <t xml:space="preserve">======
ID#AAABvDejul0
tc={977DC886-3A84-4BEC-B5D4-4CB3C1F08306}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บร0033.201.2/834 22/9/68</t>
      </text>
    </comment>
    <comment authorId="0" ref="D1918">
      <text>
        <t xml:space="preserve">======
ID#AAABvDejulw
tc={1F3910CA-DA0A-4D75-BE34-BACC84AF6651}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บร0033.203/1835 8/5/68</t>
      </text>
    </comment>
    <comment authorId="0" ref="C3491">
      <text>
        <t xml:space="preserve">======
ID#AAABvDejuls
tc={4F7720D8-643F-4CF1-B85B-ABB1E9E2D228}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D1656">
      <text>
        <t xml:space="preserve">======
ID#AAABvDejulo
tc={25D36B04-10A1-4709-9D53-92B471CE42FE}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3860">
      <text>
        <t xml:space="preserve">======
ID#AAABvDejulk
tc={3871A7E4-7EB8-426B-B28E-AE8BED6CEC3F}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2.3.08 ค่าครุภัณฑ์วิทยาศาสตร์การแพทย์</t>
      </text>
    </comment>
    <comment authorId="0" ref="D1217">
      <text>
        <t xml:space="preserve">======
ID#AAABvDejulg
tc={04A5A89F-86AB-48E1-85AD-D77FD70BF977}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1800">
      <text>
        <t xml:space="preserve">======
ID#AAABvDejulc
tc={97B7A8B6-1696-432E-83C9-1B464CD7F9E2}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บร0033.203/1552 24/2/68</t>
      </text>
    </comment>
    <comment authorId="0" ref="D1726">
      <text>
        <t xml:space="preserve">======
ID#AAABvDejulY
tc={D865433F-100D-49F6-9017-31416607D5D4}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 0033.201.2/840 4/7/66</t>
      </text>
    </comment>
    <comment authorId="0" ref="D1511">
      <text>
        <t xml:space="preserve">======
ID#AAABvDejulU
tc={C0457A12-6175-4A02-9960-40678B41C9C2}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1355">
      <text>
        <t xml:space="preserve">======
ID#AAABvDejulQ
tc={8EAB3CB5-B85A-44F2-A64B-DC379C62D027}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1731">
      <text>
        <t xml:space="preserve">======
ID#AAABvDejulM
tc={B8BAF77A-A8F0-49D0-ACC3-908B9E275A5F}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บร0033.201.2/1001 23/9/67</t>
      </text>
    </comment>
    <comment authorId="0" ref="D3377">
      <text>
        <t xml:space="preserve">======
ID#AAABvDejulI
tc={5E4FF264-2733-4617-B62E-AEEEBB19A4AD}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บร0033.201.2/461 25/6/68</t>
      </text>
    </comment>
    <comment authorId="0" ref="D1155">
      <text>
        <t xml:space="preserve">======
ID#AAABvDejulE
tc={2D3309CE-2B0F-4970-809D-CFF10FE0B00E}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E-Bindding</t>
      </text>
    </comment>
    <comment authorId="0" ref="D1437">
      <text>
        <t xml:space="preserve">======
ID#AAABvDejulA
tc={94C47BC5-0DE6-4005-81EB-F1CD7E281665}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A3525">
      <text>
        <t xml:space="preserve">======
ID#AAABvDejuk8
tc={432BA449-DF60-4B54-B177-4516F05E0B28}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D757">
      <text>
        <t xml:space="preserve">======
ID#AAABvDejuk4
tc={E006D4F9-ED8D-4293-B35F-8C543A0CBF29}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3376">
      <text>
        <t xml:space="preserve">======
ID#AAABvDejuk0
tc={E573B0C1-B895-482F-B8B6-552A6708B6FC}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บร0033.201.2/461 25/6/68</t>
      </text>
    </comment>
    <comment authorId="0" ref="D756">
      <text>
        <t xml:space="preserve">======
ID#AAABvDejukw
tc={6DCFBEAE-81A1-49DE-AAE4-E972B31B9F2C}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2511">
      <text>
        <t xml:space="preserve">======
ID#AAABvDejuks
tc={D1074FF3-E5CC-4AD8-9452-4EFC96F034D8}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บร0033.201.2/915 17/10/68</t>
      </text>
    </comment>
    <comment authorId="0" ref="C3501">
      <text>
        <t xml:space="preserve">======
ID#AAABvDejuko
tc={D16FA7B4-16AA-462C-ADD3-19BDD360E7D4}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D1899">
      <text>
        <t xml:space="preserve">======
ID#AAABvDejukk
User    (2026-01-24 03:35:04)
แจ้งหนี้ไม่ตรงเดือน บร0033.205.4/345 21/4/68</t>
      </text>
    </comment>
    <comment authorId="0" ref="D1525">
      <text>
        <t xml:space="preserve">======
ID#AAABvDejukg
tc={9974E831-2C16-4442-92EA-8C5E97AA3811}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1391">
      <text>
        <t xml:space="preserve">======
ID#AAABvDejukc
tc={71DC7EB4-F680-4EBB-83EA-599374A7EF2E}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1076">
      <text>
        <t xml:space="preserve">======
ID#AAABvDejukY
tc={DCC672AB-F9CD-415D-8ADA-B0B876B4A414}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1314">
      <text>
        <t xml:space="preserve">======
ID#AAABvDejukU
tc={727FFD14-CC8D-423C-8150-77B336304203}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1194">
      <text>
        <t xml:space="preserve">======
ID#AAABvDejukQ
tc={FDBFF7F4-78EA-4779-9D04-8AFBC0034080}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C3497">
      <text>
        <t xml:space="preserve">======
ID#AAABvDejukM
tc={CCCF6B6A-EE31-4BDB-8E79-FD9EA8E1783D}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D1984">
      <text>
        <t xml:space="preserve">======
ID#AAABvDejukI
tc={0B541A90-7451-457C-975A-B0021777CB31}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t>
      </text>
    </comment>
    <comment authorId="0" ref="D177">
      <text>
        <t xml:space="preserve">======
ID#AAABvDejukE
User    (2026-01-24 03:35:04)
แจ้งหนี้ไม่ตรงเดือน บร0033.203.1449 24/1/68</t>
      </text>
    </comment>
    <comment authorId="0" ref="D3453">
      <text>
        <t xml:space="preserve">======
ID#AAABvDejukA
tc={5A3575D1-3762-49D5-A90F-1FAE6A16392F}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บร0033.203/1836 19/5/68</t>
      </text>
    </comment>
    <comment authorId="0" ref="D3397">
      <text>
        <t xml:space="preserve">======
ID#AAABvDejuj8
tc={95B92BC7-455D-4A2A-84C7-4C6804C3E8BB}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บร0033.201.2/834 22/9/68</t>
      </text>
    </comment>
    <comment authorId="0" ref="D1898">
      <text>
        <t xml:space="preserve">======
ID#AAABvDejuj4
User    (2026-01-24 03:35:04)
แจ้งหนี้ไม่ตรงเดือน บร0033.205.4/345 21/4/68</t>
      </text>
    </comment>
    <comment authorId="0" ref="D1986">
      <text>
        <t xml:space="preserve">======
ID#AAABvDejuj0
tc={72EB1A03-36CE-4FAC-80FA-C2EFABFF5D04}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บร0032.301.2/316 7/5/68</t>
      </text>
    </comment>
    <comment authorId="0" ref="D3751">
      <text>
        <t xml:space="preserve">======
ID#AAABvDejujw
tc={5F6F8F54-201B-421A-A716-9D70E0FD18DA}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บร0033.205.15/269 22/5/68</t>
      </text>
    </comment>
    <comment authorId="0" ref="D3472">
      <text>
        <t xml:space="preserve">======
ID#AAABvDejujs
tc={8A5DD50B-73D2-4FCD-A2C5-19C6673D1A96}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บร0033.203/1925 24/6/68</t>
      </text>
    </comment>
    <comment authorId="0" ref="D3456">
      <text>
        <t xml:space="preserve">======
ID#AAABvDejujo
tc={463E4F56-3A4B-41B6-934A-0376B5E46C06}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บร0033.203.15/1923 24/6/68</t>
      </text>
    </comment>
    <comment authorId="0" ref="D3360">
      <text>
        <t xml:space="preserve">======
ID#AAABvDejujk
tc={DFF3AE93-8DA9-4C53-AF6C-1C7D33CE0EC7}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บร0033.201.2/524 7/7/68</t>
      </text>
    </comment>
    <comment authorId="0" ref="D758">
      <text>
        <t xml:space="preserve">======
ID#AAABvDejujg
tc={93D0A37C-ACF9-4DB9-88D8-0B4712B7A68B}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3708">
      <text>
        <t xml:space="preserve">======
ID#AAABvDejujc
tc={7AE8FC0A-2081-4A5A-B264-67550EF9B3C0}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บร0033.205.15/189 1/4/68</t>
      </text>
    </comment>
    <comment authorId="0" ref="D2798">
      <text>
        <t xml:space="preserve">======
ID#AAABvDejujY
tc={858486A1-238E-4281-B732-CCBF165A4AA5}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บร0033.205.9/271 9/4/68</t>
      </text>
    </comment>
    <comment authorId="0" ref="D3451">
      <text>
        <t xml:space="preserve">======
ID#AAABvDejujU
tc={CD30EE38-2CFF-48B8-8273-B042A509CAA3}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บร0033.203/1763 28/4/68</t>
      </text>
    </comment>
    <comment authorId="0" ref="D1625">
      <text>
        <t xml:space="preserve">======
ID#AAABvDejujQ
tc={10B3D82A-0F22-4528-964B-354AA1D4D57C}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3478">
      <text>
        <t xml:space="preserve">======
ID#AAABvDejujM
tc={5D94482E-D1DE-43DD-AFA4-2AC55D343DF7}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บร0033.203/1925 24/6/68</t>
      </text>
    </comment>
    <comment authorId="0" ref="D2148">
      <text>
        <t xml:space="preserve">======
ID#AAABvDejujI
tc={94CFDFC6-4586-4009-B434-E9A7AE932BA6}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บร0033.203/2001 29/7/68</t>
      </text>
    </comment>
    <comment authorId="0" ref="D3906">
      <text>
        <t xml:space="preserve">======
ID#AAABvDejujE
tc={90855874-C70A-41BF-82A3-D721AE4377DA}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2.3.08 ค่าครุภัณฑ์วิทยาศาสตร์การแพทย์</t>
      </text>
    </comment>
    <comment authorId="0" ref="D1366">
      <text>
        <t xml:space="preserve">======
ID#AAABvDejujA
tc={309C4E19-50DE-4766-AC2D-7A66F618DFC0}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C3492">
      <text>
        <t xml:space="preserve">======
ID#AAABvDejui8
tc={7D2811A6-8BC2-4611-8784-114F9C7C982E}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D2274">
      <text>
        <t xml:space="preserve">======
ID#AAABvDejui4
tc={A97E5C58-B6DB-4DB8-96E1-F5FCD5781F2C}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บร0033.201.2/625 8/8/68</t>
      </text>
    </comment>
    <comment authorId="0" ref="D3380">
      <text>
        <t xml:space="preserve">======
ID#AAABvDejui0
tc={F5FD1365-03D1-40E9-9900-255CFA704E90}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บร0033.201.2/558 25/7/68</t>
      </text>
    </comment>
    <comment authorId="0" ref="D1983">
      <text>
        <t xml:space="preserve">======
ID#AAABvDejuiw
tc={6EBEEB13-BE5A-4586-B224-F8A89C92FA66}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t>
      </text>
    </comment>
    <comment authorId="0" ref="D665">
      <text>
        <t xml:space="preserve">======
ID#AAABvDejuis
tc={15650F6E-DC9B-4D7C-8815-22F345DF0B18}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บร0032.301.2/967 30/10/68</t>
      </text>
    </comment>
    <comment authorId="0" ref="D3755">
      <text>
        <t xml:space="preserve">======
ID#AAABvDejuio
tc={A9D83F13-0872-4A0D-A7C3-68F125622959}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บร0033.205.15/269 22/5/68</t>
      </text>
    </comment>
    <comment authorId="0" ref="A3474">
      <text>
        <t xml:space="preserve">======
ID#AAABvDejuik
tc={3F620A55-243C-4060-969C-56AF1C73BF97}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 กลุ่มงานแผน</t>
      </text>
    </comment>
    <comment authorId="0" ref="D3745">
      <text>
        <t xml:space="preserve">======
ID#AAABvDejuig
tc={1E8B853F-6B6B-4727-9508-5B80E953782E}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บร0033.205.15/269 22/5/68</t>
      </text>
    </comment>
    <comment authorId="0" ref="D3540">
      <text>
        <t xml:space="preserve">======
ID#AAABvDejuic
tc={489EEE1A-ACC5-4560-AC9A-1979B95B70B2}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บร0033.201.2/921 17/10/68</t>
      </text>
    </comment>
    <comment authorId="0" ref="D2108">
      <text>
        <t xml:space="preserve">======
ID#AAABvDejuiY
tc={9F1CA34A-3003-4C9D-94C5-B459ABB87CE0}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บร0033.203.15/2061 13/8/68</t>
      </text>
    </comment>
    <comment authorId="0" ref="D3429">
      <text>
        <t xml:space="preserve">======
ID#AAABvDejuiU
tc={F756ECE1-BB97-4489-B2C3-3F7B005ECB2D}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บร0033.203.15/2060 13/8/68</t>
      </text>
    </comment>
    <comment authorId="0" ref="C3495">
      <text>
        <t xml:space="preserve">======
ID#AAABvDejuiQ
tc={2DC5A3FB-3BD1-42A4-A494-CEA88B480A92}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D1989">
      <text>
        <t xml:space="preserve">======
ID#AAABvDejuiM
tc={4188F9DC-F599-431E-B8EB-D8F940767DD7}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t>
      </text>
    </comment>
    <comment authorId="0" ref="D3752">
      <text>
        <t xml:space="preserve">======
ID#AAABvDejuiI
tc={1F852CE4-4DFF-4274-A5A4-75E3DE99721E}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บร0033.205.15/269 22/5/68</t>
      </text>
    </comment>
    <comment authorId="0" ref="D3438">
      <text>
        <t xml:space="preserve">======
ID#AAABvDejuiE
tc={1A99D212-6919-4951-B165-E8388D8200A9}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บร00033.203.15/1420 19/5/68</t>
      </text>
    </comment>
    <comment authorId="0" ref="D27">
      <text>
        <t xml:space="preserve">======
ID#AAABvDejuiA
tc={C9B7ABAC-2756-433A-98F8-4CCA7EA82C11}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บร0033.205.15/58 6/2/68</t>
      </text>
    </comment>
    <comment authorId="0" ref="A3477">
      <text>
        <t xml:space="preserve">======
ID#AAABvDejuh8
tc={ABA96574-CB04-42E5-A1B1-264D86561B6A}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 กลุ่มงานแผน</t>
      </text>
    </comment>
    <comment authorId="0" ref="D34">
      <text>
        <t xml:space="preserve">======
ID#AAABvDejuh4
tc={B69E5E2A-DD27-43C8-87D5-673FE36B7670}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บร0033.205.15/61 17/2/67</t>
      </text>
    </comment>
    <comment authorId="0" ref="D3707">
      <text>
        <t xml:space="preserve">======
ID#AAABvDejuh0
tc={85825F17-AACF-4A0C-A170-1E8F48CE5CDF}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บร0033.205.15/189 1/4/68</t>
      </text>
    </comment>
    <comment authorId="0" ref="D3527">
      <text>
        <t xml:space="preserve">======
ID#AAABvDejuhw
tc={F4840AD1-0F79-4E4E-83D7-F1B8CE7D7A08}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บร0033.201.2/920 17/10/68</t>
      </text>
    </comment>
    <comment authorId="0" ref="D1368">
      <text>
        <t xml:space="preserve">======
ID#AAABvDejuhs
tc={E9308089-8000-4236-9FE1-245B3E0BE295}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3450">
      <text>
        <t xml:space="preserve">======
ID#AAABvDejuho
tc={22C001BD-552A-4C6E-871C-74349BEF7BD6}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บร0033.203/1763 28/4/68</t>
      </text>
    </comment>
    <comment authorId="0" ref="D400">
      <text>
        <t xml:space="preserve">======
ID#AAABvDejuhk
tc={F6608D2C-43DC-4AEC-A092-B30A480E597C}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บร0033.201.2/854 1/10/68</t>
      </text>
    </comment>
    <comment authorId="0" ref="D3465">
      <text>
        <t xml:space="preserve">======
ID#AAABvDejuhg
tc={05D898A2-A2DE-4046-A6E2-13E96FD7267F}    (2026-01-24 03:35:04)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บร0033.203/1925 24/6/68</t>
      </text>
    </comment>
    <comment authorId="0" ref="D3426">
      <text>
        <t xml:space="preserve">======
ID#AAABvDejuhc
tc={8CEA25F2-57F9-485E-BE02-DAB782BB58C0}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บร00332.03/2076 22/8/68</t>
      </text>
    </comment>
    <comment authorId="0" ref="D749">
      <text>
        <t xml:space="preserve">======
ID#AAABvDejuhY
tc={48B3C187-B934-483B-9EFE-FC04A80D6C97}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3756">
      <text>
        <t xml:space="preserve">======
ID#AAABvDejuhU
tc={C305F2BA-104D-4197-998B-738F9837301C}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บร0033.205.15/269 22/5/68</t>
      </text>
    </comment>
    <comment authorId="0" ref="D322">
      <text>
        <t xml:space="preserve">======
ID#AAABvDejuhQ
tc={BC600914-9EB5-4285-90BA-69DEECD072E7}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บร0033.205.4/719 31/7/68</t>
      </text>
    </comment>
    <comment authorId="0" ref="D38">
      <text>
        <t xml:space="preserve">======
ID#AAABvDejuhM
tc={F11DB339-3D4D-4331-9FE2-898D83F3AF10}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บร0033.205.15/61 17/2/67</t>
      </text>
    </comment>
    <comment authorId="0" ref="D1460">
      <text>
        <t xml:space="preserve">======
ID#AAABvDejuhI
tc={68569088-78A3-4BF7-AEA4-E82C7D9DA495}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1392">
      <text>
        <t xml:space="preserve">======
ID#AAABvDejuhE
tc={675463D4-25C3-41D7-A84C-90A953A2DD20}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3757">
      <text>
        <t xml:space="preserve">======
ID#AAABvDejuhA
tc={29A6E6C0-E48F-4314-A8E0-23F1990ABD06}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บร0033.205.15/269 22/5/68</t>
      </text>
    </comment>
    <comment authorId="0" ref="C3500">
      <text>
        <t xml:space="preserve">======
ID#AAABvDejug8
tc={9DD27ACE-1ABD-4280-8718-44314F8B9ED3}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D704">
      <text>
        <t xml:space="preserve">======
ID#AAABvDejug4
tc={08498204-F923-42B2-A53D-2F01265DBC9F}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2.3.10 ค่าครุภัณฑ์งานบ้านงานครัว</t>
      </text>
    </comment>
    <comment authorId="0" ref="D3351">
      <text>
        <t xml:space="preserve">======
ID#AAABvDejug0
tc={75760BA8-2E6B-4AAD-9AB1-9D4F13FAF958}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บร0033.201.2/699 27/8/68</t>
      </text>
    </comment>
    <comment authorId="0" ref="A3515">
      <text>
        <t xml:space="preserve">======
ID#AAABvDejugw
tc={79D9C397-CD58-4B7D-8DFB-F7136581EE29}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D3774">
      <text>
        <t xml:space="preserve">======
ID#AAABvDejugs
tc={827F1DD2-61D1-49B7-8209-CFE711DE55BE}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บร0033.205.15/337 23/7/68
ตอบกลับ:
    แจ้งหนี้ไม่ตรงเดือน บร0033.205.15/337 23/7/68</t>
      </text>
    </comment>
    <comment authorId="0" ref="D3746">
      <text>
        <t xml:space="preserve">======
ID#AAABvDejugo
tc={69FB15B3-5B10-4838-80FD-61F069913782}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บร0033.205.15/269 22/5/68</t>
      </text>
    </comment>
    <comment authorId="0" ref="D2057">
      <text>
        <t xml:space="preserve">======
ID#AAABvDejugk
tc={EB6B38ED-2C49-4B4F-9F62-6B7EDB052044}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บร0033.205.4/520 17/6/68</t>
      </text>
    </comment>
    <comment authorId="0" ref="D3864">
      <text>
        <t xml:space="preserve">======
ID#AAABvDejugg
tc={AB2FB98F-1E26-4592-8D23-8DEF0E63CEDA}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2.3.02 ค่าครุภัณฑ์สำนักงาน</t>
      </text>
    </comment>
    <comment authorId="0" ref="D182">
      <text>
        <t xml:space="preserve">======
ID#AAABvDejugc
User    (2026-01-24 03:35:03)
แจ้งหนี้ไม่ตรงเดือนบร0033.203/1551 24/2/68</t>
      </text>
    </comment>
    <comment authorId="0" ref="D3759">
      <text>
        <t xml:space="preserve">======
ID#AAABvDejugY
tc={59A7C207-4CA5-4B6C-BAE8-DC7D109E732A}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บร0033.205.15/268 22/5/68</t>
      </text>
    </comment>
    <comment authorId="0" ref="D3469">
      <text>
        <t xml:space="preserve">======
ID#AAABvDejugU
tc={DF2C1E8D-C8C5-4250-901D-0429FD9E0C85}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บร0033.203/1925 24/6/68</t>
      </text>
    </comment>
    <comment authorId="0" ref="A3478">
      <text>
        <t xml:space="preserve">======
ID#AAABvDejugQ
tc={EA00EAF5-A6C8-438F-8EF4-667183C4FC45}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 กลุ่มงานแผน</t>
      </text>
    </comment>
    <comment authorId="0" ref="D1473">
      <text>
        <t xml:space="preserve">======
ID#AAABvDejugM
tc={2171471D-2A17-42C2-9A83-89C7B8634B78}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A3452">
      <text>
        <t xml:space="preserve">======
ID#AAABvDejugI
tc={93A7BFDC-1AD7-4EB9-AFFE-0A333418E374}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ไม่อยู่ในแผน</t>
      </text>
    </comment>
    <comment authorId="0" ref="D1988">
      <text>
        <t xml:space="preserve">======
ID#AAABvDejugE
tc={2A8C28BC-DC14-43E2-A06A-261468213052}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t>
      </text>
    </comment>
    <comment authorId="0" ref="D3718">
      <text>
        <t xml:space="preserve">======
ID#AAABvDejugA
tc={9C3D5B54-0F6D-4E39-A6C7-D8A65917BADF}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บร0033.205.15/190 27/4/68</t>
      </text>
    </comment>
    <comment authorId="0" ref="D1907">
      <text>
        <t xml:space="preserve">======
ID#AAABvDejuf8
tc={37975DA4-D48E-4D88-80DE-EC3D1E12882B}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t>
      </text>
    </comment>
    <comment authorId="0" ref="D1331">
      <text>
        <t xml:space="preserve">======
ID#AAABvDejuf4
tc={48808F3D-D6CB-45DC-9B24-F4C64CBEACAA}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1970">
      <text>
        <t xml:space="preserve">======
ID#AAABvDejuf0
tc={1A7ED83D-27AE-4EBC-92FA-8495AB185685}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t>
      </text>
    </comment>
    <comment authorId="0" ref="D87">
      <text>
        <t xml:space="preserve">======
ID#AAABvDejufw
tc={399B4CA2-6E05-4C93-9DBC-AC71AEF02374}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2.3.02 ค่าครุภัณฑ์สำนักงาน</t>
      </text>
    </comment>
    <comment authorId="0" ref="D245">
      <text>
        <t xml:space="preserve">======
ID#AAABvDejufs
tc={DDBDFFFB-73E0-436F-8E20-7EC99932F6DE}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เงินบริจาค</t>
      </text>
    </comment>
    <comment authorId="0" ref="D22">
      <text>
        <t xml:space="preserve">======
ID#AAABvDejufo
tc={CABB996D-9BE1-4706-A4E3-6583FA9A78EF}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บร0033.201.2/459 25/6/68</t>
      </text>
    </comment>
    <comment authorId="0" ref="D3479">
      <text>
        <t xml:space="preserve">======
ID#AAABvDejufk
tc={27D234F3-9341-4D98-9D2E-8C54945552E4}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บร0033.203/1925 24/6/68</t>
      </text>
    </comment>
    <comment authorId="0" ref="A3519">
      <text>
        <t xml:space="preserve">======
ID#AAABvDejufg
tc={1D65F256-FD71-4597-B278-CC10252191EC}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D3471">
      <text>
        <t xml:space="preserve">======
ID#AAABvDejufc
tc={8CB46DBA-7728-4534-810F-DAAD6D22DB2D}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บร0033.203/1925 24/6/68</t>
      </text>
    </comment>
    <comment authorId="0" ref="D3818">
      <text>
        <t xml:space="preserve">======
ID#AAABvDejufY
tc={D684C3DF-A14D-4E1C-A1CB-9E7C3F3CC268}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บร0033.201.2/793 11/9/68</t>
      </text>
    </comment>
    <comment authorId="0" ref="D3712">
      <text>
        <t xml:space="preserve">======
ID#AAABvDejufU
tc={5F3CA9F3-6A2D-4F0F-B13B-A124BD676CC4}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บร0033.205.15/189 1/4/68</t>
      </text>
    </comment>
    <comment authorId="0" ref="D3758">
      <text>
        <t xml:space="preserve">======
ID#AAABvDejufQ
tc={720E71A8-473E-4C36-8062-4618A1BC7DD7}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บร0033.205.15/268 22/5/68</t>
      </text>
    </comment>
    <comment authorId="0" ref="D1354">
      <text>
        <t xml:space="preserve">======
ID#AAABvDejufM
tc={FAB2F52A-3F44-454E-92AA-23D4D7967AD9}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A3473">
      <text>
        <t xml:space="preserve">======
ID#AAABvDejufI
tc={0A280EC1-0631-4D92-AA64-2B996A2F8167}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 กลุ่มงานแผน</t>
      </text>
    </comment>
    <comment authorId="0" ref="D703">
      <text>
        <t xml:space="preserve">======
ID#AAABvDejufE
tc={6C5D6F28-3D10-4B05-81A7-B44BD7950709}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2.3.05 ค่าครุภัณฑ์โฆษณาและเผยแพร่</t>
      </text>
    </comment>
    <comment authorId="0" ref="D3616">
      <text>
        <t xml:space="preserve">======
ID#AAABvDejufA
tc={914E7170-D340-4A76-AF91-29666BDAFDB2}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บร0033.205.16/501 4/6/68</t>
      </text>
    </comment>
    <comment authorId="0" ref="D1196">
      <text>
        <t xml:space="preserve">======
ID#AAABvDejue8
tc={262B9077-6166-4883-97CB-601850DDB5F4}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3464">
      <text>
        <t xml:space="preserve">======
ID#AAABvDejue4
tc={9CC8F6AE-872C-4842-BF40-D1D7390E4396}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บร0033.203.15/1923 24/6/68</t>
      </text>
    </comment>
    <comment authorId="0" ref="D3458">
      <text>
        <t xml:space="preserve">======
ID#AAABvDejue0
tc={16A6E81A-A9C8-4577-B066-0C2B32E54A67}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บร0033.203.15/1923 24/6/68</t>
      </text>
    </comment>
    <comment authorId="0" ref="D1523">
      <text>
        <t xml:space="preserve">======
ID#AAABvDejuew
tc={0C79F95B-F71F-43FE-8F5C-3CF501C3EEB1}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3364">
      <text>
        <t xml:space="preserve">======
ID#AAABvDejues
tc={56307A3F-37E5-4516-91C1-0C017FFD2C04}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บร0033.201.2/627 8/8/68</t>
      </text>
    </comment>
    <comment authorId="0" ref="D2886">
      <text>
        <t xml:space="preserve">======
ID#AAABvDejueo
tc={4C74A57B-71E5-47BC-9257-25F5504C8952}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บร0033.201.2/707 27/8/68</t>
      </text>
    </comment>
    <comment authorId="0" ref="D181">
      <text>
        <t xml:space="preserve">======
ID#AAABvDejuek
User    (2026-01-24 03:35:03)
แจ้งหนี้ไม่ตรงเดือนบร0033.203/1551 24/2/68</t>
      </text>
    </comment>
    <comment authorId="0" ref="D1902">
      <text>
        <t xml:space="preserve">======
ID#AAABvDejueg
User    (2026-01-24 03:35:03)
แจ้งหนี้ไม่ตรงเดือน บร0033.205.4/345 21/4/68</t>
      </text>
    </comment>
    <comment authorId="0" ref="D1257">
      <text>
        <t xml:space="preserve">======
ID#AAABvDejuec
tc={C867CD4C-C58E-4F3B-9509-1754358C32FF}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1167">
      <text>
        <t xml:space="preserve">======
ID#AAABvDejueY
tc={9D29E4CD-2153-4AED-93D5-92B32D1A8E2E}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E-Bindding</t>
      </text>
    </comment>
    <comment authorId="0" ref="D3811">
      <text>
        <t xml:space="preserve">======
ID#AAABvDejueU
tc={7C25FB98-2334-4995-BBB9-0DB511D85F57}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บร0033.205.15/340 23/7/68</t>
      </text>
    </comment>
    <comment authorId="0" ref="D3506">
      <text>
        <t xml:space="preserve">======
ID#AAABvDejueQ
tc={1395BFA1-FAEE-472B-AC62-360E3D8C3D72}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บร0033.201.2/921 17/10/68</t>
      </text>
    </comment>
    <comment authorId="0" ref="D1165">
      <text>
        <t xml:space="preserve">======
ID#AAABvDejueM
tc={FACB1F98-EAAC-4385-B6CD-F08A290C264F}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E-Bindding</t>
      </text>
    </comment>
    <comment authorId="0" ref="C3496">
      <text>
        <t xml:space="preserve">======
ID#AAABvDejueI
tc={4AD7050E-B9F3-4F36-BFF4-305225DD43A7}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D1388">
      <text>
        <t xml:space="preserve">======
ID#AAABvDejueE
tc={4DF78895-352A-4C10-AB3F-17528593987A}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3362">
      <text>
        <t xml:space="preserve">======
ID#AAABvDejueA
tc={1AC40B74-2F9D-45CD-B893-0CE057C17B96}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บร0032.301.2/525 7/7/68</t>
      </text>
    </comment>
    <comment authorId="0" ref="A3475">
      <text>
        <t xml:space="preserve">======
ID#AAABvDejud8
tc={2B122626-1007-480E-AA41-1B2397FE896B}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 กลุ่มงานแผน</t>
      </text>
    </comment>
    <comment authorId="0" ref="D1990">
      <text>
        <t xml:space="preserve">======
ID#AAABvDejud4
tc={94DE2094-8F81-496B-9336-A75AACBEED7F}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t>
      </text>
    </comment>
    <comment authorId="0" ref="D701">
      <text>
        <t xml:space="preserve">======
ID#AAABvDejud0
tc={F7918EBE-1A91-4549-B28E-B298FE08876C}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2.3.02 ค่าครุภัณฑ์สำนักงาน</t>
      </text>
    </comment>
    <comment authorId="0" ref="D1120">
      <text>
        <t xml:space="preserve">======
ID#AAABvDejudw
tc={1E029FD3-D5E5-42A3-8DCF-12E0BCBB2838}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3704">
      <text>
        <t xml:space="preserve">======
ID#AAABvDejuds
tc={8D7223EE-8165-4E4A-A568-3832F66645DB}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บร0033.205.15/189 1/4/68</t>
      </text>
    </comment>
    <comment authorId="0" ref="D3772">
      <text>
        <t xml:space="preserve">======
ID#AAABvDejudo
tc={955CF97F-E278-41FF-A6A9-9A9D80FA12A6}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บร0033.205.15/337 23/7/68</t>
      </text>
    </comment>
    <comment authorId="0" ref="D82">
      <text>
        <t xml:space="preserve">======
ID#AAABvDejudk
tc={6B4901E6-554A-4DCD-9687-E97467B178DF}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2.3.05 ค่าครุภัณฑ์โฆษณาและเผยแพร่</t>
      </text>
    </comment>
    <comment authorId="0" ref="D812">
      <text>
        <t xml:space="preserve">======
ID#AAABvDejudg
tc={40E900DB-6B07-4F9B-819C-7D016E724135}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2076">
      <text>
        <t xml:space="preserve">======
ID#AAABvDejudc
tc={17B6FB26-F209-45BD-A538-A8D7680744A3}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บร0033.205.4/520 17/6/68</t>
      </text>
    </comment>
    <comment authorId="0" ref="D3909">
      <text>
        <t xml:space="preserve">======
ID#AAABvDejudY
tc={A592FC8C-5823-4A69-B557-CDAD5C322889}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2.3.08 ค่าครุภัณฑ์วิทยาศาสตร์การแพทย์</t>
      </text>
    </comment>
    <comment authorId="0" ref="D3775">
      <text>
        <t xml:space="preserve">======
ID#AAABvDejudU
tc={BE65E825-F07B-458C-8973-0A946C36A8B1}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บร0033.205.15/785 9/9/68</t>
      </text>
    </comment>
    <comment authorId="0" ref="C3494">
      <text>
        <t xml:space="preserve">======
ID#AAABvDejudQ
tc={B626C13F-F2DA-44DD-9EE7-C8E1449ADC46}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D1299">
      <text>
        <t xml:space="preserve">======
ID#AAABvDejudM
tc={820751DC-5BC7-41FD-82FE-ED3CFDD0A7FC}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179">
      <text>
        <t xml:space="preserve">======
ID#AAABvDejudI
User    (2026-01-24 03:35:03)
แจ้งหนี้ไม่ตรงเดือน บร0033.203.1449 24/1/68</t>
      </text>
    </comment>
    <comment authorId="0" ref="D3444">
      <text>
        <t xml:space="preserve">======
ID#AAABvDejudE
tc={5803C7E1-46BA-47C4-855D-2BE6E690A314}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บร00033.203.15/1420 19/5/68</t>
      </text>
    </comment>
    <comment authorId="0" ref="D1657">
      <text>
        <t xml:space="preserve">======
ID#AAABvDejudA
tc={BD338B8A-A1A3-4D2F-BD27-D6315AC91332}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1236">
      <text>
        <t xml:space="preserve">======
ID#AAABvDejuc8
tc={0D2D6C9E-3666-4FCE-99DD-1999E9B74D75}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2379">
      <text>
        <t xml:space="preserve">======
ID#AAABvDejuc4
tc={D544269C-4205-4EF7-B1F9-B82AF8F2F55F}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บร0033.201.2/833 22/9/68</t>
      </text>
    </comment>
    <comment authorId="0" ref="C3498">
      <text>
        <t xml:space="preserve">======
ID#AAABvDejuc0
tc={7B4E34B7-61DE-4840-BF24-B3F0D2F537CD}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D1330">
      <text>
        <t xml:space="preserve">======
ID#AAABvDejucw
tc={EF261BB6-9425-44D2-AC7C-391FC01F86FE}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3865">
      <text>
        <t xml:space="preserve">======
ID#AAABvDejucs
tc={A64F31BF-2C14-489B-828F-D03E1C1BC48B}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2.3.02 ค่าครุภัณฑ์สำนักงาน</t>
      </text>
    </comment>
    <comment authorId="0" ref="D1350">
      <text>
        <t xml:space="preserve">======
ID#AAABvDejuco
tc={85EF29CC-E723-4CBC-808C-38E047430F96}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3455">
      <text>
        <t xml:space="preserve">======
ID#AAABvDejuck
tc={FF681BAA-7C84-4DDD-88F3-DEBCD0E17248}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บร0033.203/1836 19/5/68</t>
      </text>
    </comment>
    <comment authorId="0" ref="D3476">
      <text>
        <t xml:space="preserve">======
ID#AAABvDejucg
tc={9BADE8A5-3CEA-4A27-A32E-B8ADDDC34184}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บร0033.203/1925 24/6/68</t>
      </text>
    </comment>
    <comment authorId="0" ref="D1483">
      <text>
        <t xml:space="preserve">======
ID#AAABvDejucc
tc={C6AB2580-790C-4E2A-A734-80A07F2EFCD6}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1219">
      <text>
        <t xml:space="preserve">======
ID#AAABvDejucY
tc={41A9EE2F-EC9A-4681-A41E-DA6034813092}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707">
      <text>
        <t xml:space="preserve">======
ID#AAABvDejucU
tc={EF9B0EC7-CE08-49F7-914A-516222A0B8E4}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1.3.03 ค่าครุภัณฑ์สำนักงาน GFMIS (เงินฝากคลังรายได้ค่ารักษาโรงพยาบาลนางรอง ฝากคลัง)</t>
      </text>
    </comment>
    <comment authorId="0" ref="D3459">
      <text>
        <t xml:space="preserve">======
ID#AAABvDejucQ
tc={8156E26D-0D2B-4C6B-B158-DF3BFDD363A7}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บร0033.203.15/1923 24/6/68</t>
      </text>
    </comment>
    <comment authorId="0" ref="D3743">
      <text>
        <t xml:space="preserve">======
ID#AAABvDejucM
tc={FCADCD75-07C1-4294-AB4A-9C0D7E19082F}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บร0033.205.15/269 22/5/68</t>
      </text>
    </comment>
    <comment authorId="0" ref="D2073">
      <text>
        <t xml:space="preserve">======
ID#AAABvDejucI
tc={5619A1E8-E52D-41BD-B474-31AA6F99D0E3}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บร0033.205.4/520 17/6/68</t>
      </text>
    </comment>
    <comment authorId="0" ref="D847">
      <text>
        <t xml:space="preserve">======
ID#AAABvDejucE
tc={EFB43679-73AF-4B2E-8F72-33AB32E131F0}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1485">
      <text>
        <t xml:space="preserve">======
ID#AAABvDejucA
tc={7C0DA8DA-3102-4A66-8FF3-19A978DFA790}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A3523">
      <text>
        <t xml:space="preserve">======
ID#AAABvDejub8
tc={8C513A79-6311-4E86-B58C-019B73D7DF7D}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D3463">
      <text>
        <t xml:space="preserve">======
ID#AAABvDejub4
tc={4AFC5A06-C06F-4EA9-802D-DD37653457F7}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บร0033.203.15/1923 24/6/68</t>
      </text>
    </comment>
    <comment authorId="0" ref="D3389">
      <text>
        <t xml:space="preserve">======
ID#AAABvDejub0
tc={A82CB0BF-A111-4C99-9A15-A6E165649E7B}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บร0033.201.2/708 27/8/68</t>
      </text>
    </comment>
    <comment authorId="0" ref="D2368">
      <text>
        <t xml:space="preserve">======
ID#AAABvDejubw
tc={CD717D73-C293-42EF-8EB6-C51E36C5AB07}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บร0033.205.4/864 15/9/68</t>
      </text>
    </comment>
    <comment authorId="0" ref="D1404">
      <text>
        <t xml:space="preserve">======
ID#AAABvDejubs
tc={743201D6-EDD9-41D8-887E-05F69933C528}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1740">
      <text>
        <t xml:space="preserve">======
ID#AAABvDejubo
User    (2026-01-24 03:35:03)
แจ้งหนี้ไม่ตรงเดือน บร 0033.201.2/1282 22/11/67</t>
      </text>
    </comment>
    <comment authorId="0" ref="D3452">
      <text>
        <t xml:space="preserve">======
ID#AAABvDejubk
tc={81A8B9F6-4AAD-42FB-867B-8C3249F4FCAB}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บร0033.203/1836 19/5/68</t>
      </text>
    </comment>
    <comment authorId="0" ref="D1774">
      <text>
        <t xml:space="preserve">======
ID#AAABvDejubg
User    (2026-01-24 03:35:03)
แจ้งหนี้ไม่ตรงเดือน บร0033.203.6/13 7/1/68</t>
      </text>
    </comment>
    <comment authorId="0" ref="D80">
      <text>
        <t xml:space="preserve">======
ID#AAABvDejubc
tc={F343E747-8752-4078-8D2F-F0C2CBBD7446}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1.3.03 ค่าครุภัณฑ์สำนักงาน GFMIS (เงินฝากคลังรายได้ค่ารักษาโรงพยาบาลนางรอง ฝากคลัง)</t>
      </text>
    </comment>
    <comment authorId="0" ref="D1478">
      <text>
        <t xml:space="preserve">======
ID#AAABvDejubY
tc={EBC967EA-D90C-42EB-B1A9-4FE01C081AEE}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391">
      <text>
        <t xml:space="preserve">======
ID#AAABvDejubU
tc={1988CEF2-B059-41C1-9ABB-5238E375F5DB}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บร0033.201.2/549 25/7/68</t>
      </text>
    </comment>
    <comment authorId="0" ref="D1349">
      <text>
        <t xml:space="preserve">======
ID#AAABvDejubQ
tc={A01B4298-8EC4-439D-BEBF-C4605970F6AE}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176">
      <text>
        <t xml:space="preserve">======
ID#AAABvDejubM
User    (2026-01-24 03:35:03)
แจ้งหนี้ไม่ตรงเดือน บร0033.203.1449 24/1/68</t>
      </text>
    </comment>
    <comment authorId="0" ref="D78">
      <text>
        <t xml:space="preserve">======
ID#AAABvDejubI
tc={8BC4D9C5-F198-478D-A8B4-11DEDD09D8A4}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2.3.05 ค่าครุภัณฑ์โฆษณาและเผยแพร่</t>
      </text>
    </comment>
    <comment authorId="0" ref="D3440">
      <text>
        <t xml:space="preserve">======
ID#AAABvDejubE
tc={2ECA3D84-61DF-48F5-9C4A-A208B68C1313}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บร00033.203.15/1420 19/5/68</t>
      </text>
    </comment>
    <comment authorId="0" ref="D29">
      <text>
        <t xml:space="preserve">======
ID#AAABvDejubA
tc={60DA9FE5-45C9-4F0F-AB98-6135ACBD9D9C}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บร0033.205.15/58 6/2/68</t>
      </text>
    </comment>
    <comment authorId="0" ref="D1234">
      <text>
        <t xml:space="preserve">======
ID#AAABvDejua8
tc={0D39EB54-BE26-427C-A74F-E201ED80F950}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1655">
      <text>
        <t xml:space="preserve">======
ID#AAABvDejua4
tc={E8F3B8BE-F5BE-4BA2-B89B-609E5518D60B}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3873">
      <text>
        <t xml:space="preserve">======
ID#AAABvDejua0
tc={C6404A0A-0FCF-4401-955E-8AFE83CDD258}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2.3.09 ค่าครุภัณฑ์คอมพิวเตอร์</t>
      </text>
    </comment>
    <comment authorId="0" ref="D28">
      <text>
        <t xml:space="preserve">======
ID#AAABvDejuaw
tc={50ED8DA9-31EC-46F0-87BA-6374A37B7B0F}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บร0033.205.15/58 6/2/68</t>
      </text>
    </comment>
    <comment authorId="0" ref="D3709">
      <text>
        <t xml:space="preserve">======
ID#AAABvDejuas
tc={6A9C243D-F7AA-48DF-8F51-F0D9F8E1CE43}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บร0033.205.15/189 1/4/68</t>
      </text>
    </comment>
    <comment authorId="0" ref="D1900">
      <text>
        <t xml:space="preserve">======
ID#AAABvDejuao
User    (2026-01-24 03:35:03)
แจ้งหนี้ไม่ตรงเดือน บร0033.205.4/345 21/4/68</t>
      </text>
    </comment>
    <comment authorId="0" ref="D1195">
      <text>
        <t xml:space="preserve">======
ID#AAABvDejuak
tc={DFF1E9A7-1CF4-4F57-886D-C8909D351B53}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1012">
      <text>
        <t xml:space="preserve">======
ID#AAABvDejuag
tc={8F938B42-9E48-4760-A2F4-189330061238}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3720">
      <text>
        <t xml:space="preserve">======
ID#AAABvDejuac
tc={05E0F1CA-166C-44F5-8915-4A75FD302990}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บร0033.205.15/191 23/4/68</t>
      </text>
    </comment>
    <comment authorId="0" ref="D3457">
      <text>
        <t xml:space="preserve">======
ID#AAABvDejuaY
tc={33ED95DD-DC55-473F-98FA-0DFCDB3BAB98}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บร0033.203.15/1923 24/6/68</t>
      </text>
    </comment>
    <comment authorId="0" ref="D2072">
      <text>
        <t xml:space="preserve">======
ID#AAABvDejuaU
tc={B09A60C8-FF33-4487-A3A4-5E82B4A237D8}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บร0033.205.4/520 17/6/68</t>
      </text>
    </comment>
    <comment authorId="0" ref="D36">
      <text>
        <t xml:space="preserve">======
ID#AAABvDejuaQ
tc={67465E11-AC07-4393-97BA-913EF8C4D3C8}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บร0033.205.15/61 17/2/67</t>
      </text>
    </comment>
    <comment authorId="0" ref="A3466">
      <text>
        <t xml:space="preserve">======
ID#AAABvDejuaM
tc={8B50CB1B-105E-4C57-BEFB-24AB744124C5}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 กลุ่มงานแผน</t>
      </text>
    </comment>
    <comment authorId="0" ref="D3861">
      <text>
        <t xml:space="preserve">======
ID#AAABvDejuaI
tc={68EB8BB6-39C3-4B03-8B2E-F9BD07776164}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2.3.02 ค่าครุภัณฑ์สำนักงาน</t>
      </text>
    </comment>
    <comment authorId="0" ref="A3512">
      <text>
        <t xml:space="preserve">======
ID#AAABvDejuaE
tc={11A77C65-DF9C-47D0-A03F-F14599664047}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D1094">
      <text>
        <t xml:space="preserve">======
ID#AAABvDejuZ8
tc={12EDB8B2-9A55-48DC-8889-0B2005CFFF43}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3435">
      <text>
        <t xml:space="preserve">======
ID#AAABvDejuaA
User    (2026-01-24 03:35:03)
แจ้งหนี้ไม่ตรงเดือน บร0033.203.1449 24/1/68</t>
      </text>
    </comment>
    <comment authorId="0" ref="D175">
      <text>
        <t xml:space="preserve">======
ID#AAABvDejuZ4
User    (2026-01-24 03:35:03)
แจ้งหนี้ไม่ตรงเดือน บร0033.203.1449 24/1/68</t>
      </text>
    </comment>
    <comment authorId="0" ref="D1156">
      <text>
        <t xml:space="preserve">======
ID#AAABvDejuZ0
tc={19587AE8-C876-40F3-A49D-3A152FAC7B0A}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E-Bindding</t>
      </text>
    </comment>
    <comment authorId="0" ref="D3422">
      <text>
        <t xml:space="preserve">======
ID#AAABvDejuZw
User    (2026-01-24 03:35:03)
แจ้งหนี้ไม่ตรงเดือน บร0033.201.2/1139 28/10/67</t>
      </text>
    </comment>
    <comment authorId="0" ref="D2470">
      <text>
        <t xml:space="preserve">======
ID#AAABvDejuZs
tc={425564C4-F0F7-40D4-98D9-AA3E95E1B70E}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บร0033.205.4/1754</t>
      </text>
    </comment>
    <comment authorId="0" ref="C3503">
      <text>
        <t xml:space="preserve">======
ID#AAABvDejuZo
tc={C6E7E5E7-2B22-44BC-9B54-17668BDC5E18}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A3476">
      <text>
        <t xml:space="preserve">======
ID#AAABvDejuZk
tc={3D414A10-125F-4852-84A8-16DF6BE8D5E8}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 กลุ่มงานแผน</t>
      </text>
    </comment>
    <comment authorId="0" ref="D1522">
      <text>
        <t xml:space="preserve">======
ID#AAABvDejuZg
tc={6FCCF6CF-80B8-429A-9BD1-9EF2B0D47428}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1243">
      <text>
        <t xml:space="preserve">======
ID#AAABvDejuZc
tc={91EDF9BF-EFB8-4A57-A951-D692673B5097}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1145">
      <text>
        <t xml:space="preserve">======
ID#AAABvDejuZY
tc={08A40ED3-E989-4322-9E3F-C6D878F5CDBD}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E-Bindding</t>
      </text>
    </comment>
    <comment authorId="0" ref="D3379">
      <text>
        <t xml:space="preserve">======
ID#AAABvDejuZU
tc={3E32FF2F-B854-41FF-AAFF-6D1E03392E65}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บร0033.201.2/558 25/7/68</t>
      </text>
    </comment>
    <comment authorId="0" ref="D3870">
      <text>
        <t xml:space="preserve">======
ID#AAABvDejuZQ
tc={38BA75E8-647B-4DDE-8311-D85EBAAD87E2}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2.3.06 ค่าครุภัณฑ์ก่อสร้าง</t>
      </text>
    </comment>
    <comment authorId="0" ref="D3869">
      <text>
        <t xml:space="preserve">======
ID#AAABvDejuZM
tc={93E2BD31-2B51-4614-B1FA-22ACEB064CC5}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2.3.02 ค่าครุภัณฑ์สำนักงาน</t>
      </text>
    </comment>
    <comment authorId="0" ref="D3857">
      <text>
        <t xml:space="preserve">======
ID#AAABvDejuZI
tc={18E2E4F7-6FFD-45F9-81D7-1CFC85DC150D}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2.2.05 ค่าซ่อมครุภัณฑ์การแพทย์</t>
      </text>
    </comment>
    <comment authorId="0" ref="D3428">
      <text>
        <t xml:space="preserve">======
ID#AAABvDejuZE
tc={F02EE693-EC36-4DBD-AB70-AD481B4DBFE4}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บร0033.203.15/2060 13/8/68</t>
      </text>
    </comment>
    <comment authorId="0" ref="D1274">
      <text>
        <t xml:space="preserve">======
ID#AAABvDejuZA
tc={7A86A88B-0D8D-47E4-8D22-3A9E2153E761}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1356">
      <text>
        <t xml:space="preserve">======
ID#AAABvDejuY8
tc={37BC2A1F-F833-46C6-8F89-190E101658C8}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3854">
      <text>
        <t xml:space="preserve">======
ID#AAABvDejuY4
tc={8A3AEDE1-B3FB-4164-B953-DC2F083EF510}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2.3.08 ค่าครุภัณฑ์วิทยาศาสตร์การแพทย์</t>
      </text>
    </comment>
    <comment authorId="0" ref="D770">
      <text>
        <t xml:space="preserve">======
ID#AAABvDejuY0
tc={1D2F2BFC-90D5-4668-8689-75CF91BECDCD}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1512">
      <text>
        <t xml:space="preserve">======
ID#AAABvDejuYw
tc={BAE4AB3D-B325-4EF0-85AC-5A0CF02D16AC}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1353">
      <text>
        <t xml:space="preserve">======
ID#AAABvDejuYs
tc={C699D0DA-27D4-407C-A279-AAFFEFA28947}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705">
      <text>
        <t xml:space="preserve">======
ID#AAABvDejuYo
tc={09F2AFAE-2565-4FC5-9085-691DA8BB6E62}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2.3.09 ค่าครุภัณฑ์คอมพิวเตอร์</t>
      </text>
    </comment>
    <comment authorId="0" ref="D3744">
      <text>
        <t xml:space="preserve">======
ID#AAABvDejuYk
tc={85026DB7-3746-403A-847D-4DDBB68D30ED}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บร0033.205.15/269 22/5/68</t>
      </text>
    </comment>
    <comment authorId="0" ref="D3448">
      <text>
        <t xml:space="preserve">======
ID#AAABvDejuYg
tc={9F0B5242-4989-4EEC-A409-CD7C57CAB127}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บร0033.203/1763 28/4/68</t>
      </text>
    </comment>
    <comment authorId="0" ref="D3714">
      <text>
        <t xml:space="preserve">======
ID#AAABvDejuYc
tc={2AF61C3B-DA76-4C01-B2A4-F58C6E79571C}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บร0033.205.15/189 1/4/68</t>
      </text>
    </comment>
    <comment authorId="0" ref="D3381">
      <text>
        <t xml:space="preserve">======
ID#AAABvDejuYY
tc={887090A9-E35F-445A-83B5-8F927EB4A21D}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บร0033.201.2/551 25/7/68</t>
      </text>
    </comment>
    <comment authorId="0" ref="D1108">
      <text>
        <t xml:space="preserve">======
ID#AAABvDejuYU
tc={EE3EF468-32E3-4368-BE2D-37776F674CC0}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86">
      <text>
        <t xml:space="preserve">======
ID#AAABvDejuYQ
tc={E5ED8115-4C9F-4905-9534-972F5FD8A0EE}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2.3.02 ค่าครุภัณฑ์สำนักงาน</t>
      </text>
    </comment>
    <comment authorId="0" ref="D3866">
      <text>
        <t xml:space="preserve">======
ID#AAABvDejuYM
tc={289FCF56-55D4-4C89-B69F-3D77997C7059}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2.3.02 ค่าครุภัณฑ์สำนักงาน</t>
      </text>
    </comment>
    <comment authorId="0" ref="D708">
      <text>
        <t xml:space="preserve">======
ID#AAABvDejuYI
tc={9BB83126-D3EE-4489-A1C2-8D8627A891B2}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1.3.09 ค่าครุภัณฑ์โฆษณาและเผยแพร่ GFMIS (เงินฝากคลังรายได้ค่ารักษาโรงพยาบาลนางรอง ฝากคลัง)</t>
      </text>
    </comment>
    <comment authorId="0" ref="D3823">
      <text>
        <t xml:space="preserve">======
ID#AAABvDejuYE
tc={8502683F-F85A-4595-8FAC-E4008F684055}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บร0033.201.2/630 8/8/68</t>
      </text>
    </comment>
    <comment authorId="0" ref="D2797">
      <text>
        <t xml:space="preserve">======
ID#AAABvDejuYA
tc={85219771-39AC-4F5C-89A1-001A605C33D7}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บร0033.201.2/301 30/4/68</t>
      </text>
    </comment>
    <comment authorId="0" ref="D37">
      <text>
        <t xml:space="preserve">======
ID#AAABvDejuX8
tc={53BCD013-AA8D-4009-8075-A7CAF8F91BE5}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บร0033.205.15/61 17/2/67</t>
      </text>
    </comment>
    <comment authorId="0" ref="D3445">
      <text>
        <t xml:space="preserve">======
ID#AAABvDejuX4
tc={DEE50A1B-EA87-4942-86CC-21EE51421856}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บร0033.203/1763 28/4/68</t>
      </text>
    </comment>
    <comment authorId="0" ref="D3753">
      <text>
        <t xml:space="preserve">======
ID#AAABvDejuX0
tc={92309A5E-0BE3-4E51-8BCD-7AA130165767}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บร0033.205.15/269 22/5/68</t>
      </text>
    </comment>
    <comment authorId="0" ref="D741">
      <text>
        <t xml:space="preserve">======
ID#AAABvDejuXw
tc={C0717D77-3279-4B24-90A8-F340BB974935}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3427">
      <text>
        <t xml:space="preserve">======
ID#AAABvDejuXs
tc={0AA28C7D-0B9E-4942-A917-953182A365B7}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บร0033.203.15/2060 13/8/68</t>
      </text>
    </comment>
    <comment authorId="0" ref="D379">
      <text>
        <t xml:space="preserve">======
ID#AAABvDejuXo
tc={3A5F969F-52F0-457D-A307-9B2820E2D021}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บร0033.201.2/550 25/7/68</t>
      </text>
    </comment>
    <comment authorId="0" ref="D2275">
      <text>
        <t xml:space="preserve">======
ID#AAABvDejuXk
tc={3368488D-8296-4AAF-90CF-B006997EB588}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บร0033.205.4/764 15/8/68</t>
      </text>
    </comment>
    <comment authorId="0" ref="D3460">
      <text>
        <t xml:space="preserve">======
ID#AAABvDejuXg
tc={96E1FE43-88E5-43FF-8544-62461EC6329C}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บร0033.203.15/1923 24/6/68</t>
      </text>
    </comment>
    <comment authorId="0" ref="D1484">
      <text>
        <t xml:space="preserve">======
ID#AAABvDejuXc
tc={A45267BB-497A-4C40-B959-5FA33D9A836E}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A3511">
      <text>
        <t xml:space="preserve">======
ID#AAABvDejuXY
tc={F2150B48-70EA-453D-A9DF-E5E0ECE8C25A}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D1654">
      <text>
        <t xml:space="preserve">======
ID#AAABvDejuXU
tc={37F98527-B855-4C4D-B258-FACC190D8D29}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3713">
      <text>
        <t xml:space="preserve">======
ID#AAABvDejuXQ
tc={4832C89A-968D-4FDE-9731-897BF206261E}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บร0033.205.15/189 1/4/68</t>
      </text>
    </comment>
    <comment authorId="0" ref="D3474">
      <text>
        <t xml:space="preserve">======
ID#AAABvDejuXM
tc={2227249B-3FCD-45B1-BBA7-EF2802676A18}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บร0033.203/1925 24/6/68</t>
      </text>
    </comment>
    <comment authorId="0" ref="A3526">
      <text>
        <t xml:space="preserve">======
ID#AAABvDejuXI
tc={D90FCF54-527D-447A-A28B-7550832F8E36}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D3461">
      <text>
        <t xml:space="preserve">======
ID#AAABvDejuXE
tc={7BDFF0E2-2C4F-48C7-B6A5-FD7C3CC2E4A2}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บร0033.203.15/1923 24/6/68</t>
      </text>
    </comment>
    <comment authorId="0" ref="D1300">
      <text>
        <t xml:space="preserve">======
ID#AAABvDejuXA
tc={6099B562-D15E-4610-ACE1-E46AA398041F}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838">
      <text>
        <t xml:space="preserve">======
ID#AAABvDejuW8
tc={56DAF291-41E7-45B1-BE91-EF144C073CED}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906">
      <text>
        <t xml:space="preserve">======
ID#AAABvDejuW4
tc={D487D02A-6B7F-4A50-9521-A344DD94F10B}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3529">
      <text>
        <t xml:space="preserve">======
ID#AAABvDejuW0
tc={AC68B18E-FD53-40B4-B862-DAB0AC543525}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บร0033.201.2/921 17/10/68</t>
      </text>
    </comment>
    <comment authorId="0" ref="D3810">
      <text>
        <t xml:space="preserve">======
ID#AAABvDejuWw
tc={AC6DD1B9-26E0-4765-A26E-64CBFB51A74B}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บร0033.205.15/340 23/7/68</t>
      </text>
    </comment>
    <comment authorId="0" ref="A3465">
      <text>
        <t xml:space="preserve">======
ID#AAABvDejuWs
tc={28CE5A58-5D8A-41D0-8E5F-1578546F8BB6}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 กลุ่มงานแผน</t>
      </text>
    </comment>
    <comment authorId="0" ref="D813">
      <text>
        <t xml:space="preserve">======
ID#AAABvDejuWo
tc={6743F598-CDB6-4418-9619-0824101794A5}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394">
      <text>
        <t xml:space="preserve">======
ID#AAABzArWeBM
tc={75A3B673-261D-43A1-8A22-83EB336E242F}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บร0033.201.2/460 25/6/68</t>
      </text>
    </comment>
    <comment authorId="0" ref="D3710">
      <text>
        <t xml:space="preserve">======
ID#AAABzArWeBI
tc={EF0761E5-1442-4732-9490-E1142D5A6DFD}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บร0033.205.15/189 1/4/68</t>
      </text>
    </comment>
    <comment authorId="0" ref="D3442">
      <text>
        <t xml:space="preserve">======
ID#AAABzArWeBE
tc={154F9637-D6C8-4039-888B-319CD4204A16}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บร00033.203.15/1420 19/5/68</t>
      </text>
    </comment>
    <comment authorId="0" ref="A3510">
      <text>
        <t xml:space="preserve">======
ID#AAABzArWeBA
tc={777C558F-1CB9-46B9-AD07-0974EB443C4C}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D1801">
      <text>
        <t xml:space="preserve">======
ID#AAABzArWeA8
tc={35B720A6-F29E-4CC3-AA2F-BF031DAA75CC}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บร0033.203/1552 24/2/68</t>
      </text>
    </comment>
    <comment authorId="0" ref="D33">
      <text>
        <t xml:space="preserve">======
ID#AAABzArWeA4
tc={E3356033-E8AA-4DEB-9672-2BE491D9237F}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บร0033.205.15/61 17/2/67</t>
      </text>
    </comment>
    <comment authorId="0" ref="D319">
      <text>
        <t xml:space="preserve">======
ID#AAABzArWeA0
tc={D961D641-585F-4426-8615-0F3719B7B287}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บร0033.205.4/520 17/6/68</t>
      </text>
    </comment>
    <comment authorId="0" ref="D2885">
      <text>
        <t xml:space="preserve">======
ID#AAABzArWeAw
tc={6258EE9F-8E8E-4BFF-913F-F1B2F680EB5A}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บร0033.201.2/707 27/8/68</t>
      </text>
    </comment>
    <comment authorId="0" ref="A3479">
      <text>
        <t xml:space="preserve">======
ID#AAABzArWeAs
tc={7F4A97DF-B919-4B34-93F7-7E72635F1417}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 กลุ่มงานแผน</t>
      </text>
    </comment>
    <comment authorId="0" ref="A3520">
      <text>
        <t xml:space="preserve">======
ID#AAABzArWeAo
tc={25444841-5684-48BF-9F3C-1783922789CE}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D1615">
      <text>
        <t xml:space="preserve">======
ID#AAABzArWeAk
tc={DC3A435A-0BB7-4793-B756-361658D75F7C}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E-Bidiing</t>
      </text>
    </comment>
    <comment authorId="0" ref="D702">
      <text>
        <t xml:space="preserve">======
ID#AAABzArWeAg
tc={29330C82-3E9F-4B31-B735-A0FB4A926C80}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1.3.03 ค่าครุภัณฑ์สำนักงาน GFMIS (เงินฝากครังรายได้ค่ารักษาโรงพยาบาลนางรอง ฝากคลัง)</t>
      </text>
    </comment>
    <comment authorId="0" ref="D1438">
      <text>
        <t xml:space="preserve">======
ID#AAABzArWeAc
tc={C59067C3-6EED-466A-9F39-1C0BC2E2F778}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1390">
      <text>
        <t xml:space="preserve">======
ID#AAABzArWeAY
tc={F2FB7A70-F987-4756-8F79-C41C8420B927}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2647">
      <text>
        <t xml:space="preserve">======
ID#AAABzArWeAU
tc={1411B926-5D7E-4189-949B-89976E480326}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บร0033.205.16/502 4/6/68</t>
      </text>
    </comment>
    <comment authorId="0" ref="D781">
      <text>
        <t xml:space="preserve">======
ID#AAABzArWeAQ
tc={D0357A52-A9B2-4799-B607-2CB797279430}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1276">
      <text>
        <t xml:space="preserve">======
ID#AAABzArWeAM
tc={BC2BC2A0-413A-4EFE-8A99-3C99B779925A}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401">
      <text>
        <t xml:space="preserve">======
ID#AAABzArWeAI
tc={076BA69E-96DC-4140-8120-3BD923D4C998}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บร0033.201.2/914 17/10/68</t>
      </text>
    </comment>
    <comment authorId="0" ref="D3454">
      <text>
        <t xml:space="preserve">======
ID#AAABzArWeAE
tc={2795C3B7-CCC7-4FE5-88B4-9BAA37C479F8}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บร0033.203/1836 19/5/68</t>
      </text>
    </comment>
    <comment authorId="0" ref="D3437">
      <text>
        <t xml:space="preserve">======
ID#AAABzArWeAA
tc={75C1EA52-667D-4AA6-811D-E273AB9B45B1}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บร0033.203.15/1629 25/3/68</t>
      </text>
    </comment>
    <comment authorId="0" ref="D1881">
      <text>
        <t xml:space="preserve">======
ID#AAABzArWd_8
tc={543217B4-EBB3-43E7-A60D-D565264DC896}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บร0033.203/1835 8/5/68</t>
      </text>
    </comment>
    <comment authorId="0" ref="D3748">
      <text>
        <t xml:space="preserve">======
ID#AAABzArWd_4
tc={24A5EC7B-4794-40B7-A221-4DB67C90B085}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บร0033.205.15/269 22/5/68</t>
      </text>
    </comment>
    <comment authorId="0" ref="D1623">
      <text>
        <t xml:space="preserve">======
ID#AAABzArWd_0
tc={4D884D89-F810-44F5-9F9E-2AD9A6E01C8F}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780">
      <text>
        <t xml:space="preserve">======
ID#AAABzArWd_w
tc={D4B44452-A173-4617-8369-9F782CD25770}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1186">
      <text>
        <t xml:space="preserve">======
ID#AAABzArWd_s
tc={65190E89-02C3-4DCC-97F1-8C27F2D26EF3}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A3508">
      <text>
        <t xml:space="preserve">======
ID#AAABzArWd_o
tc={3C9F1631-7EFA-4633-81DD-7C32535C0661}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D320">
      <text>
        <t xml:space="preserve">======
ID#AAABzArWd_k
tc={CB4DFEBB-0565-4D46-AAC2-8674BF10957C}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บร0033.205.4/719 31/7/68</t>
      </text>
    </comment>
    <comment authorId="0" ref="D1958">
      <text>
        <t xml:space="preserve">======
ID#AAABzArWd_g
tc={27D88ADA-91F1-4189-BA1B-3FE8F64F18C2}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t>
      </text>
    </comment>
    <comment authorId="0" ref="A3517">
      <text>
        <t xml:space="preserve">======
ID#AAABzArWd_c
tc={A8948CAB-116B-43A1-B4CA-B15ACBFBBCA6}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C3490">
      <text>
        <t xml:space="preserve">======
ID#AAABzArWd_Y
tc={1C53A6DC-07D1-4A4B-934E-CF0DEC9B313D}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D1798">
      <text>
        <t xml:space="preserve">======
ID#AAABzArWd_U
tc={85B7DA11-D87F-4F40-9BD1-22387DC43221}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บร0033.205.17/26 13/2/68</t>
      </text>
    </comment>
    <comment authorId="0" ref="D3434">
      <text>
        <t xml:space="preserve">======
ID#AAABzArWd_Q
User    (2026-01-24 03:35:03)
แจ้งหนี้ไม่ตรงเดือน บร0033.203.1449 24/1/68</t>
      </text>
    </comment>
    <comment authorId="0" ref="D907">
      <text>
        <t xml:space="preserve">======
ID#AAABzArWd_M
tc={E144B2D7-E0AC-47B6-893D-408072FCDB55}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3747">
      <text>
        <t xml:space="preserve">======
ID#AAABzArWd_I
tc={F977A246-7E43-465D-BBB7-BC28AA446A0D}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บร0033.205.15/269 22/5/68</t>
      </text>
    </comment>
    <comment authorId="0" ref="D1917">
      <text>
        <t xml:space="preserve">======
ID#AAABzArWd_E
tc={0BCA4575-15D3-425A-B936-81E66E2920CD}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บร0033.203/1835 8/5/68</t>
      </text>
    </comment>
    <comment authorId="0" ref="D1083">
      <text>
        <t xml:space="preserve">======
ID#AAABzArWd_A
tc={7D3D81BE-8A7B-4C77-B7F0-4CCA9C74C18C}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C3485">
      <text>
        <t xml:space="preserve">======
ID#AAABzArWd-8
tc={74852D3E-CDC7-4CEF-9C1E-9C4A7633B0BB}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D3819">
      <text>
        <t xml:space="preserve">======
ID#AAABzArWd-4
tc={898C19B0-E7F5-4B86-B88A-87E806F9ADDC}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บร0033.201.2/793 11/9/68</t>
      </text>
    </comment>
    <comment authorId="0" ref="D3750">
      <text>
        <t xml:space="preserve">======
ID#AAABzArWd-0
tc={70E53B58-F3F9-411D-8AEA-04D74EF44EC0}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บร0033.205.15/269 22/5/68</t>
      </text>
    </comment>
    <comment authorId="0" ref="D3447">
      <text>
        <t xml:space="preserve">======
ID#AAABzArWd-w
tc={DC8EFC89-5EB1-4F5A-AFEB-26F668366102}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บร00033.203.15/1420 19/5/68</t>
      </text>
    </comment>
    <comment authorId="0" ref="D392">
      <text>
        <t xml:space="preserve">======
ID#AAABzArWd-s
tc={6987DC07-520A-42C2-B878-0468E9F5D5A6}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บร0033.201.2/549 25/7/68</t>
      </text>
    </comment>
    <comment authorId="0" ref="D3449">
      <text>
        <t xml:space="preserve">======
ID#AAABzArWd-o
tc={2A37C394-D47C-4089-B3DF-85046A6B90BC}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บร0033.203/1763 28/4/68</t>
      </text>
    </comment>
    <comment authorId="0" ref="A3509">
      <text>
        <t xml:space="preserve">======
ID#AAABzArWd-k
tc={7A8C5171-0DCB-4103-AAD4-7E047E80DBE0}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D1903">
      <text>
        <t xml:space="preserve">======
ID#AAABzArWd-g
User    (2026-01-24 03:35:03)
แจ้งหนี้ไม่ตรงเดือน บร0033.205.4/345 21/4/68</t>
      </text>
    </comment>
    <comment authorId="0" ref="D1653">
      <text>
        <t xml:space="preserve">======
ID#AAABzArWd-c
tc={27361C50-0F5B-440E-9F38-6B311273E48B}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1393">
      <text>
        <t xml:space="preserve">======
ID#AAABzArWd-Y
tc={F0715B8B-163C-4DC6-BE7F-D1F884752DE8}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1387">
      <text>
        <t xml:space="preserve">======
ID#AAABzArWd-U
tc={BEC3A90C-4EBC-4757-BFDF-A6726FD4E96C}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66">
      <text>
        <t xml:space="preserve">======
ID#AAABzArWd-Q
tc={22788410-5F52-4750-B470-0726FEBA7FD8}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บร0033.201.2/628 8/8/68</t>
      </text>
    </comment>
    <comment authorId="0" ref="D1367">
      <text>
        <t xml:space="preserve">======
ID#AAABzArWd-M
tc={008EED56-2F7C-4088-B97F-FE40D1A5D298}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771">
      <text>
        <t xml:space="preserve">======
ID#AAABzArWd-I
tc={2F74FB13-41DF-4CE3-99EA-CB07D17125C1}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25">
      <text>
        <t xml:space="preserve">======
ID#AAABzArWd-E
tc={F8A5B183-F3A5-4DFB-B8FF-F89B97B21F48}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บร0033.205.15/58 6/2/68</t>
      </text>
    </comment>
    <comment authorId="0" ref="D3760">
      <text>
        <t xml:space="preserve">======
ID#AAABzArWd-A
tc={DEED2A1E-521A-49CC-BA01-4A98BA58D2BA}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บร0033.205.15/301 5/6/68</t>
      </text>
    </comment>
    <comment authorId="0" ref="D3393">
      <text>
        <t xml:space="preserve">======
ID#AAABzArWd98
tc={629DF45B-5299-4026-BA47-FDA74C047D1A}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บร0032.301.2/786 9/9/68</t>
      </text>
    </comment>
    <comment authorId="0" ref="D788">
      <text>
        <t xml:space="preserve">======
ID#AAABzArWd94
tc={9BCB59FB-9A2A-4903-839C-33D9478367A1}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2069">
      <text>
        <t xml:space="preserve">======
ID#AAABzArWd90
tc={FD4EB550-F45F-4C89-AF98-11DE7C9AA801}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บร0033.205.4/520 17/6/68</t>
      </text>
    </comment>
    <comment authorId="0" ref="D2068">
      <text>
        <t xml:space="preserve">======
ID#AAABzArWd9w
tc={622C2581-EF26-4ED6-B18B-F351FE340AE0}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บร0033.205.4/520 17/6/68</t>
      </text>
    </comment>
    <comment authorId="0" ref="D1985">
      <text>
        <t xml:space="preserve">======
ID#AAABzArWd9s
tc={EBE45C5F-622B-4DC8-B042-94FD671EF1BC}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t>
      </text>
    </comment>
    <comment authorId="0" ref="D3505">
      <text>
        <t xml:space="preserve">======
ID#AAABzArWd9o
tc={5A0F613C-C28A-4C69-8D3C-39F98660DFDC}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บร0033.201.2/920 17/10/68</t>
      </text>
    </comment>
    <comment authorId="0" ref="D1275">
      <text>
        <t xml:space="preserve">======
ID#AAABzArWd9k
tc={D8EDDD49-54F2-4200-8915-8AA18B9D6E13}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178">
      <text>
        <t xml:space="preserve">======
ID#AAABzArWd9g
User    (2026-01-24 03:35:03)
แจ้งหนี้ไม่ตรงเดือน บร0033.203.1449 24/1/68</t>
      </text>
    </comment>
    <comment authorId="0" ref="D1440">
      <text>
        <t xml:space="preserve">======
ID#AAABzArWd9c
tc={A051B039-04FD-4444-A9C4-437349E5DCF7}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3477">
      <text>
        <t xml:space="preserve">======
ID#AAABzArWd9Y
tc={C7017C09-493A-4913-871D-1808218A3C8A}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บร0033.203/1925 24/6/68</t>
      </text>
    </comment>
    <comment authorId="0" ref="D2483">
      <text>
        <t xml:space="preserve">======
ID#AAABzArWd9U
tc={9BD37522-213C-4559-88A2-19F81759FB2D}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บร0033.205.4/1754</t>
      </text>
    </comment>
    <comment authorId="0" ref="A3467">
      <text>
        <t xml:space="preserve">======
ID#AAABzArWd9Q
tc={FC5CF2F8-21D1-4564-9866-FF601D162731}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 กลุ่มงานแผน</t>
      </text>
    </comment>
    <comment authorId="0" ref="D3388">
      <text>
        <t xml:space="preserve">======
ID#AAABzArWd9M
tc={172F2FDB-F4EC-43CC-BAB1-DF45C5FB6389}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บร0033.201.2/708 27/8/68</t>
      </text>
    </comment>
    <comment authorId="0" ref="D1775">
      <text>
        <t xml:space="preserve">======
ID#AAABzArWd9I
User    (2026-01-24 03:35:03)
แจ้งหนี้ไม่ตรงเดือน บร0033.203.6/13 7/1/68</t>
      </text>
    </comment>
    <comment authorId="0" ref="D1352">
      <text>
        <t xml:space="preserve">======
ID#AAABzArWd9E
tc={CE4801A3-3E68-41AE-A018-77D76647EB21}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1136">
      <text>
        <t xml:space="preserve">======
ID#AAABzArWd9A
tc={2EBCBA6B-A8A2-4B1B-A219-C78A6B5E009E}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E-Bindding</t>
      </text>
    </comment>
    <comment authorId="0" ref="A3514">
      <text>
        <t xml:space="preserve">======
ID#AAABzArWd88
tc={BC64EA33-8370-415C-8F98-BFAAC01EC527}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D3424">
      <text>
        <t xml:space="preserve">======
ID#AAABzArWd84
tc={DBB2EAEF-6FD3-4D37-A9FF-5C1C044777CD}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บร0033.203.15/1921 24/6/68</t>
      </text>
    </comment>
    <comment authorId="0" ref="D1948">
      <text>
        <t xml:space="preserve">======
ID#AAABzArWd80
tc={9C5F7D51-8994-45F6-8D74-70121363234E}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t>
      </text>
    </comment>
    <comment authorId="0" ref="D3872">
      <text>
        <t xml:space="preserve">======
ID#AAABzArWd8w
tc={076DEA5F-2D94-4B1D-ABE9-A4AEF08D5297}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2.3.08 ค่าครุภัณฑ์วิทยาศาสตร์การแพทย์</t>
      </text>
    </comment>
    <comment authorId="0" ref="D1624">
      <text>
        <t xml:space="preserve">======
ID#AAABzArWd8s
tc={F4D20A58-6C30-43CF-AF57-609AC4854F79}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3868">
      <text>
        <t xml:space="preserve">======
ID#AAABzArWd8o
tc={7FA46573-A874-4171-BD05-4766BC4D07B3}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2.3.02 ค่าครุภัณฑ์สำนักงาน</t>
      </text>
    </comment>
    <comment authorId="0" ref="C3487">
      <text>
        <t xml:space="preserve">======
ID#AAABzArWd8k
tc={817EFC3F-2C28-497A-BC01-D125665A018E}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D206">
      <text>
        <t xml:space="preserve">======
ID#AAABzArWd8g
tc={788B054A-D2A1-477F-89A8-55CF6CF7D8F6}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2.3.08 ค่าครุภัณฑ์วิทยาศาสตร์การแพทย์</t>
      </text>
    </comment>
    <comment authorId="0" ref="D2898">
      <text>
        <t xml:space="preserve">======
ID#AAABzArWd8c
tc={8477ECB3-57CE-460B-9A94-A54A60EA6578}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บร0033.201.2/835 22/9/68</t>
      </text>
    </comment>
    <comment authorId="0" ref="D3538">
      <text>
        <t xml:space="preserve">======
ID#AAABzArWd8Y
tc={601357BF-1E6A-4844-89F7-FE6F19DF21B3}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บร0033.201.2/920 17/10/68</t>
      </text>
    </comment>
    <comment authorId="0" ref="D180">
      <text>
        <t xml:space="preserve">======
ID#AAABzArWd8U
User    (2026-01-24 03:35:03)
แจ้งหนี้ไม่ตรงเดือน บร0033.203.1449 24/1/68</t>
      </text>
    </comment>
    <comment authorId="0" ref="A3518">
      <text>
        <t xml:space="preserve">======
ID#AAABzArWd8Q
tc={1F960958-130C-4CB7-95EE-71272A0F5EC5}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A3516">
      <text>
        <t xml:space="preserve">======
ID#AAABzArWd8M
tc={7121B5EC-AFF7-465F-9597-D08F27790BBC}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D1235">
      <text>
        <t xml:space="preserve">======
ID#AAABzArWd8I
tc={F26BC747-E542-4757-AD46-318334521381}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1831">
      <text>
        <t xml:space="preserve">======
ID#AAABzArWd8E
tc={D1063D79-4EC3-49AC-AB9C-AD2E69A97CB6}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บร0033.203.15/1628 25/3/68</t>
      </text>
    </comment>
    <comment authorId="0" ref="D2346">
      <text>
        <t xml:space="preserve">======
ID#AAABzArWd8A
tc={3EDA4583-7F1E-41CE-ACAE-E58EE15D2D40}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บร0033.205.4/864 15/9/68</t>
      </text>
    </comment>
    <comment authorId="0" ref="D1256">
      <text>
        <t xml:space="preserve">======
ID#AAABzArWd78
tc={E42A380C-604F-4D7A-9ACD-7B64AAB8079D}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848">
      <text>
        <t xml:space="preserve">======
ID#AAABzArWd74
tc={7CE41AC5-F707-435C-9316-9A5F3040996E}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3867">
      <text>
        <t xml:space="preserve">======
ID#AAABzArWd70
tc={599A6878-2E44-48BC-AFDF-832E0D452FC6}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2.3.08 ค่าครุภัณฑ์วิทยาศาสตร์การแพทย์</t>
      </text>
    </comment>
    <comment authorId="0" ref="D811">
      <text>
        <t xml:space="preserve">======
ID#AAABzArWd7w
tc={6DB374EB-691E-4CC0-8280-7682D8B628EC}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A3522">
      <text>
        <t xml:space="preserve">======
ID#AAABzArWd7s
tc={04DCF686-FEAE-4FD0-89CE-E1F9C3BE14C1}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D341">
      <text>
        <t xml:space="preserve">======
ID#AAABzArWd7o
tc={4CC9C2A4-57A9-459A-B7C3-18160F3D71EE}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บร0033.203.15/2061 13/8/68</t>
      </text>
    </comment>
    <comment authorId="0" ref="D3467">
      <text>
        <t xml:space="preserve">======
ID#AAABzArWd7k
tc={48B8767F-30B2-4A5A-9DDC-C835D4C92A5D}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บร0033.203/1925 24/6/68</t>
      </text>
    </comment>
    <comment authorId="0" ref="D3717">
      <text>
        <t xml:space="preserve">======
ID#AAABzArWd7g
tc={BA31FE5D-DA05-4239-A241-33F9E825A7FF}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บร0033.205.15/190 27/4/68</t>
      </text>
    </comment>
    <comment authorId="0" ref="D3439">
      <text>
        <t xml:space="preserve">======
ID#AAABzArWd7c
tc={2C990243-D64D-4BB8-8EC3-13710A407341}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บร00033.203.15/1420 19/5/68</t>
      </text>
    </comment>
    <comment authorId="0" ref="C3488">
      <text>
        <t xml:space="preserve">======
ID#AAABzArWd7Y
tc={FAFD1A65-48AA-4C6E-A3DE-C8692FD46DC4}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A243">
      <text>
        <t xml:space="preserve">======
ID#AAABzArWd7U
tc={93CA90AC-36A3-4D4C-A034-7224DF0979E1}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D2852">
      <text>
        <t xml:space="preserve">======
ID#AAABzArWd7Q
tc={B65C35FA-4BA1-4F5A-9E85-41DCD7972CBF}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บร0033.201.2/832 22/9/68</t>
      </text>
    </comment>
    <comment authorId="0" ref="A3513">
      <text>
        <t xml:space="preserve">======
ID#AAABzArWd7M
tc={082794CC-D175-409E-9294-6C7334F02E43}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D1389">
      <text>
        <t xml:space="preserve">======
ID#AAABzArWd7I
tc={5E918B58-C993-41CC-B265-865E46ED9B0B}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C3486">
      <text>
        <t xml:space="preserve">======
ID#AAABzArWd7E
tc={DB9ED8E0-C00C-496C-94AA-EC115777033B}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D1526">
      <text>
        <t xml:space="preserve">======
ID#AAABzArWd7A
tc={F5C89CC8-9727-49BD-AE1B-967BB2F62E6C}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1301">
      <text>
        <t xml:space="preserve">======
ID#AAABzArWd68
tc={DD8525E4-7878-4972-A7B4-EBBA67A758A2}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C3499">
      <text>
        <t xml:space="preserve">======
ID#AAABzArWd64
tc={42CB0259-90E0-451F-82C6-B1780E1E1DD1}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D3446">
      <text>
        <t xml:space="preserve">======
ID#AAABzArWd6w
tc={F986B776-D865-437E-88E1-3D1BCBD99CBA}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บร0033.203/1763 28/4/68</t>
      </text>
    </comment>
    <comment authorId="0" ref="D1773">
      <text>
        <t xml:space="preserve">======
ID#AAABzArWd60
User    (2026-01-24 03:35:03)
แจ้งหนี้ไม่ตรงเดือน บร0033.203.6/13 7/1/68</t>
      </text>
    </comment>
    <comment authorId="0" ref="D1772">
      <text>
        <t xml:space="preserve">======
ID#AAABzArWd6s
User    (2026-01-24 03:35:03)
แจ้งหนี้ไม่ตรงเดือน บร0033.203.6/13 7/1/68</t>
      </text>
    </comment>
    <comment authorId="0" ref="D3528">
      <text>
        <t xml:space="preserve">======
ID#AAABzArWd6o
tc={2ABA6552-65B2-4EFF-9137-657AD2AF4956}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บร0033.201.2/920 17/10/68</t>
      </text>
    </comment>
    <comment authorId="0" ref="C3493">
      <text>
        <t xml:space="preserve">======
ID#AAABzArWd6k
tc={051089E8-F899-473F-B81A-35C14969DF9F}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D1658">
      <text>
        <t xml:space="preserve">======
ID#AAABzArWd6g
tc={2F94C14F-1A91-4F09-A847-ABFB0C170DB1}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1987">
      <text>
        <t xml:space="preserve">======
ID#AAABzArWd6c
tc={5D4436B3-0277-4C6D-AFA1-715DD00E8311}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บร0032.301.2/319 7/5/68</t>
      </text>
    </comment>
    <comment authorId="0" ref="A3521">
      <text>
        <t xml:space="preserve">======
ID#AAABzArWd6Y
tc={CB2B15CC-AC13-42F3-B612-8024E97BB9B4}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D3862">
      <text>
        <t xml:space="preserve">======
ID#AAABzArWd6U
tc={70963EEC-2F23-4682-A810-DDBDE14C0B1B}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2.3.02 ค่าครุภัณฑ์สำนักงาน</t>
      </text>
    </comment>
    <comment authorId="0" ref="C3504">
      <text>
        <t xml:space="preserve">======
ID#AAABzArWd6Q
tc={FE1C94CA-4B3D-43F5-8C5D-B81694A2D8A9}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D30">
      <text>
        <t xml:space="preserve">======
ID#AAABzArWd6M
tc={96A57737-8F3F-40B1-A2F3-BA9C590BF21B}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บร0033.205.15/58 6/2/68</t>
      </text>
    </comment>
    <comment authorId="0" ref="D81">
      <text>
        <t xml:space="preserve">======
ID#AAABzArWd6I
tc={A3A1D4AC-653D-471C-8719-7815D8FAD1E4}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1.3.03 ค่าครุภัณฑ์สำนักงาน GFMIS (เงินฝากคลังรายได้ค่ารักษาโรงพยาบาลนางรอง ฝากคลัง)</t>
      </text>
    </comment>
    <comment authorId="0" ref="A3524">
      <text>
        <t xml:space="preserve">======
ID#AAABzArWd6E
tc={ABA1E048-9ED9-4671-8779-0A81995907CF}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ไม่ผ่านงานแผน</t>
      </text>
    </comment>
    <comment authorId="0" ref="D1166">
      <text>
        <t xml:space="preserve">======
ID#AAABzArWd6A
tc={D9FF83D8-007A-4341-ADAB-E8A9E2A6FA7D}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E-Bindding</t>
      </text>
    </comment>
    <comment authorId="0" ref="D2496">
      <text>
        <t xml:space="preserve">======
ID#AAABzArWd58
tc={9976B870-AD5D-4A83-B661-B4AE041A4F1F}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บร0033.205.4/1754</t>
      </text>
    </comment>
    <comment authorId="0" ref="D2332">
      <text>
        <t xml:space="preserve">======
ID#AAABzArWd54
tc={EDE45B3F-8358-4520-8FB6-A7074CB83D37}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บร0033.205.4/864 15/9/68</t>
      </text>
    </comment>
    <comment authorId="0" ref="D1982">
      <text>
        <t xml:space="preserve">======
ID#AAABzArWd50
tc={0282FDC8-C703-45F0-B7A0-1199BF681D4D}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t>
      </text>
    </comment>
    <comment authorId="0" ref="D3754">
      <text>
        <t xml:space="preserve">======
ID#AAABzArWd5w
tc={98068EE2-CA6B-48B5-B6B2-9441C9C2F556}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บร0033.205.15/269 22/5/68</t>
      </text>
    </comment>
    <comment authorId="0" ref="D3539">
      <text>
        <t xml:space="preserve">======
ID#AAABzArWd5s
tc={C2A6843D-C248-4BA1-8A30-869E68C60991}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บร0033.201.2/921 17/10/68</t>
      </text>
    </comment>
    <comment authorId="0" ref="D3719">
      <text>
        <t xml:space="preserve">======
ID#AAABzArWd5o
tc={AB886B8A-A92D-40B4-99BC-F9D1D3983EFF}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บร0033.205.15/191 23/4/68</t>
      </text>
    </comment>
    <comment authorId="0" ref="D1436">
      <text>
        <t xml:space="preserve">======
ID#AAABzArWd5k
tc={F0DA9A7E-C57D-497C-8FB5-75D24F8FDD33}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3706">
      <text>
        <t xml:space="preserve">======
ID#AAABzArWd5g
tc={6D30C796-A59B-4B9C-937D-BA020AE73E5E}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บร0033.205.15/189 1/4/68</t>
      </text>
    </comment>
    <comment authorId="0" ref="D3441">
      <text>
        <t xml:space="preserve">======
ID#AAABzArWd5c
tc={B5F8103D-C7F4-4ACF-B48B-B66379D7B8F2}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บร00033.203.15/1420 19/5/68</t>
      </text>
    </comment>
    <comment authorId="0" ref="D769">
      <text>
        <t xml:space="preserve">======
ID#AAABzArWd5Y
tc={83646609-008A-4922-BA9A-E4D17A924E6D}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85">
      <text>
        <t xml:space="preserve">======
ID#AAABzArWd5U
tc={215C1149-9D25-4BD7-997C-E96759C5A80A}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2.3.02 ค่าครุภัณฑ์สำนักงาน</t>
      </text>
    </comment>
    <comment authorId="0" ref="D2071">
      <text>
        <t xml:space="preserve">======
ID#AAABzArWd5Q
tc={96E20778-06FB-4B45-A360-28D01B8D3E48}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บร0033.205.4/520 17/6/68</t>
      </text>
    </comment>
    <comment authorId="0" ref="D789">
      <text>
        <t xml:space="preserve">======
ID#AAABzArWd5M
tc={E984CDCD-0683-4538-AC0A-4B7DD8C21A8D}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2245">
      <text>
        <t xml:space="preserve">======
ID#AAABzArWd5I
tc={0D6A1D18-E247-474C-BE9E-092DDAD35938}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บร0033.205.4/764 15/8/68</t>
      </text>
    </comment>
    <comment authorId="0" ref="D787">
      <text>
        <t xml:space="preserve">======
ID#AAABzArWd5E
tc={2D179D36-0C6F-448E-931E-E31468E32DB5}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A3454">
      <text>
        <t xml:space="preserve">======
ID#AAABzArWd5A
tc={4A7920BA-590A-4D92-8641-03F34C1FDD99}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ไม่อยู่ในแผน</t>
      </text>
    </comment>
    <comment authorId="0" ref="D2075">
      <text>
        <t xml:space="preserve">======
ID#AAABzArWd48
tc={7EF7FF98-FEDD-4FAE-8BF8-13DEEB3BF480}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บร0033.205.4/520 17/6/68</t>
      </text>
    </comment>
    <comment authorId="0" ref="D1441">
      <text>
        <t xml:space="preserve">======
ID#AAABzArWd44
tc={A8815EF1-9B82-4FD7-BB60-2D9DF2721F44}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D3387">
      <text>
        <t xml:space="preserve">======
ID#AAABzArWd40
tc={14C248A6-9403-4CE9-A343-AB35EA5B8598}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บร0033.201.2/551 25/7/68</t>
      </text>
    </comment>
    <comment authorId="0" ref="D3475">
      <text>
        <t xml:space="preserve">======
ID#AAABzArWd4w
tc={C9ED5B32-666D-4F17-845B-5B12B863ED49}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บร0033.203/1925 24/6/68</t>
      </text>
    </comment>
    <comment authorId="0" ref="D3466">
      <text>
        <t xml:space="preserve">======
ID#AAABzArWd4s
tc={FC2F0B97-949B-49A4-B50B-1516563C6CE4}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บร0033.203/1925 24/6/68</t>
      </text>
    </comment>
    <comment authorId="0" ref="D1621">
      <text>
        <t xml:space="preserve">======
ID#AAABzArWd4o
tc={78340249-049D-47D4-9791-E5935B016375}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 authorId="0" ref="A3453">
      <text>
        <t xml:space="preserve">======
ID#AAABzArWd4k
tc={4ED3EAD7-1B53-4F54-822A-7DEC68843B9A}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ไม่อยู่ในแผน</t>
      </text>
    </comment>
    <comment authorId="0" ref="D2434">
      <text>
        <t xml:space="preserve">======
ID#AAABzArWd4g
tc={851C223C-7ECB-416F-B27E-32EFABD694CE}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บร0033.205.4/1754</t>
      </text>
    </comment>
    <comment authorId="0" ref="D1135">
      <text>
        <t xml:space="preserve">======
ID#AAABzArWd4c
tc={E20FA5A5-94C2-49AD-80F1-EC735D3F9E90}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E-Bindding</t>
      </text>
    </comment>
    <comment authorId="0" ref="D1164">
      <text>
        <t xml:space="preserve">======
ID#AAABzArWd4Y
tc={A4F9C195-E394-4447-9B9B-94B88B21D41E}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E-Bindding</t>
      </text>
    </comment>
    <comment authorId="0" ref="D2850">
      <text>
        <t xml:space="preserve">======
ID#AAABzArWd4U
tc={764B2F79-3222-4116-804C-1C718BC6EC60}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บร0033.201.2/706 27/8/68</t>
      </text>
    </comment>
    <comment authorId="0" ref="D3761">
      <text>
        <t xml:space="preserve">======
ID#AAABzArWd4Q
tc={9E03E54B-B63D-4AC8-AAD7-AF2B301CFA4E}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แจ้งหนี้ไม่ตรงเดือน บร0033.205.15/301 5/6/68</t>
      </text>
    </comment>
    <comment authorId="0" ref="D3859">
      <text>
        <t xml:space="preserve">======
ID#AAABzArWd4M
tc={8869B19F-821E-4B6F-A1B1-47AB738BB2F1}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2.3.02 ค่าครุภัณฑ์สำนักงาน</t>
      </text>
    </comment>
    <comment authorId="0" ref="D1574">
      <text>
        <t xml:space="preserve">======
ID#AAABzArWd4I
tc={E8258592-4DF5-4C28-8779-9D0D867F7E44}    (2026-01-24 03:35:03)
[ข้อคิดเห็นแบบเธรด]
Excel เวอร์ชันของคุณช่วยให้คุณสามารถอ่านข้อคิดเห็นแบบเธรดนี้ อย่างไรก็ตาม การแก้ไขใดๆ จะได้รับการเอาออกถ้าไฟล์ถูกเปิดใน Excel เวอร์ชันใหม่กว่า เรียนรู้เพิ่มเติม: https://go.microsoft.com/fwlink/?linkid=870924
ข้อคิดเห็น:
    E-Bidding</t>
      </text>
    </comment>
  </commentList>
  <extLst>
    <ext uri="GoogleSheetsCustomDataVersion2">
      <go:sheetsCustomData xmlns:go="http://customooxmlschemas.google.com/" r:id="rId1" roundtripDataSignature="AMtx7mgT9b74a50a2w/LIahwX6yBGBsBAA=="/>
    </ext>
  </extLst>
</comments>
</file>

<file path=xl/sharedStrings.xml><?xml version="1.0" encoding="utf-8"?>
<sst xmlns="http://schemas.openxmlformats.org/spreadsheetml/2006/main" count="20087" uniqueCount="6271">
  <si>
    <t>รหัส-แผน</t>
  </si>
  <si>
    <t>วันที่ตรวจรับของ</t>
  </si>
  <si>
    <t>ชื่อเจ้าหนี้</t>
  </si>
  <si>
    <t>เลขที่ใบส่งของ</t>
  </si>
  <si>
    <t>จำนวนเงิน</t>
  </si>
  <si>
    <t>จ่าย</t>
  </si>
  <si>
    <t>ปรับปรุง เจ้าหนี้</t>
  </si>
  <si>
    <t>คงเหลือ</t>
  </si>
  <si>
    <t>วันที่ชำระเงิน</t>
  </si>
  <si>
    <t>อื่นๆ</t>
  </si>
  <si>
    <t>รับเอกสาร</t>
  </si>
  <si>
    <t>หมายเหตุ</t>
  </si>
  <si>
    <t>ค่า</t>
  </si>
  <si>
    <t>หน่วยงาน</t>
  </si>
  <si>
    <t>Goods Value</t>
  </si>
  <si>
    <t>Vat 7 %</t>
  </si>
  <si>
    <t>วันที่ตรวจรับของ2</t>
  </si>
  <si>
    <t>วันที่ตรวจรับของ3</t>
  </si>
  <si>
    <t>วันที่ตรวจรับของ4</t>
  </si>
  <si>
    <t>กันซ้ำ</t>
  </si>
  <si>
    <t>บ.พีเอ็มแอล ฟาร์มาซูติคอลส์</t>
  </si>
  <si>
    <t>SIS250205-084</t>
  </si>
  <si>
    <t>2.1.01 ค่ายา</t>
  </si>
  <si>
    <t>กลุ่มงาน เภสัชกรรม</t>
  </si>
  <si>
    <t>บ.เซ็นทรัลโพลีเทรดดิ้ง</t>
  </si>
  <si>
    <t>31i25013722</t>
  </si>
  <si>
    <t>31i25014076</t>
  </si>
  <si>
    <t>31i25015092</t>
  </si>
  <si>
    <t>31i25016112</t>
  </si>
  <si>
    <t>31i25016114</t>
  </si>
  <si>
    <t>31i25016391</t>
  </si>
  <si>
    <t>31i25017963</t>
  </si>
  <si>
    <t>31i25018889</t>
  </si>
  <si>
    <t>31i25019285</t>
  </si>
  <si>
    <t>31i25019846</t>
  </si>
  <si>
    <t>31i25020207</t>
  </si>
  <si>
    <t>31i25021784</t>
  </si>
  <si>
    <t>31i25024063</t>
  </si>
  <si>
    <t>31i25026539</t>
  </si>
  <si>
    <t>31i25028103</t>
  </si>
  <si>
    <t>31i25028102</t>
  </si>
  <si>
    <t>บ.เอ็นราฟ-โนเนียส เมดิคอล อิควิปเมนท์</t>
  </si>
  <si>
    <t>I6801/00064</t>
  </si>
  <si>
    <t>2.1.03 ค่าวัสดุการแพทย์</t>
  </si>
  <si>
    <t>กลุ่มงาน เวชกรรมฟื้นฟู</t>
  </si>
  <si>
    <t>1031-68</t>
  </si>
  <si>
    <t>บ.เดอะคอนเนคเซอร์วิสเซล</t>
  </si>
  <si>
    <t>BL2025070058</t>
  </si>
  <si>
    <t>2.2.12 ค่าจ้างเหมาบริการอื่น (เบ็ดเตล็ด)</t>
  </si>
  <si>
    <t>กลุ่มงาน พัสดุ</t>
  </si>
  <si>
    <t>BL2025080063</t>
  </si>
  <si>
    <t>1919-68</t>
  </si>
  <si>
    <t>หจก.ส.เรืองโรจน์สระบุรี</t>
  </si>
  <si>
    <t>IV92173/030668</t>
  </si>
  <si>
    <t>2.2.13 ค่าจ้างเหมาบริการอื่น</t>
  </si>
  <si>
    <t>2539-68</t>
  </si>
  <si>
    <t>บ.ห้องปฏิบัติการกลาง(ประเทศไทย)</t>
  </si>
  <si>
    <t>SIVKK-2506-0712</t>
  </si>
  <si>
    <t>2.2.17 ค่าจ้างตรวจ(LAB)</t>
  </si>
  <si>
    <t>บ.ไทย เฮลท์ อิมเมจจิ้ง MRI  สิทธิ จ่ายตรง</t>
  </si>
  <si>
    <t>001/028 11/67</t>
  </si>
  <si>
    <t>2.2.18 ค่าจ้างตรวจ(X-RAY)</t>
  </si>
  <si>
    <t>001/033 11/67</t>
  </si>
  <si>
    <t>001/034 11/67</t>
  </si>
  <si>
    <t>บ.ไทย เฮลท์ อิมเมจจิ้ง MRI  สิทธิ ชำระเงิน</t>
  </si>
  <si>
    <t>001/031 11/67</t>
  </si>
  <si>
    <t>บ.ไทย เฮลท์ อิมเมจจิ้ง MRI  สิทธิ พรบ.</t>
  </si>
  <si>
    <t>001/030 11/67</t>
  </si>
  <si>
    <t>บ.ไทย เฮลท์ อิมเมจจิ้ง MRI  สิทธิ สปสช</t>
  </si>
  <si>
    <t>001/027 11/67</t>
  </si>
  <si>
    <t>001/035 11/67</t>
  </si>
  <si>
    <t>001/036 11/67</t>
  </si>
  <si>
    <t>001/039 12/67</t>
  </si>
  <si>
    <t>001/042 12/67</t>
  </si>
  <si>
    <t>001/043 12/67</t>
  </si>
  <si>
    <t>001/041 12/67</t>
  </si>
  <si>
    <t>001/038 12/67</t>
  </si>
  <si>
    <t>001/044 12/67</t>
  </si>
  <si>
    <t>001/045 12/67</t>
  </si>
  <si>
    <t>บ.ไทย เฮลท์ อิมเมจจิ้ง MMG  สิทธิ สปสช</t>
  </si>
  <si>
    <t>016/751 11/67</t>
  </si>
  <si>
    <t>บ.ไทย เฮลท์ อิมเมจจิ้ง MMG  สิทธิ จ่ายตรง</t>
  </si>
  <si>
    <t>016/752 11/67</t>
  </si>
  <si>
    <t>1665-68</t>
  </si>
  <si>
    <t>ร้าน สมาร์ทดอกคิวเมนท์</t>
  </si>
  <si>
    <t>S680005</t>
  </si>
  <si>
    <t>2.3.02 ค่าครุภัณฑ์สำนักงาน</t>
  </si>
  <si>
    <t>741-68</t>
  </si>
  <si>
    <t>บ.ดูวอนไทย</t>
  </si>
  <si>
    <t>DW088/2568</t>
  </si>
  <si>
    <t>2.3.08 ค่าครุภัณฑ์วิทยาศาสตร์การแพทย์</t>
  </si>
  <si>
    <t>3410-68</t>
  </si>
  <si>
    <t>หจก.นางรองคอมพิวเตอร์ เซ็นเตอร์</t>
  </si>
  <si>
    <t>IV2508-065644</t>
  </si>
  <si>
    <t>2.1.05 ค่าวัสดุคอมพิวเตอร์</t>
  </si>
  <si>
    <t>3192-68</t>
  </si>
  <si>
    <t>IV2508-065740</t>
  </si>
  <si>
    <t>3320-68</t>
  </si>
  <si>
    <t>IV2509-066191</t>
  </si>
  <si>
    <t>4010-68</t>
  </si>
  <si>
    <t>หจก.ทวีศักดิ์การไฟฟ้า 2018</t>
  </si>
  <si>
    <t>TN00003003</t>
  </si>
  <si>
    <t>1662-68</t>
  </si>
  <si>
    <t>บ.ก้ำหมงเครื่องครัว</t>
  </si>
  <si>
    <t>INV680626004</t>
  </si>
  <si>
    <t>2.1.06 ค่าวัสดุสำนักงาน</t>
  </si>
  <si>
    <t>3234-68</t>
  </si>
  <si>
    <t>TN00002955</t>
  </si>
  <si>
    <t>3488-68</t>
  </si>
  <si>
    <t>นาย อิฐธิเดช นาแพง</t>
  </si>
  <si>
    <t>01/01</t>
  </si>
  <si>
    <t>3327-68</t>
  </si>
  <si>
    <t>ร้าน ต้นดีไซน์</t>
  </si>
  <si>
    <t>60/17</t>
  </si>
  <si>
    <t>2492-68</t>
  </si>
  <si>
    <t>สหกรการเกษตรเพื่อการตลาดลูกค้า</t>
  </si>
  <si>
    <t>332/46</t>
  </si>
  <si>
    <t>2.1.07 ค่าวัสดุบริโภค</t>
  </si>
  <si>
    <t>3169-68</t>
  </si>
  <si>
    <t>ร้าน น้ำดื่มเพชราวอเธอร์</t>
  </si>
  <si>
    <t>1/20</t>
  </si>
  <si>
    <t>3637-68</t>
  </si>
  <si>
    <t>1/23</t>
  </si>
  <si>
    <t>998-68</t>
  </si>
  <si>
    <t>INV680521004</t>
  </si>
  <si>
    <t>2.1.10 ค่าวัสดุงานบ้านงานครัว</t>
  </si>
  <si>
    <t>1008-68</t>
  </si>
  <si>
    <t>INV680521005</t>
  </si>
  <si>
    <t>2489-68</t>
  </si>
  <si>
    <t>นางสาว สุวรรณี บานประโคน</t>
  </si>
  <si>
    <t>1/5</t>
  </si>
  <si>
    <t>2488-68</t>
  </si>
  <si>
    <t>1000-68 1002-68 997-68</t>
  </si>
  <si>
    <t>INV680026005</t>
  </si>
  <si>
    <t>3194-68</t>
  </si>
  <si>
    <t>TN00002946</t>
  </si>
  <si>
    <t>758-68</t>
  </si>
  <si>
    <t>บ.เฟอร์นิช สเปช</t>
  </si>
  <si>
    <t>IV-68090801</t>
  </si>
  <si>
    <t>1660-68</t>
  </si>
  <si>
    <t>TN00002796</t>
  </si>
  <si>
    <t>2.1.12 ค่าวัสดุไฟฟ้า</t>
  </si>
  <si>
    <t>1671-68 2141-68 2136-68</t>
  </si>
  <si>
    <t>TN00002845</t>
  </si>
  <si>
    <t>2726-68</t>
  </si>
  <si>
    <t>TN00002846</t>
  </si>
  <si>
    <t>2330-68</t>
  </si>
  <si>
    <t>TN00002898</t>
  </si>
  <si>
    <t>1298-68</t>
  </si>
  <si>
    <t>หจก.บุรีรัมย์ซัพพลายอีเล็คโทรนิค</t>
  </si>
  <si>
    <t>I68/000204</t>
  </si>
  <si>
    <t>2.1.18 ค่าวัสดุอื่น</t>
  </si>
  <si>
    <t>บ.มาเจริญ โฮม เฟอร์นิเจอร์</t>
  </si>
  <si>
    <t>183/9101</t>
  </si>
  <si>
    <t>182/9098</t>
  </si>
  <si>
    <t>3213-68</t>
  </si>
  <si>
    <t>ร้าน เอส เค แอร์ อิเล็กโทรนิคส์ 2</t>
  </si>
  <si>
    <t>020/0965</t>
  </si>
  <si>
    <t>3261-68</t>
  </si>
  <si>
    <t>I68/000553</t>
  </si>
  <si>
    <t>3363-68</t>
  </si>
  <si>
    <t>TN00002967</t>
  </si>
  <si>
    <t>3056-68</t>
  </si>
  <si>
    <t>ร้าน เซฟตี้แอนด์เรสคิว</t>
  </si>
  <si>
    <t>201/3</t>
  </si>
  <si>
    <t>3619-68</t>
  </si>
  <si>
    <t>6/11</t>
  </si>
  <si>
    <t>3761-68</t>
  </si>
  <si>
    <t>I68/000612</t>
  </si>
  <si>
    <t>019/0928</t>
  </si>
  <si>
    <t>2.2.02 ค่าซ่อมครุภัณฑ์สำนักงาน</t>
  </si>
  <si>
    <t>3451-68 3450-68 3449-68</t>
  </si>
  <si>
    <t>020/0967</t>
  </si>
  <si>
    <t>3024-68</t>
  </si>
  <si>
    <t>ร้าน T&amp;P แอร์ไฟฟ้า</t>
  </si>
  <si>
    <t>0003</t>
  </si>
  <si>
    <t>1281-68</t>
  </si>
  <si>
    <t>I68/000352</t>
  </si>
  <si>
    <t>2.3.01 ค่าครุภัณฑ์ต่ำกว่าเกณฑ์</t>
  </si>
  <si>
    <t>3058-68</t>
  </si>
  <si>
    <t>I68/000491</t>
  </si>
  <si>
    <t>3224-68</t>
  </si>
  <si>
    <t>IV-68082101</t>
  </si>
  <si>
    <t>3386-68</t>
  </si>
  <si>
    <t>IV-68090101</t>
  </si>
  <si>
    <t>3195-68</t>
  </si>
  <si>
    <t>IV-68090501</t>
  </si>
  <si>
    <t>3302-68</t>
  </si>
  <si>
    <t>I68/000568</t>
  </si>
  <si>
    <t>3387-68</t>
  </si>
  <si>
    <t>IV-68090901</t>
  </si>
  <si>
    <t>759-68</t>
  </si>
  <si>
    <t>188/9377</t>
  </si>
  <si>
    <t>3704-68</t>
  </si>
  <si>
    <t>IV-68091601</t>
  </si>
  <si>
    <t>1462-68</t>
  </si>
  <si>
    <t>I68/000605</t>
  </si>
  <si>
    <t>3245-68</t>
  </si>
  <si>
    <t>IV-68091901</t>
  </si>
  <si>
    <t>2596-68</t>
  </si>
  <si>
    <t>IV6807-0099</t>
  </si>
  <si>
    <t>2.3.09 ค่าครุภัณฑ์คอมพิวเตอร์</t>
  </si>
  <si>
    <t>การไฟฟ้าส่วนภูมิภาค PCC คลินิกหมอครอบครัวนางรอง อบต.นางรอง</t>
  </si>
  <si>
    <t>885203693724</t>
  </si>
  <si>
    <t>3.1.02 ค่าไฟฟ้า</t>
  </si>
  <si>
    <t>กลุ่มงาน การเงิน</t>
  </si>
  <si>
    <t>การไฟฟ้าส่วนภูมิภาค PCC หนองตาหมู่</t>
  </si>
  <si>
    <t>876003684026</t>
  </si>
  <si>
    <t>2371-68</t>
  </si>
  <si>
    <t>ค่าเน็ต AIS 32400052359265</t>
  </si>
  <si>
    <t>W-IN-18-6807-2006501</t>
  </si>
  <si>
    <t>3.1.03 ค่าINTERNET</t>
  </si>
  <si>
    <t>2366-68</t>
  </si>
  <si>
    <t>ค่าเน็ต AIS 31600010113324</t>
  </si>
  <si>
    <t>W-IN-18-6807-2007037</t>
  </si>
  <si>
    <t>2367-68</t>
  </si>
  <si>
    <t>ค่าเน็ต TOT 4463J0033</t>
  </si>
  <si>
    <t>0000908849495</t>
  </si>
  <si>
    <t>3515-68</t>
  </si>
  <si>
    <t>ค่าโทร TOT 4464J1423</t>
  </si>
  <si>
    <t>0000908693343</t>
  </si>
  <si>
    <t>2746-68</t>
  </si>
  <si>
    <t>W-IN-18-6808-2008098</t>
  </si>
  <si>
    <t>3514-68</t>
  </si>
  <si>
    <t>0000911170688</t>
  </si>
  <si>
    <t>2747-68</t>
  </si>
  <si>
    <t>ค่าเน็ต TOT 044-666033</t>
  </si>
  <si>
    <t>0000911061302</t>
  </si>
  <si>
    <t>2748-68</t>
  </si>
  <si>
    <t>ค่าเน็ต TOT 044-666049</t>
  </si>
  <si>
    <t>0000911061301</t>
  </si>
  <si>
    <t>2749-68</t>
  </si>
  <si>
    <t>ค่าเน็ต TOT 4463J5093</t>
  </si>
  <si>
    <t>0000911350953</t>
  </si>
  <si>
    <t>2750-68</t>
  </si>
  <si>
    <t>0000911346975</t>
  </si>
  <si>
    <t>2751-68</t>
  </si>
  <si>
    <t>W-IN-18-6808-2007215</t>
  </si>
  <si>
    <t>ค่าโทร AIS 0962266459</t>
  </si>
  <si>
    <t>W-IN-18-6808-4024969</t>
  </si>
  <si>
    <t>3.1.04 ค่าโทรศัพท์</t>
  </si>
  <si>
    <t>3882-68</t>
  </si>
  <si>
    <t>ค่าโทร TOT 044-631977</t>
  </si>
  <si>
    <t>0000913658611</t>
  </si>
  <si>
    <t>3883-68</t>
  </si>
  <si>
    <t>ค่าโทร TOT 044-631978</t>
  </si>
  <si>
    <t>0000913658610</t>
  </si>
  <si>
    <t>3881-68</t>
  </si>
  <si>
    <t>ค่าโทร บ.ทรู มูฟ เอช ยูนิเวอร์แซล คอมมิวนิเคชั่น  225810/669 026 594</t>
  </si>
  <si>
    <t>02/08/2568 - 01/09/2568</t>
  </si>
  <si>
    <t>บ.เกร๊ทเตอร์มายบาซิน</t>
  </si>
  <si>
    <t>#01-GM-1-2-2-2025000360</t>
  </si>
  <si>
    <t>บ.ฟาร์มาฮอฟ</t>
  </si>
  <si>
    <t>IV250127157</t>
  </si>
  <si>
    <t>บ.แม็กซิม อินเตอร์คอร์ปอร์เรชั่น</t>
  </si>
  <si>
    <t>IV250010774</t>
  </si>
  <si>
    <t>บ.พาตาร์แลบ(2517)</t>
  </si>
  <si>
    <t>INV125013053</t>
  </si>
  <si>
    <t>IV25010993</t>
  </si>
  <si>
    <t>บ.ที.โอ.เคมีคอลส์(1979)</t>
  </si>
  <si>
    <t>T6801/20493</t>
  </si>
  <si>
    <t>#01-GM-1-2-2-2025002202</t>
  </si>
  <si>
    <t>IV25020382</t>
  </si>
  <si>
    <t>บ.เอเบิ้ล เมดิคอล</t>
  </si>
  <si>
    <t>M2502/0080</t>
  </si>
  <si>
    <t>M2502/0290</t>
  </si>
  <si>
    <t>IV25030384</t>
  </si>
  <si>
    <t>T6803/10677</t>
  </si>
  <si>
    <t>T6803/20125</t>
  </si>
  <si>
    <t>INV125030943</t>
  </si>
  <si>
    <t>INV125031752</t>
  </si>
  <si>
    <t>INV125032048</t>
  </si>
  <si>
    <t>INV125032245</t>
  </si>
  <si>
    <t>IV25031609</t>
  </si>
  <si>
    <t>T6804/10659</t>
  </si>
  <si>
    <t>T6804/20146</t>
  </si>
  <si>
    <t>IV25040351</t>
  </si>
  <si>
    <t>IV25051185</t>
  </si>
  <si>
    <t>IV25060733</t>
  </si>
  <si>
    <t>บ.เอราวัณ ไฮเทค</t>
  </si>
  <si>
    <t>243/2567</t>
  </si>
  <si>
    <t>บ.เมดิทอป</t>
  </si>
  <si>
    <t>1541158</t>
  </si>
  <si>
    <t>ร้าน เฟิร์สท เทรดดิ้ง</t>
  </si>
  <si>
    <t>670473</t>
  </si>
  <si>
    <t>105-68 107-68 108-68</t>
  </si>
  <si>
    <t>บ.เอ็ม ดี ซี (ประเทศไทย)</t>
  </si>
  <si>
    <t>6712645</t>
  </si>
  <si>
    <t>453-68</t>
  </si>
  <si>
    <t>6800249</t>
  </si>
  <si>
    <t>บ.สหแพทย์เภสัช</t>
  </si>
  <si>
    <t>8080179017</t>
  </si>
  <si>
    <t>9-68</t>
  </si>
  <si>
    <t>680003</t>
  </si>
  <si>
    <t>527-68</t>
  </si>
  <si>
    <t>บ.โกร๊ธ ซัพพลาย เมดิคอล</t>
  </si>
  <si>
    <t>IV6800397</t>
  </si>
  <si>
    <t>712-68</t>
  </si>
  <si>
    <t>6800793</t>
  </si>
  <si>
    <t>6712159</t>
  </si>
  <si>
    <t>467-68</t>
  </si>
  <si>
    <t>680064</t>
  </si>
  <si>
    <t>1547478</t>
  </si>
  <si>
    <t>746-68</t>
  </si>
  <si>
    <t>บ.แนชเชอเริล มีเดีย</t>
  </si>
  <si>
    <t>680/0349</t>
  </si>
  <si>
    <t>1089-68</t>
  </si>
  <si>
    <t>6801850</t>
  </si>
  <si>
    <t>1110-68</t>
  </si>
  <si>
    <t>IV25030031</t>
  </si>
  <si>
    <t>หสม.สุวิดา เทรดดิ้ง</t>
  </si>
  <si>
    <t>6800755</t>
  </si>
  <si>
    <t>27-68 28-68 32-68 31-68 30-68 23-68 24-68 25-68</t>
  </si>
  <si>
    <t>6712426</t>
  </si>
  <si>
    <t>732-68 733-68 734-68</t>
  </si>
  <si>
    <t>IV25030151</t>
  </si>
  <si>
    <t>1408-68</t>
  </si>
  <si>
    <t>IV25030342</t>
  </si>
  <si>
    <t>1429-68</t>
  </si>
  <si>
    <t>IV25030420</t>
  </si>
  <si>
    <t>155-68</t>
  </si>
  <si>
    <t>ร้าน พีเอ็มเอส มาร์เกตติ้ง</t>
  </si>
  <si>
    <t>7424</t>
  </si>
  <si>
    <t>1124-68</t>
  </si>
  <si>
    <t>IV6801442</t>
  </si>
  <si>
    <t>1521-68</t>
  </si>
  <si>
    <t>IV25030702</t>
  </si>
  <si>
    <t>1464-68</t>
  </si>
  <si>
    <t>IV25030552</t>
  </si>
  <si>
    <t>1593-68</t>
  </si>
  <si>
    <t>IV25030791</t>
  </si>
  <si>
    <t>1240-68 1236-68 1404-68 1401-68 1403-68 1400-68</t>
  </si>
  <si>
    <t>IV25040311</t>
  </si>
  <si>
    <t>1399-68 1398-68</t>
  </si>
  <si>
    <t>IV25040780</t>
  </si>
  <si>
    <t>2152-68</t>
  </si>
  <si>
    <t>IV25050504</t>
  </si>
  <si>
    <t>บ.เมด-วัน</t>
  </si>
  <si>
    <t>I25020328</t>
  </si>
  <si>
    <t>2.1.04 ค่าวัสดุวิทยาศาสตร์(LAB)</t>
  </si>
  <si>
    <t>1456-68</t>
  </si>
  <si>
    <t>บ.เพียว ออร์กา คอร์ปอเรชั่น</t>
  </si>
  <si>
    <t>IVT-20250400005</t>
  </si>
  <si>
    <t>ร้าน ก๊อต ครีเอทีฟ</t>
  </si>
  <si>
    <t>82/45</t>
  </si>
  <si>
    <t>บ.แอคคอร์ด คอร์ปอเรชั่น</t>
  </si>
  <si>
    <t>IV2411100595</t>
  </si>
  <si>
    <t>2.1.20 ค่าวัสดุทันตกรรม</t>
  </si>
  <si>
    <t>930-68</t>
  </si>
  <si>
    <t>IV2501102888</t>
  </si>
  <si>
    <t>931-68</t>
  </si>
  <si>
    <t>IV2501101225</t>
  </si>
  <si>
    <t>1276-68</t>
  </si>
  <si>
    <t>IV2502102727</t>
  </si>
  <si>
    <t>บ. แม็กเทค เอลลิเวเตอร์ แอรด์ เซอร์วิส</t>
  </si>
  <si>
    <t>MT2568-0095</t>
  </si>
  <si>
    <t>3466-68</t>
  </si>
  <si>
    <t>MT2568-0301</t>
  </si>
  <si>
    <t>3400-68</t>
  </si>
  <si>
    <t>MT2568-0300</t>
  </si>
  <si>
    <t>บ.สยามเดนท์</t>
  </si>
  <si>
    <t>TSD IV24110241</t>
  </si>
  <si>
    <t>2.2.05 ค่าซ่อมครุภัณฑ์การแพทย์</t>
  </si>
  <si>
    <t>TSD IV24110242</t>
  </si>
  <si>
    <t>TSD IV24110243</t>
  </si>
  <si>
    <t>1998-68</t>
  </si>
  <si>
    <t>บ.สยามยูเนี่ยนเคมีคอล</t>
  </si>
  <si>
    <t>SOCL6805041</t>
  </si>
  <si>
    <t>2.2.11 ค่าจ้างเหมาทำความสะอาด</t>
  </si>
  <si>
    <t>2009-68</t>
  </si>
  <si>
    <t>SOCL6805040</t>
  </si>
  <si>
    <t>1538843</t>
  </si>
  <si>
    <t>1541902</t>
  </si>
  <si>
    <t>2.2.14 ค่าจ้างเหมาบำรุงรักษาครุภัณฑ์วิทยาศาสตร์การแพทย์</t>
  </si>
  <si>
    <t>1541903</t>
  </si>
  <si>
    <t>บ.บุรีวัตร  สิทธิ จ่ายตรง</t>
  </si>
  <si>
    <t>006/095 08/67</t>
  </si>
  <si>
    <t>2.2.16 ค่าจ้างเหมาบริการทางการแพทย์</t>
  </si>
  <si>
    <t>006/096 08/67</t>
  </si>
  <si>
    <t>บ.บุรีวัตร  สิทธิ สปสช</t>
  </si>
  <si>
    <t>006/097 08/67</t>
  </si>
  <si>
    <t>006/098 08/67</t>
  </si>
  <si>
    <t>006/099 08/67</t>
  </si>
  <si>
    <t>006/100 08/67</t>
  </si>
  <si>
    <t>007/004 09/67</t>
  </si>
  <si>
    <t>007/003 09/67</t>
  </si>
  <si>
    <t>495-68</t>
  </si>
  <si>
    <t>บ.อินโนเทค ลาบอราทอรี่ เซอร์วิส</t>
  </si>
  <si>
    <t>SV001/68020191</t>
  </si>
  <si>
    <t>831-68</t>
  </si>
  <si>
    <t>SV001/68030159</t>
  </si>
  <si>
    <t>428-68</t>
  </si>
  <si>
    <t>680040</t>
  </si>
  <si>
    <t>1181-68</t>
  </si>
  <si>
    <t>680157</t>
  </si>
  <si>
    <t>2244-68</t>
  </si>
  <si>
    <t>บ.เยเนอรัล ฮอสปิตัล โปรดัคส์</t>
  </si>
  <si>
    <t>25IS00060009</t>
  </si>
  <si>
    <t>1044-68</t>
  </si>
  <si>
    <t>บ.ดีเคเอสเอช(ประเทศไทย)</t>
  </si>
  <si>
    <t>5344388775</t>
  </si>
  <si>
    <t>องค์การเภสัชกรรม</t>
  </si>
  <si>
    <t>3000978289</t>
  </si>
  <si>
    <t>1.2.01 ค่ายา GFMIS (เงินฝากคลังรายได้ค่ารักษาโรงพยาบาลนางรอง ฝากคลัง)</t>
  </si>
  <si>
    <t>3000979469</t>
  </si>
  <si>
    <t>3000979281</t>
  </si>
  <si>
    <t>3000979434</t>
  </si>
  <si>
    <t>3000981568</t>
  </si>
  <si>
    <t>3000981585</t>
  </si>
  <si>
    <t>3000981570</t>
  </si>
  <si>
    <t>3000981569</t>
  </si>
  <si>
    <t>3000981627</t>
  </si>
  <si>
    <t>3000981572</t>
  </si>
  <si>
    <t>ศูนย์บริการโลหิตแห่งชาติ สภากาชาดไทย</t>
  </si>
  <si>
    <t>0039/003871</t>
  </si>
  <si>
    <t>3007-68</t>
  </si>
  <si>
    <t>TN00002917</t>
  </si>
  <si>
    <t>1.2.08 ค่าวัสดุไฟฟ้า GFMIS (เงินฝากคลังรายได้ค่ารักษาโรงพยาบาลนางรอง ฝากคลัง)</t>
  </si>
  <si>
    <t>3006-68</t>
  </si>
  <si>
    <t>TN00002916</t>
  </si>
  <si>
    <t>3481-68</t>
  </si>
  <si>
    <t>บ.นางรองเคหะภัณฑ์</t>
  </si>
  <si>
    <t>IV680815-016</t>
  </si>
  <si>
    <t>1.2.14 ค่าวัสดุก่อสร้าง GFMIS (เงินฝากคลังรายได้ค่ารักษาโรงพยาบาลนางรอง ฝากคลัง)</t>
  </si>
  <si>
    <t>3277-68 3276-68</t>
  </si>
  <si>
    <t>MT2568-0334</t>
  </si>
  <si>
    <t>1.4.02 ค่าซ่อมครุภัณฑ์สำนักงาน GFMIS (เงินฝากคลังรายได้ค่ารักษาโรงพยาบาลนางรอง ฝากคลัง)</t>
  </si>
  <si>
    <t>โรงพยาบาลคูเมือง</t>
  </si>
  <si>
    <t>คม.255/2568</t>
  </si>
  <si>
    <t>2.1.02 ค่ายาสมุนไพร</t>
  </si>
  <si>
    <t>คม.274/2568</t>
  </si>
  <si>
    <t>บ.เอ็ก เฮลท์</t>
  </si>
  <si>
    <t>INV2025090007</t>
  </si>
  <si>
    <t>2.3.14 ค่าครุภัณฑ์ (งบลงทุน)</t>
  </si>
  <si>
    <t>การประปาส่วนภูมิภาค</t>
  </si>
  <si>
    <t>1139680108557</t>
  </si>
  <si>
    <t>3.1.01 ค่าน้ำปะปา</t>
  </si>
  <si>
    <t>การไฟฟ้าส่วนภูมิภาค</t>
  </si>
  <si>
    <t>846810470981</t>
  </si>
  <si>
    <t>1862-68</t>
  </si>
  <si>
    <t>บ.อินเตอร์ คอมพิวเตอร์ เซอร์วิส แอนด์ เทคโนโลยี</t>
  </si>
  <si>
    <t>IV-20250400194</t>
  </si>
  <si>
    <t>3159-68</t>
  </si>
  <si>
    <t>187/9302</t>
  </si>
  <si>
    <t>2715-68</t>
  </si>
  <si>
    <t>TN00002885</t>
  </si>
  <si>
    <t>3054-68</t>
  </si>
  <si>
    <t>TN00002935</t>
  </si>
  <si>
    <t>3053-68</t>
  </si>
  <si>
    <t>TN00002937</t>
  </si>
  <si>
    <t>3052-68</t>
  </si>
  <si>
    <t>TN00002934</t>
  </si>
  <si>
    <t>3210-68</t>
  </si>
  <si>
    <t>TN00002941</t>
  </si>
  <si>
    <t>3404-68</t>
  </si>
  <si>
    <t>TN00002953</t>
  </si>
  <si>
    <t>3408-68</t>
  </si>
  <si>
    <t>TN00002974</t>
  </si>
  <si>
    <t>3465-68 3468-68</t>
  </si>
  <si>
    <t>TN00002976</t>
  </si>
  <si>
    <t>3469-68</t>
  </si>
  <si>
    <t>TN00002975</t>
  </si>
  <si>
    <t>2563-68</t>
  </si>
  <si>
    <t>IV680716-014</t>
  </si>
  <si>
    <t>2.1.13 ค่าวัสดุก่อสร้าง</t>
  </si>
  <si>
    <t>2955-68</t>
  </si>
  <si>
    <t>IV680730-006</t>
  </si>
  <si>
    <t>2956-68</t>
  </si>
  <si>
    <t>IV680730-005</t>
  </si>
  <si>
    <t>3055-68</t>
  </si>
  <si>
    <t>IV680807-032</t>
  </si>
  <si>
    <t>2851-68</t>
  </si>
  <si>
    <t>IV680808-018</t>
  </si>
  <si>
    <t>3027-68</t>
  </si>
  <si>
    <t>IV680814-019</t>
  </si>
  <si>
    <t>3211-68</t>
  </si>
  <si>
    <t>IV680815-004</t>
  </si>
  <si>
    <t>3218-68</t>
  </si>
  <si>
    <t>IV680818-009</t>
  </si>
  <si>
    <t>3219-68</t>
  </si>
  <si>
    <t>IV680818-012</t>
  </si>
  <si>
    <t>3217-68</t>
  </si>
  <si>
    <t>IV680818-010</t>
  </si>
  <si>
    <t>3406-68 3407-68</t>
  </si>
  <si>
    <t>IV680822-006</t>
  </si>
  <si>
    <t>2892-68</t>
  </si>
  <si>
    <t>IV680828-025</t>
  </si>
  <si>
    <t>3473-68</t>
  </si>
  <si>
    <t>IV680828-016</t>
  </si>
  <si>
    <t>3452-68</t>
  </si>
  <si>
    <t>IV680828-017</t>
  </si>
  <si>
    <t>3453-68</t>
  </si>
  <si>
    <t>IV680828-015</t>
  </si>
  <si>
    <t>3470-68</t>
  </si>
  <si>
    <t>IV680828-014</t>
  </si>
  <si>
    <t>3471-68</t>
  </si>
  <si>
    <t>IV680828-013</t>
  </si>
  <si>
    <t>3472-68</t>
  </si>
  <si>
    <t>IV680828-011</t>
  </si>
  <si>
    <t>3474-68</t>
  </si>
  <si>
    <t>IV680828-012</t>
  </si>
  <si>
    <t>3475-68</t>
  </si>
  <si>
    <t>IV680901-014</t>
  </si>
  <si>
    <t>3624-68</t>
  </si>
  <si>
    <t>IV680915-002</t>
  </si>
  <si>
    <t>3620-68</t>
  </si>
  <si>
    <t>IV680916-015</t>
  </si>
  <si>
    <t>3456-68</t>
  </si>
  <si>
    <t>IV680919-001</t>
  </si>
  <si>
    <t>183/9103</t>
  </si>
  <si>
    <t>2555-68</t>
  </si>
  <si>
    <t>ร้าน เอส.พี.มาร์เก็ตติ้ง</t>
  </si>
  <si>
    <t>5/22</t>
  </si>
  <si>
    <t>1097-68</t>
  </si>
  <si>
    <t>บ.นีโอ เน็ตเวิร์ค สแกน</t>
  </si>
  <si>
    <t>IV68-08-03</t>
  </si>
  <si>
    <t>2.3.13 ค่าโปรแกรมคอมพิวเตอร์</t>
  </si>
  <si>
    <t>บ.ไปรษณีย์ไทย  จำกัด</t>
  </si>
  <si>
    <t>A31110-6809-0405</t>
  </si>
  <si>
    <t>3.1.05 ค่าไปรษณีย์</t>
  </si>
  <si>
    <t>บ.ซิลลิคฟาร์มา</t>
  </si>
  <si>
    <t>1317503084</t>
  </si>
  <si>
    <t>1317539149</t>
  </si>
  <si>
    <t>1317552024</t>
  </si>
  <si>
    <t>1317548848</t>
  </si>
  <si>
    <t>1317577863</t>
  </si>
  <si>
    <t>1317571674</t>
  </si>
  <si>
    <t>1317571657</t>
  </si>
  <si>
    <t>1317568338</t>
  </si>
  <si>
    <t>1317612179</t>
  </si>
  <si>
    <t>1317641329</t>
  </si>
  <si>
    <t>1317625473</t>
  </si>
  <si>
    <t>1317606294</t>
  </si>
  <si>
    <t>1317617775</t>
  </si>
  <si>
    <t>1317607931</t>
  </si>
  <si>
    <t>1317623593</t>
  </si>
  <si>
    <t>1317658694</t>
  </si>
  <si>
    <t>5343960206</t>
  </si>
  <si>
    <t>1317642380</t>
  </si>
  <si>
    <t>1317678715</t>
  </si>
  <si>
    <t>1317666717</t>
  </si>
  <si>
    <t>บ.ดีทแฮล์ม เคลเลอร์ โลจิสติกส์</t>
  </si>
  <si>
    <t>5449265307</t>
  </si>
  <si>
    <t>5449266090</t>
  </si>
  <si>
    <t>1317694905</t>
  </si>
  <si>
    <t>1317685251</t>
  </si>
  <si>
    <t>1317695536</t>
  </si>
  <si>
    <t>1317703232</t>
  </si>
  <si>
    <t>5449269153</t>
  </si>
  <si>
    <t>1317710338</t>
  </si>
  <si>
    <t>1317719906</t>
  </si>
  <si>
    <t>1317722498</t>
  </si>
  <si>
    <t>1317730581</t>
  </si>
  <si>
    <t>1317351424</t>
  </si>
  <si>
    <t>1317468538</t>
  </si>
  <si>
    <t>1317615983</t>
  </si>
  <si>
    <t>1317730497</t>
  </si>
  <si>
    <t>1317734549</t>
  </si>
  <si>
    <t>1317780128</t>
  </si>
  <si>
    <t>1317755899</t>
  </si>
  <si>
    <t>1317754639</t>
  </si>
  <si>
    <t>1317755281</t>
  </si>
  <si>
    <t>1317773076</t>
  </si>
  <si>
    <t>1317770127</t>
  </si>
  <si>
    <t>5449274686</t>
  </si>
  <si>
    <t>1317787822</t>
  </si>
  <si>
    <t>1317845033</t>
  </si>
  <si>
    <t>1317817362</t>
  </si>
  <si>
    <t>1317825315</t>
  </si>
  <si>
    <t>5449279489</t>
  </si>
  <si>
    <t>1317828441</t>
  </si>
  <si>
    <t>1317827283</t>
  </si>
  <si>
    <t>1317827357</t>
  </si>
  <si>
    <t>1317845919</t>
  </si>
  <si>
    <t>1317857483</t>
  </si>
  <si>
    <t>1317878386</t>
  </si>
  <si>
    <t>1317901243</t>
  </si>
  <si>
    <t>1317919059</t>
  </si>
  <si>
    <t>1317881638</t>
  </si>
  <si>
    <t>1317877485</t>
  </si>
  <si>
    <t>1317937762</t>
  </si>
  <si>
    <t>1317973884</t>
  </si>
  <si>
    <t>1317882199</t>
  </si>
  <si>
    <t>1317916892</t>
  </si>
  <si>
    <t>1317910044</t>
  </si>
  <si>
    <t>1317925545</t>
  </si>
  <si>
    <t>1317954538</t>
  </si>
  <si>
    <t>1317972590</t>
  </si>
  <si>
    <t>1317985930</t>
  </si>
  <si>
    <t>1318039170</t>
  </si>
  <si>
    <t>1318011094</t>
  </si>
  <si>
    <t>1317999537</t>
  </si>
  <si>
    <t>1318017993</t>
  </si>
  <si>
    <t>2162-68</t>
  </si>
  <si>
    <t>1317061844</t>
  </si>
  <si>
    <t>2230-68</t>
  </si>
  <si>
    <t>1317179731</t>
  </si>
  <si>
    <t>2788-68</t>
  </si>
  <si>
    <t>1317727357</t>
  </si>
  <si>
    <t>2708-68</t>
  </si>
  <si>
    <t>1317466300</t>
  </si>
  <si>
    <t>2549-68</t>
  </si>
  <si>
    <t>1317543942</t>
  </si>
  <si>
    <t>2773-68</t>
  </si>
  <si>
    <t>1317775730</t>
  </si>
  <si>
    <t>2651-68</t>
  </si>
  <si>
    <t>5449252678</t>
  </si>
  <si>
    <t>2647-68</t>
  </si>
  <si>
    <t>5343901161</t>
  </si>
  <si>
    <t>1317487994</t>
  </si>
  <si>
    <t>1317498003</t>
  </si>
  <si>
    <t>2703-68</t>
  </si>
  <si>
    <t>5343917741</t>
  </si>
  <si>
    <t>2704-68</t>
  </si>
  <si>
    <t>5343918043</t>
  </si>
  <si>
    <t>2918-68</t>
  </si>
  <si>
    <t>1317593628</t>
  </si>
  <si>
    <t>2661-68</t>
  </si>
  <si>
    <t>5343907242</t>
  </si>
  <si>
    <t>2736-68</t>
  </si>
  <si>
    <t>1317557920</t>
  </si>
  <si>
    <t>2227-68</t>
  </si>
  <si>
    <t>1317562554</t>
  </si>
  <si>
    <t>1317385880</t>
  </si>
  <si>
    <t>2546-68</t>
  </si>
  <si>
    <t>5343998585</t>
  </si>
  <si>
    <t>2249-68</t>
  </si>
  <si>
    <t>5343997131</t>
  </si>
  <si>
    <t>3072-68</t>
  </si>
  <si>
    <t>1317752678</t>
  </si>
  <si>
    <t>2551-68 2554-68</t>
  </si>
  <si>
    <t>1317670187</t>
  </si>
  <si>
    <t>2202-68</t>
  </si>
  <si>
    <t>5344017826</t>
  </si>
  <si>
    <t>5344023354</t>
  </si>
  <si>
    <t>2723-68</t>
  </si>
  <si>
    <t>1317708904</t>
  </si>
  <si>
    <t>2630-68</t>
  </si>
  <si>
    <t>1317783259</t>
  </si>
  <si>
    <t>5344083082</t>
  </si>
  <si>
    <t>5344082890</t>
  </si>
  <si>
    <t>2996-68</t>
  </si>
  <si>
    <t>5344083084</t>
  </si>
  <si>
    <t>5344110041</t>
  </si>
  <si>
    <t>1317892438</t>
  </si>
  <si>
    <t>5344188397</t>
  </si>
  <si>
    <t>ส่งต่อทำเช็ค</t>
  </si>
  <si>
    <t>5344044376</t>
  </si>
  <si>
    <t>5344227741</t>
  </si>
  <si>
    <t>1317975991</t>
  </si>
  <si>
    <t>3342-68 3341-68</t>
  </si>
  <si>
    <t>1318013351</t>
  </si>
  <si>
    <t>3258-68 3256-68 3257-68</t>
  </si>
  <si>
    <t>1318013393</t>
  </si>
  <si>
    <t>3204-68</t>
  </si>
  <si>
    <t>บ.เบตเตอร์ เมดิคอล แคร์</t>
  </si>
  <si>
    <t>8103022250</t>
  </si>
  <si>
    <t>2933-68</t>
  </si>
  <si>
    <t>1317614715</t>
  </si>
  <si>
    <t>2490-68</t>
  </si>
  <si>
    <t>5343821180</t>
  </si>
  <si>
    <t>2301-68</t>
  </si>
  <si>
    <t>1317419347</t>
  </si>
  <si>
    <t>5343986433</t>
  </si>
  <si>
    <t>5344001756</t>
  </si>
  <si>
    <t>2280-68</t>
  </si>
  <si>
    <t>5343864073</t>
  </si>
  <si>
    <t>2696-68</t>
  </si>
  <si>
    <t>5343988259</t>
  </si>
  <si>
    <t>3064-68</t>
  </si>
  <si>
    <t>5343848300</t>
  </si>
  <si>
    <t>3068-68</t>
  </si>
  <si>
    <t>5343857784</t>
  </si>
  <si>
    <t>บ.เนฟโฟรแคร์ (ประเทศไทย)</t>
  </si>
  <si>
    <t>23120676</t>
  </si>
  <si>
    <t>23120671</t>
  </si>
  <si>
    <t>23120682</t>
  </si>
  <si>
    <t>1553-68</t>
  </si>
  <si>
    <t>5343833534</t>
  </si>
  <si>
    <t>2673-68</t>
  </si>
  <si>
    <t>5343913530</t>
  </si>
  <si>
    <t>1738-68</t>
  </si>
  <si>
    <t>5344012507</t>
  </si>
  <si>
    <t>2566-68</t>
  </si>
  <si>
    <t>1317386860</t>
  </si>
  <si>
    <t>2791-68</t>
  </si>
  <si>
    <t>1317573996</t>
  </si>
  <si>
    <t>769-68</t>
  </si>
  <si>
    <t>บ.โอเร็กซ์ เทรดดิ้ง</t>
  </si>
  <si>
    <t>680301428</t>
  </si>
  <si>
    <t>680301769</t>
  </si>
  <si>
    <t>680300368</t>
  </si>
  <si>
    <t>680303249</t>
  </si>
  <si>
    <t>680304799</t>
  </si>
  <si>
    <t>680305350</t>
  </si>
  <si>
    <t>680402092</t>
  </si>
  <si>
    <t>2376-68</t>
  </si>
  <si>
    <t>หจก.บุรีรัมย์ออกซิเย่น</t>
  </si>
  <si>
    <t>600</t>
  </si>
  <si>
    <t>3689-68</t>
  </si>
  <si>
    <t>นาง เบ็ญจมาพร แจ้งกลาง</t>
  </si>
  <si>
    <t>4/28</t>
  </si>
  <si>
    <t>3690-68</t>
  </si>
  <si>
    <t>บ.ไร่เพื่อนคุณ</t>
  </si>
  <si>
    <t>49/68/27</t>
  </si>
  <si>
    <t>3691-68</t>
  </si>
  <si>
    <t>บ.ซีพี แอ็กซ์ตร้า</t>
  </si>
  <si>
    <t>0320BC680000183</t>
  </si>
  <si>
    <t>3686-68</t>
  </si>
  <si>
    <t>0320BC680000182</t>
  </si>
  <si>
    <t>3687-68</t>
  </si>
  <si>
    <t>นาย สมปราชญ์ นังตะลา</t>
  </si>
  <si>
    <t>8/15-16</t>
  </si>
  <si>
    <t>3688-68</t>
  </si>
  <si>
    <t>นาง อารดา อินทร์รุกขา</t>
  </si>
  <si>
    <t>9/16-17</t>
  </si>
  <si>
    <t>3694-68</t>
  </si>
  <si>
    <t>นาง ยุพิน  แพร่งสุวรรณ์</t>
  </si>
  <si>
    <t>10/16-17</t>
  </si>
  <si>
    <t>3695-68</t>
  </si>
  <si>
    <t>นาง สำอางค์  จอดสันเทียะ</t>
  </si>
  <si>
    <t>3685-68</t>
  </si>
  <si>
    <t>นาย ดนัยนันท์ นามตะคุ</t>
  </si>
  <si>
    <t>5/16-17</t>
  </si>
  <si>
    <t>3692-68</t>
  </si>
  <si>
    <t>บ.เบทาโกรเกษตรอุตสาหกรรม</t>
  </si>
  <si>
    <t>121250911727</t>
  </si>
  <si>
    <t>3693-68</t>
  </si>
  <si>
    <t>121250911723</t>
  </si>
  <si>
    <t>2375-68</t>
  </si>
  <si>
    <t>ร้าน สกุลรัตน์</t>
  </si>
  <si>
    <t>023/1112</t>
  </si>
  <si>
    <t>2374-68</t>
  </si>
  <si>
    <t>023/1113</t>
  </si>
  <si>
    <t>3490-68</t>
  </si>
  <si>
    <t>ร้าน ต.เจริญภัณฑ์</t>
  </si>
  <si>
    <t>5/01</t>
  </si>
  <si>
    <t>1154-68</t>
  </si>
  <si>
    <t>020/0992</t>
  </si>
  <si>
    <t>4022-68</t>
  </si>
  <si>
    <t>ค่าโทร TOT 044-633456</t>
  </si>
  <si>
    <t>0000913809416</t>
  </si>
  <si>
    <t>3447-68</t>
  </si>
  <si>
    <t>032871001969</t>
  </si>
  <si>
    <t>1.2.05 ค่าวัสดุบริโภค GFMIS (เงินฝากคลังรายได้ค่ารักษาโรงพยาบาลนางรอง ฝากคลัง)</t>
  </si>
  <si>
    <t>3236-68</t>
  </si>
  <si>
    <t>บ.โลเคิล ไลฟ์ แพลตฟอร์ม</t>
  </si>
  <si>
    <t>LLP-INV09-25080329</t>
  </si>
  <si>
    <t>1.4.01 ค่าจ้างเหมาบริการอื่น GFMIS (เงินฝากคลังรายได้ค่ารักษาโรงพยาบาลนางรอง ฝากคลัง)</t>
  </si>
  <si>
    <t>3843-68</t>
  </si>
  <si>
    <t>LLP-INV09-25090710</t>
  </si>
  <si>
    <t>3164-68</t>
  </si>
  <si>
    <t>บ.คอมมูนิเคชั่น เทคโนโลยี</t>
  </si>
  <si>
    <t>IV-20250800003</t>
  </si>
  <si>
    <t>1.4.09 ค่าจ้างเหมาบริการอื่น (เบ็ดเตล็ด) GFMIS (เงินฝากคลังรายได้ค่ารักษาโรงพยาบาลนางรอง ฝากคลัง)</t>
  </si>
  <si>
    <t>บ.ไอเน็กซ์ บรอดแบนด์</t>
  </si>
  <si>
    <t>INB-INV09-25090473</t>
  </si>
  <si>
    <t>มีบิล</t>
  </si>
  <si>
    <t>แจ้งหนี้ไม่ตรงเดือน</t>
  </si>
  <si>
    <t>1.1.06 ค่าจ้างเหมาบริการอื่น GFMIS (เงินงบประมาณ)</t>
  </si>
  <si>
    <t>INB-INV09-25100473</t>
  </si>
  <si>
    <t>บ.แมคโครฟาร์แลบ</t>
  </si>
  <si>
    <t>ML24075138</t>
  </si>
  <si>
    <t>บ.อัลลายแอนซ์ ฟาร์มา</t>
  </si>
  <si>
    <t>B26710269</t>
  </si>
  <si>
    <t>บ.ไบโอ ลีดเตอร์</t>
  </si>
  <si>
    <t>IV2402108</t>
  </si>
  <si>
    <t>บ.คอสม่า เทรดดิ้ง</t>
  </si>
  <si>
    <t>310257400786</t>
  </si>
  <si>
    <t>310257400848</t>
  </si>
  <si>
    <t>IV2500162</t>
  </si>
  <si>
    <t>หจก.ภิญโญฟาร์มาซี</t>
  </si>
  <si>
    <t>IV6809132</t>
  </si>
  <si>
    <t>บ.แอปคาร์ ฟาร์มาแลป(ประเทศไทย)</t>
  </si>
  <si>
    <t>IV6802392</t>
  </si>
  <si>
    <t>310257402472</t>
  </si>
  <si>
    <t>ML25025595</t>
  </si>
  <si>
    <t>310257401272</t>
  </si>
  <si>
    <t>IV2500348</t>
  </si>
  <si>
    <t>310357400485</t>
  </si>
  <si>
    <t>บ.แคสป้า ฟาร์มาซูติคอล(ประเทศไทย)</t>
  </si>
  <si>
    <t>C68030254</t>
  </si>
  <si>
    <t>3000984392</t>
  </si>
  <si>
    <t>3000984357</t>
  </si>
  <si>
    <t>3000986078</t>
  </si>
  <si>
    <t>3000986972</t>
  </si>
  <si>
    <t>3000986077</t>
  </si>
  <si>
    <t>3000986081</t>
  </si>
  <si>
    <t>3000986080</t>
  </si>
  <si>
    <t>3000986079</t>
  </si>
  <si>
    <t>3000985976</t>
  </si>
  <si>
    <t>3000982504</t>
  </si>
  <si>
    <t>3000982558</t>
  </si>
  <si>
    <t>3000986082</t>
  </si>
  <si>
    <t>3000986091</t>
  </si>
  <si>
    <t>3000988406</t>
  </si>
  <si>
    <t>3000990016</t>
  </si>
  <si>
    <t>3000990018</t>
  </si>
  <si>
    <t>310357403624</t>
  </si>
  <si>
    <t>IV6817088</t>
  </si>
  <si>
    <t>IV6804127</t>
  </si>
  <si>
    <t>IV2500576</t>
  </si>
  <si>
    <t>3000988625</t>
  </si>
  <si>
    <t>3000992745</t>
  </si>
  <si>
    <t>3000993307</t>
  </si>
  <si>
    <t>3000993306</t>
  </si>
  <si>
    <t>3000995184</t>
  </si>
  <si>
    <t>3000995771</t>
  </si>
  <si>
    <t>3000994256</t>
  </si>
  <si>
    <t>3000994180</t>
  </si>
  <si>
    <t>3000994204</t>
  </si>
  <si>
    <t>3000996870</t>
  </si>
  <si>
    <t>3000996020</t>
  </si>
  <si>
    <t>บ.ที.แมน ฟาร์มาซูติคอล</t>
  </si>
  <si>
    <t>IST250053686</t>
  </si>
  <si>
    <t>IST250058998</t>
  </si>
  <si>
    <t>IST250063491</t>
  </si>
  <si>
    <t>IST250064144</t>
  </si>
  <si>
    <t>3000992744</t>
  </si>
  <si>
    <t>3000993309</t>
  </si>
  <si>
    <t>3000996704</t>
  </si>
  <si>
    <t>3000996710</t>
  </si>
  <si>
    <t>3001001778</t>
  </si>
  <si>
    <t>310457402292</t>
  </si>
  <si>
    <t>IV6822936</t>
  </si>
  <si>
    <t>3000998925</t>
  </si>
  <si>
    <t>3000998042</t>
  </si>
  <si>
    <t>3000998861</t>
  </si>
  <si>
    <t>3001005756</t>
  </si>
  <si>
    <t>3001005684</t>
  </si>
  <si>
    <t>3001005083</t>
  </si>
  <si>
    <t>3001005054</t>
  </si>
  <si>
    <t>3001005060</t>
  </si>
  <si>
    <t>3001005683</t>
  </si>
  <si>
    <t>3001005042</t>
  </si>
  <si>
    <t>3001005158</t>
  </si>
  <si>
    <t>3001007727</t>
  </si>
  <si>
    <t>3001008462</t>
  </si>
  <si>
    <t>3001008274</t>
  </si>
  <si>
    <t>3001007175</t>
  </si>
  <si>
    <t>3001011194</t>
  </si>
  <si>
    <t>3001011785</t>
  </si>
  <si>
    <t>3001013500</t>
  </si>
  <si>
    <t>3001013634</t>
  </si>
  <si>
    <t>3001013646</t>
  </si>
  <si>
    <t>3001015896</t>
  </si>
  <si>
    <t>3001014100</t>
  </si>
  <si>
    <t>3001016535</t>
  </si>
  <si>
    <t>3001017918</t>
  </si>
  <si>
    <t>3001016200</t>
  </si>
  <si>
    <t>3001019788</t>
  </si>
  <si>
    <t>3001020023</t>
  </si>
  <si>
    <t>3001022799</t>
  </si>
  <si>
    <t>3001021552</t>
  </si>
  <si>
    <t>3001019323</t>
  </si>
  <si>
    <t>3001020524</t>
  </si>
  <si>
    <t>3001019809</t>
  </si>
  <si>
    <t>3001021513</t>
  </si>
  <si>
    <t>3001021117</t>
  </si>
  <si>
    <t>3001028678</t>
  </si>
  <si>
    <t>3001026047</t>
  </si>
  <si>
    <t>3001030613</t>
  </si>
  <si>
    <t>3001026741</t>
  </si>
  <si>
    <t>3001030920</t>
  </si>
  <si>
    <t>3001030819</t>
  </si>
  <si>
    <t>3001030503</t>
  </si>
  <si>
    <t>3001030647</t>
  </si>
  <si>
    <t>3001030581</t>
  </si>
  <si>
    <t>3001030818</t>
  </si>
  <si>
    <t>3001032408</t>
  </si>
  <si>
    <t>3001022753</t>
  </si>
  <si>
    <t>3001034546</t>
  </si>
  <si>
    <t>3001036301</t>
  </si>
  <si>
    <t>3001035278</t>
  </si>
  <si>
    <t>3001037678</t>
  </si>
  <si>
    <t>3001035902</t>
  </si>
  <si>
    <t>3001035302</t>
  </si>
  <si>
    <t>3001035379</t>
  </si>
  <si>
    <t>3001035363</t>
  </si>
  <si>
    <t>3001040206</t>
  </si>
  <si>
    <t>3001040226</t>
  </si>
  <si>
    <t>3001036488</t>
  </si>
  <si>
    <t>3001038614</t>
  </si>
  <si>
    <t>INV125071034</t>
  </si>
  <si>
    <t>บ.เอสพีเอส เมดิคอล</t>
  </si>
  <si>
    <t>112507002206</t>
  </si>
  <si>
    <t>บ.ไบโอวาลิส</t>
  </si>
  <si>
    <t>IV12514169</t>
  </si>
  <si>
    <t>1317683453</t>
  </si>
  <si>
    <t>1317686572</t>
  </si>
  <si>
    <t>3001042006</t>
  </si>
  <si>
    <t>3001042024</t>
  </si>
  <si>
    <t>3001042019</t>
  </si>
  <si>
    <t>3001039910</t>
  </si>
  <si>
    <t>3001039274</t>
  </si>
  <si>
    <t>3001043830</t>
  </si>
  <si>
    <t>3001038632</t>
  </si>
  <si>
    <t>3001041534</t>
  </si>
  <si>
    <t>3001040230</t>
  </si>
  <si>
    <t>3001041966</t>
  </si>
  <si>
    <t>3001043559</t>
  </si>
  <si>
    <t>3001043841</t>
  </si>
  <si>
    <t>3001044814</t>
  </si>
  <si>
    <t>3001045041</t>
  </si>
  <si>
    <t>3001045298</t>
  </si>
  <si>
    <t>3001046605</t>
  </si>
  <si>
    <t>3001049526</t>
  </si>
  <si>
    <t>3001049436</t>
  </si>
  <si>
    <t>3001049105</t>
  </si>
  <si>
    <t>1317775223</t>
  </si>
  <si>
    <t>B2507/0734</t>
  </si>
  <si>
    <t>3001047436</t>
  </si>
  <si>
    <t>3001050552</t>
  </si>
  <si>
    <t>3001049946</t>
  </si>
  <si>
    <t>3001049983</t>
  </si>
  <si>
    <t>3001049908</t>
  </si>
  <si>
    <t>5344093657</t>
  </si>
  <si>
    <t>1317780266</t>
  </si>
  <si>
    <t>5344111062</t>
  </si>
  <si>
    <t>1317795528</t>
  </si>
  <si>
    <t>บ.โปลิฟาร์ม</t>
  </si>
  <si>
    <t>IVU-68034031</t>
  </si>
  <si>
    <t>บ.เบอร์ลินฟาร์มาซูติคอลอินดัสตรี้</t>
  </si>
  <si>
    <t>6810801391</t>
  </si>
  <si>
    <t>3001051390</t>
  </si>
  <si>
    <t>3001051762</t>
  </si>
  <si>
    <t>1317865024</t>
  </si>
  <si>
    <t>1317833940</t>
  </si>
  <si>
    <t>T6808/20087</t>
  </si>
  <si>
    <t>บ.เยนเนอร์ราลดรั๊กส์เฮ้าส์</t>
  </si>
  <si>
    <t>25108256</t>
  </si>
  <si>
    <t>IV6841657</t>
  </si>
  <si>
    <t>1317897137</t>
  </si>
  <si>
    <t>T6808/20140</t>
  </si>
  <si>
    <t>B2508/0206</t>
  </si>
  <si>
    <t>3001053077</t>
  </si>
  <si>
    <t>3001053341</t>
  </si>
  <si>
    <t>3001053896</t>
  </si>
  <si>
    <t>3001053262</t>
  </si>
  <si>
    <t>3001053543</t>
  </si>
  <si>
    <t>3001039602</t>
  </si>
  <si>
    <t>3001054232</t>
  </si>
  <si>
    <t>3001054235</t>
  </si>
  <si>
    <t>3001053813</t>
  </si>
  <si>
    <t>3001054470</t>
  </si>
  <si>
    <t>5344155641</t>
  </si>
  <si>
    <t>1317861954</t>
  </si>
  <si>
    <t>1317917428</t>
  </si>
  <si>
    <t>5344180109</t>
  </si>
  <si>
    <t>3001055498</t>
  </si>
  <si>
    <t>3001054482</t>
  </si>
  <si>
    <t>3001056095</t>
  </si>
  <si>
    <t>1317932662</t>
  </si>
  <si>
    <t>C68080329</t>
  </si>
  <si>
    <t>3001052049</t>
  </si>
  <si>
    <t>3001054234</t>
  </si>
  <si>
    <t>3001057843</t>
  </si>
  <si>
    <t>3001056821</t>
  </si>
  <si>
    <t>3001060460</t>
  </si>
  <si>
    <t>3001060170</t>
  </si>
  <si>
    <t>5344245616</t>
  </si>
  <si>
    <t>5344233103</t>
  </si>
  <si>
    <t>1318011952</t>
  </si>
  <si>
    <t>1318029450</t>
  </si>
  <si>
    <t>C68080558</t>
  </si>
  <si>
    <t>บ.แปซิฟิค เฮลธ์แคร์(ไทยแลนด์)</t>
  </si>
  <si>
    <t>68042664</t>
  </si>
  <si>
    <t>5344269355</t>
  </si>
  <si>
    <t>3001058450</t>
  </si>
  <si>
    <t>3001060074</t>
  </si>
  <si>
    <t>3001060914</t>
  </si>
  <si>
    <t>3001062410</t>
  </si>
  <si>
    <t>5344300473</t>
  </si>
  <si>
    <t>0041/004100</t>
  </si>
  <si>
    <t>3001063178</t>
  </si>
  <si>
    <t>INV125090235</t>
  </si>
  <si>
    <t>IV12517583</t>
  </si>
  <si>
    <t>1318087852</t>
  </si>
  <si>
    <t>5449301024</t>
  </si>
  <si>
    <t>1318106866</t>
  </si>
  <si>
    <t>3001065674</t>
  </si>
  <si>
    <t>IVU-68039186</t>
  </si>
  <si>
    <t>3001065714</t>
  </si>
  <si>
    <t>3001065711</t>
  </si>
  <si>
    <t>3001066619</t>
  </si>
  <si>
    <t>310957400557</t>
  </si>
  <si>
    <t>3001067438</t>
  </si>
  <si>
    <t>3001067151</t>
  </si>
  <si>
    <t>3001067152</t>
  </si>
  <si>
    <t>3001067150</t>
  </si>
  <si>
    <t>6810903460</t>
  </si>
  <si>
    <t>1318181592</t>
  </si>
  <si>
    <t>1318182535</t>
  </si>
  <si>
    <t>5160007558</t>
  </si>
  <si>
    <t>5344392273</t>
  </si>
  <si>
    <t>3001068367</t>
  </si>
  <si>
    <t>3001054070</t>
  </si>
  <si>
    <t>3001059283</t>
  </si>
  <si>
    <t>3001064165</t>
  </si>
  <si>
    <t>3001069844</t>
  </si>
  <si>
    <t>3001070088</t>
  </si>
  <si>
    <t>3001069092</t>
  </si>
  <si>
    <t>3001070311</t>
  </si>
  <si>
    <t>3001070853</t>
  </si>
  <si>
    <t>3001069051</t>
  </si>
  <si>
    <t>3001070290</t>
  </si>
  <si>
    <t>3001070289</t>
  </si>
  <si>
    <t>3001071878</t>
  </si>
  <si>
    <t>3001075551</t>
  </si>
  <si>
    <t>3001075691</t>
  </si>
  <si>
    <t>3001075000</t>
  </si>
  <si>
    <t>3001075342</t>
  </si>
  <si>
    <t>3001075690</t>
  </si>
  <si>
    <t>3001076325</t>
  </si>
  <si>
    <t>3001078665</t>
  </si>
  <si>
    <t>3001078623</t>
  </si>
  <si>
    <t>3001079849</t>
  </si>
  <si>
    <t>3001078627</t>
  </si>
  <si>
    <t>3001078629</t>
  </si>
  <si>
    <t>5344536711</t>
  </si>
  <si>
    <t>1318479948</t>
  </si>
  <si>
    <t>1318480356</t>
  </si>
  <si>
    <t>1318437870</t>
  </si>
  <si>
    <t>6811005389</t>
  </si>
  <si>
    <t>3001085013</t>
  </si>
  <si>
    <t>3001079941</t>
  </si>
  <si>
    <t>3001084987</t>
  </si>
  <si>
    <t>3001083638</t>
  </si>
  <si>
    <t>3001083631</t>
  </si>
  <si>
    <t>บ.เอเทค เมดิคอล</t>
  </si>
  <si>
    <t>IV6703468</t>
  </si>
  <si>
    <t>1.2.02 ค่าวัสดุการแพทย์ GFMIS (เงินฝากคลังรายได้ค่ารักษาโรงพยาบาลนางรอง ฝากคลัง)</t>
  </si>
  <si>
    <t>IV6705084</t>
  </si>
  <si>
    <t>3206-68</t>
  </si>
  <si>
    <t>บ.แบงค็อก เมดิคอลส์ โปร</t>
  </si>
  <si>
    <t>IV17907/68</t>
  </si>
  <si>
    <t>3041-68</t>
  </si>
  <si>
    <t>IV17904/68</t>
  </si>
  <si>
    <t>3040-68</t>
  </si>
  <si>
    <t>IV17905/68</t>
  </si>
  <si>
    <t>3425-68</t>
  </si>
  <si>
    <t>IV18121/68</t>
  </si>
  <si>
    <t>3423-68</t>
  </si>
  <si>
    <t>IV18123/68</t>
  </si>
  <si>
    <t>3424-68</t>
  </si>
  <si>
    <t>IV18122/68</t>
  </si>
  <si>
    <t>3301-68 3319-68</t>
  </si>
  <si>
    <t>IV6809-0019</t>
  </si>
  <si>
    <t>1.2.03 ค่าวัสดุคอมพิวเตอร์ GFMIS (เงินฝากคลังรายได้ค่ารักษาโรงพยาบาลนางรอง ฝากคลัง)</t>
  </si>
  <si>
    <t>3326-68</t>
  </si>
  <si>
    <t>บ.พีทีโอเอเซ็นเตอร์</t>
  </si>
  <si>
    <t>I007749</t>
  </si>
  <si>
    <t>3540-68 3630-68 3629-68</t>
  </si>
  <si>
    <t>IV6809-0106</t>
  </si>
  <si>
    <t>3250-68</t>
  </si>
  <si>
    <t>I68/000623</t>
  </si>
  <si>
    <t>4002-68 3944-68 3955-68 3954-68</t>
  </si>
  <si>
    <t>IV2510-067109</t>
  </si>
  <si>
    <t>2147-68</t>
  </si>
  <si>
    <t>หจก.ภาสิน</t>
  </si>
  <si>
    <t>62128</t>
  </si>
  <si>
    <t>1.2.04 ค่าวัสดุสำนักงาน GFMIS (เงินฝากคลังรายได้ค่ารักษาโรงพยาบาลนางรอง ฝากคลัง)</t>
  </si>
  <si>
    <t>2695-68</t>
  </si>
  <si>
    <t>62854</t>
  </si>
  <si>
    <t>2815-68</t>
  </si>
  <si>
    <t>หจก.กิจเจริญ เลเบล แอนด์พริ้น</t>
  </si>
  <si>
    <t>TI0825734</t>
  </si>
  <si>
    <t>2904-68</t>
  </si>
  <si>
    <t>TI0825760</t>
  </si>
  <si>
    <t>3448-68</t>
  </si>
  <si>
    <t>63410</t>
  </si>
  <si>
    <t>953-68</t>
  </si>
  <si>
    <t>TI0925855</t>
  </si>
  <si>
    <t>3249-68</t>
  </si>
  <si>
    <t>หจก.ไอที.โปรเจค</t>
  </si>
  <si>
    <t>028/01366</t>
  </si>
  <si>
    <t>3411-68</t>
  </si>
  <si>
    <t>63590</t>
  </si>
  <si>
    <t>2970-68</t>
  </si>
  <si>
    <t>1317702264</t>
  </si>
  <si>
    <t>2969-68</t>
  </si>
  <si>
    <t>1317702186</t>
  </si>
  <si>
    <t>3444-68</t>
  </si>
  <si>
    <t>1317981020</t>
  </si>
  <si>
    <t>3443-68</t>
  </si>
  <si>
    <t>1317981006</t>
  </si>
  <si>
    <t>995-68</t>
  </si>
  <si>
    <t>หจก.ดิษยาพรรณ</t>
  </si>
  <si>
    <t>68-06-0006</t>
  </si>
  <si>
    <t>1.2.07 ค่าวัสดุงานบ้านงานครัว GFMIS (เงินฝากคลังรายได้ค่ารักษาโรงพยาบาลนางรอง ฝากคลัง)</t>
  </si>
  <si>
    <t>1468-68</t>
  </si>
  <si>
    <t>68-06-0014</t>
  </si>
  <si>
    <t>2302-68</t>
  </si>
  <si>
    <t>หจก.ศ.ณัฐวุฒิมาร์เก็ตติ้ง</t>
  </si>
  <si>
    <t>2055</t>
  </si>
  <si>
    <t>2132-68</t>
  </si>
  <si>
    <t>หจก.กิตติเชษฐ์ เอสพีอาร์</t>
  </si>
  <si>
    <t>IV8060814</t>
  </si>
  <si>
    <t>2491-68</t>
  </si>
  <si>
    <t>IV8060870</t>
  </si>
  <si>
    <t>2407-68</t>
  </si>
  <si>
    <t>ร้าน ชัยพัฒนา โดย นายทรงชัย ธีระศักดิ์วิชยา</t>
  </si>
  <si>
    <t>073/3642</t>
  </si>
  <si>
    <t>3077-68</t>
  </si>
  <si>
    <t>I68/000485</t>
  </si>
  <si>
    <t>3543-68</t>
  </si>
  <si>
    <t>บ.คราวน์ เมดิคอล</t>
  </si>
  <si>
    <t>OFF2508024</t>
  </si>
  <si>
    <t>3402-68 3401-68 3403-68</t>
  </si>
  <si>
    <t>TN00002954</t>
  </si>
  <si>
    <t>2879-68 2871-68 2872-68</t>
  </si>
  <si>
    <t>0003/0002</t>
  </si>
  <si>
    <t>1.2.10 ค่าวัสดุอื่น GFMIS (เงินฝากคลังรายได้ค่ารักษาโรงพยาบาลนางรอง ฝากคลัง)</t>
  </si>
  <si>
    <t>892-68</t>
  </si>
  <si>
    <t>หจก.อิเลฟเว่น พลัซ</t>
  </si>
  <si>
    <t>EL680811096</t>
  </si>
  <si>
    <t>891-68</t>
  </si>
  <si>
    <t>EL680815129</t>
  </si>
  <si>
    <t>3175-68</t>
  </si>
  <si>
    <t>I68/000531</t>
  </si>
  <si>
    <t>3246-68</t>
  </si>
  <si>
    <t>I68/000559</t>
  </si>
  <si>
    <t>3268-68</t>
  </si>
  <si>
    <t>I68/000560</t>
  </si>
  <si>
    <t>3467-68</t>
  </si>
  <si>
    <t>หจก.เอ็นบี ซัพพลาย เอ็นจิเนียริ่ง(ประเทศไทย)</t>
  </si>
  <si>
    <t>INV2025090015</t>
  </si>
  <si>
    <t>3835-68</t>
  </si>
  <si>
    <t>I68/000652</t>
  </si>
  <si>
    <t>3030-68 3031-68 3029-68</t>
  </si>
  <si>
    <t>IV680806-020</t>
  </si>
  <si>
    <t>3409-68</t>
  </si>
  <si>
    <t>IV680821-012</t>
  </si>
  <si>
    <t>2360-68</t>
  </si>
  <si>
    <t>185/9221</t>
  </si>
  <si>
    <t>1.3.01 ค่าครุภัณฑ์ต่ำกว่าเกณฑ์ GFMIS (เงินฝากคลังรายได้ค่ารักษาโรงพยาบาลนางรอง ฝากคลัง)</t>
  </si>
  <si>
    <t>3278-68</t>
  </si>
  <si>
    <t>186/9261</t>
  </si>
  <si>
    <t>2064-68 2595-68</t>
  </si>
  <si>
    <t>61922</t>
  </si>
  <si>
    <t>3325-68</t>
  </si>
  <si>
    <t>I68/000580</t>
  </si>
  <si>
    <t>3385-68</t>
  </si>
  <si>
    <t>I68/000601</t>
  </si>
  <si>
    <t>3273-68</t>
  </si>
  <si>
    <t>I68/000611</t>
  </si>
  <si>
    <t>3707-68</t>
  </si>
  <si>
    <t>190/9474</t>
  </si>
  <si>
    <t>3722-68</t>
  </si>
  <si>
    <t>I68/000626</t>
  </si>
  <si>
    <t>3123-68</t>
  </si>
  <si>
    <t>I68/000627</t>
  </si>
  <si>
    <t>3162-68</t>
  </si>
  <si>
    <t>I007762</t>
  </si>
  <si>
    <t>1.3.02 ค่าครุภัณฑ์คอมพิวเตอร์ GFMIS (เงินฝากคลังรายได้ค่ารักษาโรงพยาบาลนางรอง ฝากคลัง)</t>
  </si>
  <si>
    <t>3176-68</t>
  </si>
  <si>
    <t>I68/000532</t>
  </si>
  <si>
    <t>1.3.03 ค่าครุภัณฑ์สำนักงาน GFMIS (เงินฝากคลังรายได้ค่ารักษาโรงพยาบาลนางรอง ฝากคลัง)</t>
  </si>
  <si>
    <t>3262-68</t>
  </si>
  <si>
    <t>I68/000533</t>
  </si>
  <si>
    <t>3300-68 3299-68</t>
  </si>
  <si>
    <t>I68/000552</t>
  </si>
  <si>
    <t>3263-68</t>
  </si>
  <si>
    <t>I68/000551</t>
  </si>
  <si>
    <t>3303-68</t>
  </si>
  <si>
    <t>I68/000573</t>
  </si>
  <si>
    <t>3323-68 3324-68</t>
  </si>
  <si>
    <t>I68/000579</t>
  </si>
  <si>
    <t>3361-68</t>
  </si>
  <si>
    <t>I68/000584</t>
  </si>
  <si>
    <t>3852-68</t>
  </si>
  <si>
    <t>I68/000651</t>
  </si>
  <si>
    <t>3837-68</t>
  </si>
  <si>
    <t>I68/000665</t>
  </si>
  <si>
    <t>3079-68</t>
  </si>
  <si>
    <t>I68/000677</t>
  </si>
  <si>
    <t>811-68</t>
  </si>
  <si>
    <t>บ.ณรงค์ศักดิ์ครุภัณฑ์เวชภัณฑ์</t>
  </si>
  <si>
    <t>034/3428</t>
  </si>
  <si>
    <t>1.3.05 ค่าครุภัณฑ์วิทยาศาสตร์การแพทย์ GFMIS (เงินฝากคลังรายได้ค่ารักษาโรงพยาบาลนางรอง ฝากคลัง)</t>
  </si>
  <si>
    <t>813-68</t>
  </si>
  <si>
    <t>034/3427</t>
  </si>
  <si>
    <t>940-68</t>
  </si>
  <si>
    <t>บ.โซวิค</t>
  </si>
  <si>
    <t>159265</t>
  </si>
  <si>
    <t>2483-68</t>
  </si>
  <si>
    <t>บ.ธเนศพัฒนา</t>
  </si>
  <si>
    <t>I6810020</t>
  </si>
  <si>
    <t>803-68</t>
  </si>
  <si>
    <t>บ.เค.เอช.ที.เซ็นทรัลซัพพลาย</t>
  </si>
  <si>
    <t>HO6808-035</t>
  </si>
  <si>
    <t>1.3.10 ค่าครุภัณฑ์งานบ้านงานครัว GFMIS (เงินฝากคลังรายได้ค่ารักษาโรงพยาบาลนางรอง ฝากคลัง)</t>
  </si>
  <si>
    <t>3384-68</t>
  </si>
  <si>
    <t>I68/000606</t>
  </si>
  <si>
    <t>3628-68</t>
  </si>
  <si>
    <t>หจก วาย พี ที เฮลท์แคร์</t>
  </si>
  <si>
    <t>IS5/68</t>
  </si>
  <si>
    <t>4011-68</t>
  </si>
  <si>
    <t>LLP-INV09-25100218</t>
  </si>
  <si>
    <t>P690001</t>
  </si>
  <si>
    <t>25IS00100011</t>
  </si>
  <si>
    <t>3415-68</t>
  </si>
  <si>
    <t>หจก.นางรองเจริญยางยนต์</t>
  </si>
  <si>
    <t>6808000207</t>
  </si>
  <si>
    <t>1.4.03 ค่าซ่อมครุภัณฑ์ยานพาหนะ GFMIS (เงินฝากคลังรายได้ค่ารักษาโรงพยาบาลนางรอง ฝากคลัง)</t>
  </si>
  <si>
    <t>2965-68</t>
  </si>
  <si>
    <t>6808000348</t>
  </si>
  <si>
    <t>3202-68</t>
  </si>
  <si>
    <t>I6805074</t>
  </si>
  <si>
    <t>1.4.04 ค่าซ่อมครุภัณฑ์งานบ้านงานครัว GFMIS (เงินฝากคลังรายได้ค่ารักษาโรงพยาบาลนางรอง ฝากคลัง)</t>
  </si>
  <si>
    <t>2834-68</t>
  </si>
  <si>
    <t>บ.เอน-ไซน์ เอ็นจิเนียริง</t>
  </si>
  <si>
    <t>20251376</t>
  </si>
  <si>
    <t>1.4.07 ค่าซ่อมครุภัณฑ์การแพทย์ GFMIS (เงินฝากคลังรายได้ค่ารักษาโรงพยาบาลนางรอง ฝากคลัง)</t>
  </si>
  <si>
    <t>2835-68</t>
  </si>
  <si>
    <t>20251375</t>
  </si>
  <si>
    <t>3836-68</t>
  </si>
  <si>
    <t>20251374</t>
  </si>
  <si>
    <t>1833-68</t>
  </si>
  <si>
    <t>20251391</t>
  </si>
  <si>
    <t>1834-68</t>
  </si>
  <si>
    <t>20251390</t>
  </si>
  <si>
    <t>3631-68</t>
  </si>
  <si>
    <t>IV-20250900003</t>
  </si>
  <si>
    <t>9110558003</t>
  </si>
  <si>
    <t>9110563969</t>
  </si>
  <si>
    <t>9110564548</t>
  </si>
  <si>
    <t>ML24072311</t>
  </si>
  <si>
    <t>บ.2เอ็ม(เมด-เมเกอร์)</t>
  </si>
  <si>
    <t>Z0089132</t>
  </si>
  <si>
    <t>บ.พรอส ฟาร์มา</t>
  </si>
  <si>
    <t>INV-L-IM\2.24102418</t>
  </si>
  <si>
    <t>บ.มาสุ</t>
  </si>
  <si>
    <t>248051</t>
  </si>
  <si>
    <t>บ.คอนติเนนเติล-ฟาร์ม</t>
  </si>
  <si>
    <t>241000981</t>
  </si>
  <si>
    <t>24IN08103016</t>
  </si>
  <si>
    <t>INV-L-IM\2024103714</t>
  </si>
  <si>
    <t>INV-L-IM\2024103820</t>
  </si>
  <si>
    <t>INV-L-IM\2024110531</t>
  </si>
  <si>
    <t>24IN08110516</t>
  </si>
  <si>
    <t>249075</t>
  </si>
  <si>
    <t>24IN08111490</t>
  </si>
  <si>
    <t>บ.วี.แอนด์.วี.กรุงเทพ</t>
  </si>
  <si>
    <t>8103013659</t>
  </si>
  <si>
    <t>บ.สามัคคีเภสัช</t>
  </si>
  <si>
    <t>DM241012560</t>
  </si>
  <si>
    <t>บ.เอ.เอ็น.บี.ลาบอรอตอรี่</t>
  </si>
  <si>
    <t>8370813730</t>
  </si>
  <si>
    <t>8370813731</t>
  </si>
  <si>
    <t>8370815288</t>
  </si>
  <si>
    <t>8370815289</t>
  </si>
  <si>
    <t>24IN08112338</t>
  </si>
  <si>
    <t>24IN08112339</t>
  </si>
  <si>
    <t>B26711136</t>
  </si>
  <si>
    <t>DM-241013141</t>
  </si>
  <si>
    <t>8102971077</t>
  </si>
  <si>
    <t>8102980796</t>
  </si>
  <si>
    <t>8103000439</t>
  </si>
  <si>
    <t>8103010657</t>
  </si>
  <si>
    <t>8103024211</t>
  </si>
  <si>
    <t>24IN08114467</t>
  </si>
  <si>
    <t>8370817303</t>
  </si>
  <si>
    <t>8370817304</t>
  </si>
  <si>
    <t>8370818978</t>
  </si>
  <si>
    <t>บ.แอล.บี.เอส.แลบบอเรตอรี่</t>
  </si>
  <si>
    <t>847958</t>
  </si>
  <si>
    <t>250347</t>
  </si>
  <si>
    <t>8103043079</t>
  </si>
  <si>
    <t>24IN08122337</t>
  </si>
  <si>
    <t>241200654</t>
  </si>
  <si>
    <t>250635</t>
  </si>
  <si>
    <t>8103049936</t>
  </si>
  <si>
    <t>บ.ชูมิตร 1967</t>
  </si>
  <si>
    <t>IN6712-1182</t>
  </si>
  <si>
    <t>8370818979</t>
  </si>
  <si>
    <t>8370818980</t>
  </si>
  <si>
    <t>24IN08123427</t>
  </si>
  <si>
    <t>8103065453</t>
  </si>
  <si>
    <t>บ.ไบโอจีนีเทค</t>
  </si>
  <si>
    <t>IV241202354</t>
  </si>
  <si>
    <t>INV-L-IM\2024123700</t>
  </si>
  <si>
    <t>8103071400</t>
  </si>
  <si>
    <t>INV-L-IM\2024124368</t>
  </si>
  <si>
    <t>8370818981</t>
  </si>
  <si>
    <t>8370824894</t>
  </si>
  <si>
    <t>INV-L-IM\2025010680</t>
  </si>
  <si>
    <t>250100420</t>
  </si>
  <si>
    <t>บ.เจ เอส วิชั่น</t>
  </si>
  <si>
    <t>100480610</t>
  </si>
  <si>
    <t>IV6802970</t>
  </si>
  <si>
    <t>25IN08012998</t>
  </si>
  <si>
    <t>25IN08012997</t>
  </si>
  <si>
    <t>IV6802505</t>
  </si>
  <si>
    <t>IV250101695</t>
  </si>
  <si>
    <t>252002</t>
  </si>
  <si>
    <t>B26801173</t>
  </si>
  <si>
    <t>บ.แอตแลนติค ฟาร์มาซูติคอล</t>
  </si>
  <si>
    <t>PIN2441714</t>
  </si>
  <si>
    <t>PIN2502836</t>
  </si>
  <si>
    <t>PIN2501620</t>
  </si>
  <si>
    <t>PIN2502100</t>
  </si>
  <si>
    <t>250101206</t>
  </si>
  <si>
    <t>บ.บี.เอ็ล.เอช.เทร็ดดิ้ง</t>
  </si>
  <si>
    <t>1068002568</t>
  </si>
  <si>
    <t>INV-L-IM\2025013498</t>
  </si>
  <si>
    <t>25IN08014262</t>
  </si>
  <si>
    <t>8103125866</t>
  </si>
  <si>
    <t>855997</t>
  </si>
  <si>
    <t>855587</t>
  </si>
  <si>
    <t>6810111742</t>
  </si>
  <si>
    <t>8370832235</t>
  </si>
  <si>
    <t>8370833761</t>
  </si>
  <si>
    <t>856916</t>
  </si>
  <si>
    <t>บ.บูรพา ฟาร์มา</t>
  </si>
  <si>
    <t>DSP6800244</t>
  </si>
  <si>
    <t>DSP6800265</t>
  </si>
  <si>
    <t>IV6803469</t>
  </si>
  <si>
    <t>IV6806256</t>
  </si>
  <si>
    <t>Z0092324</t>
  </si>
  <si>
    <t>บ.บี.เอ็ล.ฮั้ว</t>
  </si>
  <si>
    <t>68004768</t>
  </si>
  <si>
    <t>DM-251001562</t>
  </si>
  <si>
    <t>PIN2503648</t>
  </si>
  <si>
    <t>68008346</t>
  </si>
  <si>
    <t>252848</t>
  </si>
  <si>
    <t>PIN2504917</t>
  </si>
  <si>
    <t>IV6807741</t>
  </si>
  <si>
    <t>บ.แก้วมังกรเภสัช</t>
  </si>
  <si>
    <t>IV68020286</t>
  </si>
  <si>
    <t>บ.ชุมชนเภสัชกรรม</t>
  </si>
  <si>
    <t>IV680200655</t>
  </si>
  <si>
    <t>IV680201614</t>
  </si>
  <si>
    <t>25101712</t>
  </si>
  <si>
    <t>8103156379</t>
  </si>
  <si>
    <t>PIN2505515</t>
  </si>
  <si>
    <t>1068004378</t>
  </si>
  <si>
    <t>8103164823</t>
  </si>
  <si>
    <t>8103164824</t>
  </si>
  <si>
    <t>IV6808381</t>
  </si>
  <si>
    <t>IV6808382</t>
  </si>
  <si>
    <t>310257400857</t>
  </si>
  <si>
    <t>25IN08014771</t>
  </si>
  <si>
    <t>25IN08023439</t>
  </si>
  <si>
    <t>68006599</t>
  </si>
  <si>
    <t>PIN2505846</t>
  </si>
  <si>
    <t>68010681</t>
  </si>
  <si>
    <t>859738</t>
  </si>
  <si>
    <t>INV-L-IM\2025022568</t>
  </si>
  <si>
    <t>บ.ฟาร์มาดิกา</t>
  </si>
  <si>
    <t>DIS250220-008</t>
  </si>
  <si>
    <t>8370836789</t>
  </si>
  <si>
    <t>8370836792</t>
  </si>
  <si>
    <t>B56802098</t>
  </si>
  <si>
    <t>PIN2506642</t>
  </si>
  <si>
    <t>859916</t>
  </si>
  <si>
    <t>PIN2506884</t>
  </si>
  <si>
    <t>8103180094</t>
  </si>
  <si>
    <t>8103174338</t>
  </si>
  <si>
    <t>8103185273</t>
  </si>
  <si>
    <t>บ.วิทยาศรม</t>
  </si>
  <si>
    <t>3-2500086</t>
  </si>
  <si>
    <t>IV6810868</t>
  </si>
  <si>
    <t>25IN08024948</t>
  </si>
  <si>
    <t>PIN2507391</t>
  </si>
  <si>
    <t>IV6811635</t>
  </si>
  <si>
    <t>8103138133</t>
  </si>
  <si>
    <t>8103197079</t>
  </si>
  <si>
    <t>25IR00020019</t>
  </si>
  <si>
    <t>DIS250305-084</t>
  </si>
  <si>
    <t>25IN08030567</t>
  </si>
  <si>
    <t>บ.แอตแลนต้า เมดดิคแคร์</t>
  </si>
  <si>
    <t>BI/225030157</t>
  </si>
  <si>
    <t>DSP6800553</t>
  </si>
  <si>
    <t>8103203101</t>
  </si>
  <si>
    <t>B26803065</t>
  </si>
  <si>
    <t>IV6813142</t>
  </si>
  <si>
    <t>254094</t>
  </si>
  <si>
    <t>B2503/0128</t>
  </si>
  <si>
    <t>862387</t>
  </si>
  <si>
    <t>IV6813288</t>
  </si>
  <si>
    <t>บ.ที เอ็น พี เฮลท์แคร์</t>
  </si>
  <si>
    <t>8103205168</t>
  </si>
  <si>
    <t>บ.ยูเมด้า</t>
  </si>
  <si>
    <t>315066</t>
  </si>
  <si>
    <t>250300632</t>
  </si>
  <si>
    <t>บ.ฟาร์ม่า อินโนวา</t>
  </si>
  <si>
    <t>6801508</t>
  </si>
  <si>
    <t>254262</t>
  </si>
  <si>
    <t>B2503/0213</t>
  </si>
  <si>
    <t>M2503/0160</t>
  </si>
  <si>
    <t>บ.ที.พี.ดรัก แลบบอราทอรี่ส์</t>
  </si>
  <si>
    <t>VIV125030892</t>
  </si>
  <si>
    <t>112503002455</t>
  </si>
  <si>
    <t>6810304713</t>
  </si>
  <si>
    <t>6810304763</t>
  </si>
  <si>
    <t>25IN08032367</t>
  </si>
  <si>
    <t>B26803132</t>
  </si>
  <si>
    <t>M2503/0288</t>
  </si>
  <si>
    <t>6810305422</t>
  </si>
  <si>
    <t>6810305474</t>
  </si>
  <si>
    <t>IV6804516</t>
  </si>
  <si>
    <t>บ.โรงงานเภสัชกรรมแหลมทองการแพทย์</t>
  </si>
  <si>
    <t>IV6803/0170</t>
  </si>
  <si>
    <t>INV-ศ-IM\2025031993</t>
  </si>
  <si>
    <t>25102842</t>
  </si>
  <si>
    <t>B2503/0306</t>
  </si>
  <si>
    <t>25IN08032906</t>
  </si>
  <si>
    <t>68010657</t>
  </si>
  <si>
    <t>VIV125031428</t>
  </si>
  <si>
    <t>IV6815345</t>
  </si>
  <si>
    <t>VIV125031679</t>
  </si>
  <si>
    <t>VIV125031764</t>
  </si>
  <si>
    <t>VIV125031989</t>
  </si>
  <si>
    <t>บ.ฟาร์มีน่า</t>
  </si>
  <si>
    <t>68382391</t>
  </si>
  <si>
    <t>68382449</t>
  </si>
  <si>
    <t>112503004677</t>
  </si>
  <si>
    <t>8370851550</t>
  </si>
  <si>
    <t>8370851551</t>
  </si>
  <si>
    <t>IV680304931</t>
  </si>
  <si>
    <t>C68030423</t>
  </si>
  <si>
    <t>บ.ดีซีเอช ออดิกา (ปรเทศไทย)</t>
  </si>
  <si>
    <t>UG94616698</t>
  </si>
  <si>
    <t>6810307475</t>
  </si>
  <si>
    <t>INV-L-IM\2025033546</t>
  </si>
  <si>
    <t>VIV125031093</t>
  </si>
  <si>
    <t>25103187</t>
  </si>
  <si>
    <t>IV6815861</t>
  </si>
  <si>
    <t>B26803250</t>
  </si>
  <si>
    <t>8370851552</t>
  </si>
  <si>
    <t>8370851553</t>
  </si>
  <si>
    <t>บ.ยูโทเปี้ยน</t>
  </si>
  <si>
    <t>IV2503788</t>
  </si>
  <si>
    <t>BI/225030668</t>
  </si>
  <si>
    <t>254952</t>
  </si>
  <si>
    <t>8103247475</t>
  </si>
  <si>
    <t>M2503/0612</t>
  </si>
  <si>
    <t>1068008437</t>
  </si>
  <si>
    <t>ML25035041</t>
  </si>
  <si>
    <t>บ.เวสโก ฟาร์มาซูติคอล</t>
  </si>
  <si>
    <t>IV68031450</t>
  </si>
  <si>
    <t>IV6817267</t>
  </si>
  <si>
    <t>1068008508</t>
  </si>
  <si>
    <t>6810309559</t>
  </si>
  <si>
    <t>IV6803/0444</t>
  </si>
  <si>
    <t>865817</t>
  </si>
  <si>
    <t>B2503/0605</t>
  </si>
  <si>
    <t>SIS250401-040</t>
  </si>
  <si>
    <t>PIN2511741</t>
  </si>
  <si>
    <t>บ.อุยเฮง อินเตอร์เนชั่นแนล เฮลท์แคร์</t>
  </si>
  <si>
    <t>OH-2-2-2025001315</t>
  </si>
  <si>
    <t>8103255635</t>
  </si>
  <si>
    <t>68018325</t>
  </si>
  <si>
    <t>บ.พรีเมด ฟาร์มา พลัส</t>
  </si>
  <si>
    <t>PL680400120</t>
  </si>
  <si>
    <t>100498197</t>
  </si>
  <si>
    <t>8370861399</t>
  </si>
  <si>
    <t>8370861400</t>
  </si>
  <si>
    <t>8370863096</t>
  </si>
  <si>
    <t>IV68040194</t>
  </si>
  <si>
    <t>INV-L-IM\2025040893</t>
  </si>
  <si>
    <t>6810401592</t>
  </si>
  <si>
    <t>IV68040206</t>
  </si>
  <si>
    <t>IST250054018</t>
  </si>
  <si>
    <t>IV250400511</t>
  </si>
  <si>
    <t>68383056</t>
  </si>
  <si>
    <t>IV6819664</t>
  </si>
  <si>
    <t>ML25041835</t>
  </si>
  <si>
    <t>บ.สยามฟาร์มาซูติคอล</t>
  </si>
  <si>
    <t>1250401955</t>
  </si>
  <si>
    <t>8103256979</t>
  </si>
  <si>
    <t>25IN08041325</t>
  </si>
  <si>
    <t>1250401748</t>
  </si>
  <si>
    <t>1250401956</t>
  </si>
  <si>
    <t>25IN08041324</t>
  </si>
  <si>
    <t>IV6819417</t>
  </si>
  <si>
    <t>IV2504168</t>
  </si>
  <si>
    <t>IV2504164</t>
  </si>
  <si>
    <t>112504001169</t>
  </si>
  <si>
    <t>IV6818921</t>
  </si>
  <si>
    <t>IV6818922</t>
  </si>
  <si>
    <t>112504001170</t>
  </si>
  <si>
    <t>PIN2512467</t>
  </si>
  <si>
    <t>PIN2512632</t>
  </si>
  <si>
    <t>6810401720</t>
  </si>
  <si>
    <t>6810401756</t>
  </si>
  <si>
    <t>IV680401020</t>
  </si>
  <si>
    <t>IVU-68015528</t>
  </si>
  <si>
    <t>INV125040924</t>
  </si>
  <si>
    <t>IV6819599</t>
  </si>
  <si>
    <t>25103816</t>
  </si>
  <si>
    <t>IV12507249</t>
  </si>
  <si>
    <t>6810401721</t>
  </si>
  <si>
    <t>B26804063</t>
  </si>
  <si>
    <t>บ.อาร์เอ็กซ์</t>
  </si>
  <si>
    <t>IV25-04100963</t>
  </si>
  <si>
    <t>บ.อินโดไชน่า เฮลท์ แคร์</t>
  </si>
  <si>
    <t>SIN2504-00167</t>
  </si>
  <si>
    <t>VIV125040560</t>
  </si>
  <si>
    <t>68012935</t>
  </si>
  <si>
    <t>IV680402492</t>
  </si>
  <si>
    <t>IST250060208</t>
  </si>
  <si>
    <t>25IN08041326</t>
  </si>
  <si>
    <t>IST250057890</t>
  </si>
  <si>
    <t>VIV125040951</t>
  </si>
  <si>
    <t>PIN2513461</t>
  </si>
  <si>
    <t>IV6820306</t>
  </si>
  <si>
    <t>8370851554</t>
  </si>
  <si>
    <t>8370865769</t>
  </si>
  <si>
    <t>M2504/0371</t>
  </si>
  <si>
    <t>#01GM-1-2-2-2025006523</t>
  </si>
  <si>
    <t>DIS250421-007</t>
  </si>
  <si>
    <t>B56804064</t>
  </si>
  <si>
    <t>C68040324</t>
  </si>
  <si>
    <t>68020811</t>
  </si>
  <si>
    <t>8103264590</t>
  </si>
  <si>
    <t>8103288954</t>
  </si>
  <si>
    <t>PIN2513911</t>
  </si>
  <si>
    <t>317722</t>
  </si>
  <si>
    <t>68383328</t>
  </si>
  <si>
    <t>มูลนิธิพัฒนาการเด็กราขนครินทร์</t>
  </si>
  <si>
    <t>ORV68040126</t>
  </si>
  <si>
    <t>868607</t>
  </si>
  <si>
    <t>IV6821167</t>
  </si>
  <si>
    <t>VIV125041860</t>
  </si>
  <si>
    <t>DSP6800960</t>
  </si>
  <si>
    <t>1068010694</t>
  </si>
  <si>
    <t>PB6804362</t>
  </si>
  <si>
    <t>B2504/0468</t>
  </si>
  <si>
    <t>บ.แสงไทยเมดิคอล</t>
  </si>
  <si>
    <t>S-04-0510/68</t>
  </si>
  <si>
    <t>INV-L-IM\2025043370</t>
  </si>
  <si>
    <t>M2504/0565</t>
  </si>
  <si>
    <t>IV6822341</t>
  </si>
  <si>
    <t>8370875753</t>
  </si>
  <si>
    <t>8370875754</t>
  </si>
  <si>
    <t>9110610302</t>
  </si>
  <si>
    <t>VIV125042331</t>
  </si>
  <si>
    <t>บ.นิวฟาร์มา (ประเทศไทย)</t>
  </si>
  <si>
    <t>N681677</t>
  </si>
  <si>
    <t>IVU-68019092</t>
  </si>
  <si>
    <t>บ.ไบโอเนท-เอเชีย</t>
  </si>
  <si>
    <t>1302030133</t>
  </si>
  <si>
    <t>IV6822937</t>
  </si>
  <si>
    <t>8370865770</t>
  </si>
  <si>
    <t>8370865771</t>
  </si>
  <si>
    <t>IV2500728</t>
  </si>
  <si>
    <t>IV6805/0042</t>
  </si>
  <si>
    <t>บ.เอเชี่ยน ฟาร์มาซูติคัล</t>
  </si>
  <si>
    <t>019655</t>
  </si>
  <si>
    <t>IVU-68019399</t>
  </si>
  <si>
    <t>PIN2515679</t>
  </si>
  <si>
    <t>IV250509777</t>
  </si>
  <si>
    <t>IV6804/0375</t>
  </si>
  <si>
    <t>M2505/0079</t>
  </si>
  <si>
    <t>25IN08045516</t>
  </si>
  <si>
    <t>256968</t>
  </si>
  <si>
    <t>68383797</t>
  </si>
  <si>
    <t>INV-L-IM\2025050868</t>
  </si>
  <si>
    <t>บ.ยูนีซัน</t>
  </si>
  <si>
    <t>105000003731</t>
  </si>
  <si>
    <t>6810501887</t>
  </si>
  <si>
    <t>A-05-0207/68</t>
  </si>
  <si>
    <t>250500355</t>
  </si>
  <si>
    <t>68383835</t>
  </si>
  <si>
    <t>INV-L-IM\2025050862</t>
  </si>
  <si>
    <t>IV6819842</t>
  </si>
  <si>
    <t>#01-GM-1-2-2-2025006955</t>
  </si>
  <si>
    <t>#01-GM-1-2-2-2025008059</t>
  </si>
  <si>
    <t>ML25052655</t>
  </si>
  <si>
    <t>VIV125050485</t>
  </si>
  <si>
    <t>Z0094570</t>
  </si>
  <si>
    <t>8370872265</t>
  </si>
  <si>
    <t>C68050191</t>
  </si>
  <si>
    <t>B2505/0151</t>
  </si>
  <si>
    <t>100504445</t>
  </si>
  <si>
    <t>VIV125050712</t>
  </si>
  <si>
    <t>INV125051071</t>
  </si>
  <si>
    <t>DIS250509-046</t>
  </si>
  <si>
    <t>PB6805184</t>
  </si>
  <si>
    <t>IV2505167</t>
  </si>
  <si>
    <t>105000004183</t>
  </si>
  <si>
    <t>DM-251005356</t>
  </si>
  <si>
    <t>T6805/20138</t>
  </si>
  <si>
    <t>IV6824764</t>
  </si>
  <si>
    <t>IV6824763</t>
  </si>
  <si>
    <t>IST250075424</t>
  </si>
  <si>
    <t>IV6805/0222</t>
  </si>
  <si>
    <t>112505001997</t>
  </si>
  <si>
    <t>C68050283</t>
  </si>
  <si>
    <t>8103332634</t>
  </si>
  <si>
    <t>6810505289</t>
  </si>
  <si>
    <t>INV125051521</t>
  </si>
  <si>
    <t>IV6826068</t>
  </si>
  <si>
    <t>PIN2517557</t>
  </si>
  <si>
    <t>B26805258</t>
  </si>
  <si>
    <t>OH-2-2-2025001920</t>
  </si>
  <si>
    <t>IV6825747</t>
  </si>
  <si>
    <t>B26805368</t>
  </si>
  <si>
    <t>DSP6801126</t>
  </si>
  <si>
    <t>IV68050808</t>
  </si>
  <si>
    <t>6810508968</t>
  </si>
  <si>
    <t>8103349699</t>
  </si>
  <si>
    <t>IV2505473</t>
  </si>
  <si>
    <t>VIV125051583</t>
  </si>
  <si>
    <t>68017707</t>
  </si>
  <si>
    <t>112505004630</t>
  </si>
  <si>
    <t>8370865772</t>
  </si>
  <si>
    <t>310557402889</t>
  </si>
  <si>
    <t>IVU-68021733</t>
  </si>
  <si>
    <t>8103346666</t>
  </si>
  <si>
    <t>T6805/20328</t>
  </si>
  <si>
    <t>IV6805/0459</t>
  </si>
  <si>
    <t>IST250077303</t>
  </si>
  <si>
    <t>25IN08054019</t>
  </si>
  <si>
    <t>8103346607</t>
  </si>
  <si>
    <t>บ.โมเดิร์น แบรนด์ส</t>
  </si>
  <si>
    <t>MB25/2543</t>
  </si>
  <si>
    <t>บ.พีเอ็มแอล พลัส</t>
  </si>
  <si>
    <t>MIS250523-142</t>
  </si>
  <si>
    <t>IV68051252</t>
  </si>
  <si>
    <t>M2505/0689</t>
  </si>
  <si>
    <t>INV-L-IM\2025053134</t>
  </si>
  <si>
    <t>31i25029647</t>
  </si>
  <si>
    <t>6810510749</t>
  </si>
  <si>
    <t>IVU-68023354</t>
  </si>
  <si>
    <t>มูลนิธิโรงพยาบาลเจ้าพระยาอภัยภูเบศร</t>
  </si>
  <si>
    <t>ORV68050239</t>
  </si>
  <si>
    <t>8370890195</t>
  </si>
  <si>
    <t>1068013655</t>
  </si>
  <si>
    <t>310557403473</t>
  </si>
  <si>
    <t>250501174</t>
  </si>
  <si>
    <t>SIS250602-073</t>
  </si>
  <si>
    <t>DIS250602-044</t>
  </si>
  <si>
    <t>UG94639570</t>
  </si>
  <si>
    <t>8370890912</t>
  </si>
  <si>
    <t>บ.บีเจเอช เมดิคอล</t>
  </si>
  <si>
    <t>310557401607</t>
  </si>
  <si>
    <t>68028667</t>
  </si>
  <si>
    <t>C68060081</t>
  </si>
  <si>
    <t>112506001394</t>
  </si>
  <si>
    <t>C68060115</t>
  </si>
  <si>
    <t>8103373871</t>
  </si>
  <si>
    <t>31i25030983</t>
  </si>
  <si>
    <t>Ivu-68024240</t>
  </si>
  <si>
    <t>310657400918</t>
  </si>
  <si>
    <t>6810604208</t>
  </si>
  <si>
    <t>VIV125042330</t>
  </si>
  <si>
    <t>VIV125052760</t>
  </si>
  <si>
    <t>บ.พีทูพีเฮลธ์แคร์</t>
  </si>
  <si>
    <t>7401210031</t>
  </si>
  <si>
    <t>IV6829714</t>
  </si>
  <si>
    <t>INV-L-IM\2025060368</t>
  </si>
  <si>
    <t>106000003974</t>
  </si>
  <si>
    <t>100509107</t>
  </si>
  <si>
    <t>8103388426</t>
  </si>
  <si>
    <t>310657401368</t>
  </si>
  <si>
    <t>258504</t>
  </si>
  <si>
    <t>VIV125060456</t>
  </si>
  <si>
    <t>1068014461</t>
  </si>
  <si>
    <t>IVU-68024579</t>
  </si>
  <si>
    <t>IV6829633</t>
  </si>
  <si>
    <t>310657401005</t>
  </si>
  <si>
    <t>IV2506491</t>
  </si>
  <si>
    <t>112506002722</t>
  </si>
  <si>
    <t>บ.โมเดิร์น ฟาร์มา</t>
  </si>
  <si>
    <t>INV6805-0019</t>
  </si>
  <si>
    <t>IV2500992</t>
  </si>
  <si>
    <t>31i25033802</t>
  </si>
  <si>
    <t>874573</t>
  </si>
  <si>
    <t>T6806/10527</t>
  </si>
  <si>
    <t>1250603243</t>
  </si>
  <si>
    <t>321405</t>
  </si>
  <si>
    <t>IV6830015</t>
  </si>
  <si>
    <t>IST250089967</t>
  </si>
  <si>
    <t>6810604972</t>
  </si>
  <si>
    <t>IV680601638</t>
  </si>
  <si>
    <t>ML25062390</t>
  </si>
  <si>
    <t>INV125060686</t>
  </si>
  <si>
    <t>T6806/20221</t>
  </si>
  <si>
    <t>25106165</t>
  </si>
  <si>
    <t>IV6830438</t>
  </si>
  <si>
    <t>B2506/0229</t>
  </si>
  <si>
    <t>IV680602583</t>
  </si>
  <si>
    <t>IVU-68025464</t>
  </si>
  <si>
    <t>PIN2520677</t>
  </si>
  <si>
    <t>IV6829639</t>
  </si>
  <si>
    <t>INV-L-IM\2025061604</t>
  </si>
  <si>
    <t>68030752</t>
  </si>
  <si>
    <t>IV6831261</t>
  </si>
  <si>
    <t>IV6806318</t>
  </si>
  <si>
    <t>IV6830726</t>
  </si>
  <si>
    <t>1250606018</t>
  </si>
  <si>
    <t>PB6806329</t>
  </si>
  <si>
    <t>IN68060896</t>
  </si>
  <si>
    <t>31i25035119</t>
  </si>
  <si>
    <t>M2506/0441</t>
  </si>
  <si>
    <t>6810607805</t>
  </si>
  <si>
    <t>IV6831873</t>
  </si>
  <si>
    <t>31i25035037</t>
  </si>
  <si>
    <t>IV6806/0347</t>
  </si>
  <si>
    <t>100511521</t>
  </si>
  <si>
    <t>BI/225060646</t>
  </si>
  <si>
    <t>PIN2520678</t>
  </si>
  <si>
    <t>บ.เมดไลน์</t>
  </si>
  <si>
    <t>106000008497</t>
  </si>
  <si>
    <t>IVU-68025850</t>
  </si>
  <si>
    <t>68385368</t>
  </si>
  <si>
    <t>31i25035040</t>
  </si>
  <si>
    <t>25IN08064135</t>
  </si>
  <si>
    <t>UG94646876</t>
  </si>
  <si>
    <t>258841</t>
  </si>
  <si>
    <t>68385435</t>
  </si>
  <si>
    <t>8103411301</t>
  </si>
  <si>
    <t>VIV125061635</t>
  </si>
  <si>
    <t>25IN08064134</t>
  </si>
  <si>
    <t>INV-L-IM\2025063149</t>
  </si>
  <si>
    <t>M2506/0463</t>
  </si>
  <si>
    <t>310657402352</t>
  </si>
  <si>
    <t>IVU-68027045</t>
  </si>
  <si>
    <t>310657402698</t>
  </si>
  <si>
    <t>DIS250620-062</t>
  </si>
  <si>
    <t>หสน.โรงงานเภสัชกรรมพอนด์เคมีคอล</t>
  </si>
  <si>
    <t>C194151</t>
  </si>
  <si>
    <t>T6806/20379</t>
  </si>
  <si>
    <t>IV6832269</t>
  </si>
  <si>
    <t>IV250602761</t>
  </si>
  <si>
    <t>PL680600548</t>
  </si>
  <si>
    <t>5343842946</t>
  </si>
  <si>
    <t>INV-L-IM\2025063742</t>
  </si>
  <si>
    <t>IV6806/0346</t>
  </si>
  <si>
    <t>PIN2521599</t>
  </si>
  <si>
    <t>INV125062246</t>
  </si>
  <si>
    <t>PIN2521600</t>
  </si>
  <si>
    <t>INV-L-IM\2025063433</t>
  </si>
  <si>
    <t>BIN2506-00520</t>
  </si>
  <si>
    <t>8370900482</t>
  </si>
  <si>
    <t>IV6832942</t>
  </si>
  <si>
    <t>VIV125062305</t>
  </si>
  <si>
    <t>31i25037096</t>
  </si>
  <si>
    <t>DHP6800951</t>
  </si>
  <si>
    <t>1317490893</t>
  </si>
  <si>
    <t>1250611419</t>
  </si>
  <si>
    <t>M2506/0605</t>
  </si>
  <si>
    <t>8370904352</t>
  </si>
  <si>
    <t>310657403617</t>
  </si>
  <si>
    <t>8103432875</t>
  </si>
  <si>
    <t>31i25037714</t>
  </si>
  <si>
    <t>25106739</t>
  </si>
  <si>
    <t>6803481</t>
  </si>
  <si>
    <t>INV6806-0011</t>
  </si>
  <si>
    <t>1317512229</t>
  </si>
  <si>
    <t>IV6833058</t>
  </si>
  <si>
    <t>VIV125062855</t>
  </si>
  <si>
    <t>INV-L-IM\2025070093</t>
  </si>
  <si>
    <t>8103430369</t>
  </si>
  <si>
    <t>8103438119</t>
  </si>
  <si>
    <t>310657403816</t>
  </si>
  <si>
    <t>25IN08070307</t>
  </si>
  <si>
    <t>INV-L-IM\2025070559</t>
  </si>
  <si>
    <t>Z0096146</t>
  </si>
  <si>
    <t>IV2507262</t>
  </si>
  <si>
    <t>259442</t>
  </si>
  <si>
    <t>6810701831</t>
  </si>
  <si>
    <t>68033718</t>
  </si>
  <si>
    <t>สำนักงานคณะกรรมการอาหารและยา</t>
  </si>
  <si>
    <t>ช.68/16718</t>
  </si>
  <si>
    <t>ช.68/16714</t>
  </si>
  <si>
    <t>INV-L-IM\2025071047</t>
  </si>
  <si>
    <t>IN68070285</t>
  </si>
  <si>
    <t>1317576974</t>
  </si>
  <si>
    <t>IV680700481</t>
  </si>
  <si>
    <t>31i25038823</t>
  </si>
  <si>
    <t>IVU-68029168</t>
  </si>
  <si>
    <t>IV250702006</t>
  </si>
  <si>
    <t>107000004953</t>
  </si>
  <si>
    <t>1068017159</t>
  </si>
  <si>
    <t>1317602283</t>
  </si>
  <si>
    <t>IV2507385</t>
  </si>
  <si>
    <t>IV6835219</t>
  </si>
  <si>
    <t>VIV125070534</t>
  </si>
  <si>
    <t>OH-2-2-2025002605</t>
  </si>
  <si>
    <t>68023204</t>
  </si>
  <si>
    <t>BI/225070261</t>
  </si>
  <si>
    <t>C68070186</t>
  </si>
  <si>
    <t>68386048</t>
  </si>
  <si>
    <t>ORV68070092</t>
  </si>
  <si>
    <t>323242</t>
  </si>
  <si>
    <t>IST250104658</t>
  </si>
  <si>
    <t>B56807023</t>
  </si>
  <si>
    <t>บ.วนา</t>
  </si>
  <si>
    <t>VIN2500092</t>
  </si>
  <si>
    <t>1317637516</t>
  </si>
  <si>
    <t>IV6835877</t>
  </si>
  <si>
    <t>C68070084</t>
  </si>
  <si>
    <t>68386083</t>
  </si>
  <si>
    <t>C194473</t>
  </si>
  <si>
    <t>C194577</t>
  </si>
  <si>
    <t>ORV68070110</t>
  </si>
  <si>
    <t>8103462107</t>
  </si>
  <si>
    <t>31i25039569</t>
  </si>
  <si>
    <t>31i25039966</t>
  </si>
  <si>
    <t>IV6835741</t>
  </si>
  <si>
    <t>8103452857</t>
  </si>
  <si>
    <t>#01-GM-1-2-2-2025011111</t>
  </si>
  <si>
    <t>INV-L-IM\2025071884</t>
  </si>
  <si>
    <t>INV-L-IM\2025071623</t>
  </si>
  <si>
    <t>SIS250709-089</t>
  </si>
  <si>
    <t>DIS250709-100</t>
  </si>
  <si>
    <t>IV2501197</t>
  </si>
  <si>
    <t>1317675915</t>
  </si>
  <si>
    <t>1317670097</t>
  </si>
  <si>
    <t>IVU-68030701</t>
  </si>
  <si>
    <t>310757401701</t>
  </si>
  <si>
    <t>8103465575</t>
  </si>
  <si>
    <t>68386088</t>
  </si>
  <si>
    <t>PB6807305</t>
  </si>
  <si>
    <t>B26807074</t>
  </si>
  <si>
    <t>B2507/0221</t>
  </si>
  <si>
    <t>PIN2524090</t>
  </si>
  <si>
    <t>1250703488</t>
  </si>
  <si>
    <t>INV-L-IM\2025071822</t>
  </si>
  <si>
    <t>IST250108278</t>
  </si>
  <si>
    <t>สถานเสาวภา สภากาชาดไทย</t>
  </si>
  <si>
    <t>IV680000846</t>
  </si>
  <si>
    <t>1068018025</t>
  </si>
  <si>
    <t>ช.68/17247</t>
  </si>
  <si>
    <t>1302031673</t>
  </si>
  <si>
    <t>5343996883</t>
  </si>
  <si>
    <t>VIV125071655</t>
  </si>
  <si>
    <t>IV6836809</t>
  </si>
  <si>
    <t>IN68071040</t>
  </si>
  <si>
    <t>1250706972</t>
  </si>
  <si>
    <t>M2507/0437</t>
  </si>
  <si>
    <t>6810706797</t>
  </si>
  <si>
    <t>ML25072964</t>
  </si>
  <si>
    <t>PB6807495</t>
  </si>
  <si>
    <t>M2507/0494</t>
  </si>
  <si>
    <t>310757402184</t>
  </si>
  <si>
    <t>บ.เอเซียโปร ซัลพลายส์</t>
  </si>
  <si>
    <t>020424</t>
  </si>
  <si>
    <t>5344022181</t>
  </si>
  <si>
    <t>112507003424</t>
  </si>
  <si>
    <t>B26807143</t>
  </si>
  <si>
    <t>310757402267</t>
  </si>
  <si>
    <t>5344014561</t>
  </si>
  <si>
    <t>5344014619</t>
  </si>
  <si>
    <t>6810707441</t>
  </si>
  <si>
    <t>MIS250718-118</t>
  </si>
  <si>
    <t>บ.มาซา แลบ</t>
  </si>
  <si>
    <t>25072409</t>
  </si>
  <si>
    <t>DSP6801615</t>
  </si>
  <si>
    <t>PL680700610</t>
  </si>
  <si>
    <t>ML25073917</t>
  </si>
  <si>
    <t>250700816</t>
  </si>
  <si>
    <t>DM-251008161</t>
  </si>
  <si>
    <t>IST250111108</t>
  </si>
  <si>
    <t>IV25071237</t>
  </si>
  <si>
    <t>5344027217</t>
  </si>
  <si>
    <t>T6806/12000</t>
  </si>
  <si>
    <t>T6807/11584</t>
  </si>
  <si>
    <t>68386466</t>
  </si>
  <si>
    <t>1250710667</t>
  </si>
  <si>
    <t>BU/225070744</t>
  </si>
  <si>
    <t>ช.68/17698</t>
  </si>
  <si>
    <t>25IN08073728</t>
  </si>
  <si>
    <t>C68070488</t>
  </si>
  <si>
    <t>68036721</t>
  </si>
  <si>
    <t>7401210508</t>
  </si>
  <si>
    <t>1317740609</t>
  </si>
  <si>
    <t>5344042733</t>
  </si>
  <si>
    <t>VIV125072301</t>
  </si>
  <si>
    <t>IV6838716</t>
  </si>
  <si>
    <t>ช.68/18097</t>
  </si>
  <si>
    <t>S-07-0465/68</t>
  </si>
  <si>
    <t>5344066165</t>
  </si>
  <si>
    <t>31i25044462</t>
  </si>
  <si>
    <t>310757403516</t>
  </si>
  <si>
    <t>8103492809</t>
  </si>
  <si>
    <t>8370917248</t>
  </si>
  <si>
    <t>310757403479</t>
  </si>
  <si>
    <t>310757403231</t>
  </si>
  <si>
    <t>PIN2526194</t>
  </si>
  <si>
    <t>IV6839245</t>
  </si>
  <si>
    <t>IV6839246</t>
  </si>
  <si>
    <t>1317805923</t>
  </si>
  <si>
    <t>INV-L-IM\2025074503</t>
  </si>
  <si>
    <t>31i25044261</t>
  </si>
  <si>
    <t>1317778163</t>
  </si>
  <si>
    <t>310757403746</t>
  </si>
  <si>
    <t>6810712207</t>
  </si>
  <si>
    <t>310857400305</t>
  </si>
  <si>
    <t>1317820200</t>
  </si>
  <si>
    <t>1317825606</t>
  </si>
  <si>
    <t>UG94663713</t>
  </si>
  <si>
    <t>IST250119758</t>
  </si>
  <si>
    <t>IST250109765</t>
  </si>
  <si>
    <t>UG94663716</t>
  </si>
  <si>
    <t>6810711801</t>
  </si>
  <si>
    <t>31i25044263</t>
  </si>
  <si>
    <t>IVU-68033692</t>
  </si>
  <si>
    <t>100522183</t>
  </si>
  <si>
    <t>310857400292</t>
  </si>
  <si>
    <t>IV6839673</t>
  </si>
  <si>
    <t>5344120809</t>
  </si>
  <si>
    <t>VIN2500102</t>
  </si>
  <si>
    <t>1317835919</t>
  </si>
  <si>
    <t>1317843917</t>
  </si>
  <si>
    <t>DSP6801732</t>
  </si>
  <si>
    <t>DIS250806-067</t>
  </si>
  <si>
    <t>ช.68/18673</t>
  </si>
  <si>
    <t>ช.68/18699</t>
  </si>
  <si>
    <t>8103504527</t>
  </si>
  <si>
    <t>IV6808/0082</t>
  </si>
  <si>
    <t>108000005499</t>
  </si>
  <si>
    <t>5344130755</t>
  </si>
  <si>
    <t>1068018934</t>
  </si>
  <si>
    <t>1250802917</t>
  </si>
  <si>
    <t>6801801806</t>
  </si>
  <si>
    <t>PIN2527529</t>
  </si>
  <si>
    <t>8103504528</t>
  </si>
  <si>
    <t>25IN08081608</t>
  </si>
  <si>
    <t>25IN08081023</t>
  </si>
  <si>
    <t>8103510763</t>
  </si>
  <si>
    <t>25IN08081607</t>
  </si>
  <si>
    <t>1317850268</t>
  </si>
  <si>
    <t>1317858594</t>
  </si>
  <si>
    <t>1317850655</t>
  </si>
  <si>
    <t>IV6841656</t>
  </si>
  <si>
    <t>M2508/0225</t>
  </si>
  <si>
    <t>IV680801389</t>
  </si>
  <si>
    <t>INV-L-IM\2025081464</t>
  </si>
  <si>
    <t>881382</t>
  </si>
  <si>
    <t>881138</t>
  </si>
  <si>
    <t>IV6841869</t>
  </si>
  <si>
    <t>IV6841870</t>
  </si>
  <si>
    <t>310857400692</t>
  </si>
  <si>
    <t>ช.68/18833</t>
  </si>
  <si>
    <t>310857401097</t>
  </si>
  <si>
    <t>100523142</t>
  </si>
  <si>
    <t>IV680800806</t>
  </si>
  <si>
    <t>IV6841032</t>
  </si>
  <si>
    <t>INV6808-0011</t>
  </si>
  <si>
    <t>1317923205</t>
  </si>
  <si>
    <t>VIV125080671</t>
  </si>
  <si>
    <t>INV125081190</t>
  </si>
  <si>
    <t>261058</t>
  </si>
  <si>
    <t>ORV68080068</t>
  </si>
  <si>
    <t>PB6808244</t>
  </si>
  <si>
    <t>325234</t>
  </si>
  <si>
    <t>S-08-0029/68</t>
  </si>
  <si>
    <t>B26808048</t>
  </si>
  <si>
    <t>PIN2527470</t>
  </si>
  <si>
    <t>880832</t>
  </si>
  <si>
    <t>1317864657</t>
  </si>
  <si>
    <t>112508003778</t>
  </si>
  <si>
    <t>IVU-68034493</t>
  </si>
  <si>
    <t>INV125081081</t>
  </si>
  <si>
    <t>บ.เอสพี โปรดักส์</t>
  </si>
  <si>
    <t>112508003766</t>
  </si>
  <si>
    <t>8103510762</t>
  </si>
  <si>
    <t>8103515859</t>
  </si>
  <si>
    <t>6810802983</t>
  </si>
  <si>
    <t>310857402070</t>
  </si>
  <si>
    <t>DSP6801788</t>
  </si>
  <si>
    <t>5344208928</t>
  </si>
  <si>
    <t>IN68080667</t>
  </si>
  <si>
    <t>บ.ไบโอฟาร์ม เคมิคัลส์</t>
  </si>
  <si>
    <t>111582420</t>
  </si>
  <si>
    <t>DSP6801807</t>
  </si>
  <si>
    <t>INV-L-IM\2025081732</t>
  </si>
  <si>
    <t>IV2508305</t>
  </si>
  <si>
    <t>BU/225080255</t>
  </si>
  <si>
    <t>MB25/4024</t>
  </si>
  <si>
    <t>IV250800935</t>
  </si>
  <si>
    <t>PIN2528682</t>
  </si>
  <si>
    <t>UG94667795</t>
  </si>
  <si>
    <t>IV6843661</t>
  </si>
  <si>
    <t>PL680800511</t>
  </si>
  <si>
    <t>1317971035</t>
  </si>
  <si>
    <t>IN68081297</t>
  </si>
  <si>
    <t>1317974143</t>
  </si>
  <si>
    <t>31i25047412</t>
  </si>
  <si>
    <t>31i25047411</t>
  </si>
  <si>
    <t>31i25047414</t>
  </si>
  <si>
    <t>31i25047413</t>
  </si>
  <si>
    <t>31i25047720</t>
  </si>
  <si>
    <t>IV2508666</t>
  </si>
  <si>
    <t>68387223</t>
  </si>
  <si>
    <t>5344194519</t>
  </si>
  <si>
    <t>IV680802805</t>
  </si>
  <si>
    <t>PIN2529660</t>
  </si>
  <si>
    <t>C68080381</t>
  </si>
  <si>
    <t>5344218609</t>
  </si>
  <si>
    <t>5344225153</t>
  </si>
  <si>
    <t>OH-2-2-2025003175</t>
  </si>
  <si>
    <t>8103532829</t>
  </si>
  <si>
    <t>25IN08083177</t>
  </si>
  <si>
    <t>INV-L-IM\2025083124</t>
  </si>
  <si>
    <t>#01-GM-1-2-2-2025013351</t>
  </si>
  <si>
    <t>310857403114</t>
  </si>
  <si>
    <t>A-08-0835/68</t>
  </si>
  <si>
    <t>68387453</t>
  </si>
  <si>
    <t>1250812575</t>
  </si>
  <si>
    <t>VIV125082268</t>
  </si>
  <si>
    <t>5344235035</t>
  </si>
  <si>
    <t>C68080541</t>
  </si>
  <si>
    <t>100527586</t>
  </si>
  <si>
    <t>VIV125082604</t>
  </si>
  <si>
    <t>IV25081585</t>
  </si>
  <si>
    <t>IV6845260</t>
  </si>
  <si>
    <t>DM-251009826</t>
  </si>
  <si>
    <t>8103549389</t>
  </si>
  <si>
    <t>310857403862</t>
  </si>
  <si>
    <t>M2508/0705</t>
  </si>
  <si>
    <t>DIS250901-027</t>
  </si>
  <si>
    <t>5344281748</t>
  </si>
  <si>
    <t>INV125083061</t>
  </si>
  <si>
    <t>1318073791</t>
  </si>
  <si>
    <t>5344290740</t>
  </si>
  <si>
    <t>262418</t>
  </si>
  <si>
    <t>1318076473</t>
  </si>
  <si>
    <t>1318101947</t>
  </si>
  <si>
    <t>IV6846618</t>
  </si>
  <si>
    <t>1318097402</t>
  </si>
  <si>
    <t>7401210919</t>
  </si>
  <si>
    <t>1318093930</t>
  </si>
  <si>
    <t>1318094940</t>
  </si>
  <si>
    <t>1318074708</t>
  </si>
  <si>
    <t>1318085029</t>
  </si>
  <si>
    <t>1318085068</t>
  </si>
  <si>
    <t>M2509/0094</t>
  </si>
  <si>
    <t>8370926900</t>
  </si>
  <si>
    <t>C68090047</t>
  </si>
  <si>
    <t>VIV125090230</t>
  </si>
  <si>
    <t>T6809/10405</t>
  </si>
  <si>
    <t>1318109183</t>
  </si>
  <si>
    <t>B2509/0112</t>
  </si>
  <si>
    <t>1318104388</t>
  </si>
  <si>
    <t>31i25049867</t>
  </si>
  <si>
    <t>IST250138691</t>
  </si>
  <si>
    <t>INV125090426</t>
  </si>
  <si>
    <t>109000006506</t>
  </si>
  <si>
    <t>SIN2509-00101</t>
  </si>
  <si>
    <t>Z0097672</t>
  </si>
  <si>
    <t>BI/225090128</t>
  </si>
  <si>
    <t>25IN08090773</t>
  </si>
  <si>
    <t>6810902101</t>
  </si>
  <si>
    <t>N683822</t>
  </si>
  <si>
    <t>DM-251010163</t>
  </si>
  <si>
    <t>บ.นูฟาร์ม่า แอนด์ เฮลท์แคร์</t>
  </si>
  <si>
    <t>IV6802247</t>
  </si>
  <si>
    <t>310957400669</t>
  </si>
  <si>
    <t>IV6847167</t>
  </si>
  <si>
    <t>1318133931</t>
  </si>
  <si>
    <t>IV680900639</t>
  </si>
  <si>
    <t>5344311686</t>
  </si>
  <si>
    <t>5344309036</t>
  </si>
  <si>
    <t>262452</t>
  </si>
  <si>
    <t>5449301124</t>
  </si>
  <si>
    <t>INV125090673</t>
  </si>
  <si>
    <t>5449303212</t>
  </si>
  <si>
    <t>250900303</t>
  </si>
  <si>
    <t>1318133921</t>
  </si>
  <si>
    <t>ML25091371</t>
  </si>
  <si>
    <t>1318124405</t>
  </si>
  <si>
    <t>INV-L-IM\2025091476</t>
  </si>
  <si>
    <t>1318141473</t>
  </si>
  <si>
    <t>IST250141569</t>
  </si>
  <si>
    <t>INV-L-IM\2025091483</t>
  </si>
  <si>
    <t>IV6846634</t>
  </si>
  <si>
    <t>1250904993</t>
  </si>
  <si>
    <t>ช.68/20688</t>
  </si>
  <si>
    <t>1318160205</t>
  </si>
  <si>
    <t>VIV125090835</t>
  </si>
  <si>
    <t>6810904990</t>
  </si>
  <si>
    <t>1318160957</t>
  </si>
  <si>
    <t>IV6809/0245</t>
  </si>
  <si>
    <t>C68090249</t>
  </si>
  <si>
    <t>31i25051539</t>
  </si>
  <si>
    <t>DSP6802036</t>
  </si>
  <si>
    <t>ORV68090118</t>
  </si>
  <si>
    <t>5449307880</t>
  </si>
  <si>
    <t>1318177099</t>
  </si>
  <si>
    <t>1318155001</t>
  </si>
  <si>
    <t>1318184559</t>
  </si>
  <si>
    <t>M2509/0259</t>
  </si>
  <si>
    <t>INV-L-IM\2025092459</t>
  </si>
  <si>
    <t>31i25051540</t>
  </si>
  <si>
    <t>8103572301</t>
  </si>
  <si>
    <t>31i25051541</t>
  </si>
  <si>
    <t>6810905398</t>
  </si>
  <si>
    <t>1318197379</t>
  </si>
  <si>
    <t>25IN08092490</t>
  </si>
  <si>
    <t>1318200881</t>
  </si>
  <si>
    <t>1318184544</t>
  </si>
  <si>
    <t>SIS250916-087</t>
  </si>
  <si>
    <t>1318210111</t>
  </si>
  <si>
    <t>68388129</t>
  </si>
  <si>
    <t>9362/468080</t>
  </si>
  <si>
    <t>โรงงานเภสัชกรรมทหาร</t>
  </si>
  <si>
    <t>IV68/03104</t>
  </si>
  <si>
    <t>VIV125091460</t>
  </si>
  <si>
    <t>5344398903</t>
  </si>
  <si>
    <t>IST250121734</t>
  </si>
  <si>
    <t>IST250148458</t>
  </si>
  <si>
    <t>PB6809343</t>
  </si>
  <si>
    <t>IV2509487</t>
  </si>
  <si>
    <t>250900794</t>
  </si>
  <si>
    <t>25IN08093709</t>
  </si>
  <si>
    <t>1318243711</t>
  </si>
  <si>
    <t>1318231041</t>
  </si>
  <si>
    <t>1318244177</t>
  </si>
  <si>
    <t>PL680900460</t>
  </si>
  <si>
    <t>31i25052405</t>
  </si>
  <si>
    <t>IV6849688</t>
  </si>
  <si>
    <t>1318240815</t>
  </si>
  <si>
    <t>884174</t>
  </si>
  <si>
    <t>5344414501</t>
  </si>
  <si>
    <t>IVU-68041452</t>
  </si>
  <si>
    <t>ช.68/20902</t>
  </si>
  <si>
    <t>1318256057</t>
  </si>
  <si>
    <t>1318157335</t>
  </si>
  <si>
    <t>1318278045</t>
  </si>
  <si>
    <t>8867723</t>
  </si>
  <si>
    <t>1318278407</t>
  </si>
  <si>
    <t>100531344</t>
  </si>
  <si>
    <t>1068023754</t>
  </si>
  <si>
    <t>IVU-68041768</t>
  </si>
  <si>
    <t>#01-GM-1-2-2-2025015130</t>
  </si>
  <si>
    <t>112509005192</t>
  </si>
  <si>
    <t>6810909864</t>
  </si>
  <si>
    <t>1318287854</t>
  </si>
  <si>
    <t>DIS250925-030</t>
  </si>
  <si>
    <t>68388373</t>
  </si>
  <si>
    <t>IV6850681</t>
  </si>
  <si>
    <t>B26809242</t>
  </si>
  <si>
    <t>109000010842</t>
  </si>
  <si>
    <t>1318284908</t>
  </si>
  <si>
    <t>1318279913</t>
  </si>
  <si>
    <t>1318278037</t>
  </si>
  <si>
    <t>8103601448</t>
  </si>
  <si>
    <t>S-09-0778/68</t>
  </si>
  <si>
    <t>UG94681102</t>
  </si>
  <si>
    <t>5449316788</t>
  </si>
  <si>
    <t>1318280108</t>
  </si>
  <si>
    <t>1250912572</t>
  </si>
  <si>
    <t>1318296833</t>
  </si>
  <si>
    <t>6810909675</t>
  </si>
  <si>
    <t>IV2501697</t>
  </si>
  <si>
    <t>INV-L-IM\2025093918</t>
  </si>
  <si>
    <t>1318280087</t>
  </si>
  <si>
    <t>M2509/0508</t>
  </si>
  <si>
    <t>UG94681107</t>
  </si>
  <si>
    <t>1318318084</t>
  </si>
  <si>
    <t>IV6851505</t>
  </si>
  <si>
    <t>1318318085</t>
  </si>
  <si>
    <t>310957401297</t>
  </si>
  <si>
    <t>1318367419</t>
  </si>
  <si>
    <t>1318385491</t>
  </si>
  <si>
    <t>1318370890</t>
  </si>
  <si>
    <t>1068024727</t>
  </si>
  <si>
    <t>5344518572</t>
  </si>
  <si>
    <t>PL681000243</t>
  </si>
  <si>
    <t>C68100204</t>
  </si>
  <si>
    <t>บ.ดีเคเค ดิไวซ์</t>
  </si>
  <si>
    <t>5059823285</t>
  </si>
  <si>
    <t>INV-L-IM\2025101306</t>
  </si>
  <si>
    <t>1318420556</t>
  </si>
  <si>
    <t>INV-L-IM\2025101115</t>
  </si>
  <si>
    <t>311057400991</t>
  </si>
  <si>
    <t>888362</t>
  </si>
  <si>
    <t>889835</t>
  </si>
  <si>
    <t>IV2510274</t>
  </si>
  <si>
    <t>110000006524</t>
  </si>
  <si>
    <t>25IN08102117</t>
  </si>
  <si>
    <t>1318412187</t>
  </si>
  <si>
    <t>IV2510389</t>
  </si>
  <si>
    <t>IST250161293</t>
  </si>
  <si>
    <t>1318330757</t>
  </si>
  <si>
    <t>1318424516</t>
  </si>
  <si>
    <t>B26810130</t>
  </si>
  <si>
    <t>IV6854240</t>
  </si>
  <si>
    <t>IV6854241</t>
  </si>
  <si>
    <t>1318433563</t>
  </si>
  <si>
    <t>1318419359</t>
  </si>
  <si>
    <t>8103627987</t>
  </si>
  <si>
    <t>1318435420</t>
  </si>
  <si>
    <t>1318435409</t>
  </si>
  <si>
    <t>ORV68100108</t>
  </si>
  <si>
    <t>ORV68100109</t>
  </si>
  <si>
    <t>112510003006</t>
  </si>
  <si>
    <t>5344554710</t>
  </si>
  <si>
    <t>IV25100661</t>
  </si>
  <si>
    <t>1318436753</t>
  </si>
  <si>
    <t>1318475211</t>
  </si>
  <si>
    <t>311057401320</t>
  </si>
  <si>
    <t>INV-L-IM\2025101836</t>
  </si>
  <si>
    <t>1318438989</t>
  </si>
  <si>
    <t>1318457757</t>
  </si>
  <si>
    <t>1318467354</t>
  </si>
  <si>
    <t>1318467480</t>
  </si>
  <si>
    <t>C68100335</t>
  </si>
  <si>
    <t>INV125101213</t>
  </si>
  <si>
    <t>PIN2535516</t>
  </si>
  <si>
    <t>PIN2535515</t>
  </si>
  <si>
    <t>IST250163345</t>
  </si>
  <si>
    <t>IVU-68044576</t>
  </si>
  <si>
    <t>329876</t>
  </si>
  <si>
    <t>M2510/0368</t>
  </si>
  <si>
    <t>1318466029</t>
  </si>
  <si>
    <t>1318464739</t>
  </si>
  <si>
    <t>#01-GM-1-2-2-2025016412</t>
  </si>
  <si>
    <t>8103637323</t>
  </si>
  <si>
    <t>25IN08102774</t>
  </si>
  <si>
    <t>31i25056643</t>
  </si>
  <si>
    <t>31i25056642</t>
  </si>
  <si>
    <t>1068025941</t>
  </si>
  <si>
    <t>111610340</t>
  </si>
  <si>
    <t>5344574818</t>
  </si>
  <si>
    <t>5344583245</t>
  </si>
  <si>
    <t>IV25-10102573</t>
  </si>
  <si>
    <t>5449332316</t>
  </si>
  <si>
    <t>IV6855458</t>
  </si>
  <si>
    <t>T6810/20305</t>
  </si>
  <si>
    <t>IN68100928</t>
  </si>
  <si>
    <t>1318493147</t>
  </si>
  <si>
    <t>1318497747</t>
  </si>
  <si>
    <t>5344582669</t>
  </si>
  <si>
    <t>OH-2-2-2025004007</t>
  </si>
  <si>
    <t>112510004267</t>
  </si>
  <si>
    <t>PB6810277</t>
  </si>
  <si>
    <t>INV6810-0017</t>
  </si>
  <si>
    <t>IV681001840</t>
  </si>
  <si>
    <t>IV6855453</t>
  </si>
  <si>
    <t>1318473241</t>
  </si>
  <si>
    <t>1318495112</t>
  </si>
  <si>
    <t>1318476068</t>
  </si>
  <si>
    <t>7401211343</t>
  </si>
  <si>
    <t>IVU-68045922</t>
  </si>
  <si>
    <t>68389218</t>
  </si>
  <si>
    <t>VIV125101380</t>
  </si>
  <si>
    <t>DM-251011944</t>
  </si>
  <si>
    <t>IV681002592</t>
  </si>
  <si>
    <t>DIS251017-095</t>
  </si>
  <si>
    <t>6805887</t>
  </si>
  <si>
    <t>INV125101895</t>
  </si>
  <si>
    <t>IST250167544</t>
  </si>
  <si>
    <t>68034587</t>
  </si>
  <si>
    <t>IN681001130</t>
  </si>
  <si>
    <t>1318528234</t>
  </si>
  <si>
    <t>1318506785</t>
  </si>
  <si>
    <t>311057402736</t>
  </si>
  <si>
    <t>5344583858</t>
  </si>
  <si>
    <t>6811009177</t>
  </si>
  <si>
    <t>5449333683</t>
  </si>
  <si>
    <t>MIS251021-081</t>
  </si>
  <si>
    <t>IV6855801</t>
  </si>
  <si>
    <t>SIN2510-00424</t>
  </si>
  <si>
    <t>25111205</t>
  </si>
  <si>
    <t>IV681002790</t>
  </si>
  <si>
    <t>BI/225100598</t>
  </si>
  <si>
    <t>264502</t>
  </si>
  <si>
    <t>INV-L-IM\2025103279</t>
  </si>
  <si>
    <t>1302033967</t>
  </si>
  <si>
    <t>1318576372</t>
  </si>
  <si>
    <t>891312</t>
  </si>
  <si>
    <t>ช.69/01413</t>
  </si>
  <si>
    <t>8103658623</t>
  </si>
  <si>
    <t>บ.เอ็ม.เอ.ซี.อินฟอร์เมชั่น</t>
  </si>
  <si>
    <t>202301-008</t>
  </si>
  <si>
    <t>IV6702172</t>
  </si>
  <si>
    <t>บ.ฟิวเจอร์ เดคคอเรชั่น กรุ๊ป</t>
  </si>
  <si>
    <t>IV6702064</t>
  </si>
  <si>
    <t>บ.ยู.พี.เมดิคอล ซอลเตอร์</t>
  </si>
  <si>
    <t>671866</t>
  </si>
  <si>
    <t>บ.เอ็ม.เอส.วาย เมดิคอล ซัพพลาย</t>
  </si>
  <si>
    <t>BL2024070007</t>
  </si>
  <si>
    <t>บ.ออร์โธ เอ็นเตอร์ไพรส์</t>
  </si>
  <si>
    <t>EIN2024080021</t>
  </si>
  <si>
    <t>หจก.พีเอส เมทริก</t>
  </si>
  <si>
    <t>IH2407015</t>
  </si>
  <si>
    <t>บ.ยูนิเมด</t>
  </si>
  <si>
    <t>6701433</t>
  </si>
  <si>
    <t>บ.อีออนเมด</t>
  </si>
  <si>
    <t>INT-AOM24100318</t>
  </si>
  <si>
    <t>บ.ออร์โทดอนทิคไลน์</t>
  </si>
  <si>
    <t>EIN2024100006</t>
  </si>
  <si>
    <t>IH2409004</t>
  </si>
  <si>
    <t>บ.เมดิคอล อินเตอร์เทค</t>
  </si>
  <si>
    <t>IV6710-0531</t>
  </si>
  <si>
    <t>บ.ไบโอคอททอน</t>
  </si>
  <si>
    <t>IV24010104</t>
  </si>
  <si>
    <t>บ.แอสเซ้นท์ เมดิคอล</t>
  </si>
  <si>
    <t>IV2024100100</t>
  </si>
  <si>
    <t>บ.สคิปา เมด</t>
  </si>
  <si>
    <t>BL6710-00332</t>
  </si>
  <si>
    <t>IV2024100183</t>
  </si>
  <si>
    <t>IV24011225</t>
  </si>
  <si>
    <t>IV24011337</t>
  </si>
  <si>
    <t>บ.เค เค เมดิคอล</t>
  </si>
  <si>
    <t>10770</t>
  </si>
  <si>
    <t>IV2024110089</t>
  </si>
  <si>
    <t>BL6711-00361</t>
  </si>
  <si>
    <t>บ.ฟิวเจอร์ เมดิคอล ซัพพลาย</t>
  </si>
  <si>
    <t>IV6711-178</t>
  </si>
  <si>
    <t>103-68</t>
  </si>
  <si>
    <t>IH2410014</t>
  </si>
  <si>
    <t>IV2024110232</t>
  </si>
  <si>
    <t>บ.เอ็นจี โปรเกรสซีฟ</t>
  </si>
  <si>
    <t>012.12.67</t>
  </si>
  <si>
    <t>บ.สเตอลีน เฮลท์</t>
  </si>
  <si>
    <t>SH5776</t>
  </si>
  <si>
    <t>673758</t>
  </si>
  <si>
    <t>บ.เรียลเมดคอร์ป</t>
  </si>
  <si>
    <t>IV24120363</t>
  </si>
  <si>
    <t>บ.เซอจิ-แคร์</t>
  </si>
  <si>
    <t>A670806</t>
  </si>
  <si>
    <t>A670805</t>
  </si>
  <si>
    <t>บ.เทคโนเมดิคัล</t>
  </si>
  <si>
    <t>24120438</t>
  </si>
  <si>
    <t>673788</t>
  </si>
  <si>
    <t>บ.ไซเอนซ์ เมด</t>
  </si>
  <si>
    <t>SM67/1208070</t>
  </si>
  <si>
    <t>บ.ดีริช เมดิคอล</t>
  </si>
  <si>
    <t>IN-671206001</t>
  </si>
  <si>
    <t>IN-671205003</t>
  </si>
  <si>
    <t>บ.ทีอาร์บี เชอร์เม็ดดิก้า(ประเทศไทย)</t>
  </si>
  <si>
    <t>TRB08091/67</t>
  </si>
  <si>
    <t>บ.อี ฟอร์ แอล เอม</t>
  </si>
  <si>
    <t>M6712-0333</t>
  </si>
  <si>
    <t>IV2024120108</t>
  </si>
  <si>
    <t>331247400518</t>
  </si>
  <si>
    <t>บ.ไทยก๊อส</t>
  </si>
  <si>
    <t>IV6750792</t>
  </si>
  <si>
    <t>IV24012431</t>
  </si>
  <si>
    <t>บ.อิสโก้</t>
  </si>
  <si>
    <t>670746</t>
  </si>
  <si>
    <t>บ.ไอแคร์ เมดิคัล</t>
  </si>
  <si>
    <t>BL67-12/184</t>
  </si>
  <si>
    <t>บ.รีฟิล เมด</t>
  </si>
  <si>
    <t>RFMIV.009/2567</t>
  </si>
  <si>
    <t>บ.ทริมเมอร์</t>
  </si>
  <si>
    <t>IV241203442</t>
  </si>
  <si>
    <t>IV24012673</t>
  </si>
  <si>
    <t>84-68</t>
  </si>
  <si>
    <t>SM67/1208586</t>
  </si>
  <si>
    <t>IV241203698</t>
  </si>
  <si>
    <t>10-68</t>
  </si>
  <si>
    <t>673985</t>
  </si>
  <si>
    <t>17-68</t>
  </si>
  <si>
    <t>บ.สเวนนอร่า เมด</t>
  </si>
  <si>
    <t>SVM2412121</t>
  </si>
  <si>
    <t>674008</t>
  </si>
  <si>
    <t>SVM2412120</t>
  </si>
  <si>
    <t>399-68</t>
  </si>
  <si>
    <t>บ.แอรอน เมดิคอล</t>
  </si>
  <si>
    <t>IV6801002</t>
  </si>
  <si>
    <t>หจก.เอ แอนด์ ที เมดิคอลซายด์</t>
  </si>
  <si>
    <t>B6712030</t>
  </si>
  <si>
    <t>IN-671223002</t>
  </si>
  <si>
    <t>IV2024120249</t>
  </si>
  <si>
    <t>บ.บีเวอร์ เมดิคอล อินดัสตรี้</t>
  </si>
  <si>
    <t>680174</t>
  </si>
  <si>
    <t>IV6801448</t>
  </si>
  <si>
    <t>146-68 233-68</t>
  </si>
  <si>
    <t>680086</t>
  </si>
  <si>
    <t>IN-680115001</t>
  </si>
  <si>
    <t>IV6801922</t>
  </si>
  <si>
    <t>IV25000303</t>
  </si>
  <si>
    <t>6800052</t>
  </si>
  <si>
    <t>IV2025010107</t>
  </si>
  <si>
    <t>EL680110074</t>
  </si>
  <si>
    <t>130-68</t>
  </si>
  <si>
    <t>IV250100080</t>
  </si>
  <si>
    <t>10801</t>
  </si>
  <si>
    <t>331057400734</t>
  </si>
  <si>
    <t>IV6803158</t>
  </si>
  <si>
    <t>IV2025010203</t>
  </si>
  <si>
    <t>914-68</t>
  </si>
  <si>
    <t>หจก.วีอาร์ ซัพพอร์ต</t>
  </si>
  <si>
    <t>IV6800675</t>
  </si>
  <si>
    <t>บ.เซฟฟา ดรักส์</t>
  </si>
  <si>
    <t>129050</t>
  </si>
  <si>
    <t>415-68</t>
  </si>
  <si>
    <t>IH2412005</t>
  </si>
  <si>
    <t>บ.บุนย์วานิช อินเตอร์เนชั่นแนล</t>
  </si>
  <si>
    <t>FM680088</t>
  </si>
  <si>
    <t>บ.ซี วี พี เมดิคอล เทคโนโลยี</t>
  </si>
  <si>
    <t>SI01/68010239</t>
  </si>
  <si>
    <t>SI01/68010299</t>
  </si>
  <si>
    <t>SM68/0100663</t>
  </si>
  <si>
    <t>286-68</t>
  </si>
  <si>
    <t>บ.เมดวิท</t>
  </si>
  <si>
    <t>D-Q24121617</t>
  </si>
  <si>
    <t>บ.โมเดิร์นไลน์ เมิคอล</t>
  </si>
  <si>
    <t>IV6800016</t>
  </si>
  <si>
    <t>บ.ไลฟ์ โกรท เมดิคอล แอนด์ ซัพพลาย</t>
  </si>
  <si>
    <t>INV2025010036</t>
  </si>
  <si>
    <t>IV6801562</t>
  </si>
  <si>
    <t>10813</t>
  </si>
  <si>
    <t>บ.แมคคา โปรดักชั่น</t>
  </si>
  <si>
    <t>0380/68</t>
  </si>
  <si>
    <t>บ.โกสินทร์เวชภัณฑ์</t>
  </si>
  <si>
    <t>KS672020</t>
  </si>
  <si>
    <t>บ.เฟิร์สท อาย เซอร์จิคัล</t>
  </si>
  <si>
    <t>680222104</t>
  </si>
  <si>
    <t>บ.จอห์นสัน แอนด์ จอห์นสัน(ประเทศไทย)</t>
  </si>
  <si>
    <t>998507119</t>
  </si>
  <si>
    <t>560-68</t>
  </si>
  <si>
    <t>SVM2502027</t>
  </si>
  <si>
    <t>888-68</t>
  </si>
  <si>
    <t>IV6802217</t>
  </si>
  <si>
    <t>024.02.68</t>
  </si>
  <si>
    <t>IV6805873</t>
  </si>
  <si>
    <t>IV2025020054</t>
  </si>
  <si>
    <t>INV2025020009</t>
  </si>
  <si>
    <t>613-68</t>
  </si>
  <si>
    <t>IV250200336</t>
  </si>
  <si>
    <t>330257400479</t>
  </si>
  <si>
    <t>IV25001428</t>
  </si>
  <si>
    <t>765-68</t>
  </si>
  <si>
    <t>1547873</t>
  </si>
  <si>
    <t>IV6802228</t>
  </si>
  <si>
    <t>60806</t>
  </si>
  <si>
    <t>986-68</t>
  </si>
  <si>
    <t>IV6802341</t>
  </si>
  <si>
    <t>IV2025020132</t>
  </si>
  <si>
    <t>SI01/68020155</t>
  </si>
  <si>
    <t>990-68</t>
  </si>
  <si>
    <t>IV6802340</t>
  </si>
  <si>
    <t>1-68 2-68 3-68</t>
  </si>
  <si>
    <t>บ.เมด-ไอคอน</t>
  </si>
  <si>
    <t>24-12-162</t>
  </si>
  <si>
    <t>6-68 4-68 7-68</t>
  </si>
  <si>
    <t>24-12-163</t>
  </si>
  <si>
    <t>1090-68</t>
  </si>
  <si>
    <t>IV6802501</t>
  </si>
  <si>
    <t>804-68</t>
  </si>
  <si>
    <t>บ.เออร์วิง คอร์ปอเรชั่น</t>
  </si>
  <si>
    <t>1600044284</t>
  </si>
  <si>
    <t>10821</t>
  </si>
  <si>
    <t>1105-68</t>
  </si>
  <si>
    <t>IV6802535</t>
  </si>
  <si>
    <t>1136-68</t>
  </si>
  <si>
    <t>IV6802552</t>
  </si>
  <si>
    <t>1721-68</t>
  </si>
  <si>
    <t>IV6802017</t>
  </si>
  <si>
    <t>1176-68</t>
  </si>
  <si>
    <t>IV6802555</t>
  </si>
  <si>
    <t>1177-68</t>
  </si>
  <si>
    <t>IV6802554</t>
  </si>
  <si>
    <t>922-68</t>
  </si>
  <si>
    <t>SI01/68020263</t>
  </si>
  <si>
    <t>921-68</t>
  </si>
  <si>
    <t>SI01/68020262</t>
  </si>
  <si>
    <t>482-68</t>
  </si>
  <si>
    <t>680222249</t>
  </si>
  <si>
    <t>1222-68</t>
  </si>
  <si>
    <t>IV6803275</t>
  </si>
  <si>
    <t>1223-68</t>
  </si>
  <si>
    <t>IV6803276</t>
  </si>
  <si>
    <t xml:space="preserve">770-68 771-68 772-68 </t>
  </si>
  <si>
    <t>68101</t>
  </si>
  <si>
    <t>1232-68</t>
  </si>
  <si>
    <t>IV6803094</t>
  </si>
  <si>
    <t>1231-68</t>
  </si>
  <si>
    <t>IV6803092</t>
  </si>
  <si>
    <t>1244-68</t>
  </si>
  <si>
    <t>IV6803110</t>
  </si>
  <si>
    <t>1261-68</t>
  </si>
  <si>
    <t>บ.เอเมอร์สัน กรุ๊ป</t>
  </si>
  <si>
    <t>IV6803082</t>
  </si>
  <si>
    <t>868-68 870-68</t>
  </si>
  <si>
    <t>EL680304059</t>
  </si>
  <si>
    <t>826-68</t>
  </si>
  <si>
    <t>IV250200623</t>
  </si>
  <si>
    <t>1062-68 1061-68 1060-68 1059-68 1058-68 1057-68 1056-68</t>
  </si>
  <si>
    <t>IV6803093</t>
  </si>
  <si>
    <t>945-68</t>
  </si>
  <si>
    <t>202502-010</t>
  </si>
  <si>
    <t>1263-68</t>
  </si>
  <si>
    <t>IV6803197</t>
  </si>
  <si>
    <t>682083</t>
  </si>
  <si>
    <t>681328</t>
  </si>
  <si>
    <t>บ.ไทยเพียวดีไวซ์</t>
  </si>
  <si>
    <t>68/02521</t>
  </si>
  <si>
    <t>1290-68</t>
  </si>
  <si>
    <t>IV6803250</t>
  </si>
  <si>
    <t>766-68</t>
  </si>
  <si>
    <t>IV250300681</t>
  </si>
  <si>
    <t>947-68</t>
  </si>
  <si>
    <t>IV250300691</t>
  </si>
  <si>
    <t>756-68</t>
  </si>
  <si>
    <t>IV250300730</t>
  </si>
  <si>
    <t>871-68 825-68</t>
  </si>
  <si>
    <t>BL68-03/192</t>
  </si>
  <si>
    <t>IV25001227</t>
  </si>
  <si>
    <t xml:space="preserve">614-68 </t>
  </si>
  <si>
    <t>998520691</t>
  </si>
  <si>
    <t>1410-68</t>
  </si>
  <si>
    <t>IV6803383</t>
  </si>
  <si>
    <t>1406-68</t>
  </si>
  <si>
    <t>IV6803356</t>
  </si>
  <si>
    <t>1407-68</t>
  </si>
  <si>
    <t>IV6803359</t>
  </si>
  <si>
    <t>1430-68</t>
  </si>
  <si>
    <t>IV6803403</t>
  </si>
  <si>
    <t>EL680311106</t>
  </si>
  <si>
    <t>บ.อินเตอร์ เมดิคอล</t>
  </si>
  <si>
    <t>6801248</t>
  </si>
  <si>
    <t>1134-68</t>
  </si>
  <si>
    <t>IV6803114</t>
  </si>
  <si>
    <t>1446-68</t>
  </si>
  <si>
    <t>IV6803413</t>
  </si>
  <si>
    <t>1445-68</t>
  </si>
  <si>
    <t>IV6803412</t>
  </si>
  <si>
    <t>948-68 1028-68</t>
  </si>
  <si>
    <t>61227</t>
  </si>
  <si>
    <t>1128-68 1130-68</t>
  </si>
  <si>
    <t>IV6811404</t>
  </si>
  <si>
    <t>1463-68</t>
  </si>
  <si>
    <t>IV6803494</t>
  </si>
  <si>
    <t>10834</t>
  </si>
  <si>
    <t>IV2025030127</t>
  </si>
  <si>
    <t>68015072</t>
  </si>
  <si>
    <t>330337400917</t>
  </si>
  <si>
    <t>1465-68</t>
  </si>
  <si>
    <t>IV6803446</t>
  </si>
  <si>
    <t>1466-68</t>
  </si>
  <si>
    <t>IV6803434</t>
  </si>
  <si>
    <t>1100-68</t>
  </si>
  <si>
    <t>SI01/68040408</t>
  </si>
  <si>
    <t>1101-68</t>
  </si>
  <si>
    <t>IV250300867</t>
  </si>
  <si>
    <t>869-68</t>
  </si>
  <si>
    <t>6800418</t>
  </si>
  <si>
    <t>1129-68</t>
  </si>
  <si>
    <t>IV68012026</t>
  </si>
  <si>
    <t>1486-68</t>
  </si>
  <si>
    <t>IV6803530</t>
  </si>
  <si>
    <t>IV6802984</t>
  </si>
  <si>
    <t>บ.ไฮแวน เมดิคอล</t>
  </si>
  <si>
    <t>HV6801676</t>
  </si>
  <si>
    <t>1529-68</t>
  </si>
  <si>
    <t>IV6803548</t>
  </si>
  <si>
    <t>1530-68</t>
  </si>
  <si>
    <t>IV6803564</t>
  </si>
  <si>
    <t>1683-68</t>
  </si>
  <si>
    <t>IH2503004</t>
  </si>
  <si>
    <t>FM680267</t>
  </si>
  <si>
    <t>682427</t>
  </si>
  <si>
    <t>EL680317147</t>
  </si>
  <si>
    <t>IV2025030225</t>
  </si>
  <si>
    <t>HV6801839</t>
  </si>
  <si>
    <t>682573</t>
  </si>
  <si>
    <t>682222</t>
  </si>
  <si>
    <t>1590-68</t>
  </si>
  <si>
    <t>IV6804117</t>
  </si>
  <si>
    <t>1591-68</t>
  </si>
  <si>
    <t>IV6804118</t>
  </si>
  <si>
    <t>1592-68</t>
  </si>
  <si>
    <t>IV6804119</t>
  </si>
  <si>
    <t>1594-68</t>
  </si>
  <si>
    <t>IV6803621</t>
  </si>
  <si>
    <t>1595-68</t>
  </si>
  <si>
    <t>IV6803620</t>
  </si>
  <si>
    <t>1601-68</t>
  </si>
  <si>
    <t>IV6804001</t>
  </si>
  <si>
    <t>1602-68</t>
  </si>
  <si>
    <t>IV6804002</t>
  </si>
  <si>
    <t>1620-68</t>
  </si>
  <si>
    <t>IV25040049</t>
  </si>
  <si>
    <t>916-68</t>
  </si>
  <si>
    <t>IH2502004</t>
  </si>
  <si>
    <t>1621-68</t>
  </si>
  <si>
    <t>IV25040262</t>
  </si>
  <si>
    <t>68016823</t>
  </si>
  <si>
    <t>1701-68</t>
  </si>
  <si>
    <t>IV25040118</t>
  </si>
  <si>
    <t>944-68</t>
  </si>
  <si>
    <t>IV25034701</t>
  </si>
  <si>
    <t>58-68</t>
  </si>
  <si>
    <t>10849</t>
  </si>
  <si>
    <t>1803-68</t>
  </si>
  <si>
    <t>บ.ไท้เส กรุ๊ป</t>
  </si>
  <si>
    <t>IV25/04-084</t>
  </si>
  <si>
    <t>1726-68</t>
  </si>
  <si>
    <t>IV6804057</t>
  </si>
  <si>
    <t>1725-68</t>
  </si>
  <si>
    <t>IV6804058</t>
  </si>
  <si>
    <t>1770-68</t>
  </si>
  <si>
    <t>IV25040166</t>
  </si>
  <si>
    <t>1724-68</t>
  </si>
  <si>
    <t>IV25040502</t>
  </si>
  <si>
    <t>1112-68</t>
  </si>
  <si>
    <t>SI01/68040409</t>
  </si>
  <si>
    <t>1111-68</t>
  </si>
  <si>
    <t>SI01/68040410</t>
  </si>
  <si>
    <t>IV2025040021</t>
  </si>
  <si>
    <t>1769-68</t>
  </si>
  <si>
    <t>IV6804107</t>
  </si>
  <si>
    <t>1773-68</t>
  </si>
  <si>
    <t>IV6804110</t>
  </si>
  <si>
    <t>1772-68</t>
  </si>
  <si>
    <t>IV6804121</t>
  </si>
  <si>
    <t>1956-68</t>
  </si>
  <si>
    <t>68013518</t>
  </si>
  <si>
    <t>FM680307</t>
  </si>
  <si>
    <t>IV6813108</t>
  </si>
  <si>
    <t>EL680402031</t>
  </si>
  <si>
    <t>HV6802045</t>
  </si>
  <si>
    <t>68018270</t>
  </si>
  <si>
    <t>10848</t>
  </si>
  <si>
    <t>330457400048</t>
  </si>
  <si>
    <t>1448-68</t>
  </si>
  <si>
    <t>200055784</t>
  </si>
  <si>
    <t>1808-68</t>
  </si>
  <si>
    <t>IV6804148</t>
  </si>
  <si>
    <t>1397-68</t>
  </si>
  <si>
    <t>IV6804116</t>
  </si>
  <si>
    <t>1183-68</t>
  </si>
  <si>
    <t>EL680404079</t>
  </si>
  <si>
    <t>1125-68</t>
  </si>
  <si>
    <t>IV250401077</t>
  </si>
  <si>
    <t>1498-68</t>
  </si>
  <si>
    <t>บ.อัครวินท์ อินเตอร์ไฟร์ส</t>
  </si>
  <si>
    <t>68/04-0010</t>
  </si>
  <si>
    <t>1846-68</t>
  </si>
  <si>
    <t>IV6804190</t>
  </si>
  <si>
    <t>1847-68</t>
  </si>
  <si>
    <t>IV6804191</t>
  </si>
  <si>
    <t>1512-68</t>
  </si>
  <si>
    <t>EL680403038</t>
  </si>
  <si>
    <t>1483-68</t>
  </si>
  <si>
    <t>EL680409106</t>
  </si>
  <si>
    <t>1413-68</t>
  </si>
  <si>
    <t>EL680409109</t>
  </si>
  <si>
    <t>1861-68</t>
  </si>
  <si>
    <t>IV6804280</t>
  </si>
  <si>
    <t>1881-68</t>
  </si>
  <si>
    <t>IV6804338</t>
  </si>
  <si>
    <t>1879-68</t>
  </si>
  <si>
    <t>IV6804337</t>
  </si>
  <si>
    <t>1341-68</t>
  </si>
  <si>
    <t>บ.ไอดีเอส เมดิคอล ซิสเต็มส์(ประเทศไทย)</t>
  </si>
  <si>
    <t>UG90032377</t>
  </si>
  <si>
    <t>1472-68</t>
  </si>
  <si>
    <t>UG90032376</t>
  </si>
  <si>
    <t>1484-68</t>
  </si>
  <si>
    <t>25040828</t>
  </si>
  <si>
    <t>2255-68</t>
  </si>
  <si>
    <t>68014477</t>
  </si>
  <si>
    <t>1588-68</t>
  </si>
  <si>
    <t>SI01/68050039</t>
  </si>
  <si>
    <t>1409-68</t>
  </si>
  <si>
    <t>M6804-0324</t>
  </si>
  <si>
    <t>1496-68</t>
  </si>
  <si>
    <t>SVM2504047</t>
  </si>
  <si>
    <t>1272-68 1271-68 1257-68 1243-68</t>
  </si>
  <si>
    <t>SM68/0402469</t>
  </si>
  <si>
    <t>1909-68</t>
  </si>
  <si>
    <t>IV6804354</t>
  </si>
  <si>
    <t>1952-68</t>
  </si>
  <si>
    <t>IV6804363</t>
  </si>
  <si>
    <t>1953-68</t>
  </si>
  <si>
    <t>IV6804369</t>
  </si>
  <si>
    <t>1481-68</t>
  </si>
  <si>
    <t>IV25041817</t>
  </si>
  <si>
    <t>IV25003401</t>
  </si>
  <si>
    <t>1979-68</t>
  </si>
  <si>
    <t>68014971</t>
  </si>
  <si>
    <t>1531-68</t>
  </si>
  <si>
    <t>SI01/68050040</t>
  </si>
  <si>
    <t>1294-68</t>
  </si>
  <si>
    <t>680167</t>
  </si>
  <si>
    <t>1480-68</t>
  </si>
  <si>
    <t>SH6906</t>
  </si>
  <si>
    <t>1959-68</t>
  </si>
  <si>
    <t>IV6804378</t>
  </si>
  <si>
    <t>1451-68</t>
  </si>
  <si>
    <t>INT-AOM25040370</t>
  </si>
  <si>
    <t>1976-68</t>
  </si>
  <si>
    <t>IV6804388</t>
  </si>
  <si>
    <t>1974-68</t>
  </si>
  <si>
    <t>IV6804389</t>
  </si>
  <si>
    <t>1975-68</t>
  </si>
  <si>
    <t>IV6804406</t>
  </si>
  <si>
    <t>1986-68</t>
  </si>
  <si>
    <t>IV6804405</t>
  </si>
  <si>
    <t>1434-68 1394-68 1267-68</t>
  </si>
  <si>
    <t>IV25041818</t>
  </si>
  <si>
    <t>2109-68</t>
  </si>
  <si>
    <t>IV6803989</t>
  </si>
  <si>
    <t>1985-68</t>
  </si>
  <si>
    <t>IV6804501</t>
  </si>
  <si>
    <t>1732-68 1731-68</t>
  </si>
  <si>
    <t>IV6804404</t>
  </si>
  <si>
    <t>1627-68</t>
  </si>
  <si>
    <t>109.04.68</t>
  </si>
  <si>
    <t>1393-68</t>
  </si>
  <si>
    <t>บ.กรุงเทพครุภัณฑ์เวชภัณฑ์</t>
  </si>
  <si>
    <t>2568/0431</t>
  </si>
  <si>
    <t>862-68</t>
  </si>
  <si>
    <t>2568/0374</t>
  </si>
  <si>
    <t>1010-68</t>
  </si>
  <si>
    <t>2568/0373</t>
  </si>
  <si>
    <t>2115-68</t>
  </si>
  <si>
    <t>IV6804467</t>
  </si>
  <si>
    <t>1450-68</t>
  </si>
  <si>
    <t>บ.ทีเคเอ็น ซัพพลาย(ไทยแลนด์)</t>
  </si>
  <si>
    <t>IV2504458</t>
  </si>
  <si>
    <t>2022-68</t>
  </si>
  <si>
    <t>IV6804476</t>
  </si>
  <si>
    <t>1493-68</t>
  </si>
  <si>
    <t>681253</t>
  </si>
  <si>
    <t>1436-68</t>
  </si>
  <si>
    <t>EL680422160</t>
  </si>
  <si>
    <t>1733-68</t>
  </si>
  <si>
    <t>IV6804456</t>
  </si>
  <si>
    <t>2068-68</t>
  </si>
  <si>
    <t>68015640</t>
  </si>
  <si>
    <t>2089-68</t>
  </si>
  <si>
    <t>IV6804511</t>
  </si>
  <si>
    <t>2093-68</t>
  </si>
  <si>
    <t>IV6804502</t>
  </si>
  <si>
    <t>2094-68</t>
  </si>
  <si>
    <t>IV6804529</t>
  </si>
  <si>
    <t>261-68</t>
  </si>
  <si>
    <t>2568/0371</t>
  </si>
  <si>
    <t>258-68</t>
  </si>
  <si>
    <t>2568/0370</t>
  </si>
  <si>
    <t>2096-68</t>
  </si>
  <si>
    <t>IV6805003</t>
  </si>
  <si>
    <t>2095-68</t>
  </si>
  <si>
    <t>IV6805004</t>
  </si>
  <si>
    <t>2116-68</t>
  </si>
  <si>
    <t>IV6804588</t>
  </si>
  <si>
    <t>1699-68</t>
  </si>
  <si>
    <t>บ.ไพ ออริตี้ แคร์ โปรดักส์</t>
  </si>
  <si>
    <t>IV6800593</t>
  </si>
  <si>
    <t>1700-68</t>
  </si>
  <si>
    <t>IV6800594</t>
  </si>
  <si>
    <t>1256-68</t>
  </si>
  <si>
    <t>M6804-0582</t>
  </si>
  <si>
    <t>407-68</t>
  </si>
  <si>
    <t>หจก.มหามิตรภาพ ซัพพลาย</t>
  </si>
  <si>
    <t>2505001</t>
  </si>
  <si>
    <t>405-68</t>
  </si>
  <si>
    <t>2504007</t>
  </si>
  <si>
    <t>856-68</t>
  </si>
  <si>
    <t>หจก.เอ็มมีเน้นซ์</t>
  </si>
  <si>
    <t>IVD0105268</t>
  </si>
  <si>
    <t>2123-68</t>
  </si>
  <si>
    <t>IV6805002</t>
  </si>
  <si>
    <t>2124-68</t>
  </si>
  <si>
    <t>IV6805006</t>
  </si>
  <si>
    <t>2125-68</t>
  </si>
  <si>
    <t>IV6805005</t>
  </si>
  <si>
    <t>1116/68</t>
  </si>
  <si>
    <t>683145</t>
  </si>
  <si>
    <t>683625</t>
  </si>
  <si>
    <t>680403759</t>
  </si>
  <si>
    <t>683610</t>
  </si>
  <si>
    <t>HV6802485</t>
  </si>
  <si>
    <t>HV6802487</t>
  </si>
  <si>
    <t>IV6816839</t>
  </si>
  <si>
    <t>2126-68</t>
  </si>
  <si>
    <t>IV25050640</t>
  </si>
  <si>
    <t>1242-68</t>
  </si>
  <si>
    <t>INV2025040012</t>
  </si>
  <si>
    <t>2163-68</t>
  </si>
  <si>
    <t>1317061845</t>
  </si>
  <si>
    <t>2157-68</t>
  </si>
  <si>
    <t>IV6805025</t>
  </si>
  <si>
    <t>2156-68</t>
  </si>
  <si>
    <t>IV6805031</t>
  </si>
  <si>
    <t>1939-68</t>
  </si>
  <si>
    <t>SI01/68050061</t>
  </si>
  <si>
    <t>1940-68</t>
  </si>
  <si>
    <t>SI01/68050060</t>
  </si>
  <si>
    <t>1741-68</t>
  </si>
  <si>
    <t>B6805001</t>
  </si>
  <si>
    <t>2164-68</t>
  </si>
  <si>
    <t>IV6805091</t>
  </si>
  <si>
    <t>2159-68</t>
  </si>
  <si>
    <t>IV6805093</t>
  </si>
  <si>
    <t>2158-68</t>
  </si>
  <si>
    <t>IV6805094</t>
  </si>
  <si>
    <t>2166-68</t>
  </si>
  <si>
    <t>IV6805108</t>
  </si>
  <si>
    <t>2165-68</t>
  </si>
  <si>
    <t>IV6805107</t>
  </si>
  <si>
    <t>1597-68</t>
  </si>
  <si>
    <t>บ.เวชพงศ์โอสถ เทรดดิ้ง</t>
  </si>
  <si>
    <t>VPOT2025/000197</t>
  </si>
  <si>
    <t>1598-68</t>
  </si>
  <si>
    <t>VPOT2025/000198</t>
  </si>
  <si>
    <t>EL680425185</t>
  </si>
  <si>
    <t>EL680502003</t>
  </si>
  <si>
    <t>IV25004058</t>
  </si>
  <si>
    <t>680404508</t>
  </si>
  <si>
    <t>2110-68</t>
  </si>
  <si>
    <t>IH2504005</t>
  </si>
  <si>
    <t xml:space="preserve">1907-68 1908-68 1933-68 </t>
  </si>
  <si>
    <t>IV250501370</t>
  </si>
  <si>
    <t>2200-68</t>
  </si>
  <si>
    <t>IV6805152</t>
  </si>
  <si>
    <t>2201-68</t>
  </si>
  <si>
    <t>IV6805384</t>
  </si>
  <si>
    <t>564-68</t>
  </si>
  <si>
    <t>998537752</t>
  </si>
  <si>
    <t>1696-68 1697-68 1698-68</t>
  </si>
  <si>
    <t>EL680505044</t>
  </si>
  <si>
    <t>1823-68</t>
  </si>
  <si>
    <t>บ.ไทปันซัมมิท</t>
  </si>
  <si>
    <t>TP680506023</t>
  </si>
  <si>
    <t>1906-68</t>
  </si>
  <si>
    <t>68015676</t>
  </si>
  <si>
    <t>1342-68</t>
  </si>
  <si>
    <t>SH7111</t>
  </si>
  <si>
    <t>1432-68</t>
  </si>
  <si>
    <t>B6804059</t>
  </si>
  <si>
    <t>2212-68</t>
  </si>
  <si>
    <t>IV25050272</t>
  </si>
  <si>
    <t>2213-68</t>
  </si>
  <si>
    <t>IV6805261</t>
  </si>
  <si>
    <t>1264-68</t>
  </si>
  <si>
    <t>B6805027</t>
  </si>
  <si>
    <t>2231-68</t>
  </si>
  <si>
    <t>IV25050343</t>
  </si>
  <si>
    <t>IN-680511002</t>
  </si>
  <si>
    <t>684028</t>
  </si>
  <si>
    <t>330557400092</t>
  </si>
  <si>
    <t>IV2025050012</t>
  </si>
  <si>
    <t>22/56-68</t>
  </si>
  <si>
    <t>IV6805372</t>
  </si>
  <si>
    <t>2335-68</t>
  </si>
  <si>
    <t>68017468</t>
  </si>
  <si>
    <t>2267-68</t>
  </si>
  <si>
    <t>IV25050403</t>
  </si>
  <si>
    <t>941-68</t>
  </si>
  <si>
    <t>SH7164</t>
  </si>
  <si>
    <t>1860-68</t>
  </si>
  <si>
    <t>998541539</t>
  </si>
  <si>
    <t>1932-68</t>
  </si>
  <si>
    <t>998542026</t>
  </si>
  <si>
    <t>1935-68</t>
  </si>
  <si>
    <t>IV25051024</t>
  </si>
  <si>
    <t>2268-68</t>
  </si>
  <si>
    <t>IV25050447</t>
  </si>
  <si>
    <t>2271-68</t>
  </si>
  <si>
    <t>IV6805413</t>
  </si>
  <si>
    <t>2270-68</t>
  </si>
  <si>
    <t>IV6805447</t>
  </si>
  <si>
    <t>2269-68</t>
  </si>
  <si>
    <t>IV6805430</t>
  </si>
  <si>
    <t>1799-68</t>
  </si>
  <si>
    <t>1556374</t>
  </si>
  <si>
    <t>2336-68</t>
  </si>
  <si>
    <t>IV6805604</t>
  </si>
  <si>
    <t>2122-68</t>
  </si>
  <si>
    <t>EL680522178</t>
  </si>
  <si>
    <t>2148-68</t>
  </si>
  <si>
    <t>บ.ดีไวซ์ อินโนเวชั่น จำกัด</t>
  </si>
  <si>
    <t>IV6805-00723</t>
  </si>
  <si>
    <t>1972-68</t>
  </si>
  <si>
    <t>บ.บีทีแอล เมดิคอล เทคโนโลจีส์</t>
  </si>
  <si>
    <t>2025_05_075</t>
  </si>
  <si>
    <t>2337-68</t>
  </si>
  <si>
    <t>IV6805497</t>
  </si>
  <si>
    <t>2338-68</t>
  </si>
  <si>
    <t>IV6805496</t>
  </si>
  <si>
    <t>2339-68</t>
  </si>
  <si>
    <t>IV6805498</t>
  </si>
  <si>
    <t>2340-68</t>
  </si>
  <si>
    <t>IV25050616</t>
  </si>
  <si>
    <t>2155-68 2154-68 2060-68 2058-68 2057-68 2080-68 2079-68</t>
  </si>
  <si>
    <t>IV6805471</t>
  </si>
  <si>
    <t>2150-68</t>
  </si>
  <si>
    <t>IV6800707</t>
  </si>
  <si>
    <t>1340-68</t>
  </si>
  <si>
    <t>UG90033114</t>
  </si>
  <si>
    <t>2341-68</t>
  </si>
  <si>
    <t>IV6805526</t>
  </si>
  <si>
    <t>2342-68</t>
  </si>
  <si>
    <t>IV6805525</t>
  </si>
  <si>
    <t>2356-68</t>
  </si>
  <si>
    <t>IV6805520</t>
  </si>
  <si>
    <t>2357-68</t>
  </si>
  <si>
    <t>IV6803336</t>
  </si>
  <si>
    <t>2358-68</t>
  </si>
  <si>
    <t>IV25050725</t>
  </si>
  <si>
    <t>2359-68</t>
  </si>
  <si>
    <t>IV6806011</t>
  </si>
  <si>
    <t>2174-68</t>
  </si>
  <si>
    <t>IV6805568</t>
  </si>
  <si>
    <t>2460-68</t>
  </si>
  <si>
    <t>IV6805603</t>
  </si>
  <si>
    <t>2597-68</t>
  </si>
  <si>
    <t>68019025</t>
  </si>
  <si>
    <t>2056-68</t>
  </si>
  <si>
    <t>IV6805610</t>
  </si>
  <si>
    <t>1402-68</t>
  </si>
  <si>
    <t>IV6805585</t>
  </si>
  <si>
    <t>2228-68</t>
  </si>
  <si>
    <t>SI01/68060036</t>
  </si>
  <si>
    <t>2462-68</t>
  </si>
  <si>
    <t>IV6806022</t>
  </si>
  <si>
    <t>2463-68</t>
  </si>
  <si>
    <t>IV6806043</t>
  </si>
  <si>
    <t>2550-68</t>
  </si>
  <si>
    <t>IV6806042</t>
  </si>
  <si>
    <t>2465-68</t>
  </si>
  <si>
    <t>IV6806102</t>
  </si>
  <si>
    <t>2461-68</t>
  </si>
  <si>
    <t>IV6806188</t>
  </si>
  <si>
    <t>FM680499</t>
  </si>
  <si>
    <t>330557401476</t>
  </si>
  <si>
    <t>2581-68</t>
  </si>
  <si>
    <t>IV6806125</t>
  </si>
  <si>
    <t>680504833</t>
  </si>
  <si>
    <t>680504831</t>
  </si>
  <si>
    <t>บ.เอฟ.ซี.พี</t>
  </si>
  <si>
    <t>105000007236</t>
  </si>
  <si>
    <t>2535-68</t>
  </si>
  <si>
    <t>IV6806094</t>
  </si>
  <si>
    <t>2464-68</t>
  </si>
  <si>
    <t>IV6806106</t>
  </si>
  <si>
    <t>2582-68</t>
  </si>
  <si>
    <t>IV6806111</t>
  </si>
  <si>
    <t>874-68</t>
  </si>
  <si>
    <t>บ.เอสพีเค เพลนตี้ สตาร์</t>
  </si>
  <si>
    <t>30-05/25</t>
  </si>
  <si>
    <t>872-68</t>
  </si>
  <si>
    <t>31-05/25</t>
  </si>
  <si>
    <t>1934-68</t>
  </si>
  <si>
    <t>998546198</t>
  </si>
  <si>
    <t>2601-68</t>
  </si>
  <si>
    <t>IV6806127</t>
  </si>
  <si>
    <t>2600-68</t>
  </si>
  <si>
    <t>IV6806128</t>
  </si>
  <si>
    <t>2633-68</t>
  </si>
  <si>
    <t>68020774</t>
  </si>
  <si>
    <t>2617-68</t>
  </si>
  <si>
    <t>IV6806153</t>
  </si>
  <si>
    <t>2616-68</t>
  </si>
  <si>
    <t>IV6806151</t>
  </si>
  <si>
    <t>2397-68 2396-68 2395-68 2394-68 2393-68 2392-68 2391-68 2390-68 2398-68 2399-68 2400-68</t>
  </si>
  <si>
    <t>IV6806117</t>
  </si>
  <si>
    <t>2014-68 2052-68</t>
  </si>
  <si>
    <t>IV6822890</t>
  </si>
  <si>
    <t>IV2025060061</t>
  </si>
  <si>
    <t>El680611101</t>
  </si>
  <si>
    <t>2385-68</t>
  </si>
  <si>
    <t>บ.แอม เบส พลัส</t>
  </si>
  <si>
    <t>AM6806/099</t>
  </si>
  <si>
    <t>2347-68</t>
  </si>
  <si>
    <t>SI01/68060325</t>
  </si>
  <si>
    <t>2226-68</t>
  </si>
  <si>
    <t>310657402961</t>
  </si>
  <si>
    <t>2199-68</t>
  </si>
  <si>
    <t>202505031</t>
  </si>
  <si>
    <t>2634-68</t>
  </si>
  <si>
    <t>IV6806189</t>
  </si>
  <si>
    <t>2638-68</t>
  </si>
  <si>
    <t>IV6806187</t>
  </si>
  <si>
    <t>2261-68</t>
  </si>
  <si>
    <t>130802</t>
  </si>
  <si>
    <t>2689-68</t>
  </si>
  <si>
    <t>IV6806243</t>
  </si>
  <si>
    <t>1578-68</t>
  </si>
  <si>
    <t>บ.ดีเคเอสเอช เทคโนโลยี</t>
  </si>
  <si>
    <t>5151627191</t>
  </si>
  <si>
    <t>2690-68</t>
  </si>
  <si>
    <t>IV6806249</t>
  </si>
  <si>
    <t>2691-68</t>
  </si>
  <si>
    <t>IV6806246</t>
  </si>
  <si>
    <t>2707-68</t>
  </si>
  <si>
    <t>IV6806185</t>
  </si>
  <si>
    <t>685151</t>
  </si>
  <si>
    <t>HV6803513</t>
  </si>
  <si>
    <t>680602304</t>
  </si>
  <si>
    <t>685203</t>
  </si>
  <si>
    <t>EL680614139</t>
  </si>
  <si>
    <t>EL680613123</t>
  </si>
  <si>
    <t>IV6823269</t>
  </si>
  <si>
    <t>EL680612119</t>
  </si>
  <si>
    <t>2246-68</t>
  </si>
  <si>
    <t>EL680612115</t>
  </si>
  <si>
    <t>2247-68</t>
  </si>
  <si>
    <t>EL680611106</t>
  </si>
  <si>
    <t>2388-68</t>
  </si>
  <si>
    <t>IV2506-00120</t>
  </si>
  <si>
    <t>2585-68</t>
  </si>
  <si>
    <t>100511701</t>
  </si>
  <si>
    <t>2248-68</t>
  </si>
  <si>
    <t>681783</t>
  </si>
  <si>
    <t>1435-68</t>
  </si>
  <si>
    <t>68373</t>
  </si>
  <si>
    <t>2479-68</t>
  </si>
  <si>
    <t>IV6805958</t>
  </si>
  <si>
    <t>2430-68</t>
  </si>
  <si>
    <t>62512</t>
  </si>
  <si>
    <t>2417-68</t>
  </si>
  <si>
    <t>บ.เมส เทรดดิ้ง</t>
  </si>
  <si>
    <t>44-01022</t>
  </si>
  <si>
    <t>2709-68</t>
  </si>
  <si>
    <t>IV6806354</t>
  </si>
  <si>
    <t>2710-68</t>
  </si>
  <si>
    <t>UV6806388</t>
  </si>
  <si>
    <t>2545-68</t>
  </si>
  <si>
    <t>25061322</t>
  </si>
  <si>
    <t>2203-68</t>
  </si>
  <si>
    <t>IV25060471</t>
  </si>
  <si>
    <t>2542-68</t>
  </si>
  <si>
    <t>681825</t>
  </si>
  <si>
    <t>2468-68</t>
  </si>
  <si>
    <t>IV25063210</t>
  </si>
  <si>
    <t>2467-68</t>
  </si>
  <si>
    <t>1559858</t>
  </si>
  <si>
    <t>2225-68</t>
  </si>
  <si>
    <t>บ.ไพรม์ เมดิคอล</t>
  </si>
  <si>
    <t>IV6806-8183</t>
  </si>
  <si>
    <t>2408-68</t>
  </si>
  <si>
    <t>บ.แม็ค เมดิคัล</t>
  </si>
  <si>
    <t>INV2025060037</t>
  </si>
  <si>
    <t>2401-68</t>
  </si>
  <si>
    <t>IV25060561</t>
  </si>
  <si>
    <t>2384-68</t>
  </si>
  <si>
    <t>998554258</t>
  </si>
  <si>
    <t>2583-68</t>
  </si>
  <si>
    <t>IV25063395</t>
  </si>
  <si>
    <t>2728-68</t>
  </si>
  <si>
    <t>IV6806454</t>
  </si>
  <si>
    <t>2494-68</t>
  </si>
  <si>
    <t>SI01/68060326</t>
  </si>
  <si>
    <t>IV25006199</t>
  </si>
  <si>
    <t>2625-68</t>
  </si>
  <si>
    <t>IV6803246</t>
  </si>
  <si>
    <t>2537-68</t>
  </si>
  <si>
    <t>EL680620183</t>
  </si>
  <si>
    <t>2536-68</t>
  </si>
  <si>
    <t>EL680620187</t>
  </si>
  <si>
    <t>2260-68</t>
  </si>
  <si>
    <t>บ.เอสพี เมดิคอล โปรดักส์</t>
  </si>
  <si>
    <t>IV250624-0003</t>
  </si>
  <si>
    <t>2729-68</t>
  </si>
  <si>
    <t>IV6806453</t>
  </si>
  <si>
    <t>2730-68</t>
  </si>
  <si>
    <t>IV6806478</t>
  </si>
  <si>
    <t>2731-68</t>
  </si>
  <si>
    <t>IV6806480</t>
  </si>
  <si>
    <t>2732-68</t>
  </si>
  <si>
    <t>IV6806479</t>
  </si>
  <si>
    <t>68/06421</t>
  </si>
  <si>
    <t>68031165</t>
  </si>
  <si>
    <t>EL680619165</t>
  </si>
  <si>
    <t>2466-68</t>
  </si>
  <si>
    <t>IV250601880</t>
  </si>
  <si>
    <t>2787-68</t>
  </si>
  <si>
    <t>IV6806551</t>
  </si>
  <si>
    <t>10881</t>
  </si>
  <si>
    <t>68030753</t>
  </si>
  <si>
    <t>FM680607</t>
  </si>
  <si>
    <t>680603786</t>
  </si>
  <si>
    <t>2792-68</t>
  </si>
  <si>
    <t>IV6806552</t>
  </si>
  <si>
    <t>2547-68</t>
  </si>
  <si>
    <t>M6806-0666</t>
  </si>
  <si>
    <t>2631-68</t>
  </si>
  <si>
    <t>IV250601911</t>
  </si>
  <si>
    <t>2671-68</t>
  </si>
  <si>
    <t>IV2506598</t>
  </si>
  <si>
    <t>2789-68</t>
  </si>
  <si>
    <t>IV6806550</t>
  </si>
  <si>
    <t>2817-68</t>
  </si>
  <si>
    <t>IV6807009</t>
  </si>
  <si>
    <t>2884-68</t>
  </si>
  <si>
    <t>IV6807034</t>
  </si>
  <si>
    <t>2885-68</t>
  </si>
  <si>
    <t>IV6807087</t>
  </si>
  <si>
    <t>2886-68</t>
  </si>
  <si>
    <t>IV6807088</t>
  </si>
  <si>
    <t>2672-68</t>
  </si>
  <si>
    <t>INT-AOM25070006</t>
  </si>
  <si>
    <t>2458-68 2457-68 2501-68</t>
  </si>
  <si>
    <t>IV6824736</t>
  </si>
  <si>
    <t>2500-68</t>
  </si>
  <si>
    <t>IV6824363</t>
  </si>
  <si>
    <t>2652-68</t>
  </si>
  <si>
    <t>IV25061578</t>
  </si>
  <si>
    <t xml:space="preserve">2635-68 2663-68 </t>
  </si>
  <si>
    <t>25062082</t>
  </si>
  <si>
    <t>2883-68</t>
  </si>
  <si>
    <t>68022840</t>
  </si>
  <si>
    <t>2887-68</t>
  </si>
  <si>
    <t>IV6807012</t>
  </si>
  <si>
    <t>2649-68</t>
  </si>
  <si>
    <t>IV6806-8563</t>
  </si>
  <si>
    <t>2552-68 2553-68</t>
  </si>
  <si>
    <t>4566/2568</t>
  </si>
  <si>
    <t>2666-68</t>
  </si>
  <si>
    <t>บ.จงที (ไทย) อิมปอร์ต เอ็กซ์ปอร์ต</t>
  </si>
  <si>
    <t>IVN2506-394</t>
  </si>
  <si>
    <t>68/06689</t>
  </si>
  <si>
    <t>680604469</t>
  </si>
  <si>
    <t>10887</t>
  </si>
  <si>
    <t>68032298</t>
  </si>
  <si>
    <t>IV2025060173</t>
  </si>
  <si>
    <t>2920-68</t>
  </si>
  <si>
    <t>IV6807258</t>
  </si>
  <si>
    <t>2922-68</t>
  </si>
  <si>
    <t>IV6807112</t>
  </si>
  <si>
    <t>2919-68</t>
  </si>
  <si>
    <t>IV6807190</t>
  </si>
  <si>
    <t>2924-68</t>
  </si>
  <si>
    <t>IV6807111</t>
  </si>
  <si>
    <t>873-68</t>
  </si>
  <si>
    <t>09-07/25</t>
  </si>
  <si>
    <t>1824-68</t>
  </si>
  <si>
    <t>D-Q25040403</t>
  </si>
  <si>
    <t>2646-68 2645-68</t>
  </si>
  <si>
    <t>บ.เมดโฟกัส</t>
  </si>
  <si>
    <t>2506-135</t>
  </si>
  <si>
    <t>2637-68</t>
  </si>
  <si>
    <t>IV25065079</t>
  </si>
  <si>
    <t>473-68 470-68</t>
  </si>
  <si>
    <t>10-07/25</t>
  </si>
  <si>
    <t>2017-68 2020-68</t>
  </si>
  <si>
    <t>HV6803895</t>
  </si>
  <si>
    <t>2923-68</t>
  </si>
  <si>
    <t>IV6807119</t>
  </si>
  <si>
    <t>2389-68</t>
  </si>
  <si>
    <t>หจก.เอส.ที.เมดิคอล แอนซ์ เซอร์วิส</t>
  </si>
  <si>
    <t>B.458.68</t>
  </si>
  <si>
    <t>2648-68</t>
  </si>
  <si>
    <t>B.526.68</t>
  </si>
  <si>
    <t>1616-68</t>
  </si>
  <si>
    <t>บ. เทคแคร์ เมดิคอล</t>
  </si>
  <si>
    <t>INV202501022</t>
  </si>
  <si>
    <t>2814-68</t>
  </si>
  <si>
    <t>032.07.68</t>
  </si>
  <si>
    <t>2644-68</t>
  </si>
  <si>
    <t>009.07.68</t>
  </si>
  <si>
    <t>2662-68</t>
  </si>
  <si>
    <t>IV6826509</t>
  </si>
  <si>
    <t>2943-68</t>
  </si>
  <si>
    <t>IV6807170</t>
  </si>
  <si>
    <t>2944-68</t>
  </si>
  <si>
    <t>IV6807187</t>
  </si>
  <si>
    <t>2960-68</t>
  </si>
  <si>
    <t>IV6807189</t>
  </si>
  <si>
    <t>2544-68 2543-68</t>
  </si>
  <si>
    <t>IV6807-8830</t>
  </si>
  <si>
    <t>2721-68</t>
  </si>
  <si>
    <t>SH7591</t>
  </si>
  <si>
    <t>2914-68</t>
  </si>
  <si>
    <t>IV6807199</t>
  </si>
  <si>
    <t>100515244</t>
  </si>
  <si>
    <t>685915</t>
  </si>
  <si>
    <t>HV6803993</t>
  </si>
  <si>
    <t>2958-68</t>
  </si>
  <si>
    <t>IV6807202</t>
  </si>
  <si>
    <t>2959-68</t>
  </si>
  <si>
    <t>IV6807214</t>
  </si>
  <si>
    <t>2989-68</t>
  </si>
  <si>
    <t>IV6807212</t>
  </si>
  <si>
    <t>2988-68</t>
  </si>
  <si>
    <t>IV6807213</t>
  </si>
  <si>
    <t>2724-68</t>
  </si>
  <si>
    <t>SI01/68070177</t>
  </si>
  <si>
    <t>2725-68</t>
  </si>
  <si>
    <t>SI01/68070178</t>
  </si>
  <si>
    <t>685947</t>
  </si>
  <si>
    <t>2990-68</t>
  </si>
  <si>
    <t>IV6807287</t>
  </si>
  <si>
    <t>2993-68</t>
  </si>
  <si>
    <t>IV6807300</t>
  </si>
  <si>
    <t>2994-68</t>
  </si>
  <si>
    <t>IV6807340</t>
  </si>
  <si>
    <t>2706-68</t>
  </si>
  <si>
    <t>100517505</t>
  </si>
  <si>
    <t>2758-68</t>
  </si>
  <si>
    <t>EL680703035</t>
  </si>
  <si>
    <t>2995-68</t>
  </si>
  <si>
    <t>IV25070424</t>
  </si>
  <si>
    <t>6801517</t>
  </si>
  <si>
    <t>680701203</t>
  </si>
  <si>
    <t>330757400600</t>
  </si>
  <si>
    <t>107000005012</t>
  </si>
  <si>
    <t>IV2025070197</t>
  </si>
  <si>
    <t>680701875</t>
  </si>
  <si>
    <t>2660-68</t>
  </si>
  <si>
    <t>IV250702082</t>
  </si>
  <si>
    <t>3071-68</t>
  </si>
  <si>
    <t>IV6807284</t>
  </si>
  <si>
    <t>2670-68</t>
  </si>
  <si>
    <t>บ.เอียร์โทน (ประเทศไทย)</t>
  </si>
  <si>
    <t>468070025</t>
  </si>
  <si>
    <t>2913-68</t>
  </si>
  <si>
    <t>1317687598</t>
  </si>
  <si>
    <t>2915-68</t>
  </si>
  <si>
    <t>บ.ชัยศิริ เวชภัณฑ์</t>
  </si>
  <si>
    <t>C25-4890</t>
  </si>
  <si>
    <t>2912-68</t>
  </si>
  <si>
    <t>1317559379</t>
  </si>
  <si>
    <t>68034612</t>
  </si>
  <si>
    <t>EL680708077</t>
  </si>
  <si>
    <t>3073-68</t>
  </si>
  <si>
    <t>IV6807433</t>
  </si>
  <si>
    <t>3155-68</t>
  </si>
  <si>
    <t>IV6807040</t>
  </si>
  <si>
    <t>2735-68</t>
  </si>
  <si>
    <t>AM6807/158</t>
  </si>
  <si>
    <t>2759-68</t>
  </si>
  <si>
    <t>680/1428</t>
  </si>
  <si>
    <t>2173/68</t>
  </si>
  <si>
    <t>IN-680717002</t>
  </si>
  <si>
    <t>บ.เจเอ็นที เมดิคอล แอนด์ เซอร์วิส</t>
  </si>
  <si>
    <t>IV68-00363</t>
  </si>
  <si>
    <t>2737-68 2738-68</t>
  </si>
  <si>
    <t>EL680717139</t>
  </si>
  <si>
    <t>2548-68 2541-68</t>
  </si>
  <si>
    <t>BL2025070005</t>
  </si>
  <si>
    <t>2632-68</t>
  </si>
  <si>
    <t>IV25063935</t>
  </si>
  <si>
    <t>2584-68</t>
  </si>
  <si>
    <t>บ.จีแอล เมด</t>
  </si>
  <si>
    <t>5071207191</t>
  </si>
  <si>
    <t>3099-68</t>
  </si>
  <si>
    <t>IV6807508</t>
  </si>
  <si>
    <t>3101-68</t>
  </si>
  <si>
    <t>IV6807509</t>
  </si>
  <si>
    <t>3100-68</t>
  </si>
  <si>
    <t>IV6807510</t>
  </si>
  <si>
    <t>FM680681</t>
  </si>
  <si>
    <t>2868-68</t>
  </si>
  <si>
    <t>IV6804279</t>
  </si>
  <si>
    <t>2909-68</t>
  </si>
  <si>
    <t>IV6828910</t>
  </si>
  <si>
    <t>3102-68</t>
  </si>
  <si>
    <t>IV6807513</t>
  </si>
  <si>
    <t>2916-68</t>
  </si>
  <si>
    <t>SH7734</t>
  </si>
  <si>
    <t>2907-68</t>
  </si>
  <si>
    <t>62999</t>
  </si>
  <si>
    <t>3163-68</t>
  </si>
  <si>
    <t>IV6807582</t>
  </si>
  <si>
    <t>1563006</t>
  </si>
  <si>
    <t>2864-68 2911-68</t>
  </si>
  <si>
    <t>EL680724205</t>
  </si>
  <si>
    <t>3189-68</t>
  </si>
  <si>
    <t>IV6807589</t>
  </si>
  <si>
    <t>3190-68</t>
  </si>
  <si>
    <t>IV6807606</t>
  </si>
  <si>
    <t>3191-68</t>
  </si>
  <si>
    <t>IV25070876</t>
  </si>
  <si>
    <t>1883-68</t>
  </si>
  <si>
    <t>M6807-0750</t>
  </si>
  <si>
    <t>2992-68</t>
  </si>
  <si>
    <t>EL680726227</t>
  </si>
  <si>
    <t>2894-68</t>
  </si>
  <si>
    <t>IV250702291</t>
  </si>
  <si>
    <t>2752-68</t>
  </si>
  <si>
    <t>708</t>
  </si>
  <si>
    <t>บ.ลินเด้ (ประเทศไทย)</t>
  </si>
  <si>
    <t>02000159</t>
  </si>
  <si>
    <t>3240-68</t>
  </si>
  <si>
    <t>IV6808010</t>
  </si>
  <si>
    <t>3241-68</t>
  </si>
  <si>
    <t>IV25080065</t>
  </si>
  <si>
    <t>2021-68</t>
  </si>
  <si>
    <t>998569628</t>
  </si>
  <si>
    <t>2085-68 2084-68</t>
  </si>
  <si>
    <t>IV2508-00036</t>
  </si>
  <si>
    <t>2890-68</t>
  </si>
  <si>
    <t>บ.เดรเกอร์ เมดิคัล (ประเทสไทย)</t>
  </si>
  <si>
    <t>SE2507-233</t>
  </si>
  <si>
    <t>2908-68</t>
  </si>
  <si>
    <t>BL68-07/576</t>
  </si>
  <si>
    <t>3232-68</t>
  </si>
  <si>
    <t>IV6808204</t>
  </si>
  <si>
    <t>3002-68</t>
  </si>
  <si>
    <t>SI01/68070423</t>
  </si>
  <si>
    <t>3045-68</t>
  </si>
  <si>
    <t>SI01/68070424</t>
  </si>
  <si>
    <t>6803716</t>
  </si>
  <si>
    <t>EL680721157</t>
  </si>
  <si>
    <t>IV25007675</t>
  </si>
  <si>
    <t>686569</t>
  </si>
  <si>
    <t>IV6829584</t>
  </si>
  <si>
    <t>680704362</t>
  </si>
  <si>
    <t>EL680801010</t>
  </si>
  <si>
    <t>EL680801016</t>
  </si>
  <si>
    <t>IV68-00384</t>
  </si>
  <si>
    <t>68/08052</t>
  </si>
  <si>
    <t>680705154</t>
  </si>
  <si>
    <t>686695</t>
  </si>
  <si>
    <t>3235-68</t>
  </si>
  <si>
    <t>IV25080173</t>
  </si>
  <si>
    <t>3237-68</t>
  </si>
  <si>
    <t>IV6808077</t>
  </si>
  <si>
    <t>3047-68</t>
  </si>
  <si>
    <t>IV25080064</t>
  </si>
  <si>
    <t>3107-68</t>
  </si>
  <si>
    <t>5344100593</t>
  </si>
  <si>
    <t>3293-68</t>
  </si>
  <si>
    <t>IV6808102</t>
  </si>
  <si>
    <t>3292-68</t>
  </si>
  <si>
    <t>IV6808101</t>
  </si>
  <si>
    <t>3109-68</t>
  </si>
  <si>
    <t>682288</t>
  </si>
  <si>
    <t>2812-68</t>
  </si>
  <si>
    <t>5344109740</t>
  </si>
  <si>
    <t>3156-68</t>
  </si>
  <si>
    <t>IV6830653</t>
  </si>
  <si>
    <t>3000-68</t>
  </si>
  <si>
    <t>IV6801098</t>
  </si>
  <si>
    <t>3317-68</t>
  </si>
  <si>
    <t>IV6808158</t>
  </si>
  <si>
    <t>EL680725213</t>
  </si>
  <si>
    <t>EL680724201</t>
  </si>
  <si>
    <t>3143-68 3144-68 3145-68</t>
  </si>
  <si>
    <t>IV6808126</t>
  </si>
  <si>
    <t>3152-68</t>
  </si>
  <si>
    <t>9985772801</t>
  </si>
  <si>
    <t>3141-68</t>
  </si>
  <si>
    <t>5344131692</t>
  </si>
  <si>
    <t>3316-68</t>
  </si>
  <si>
    <t>IV6808163</t>
  </si>
  <si>
    <t>3315-68</t>
  </si>
  <si>
    <t>IV6808162</t>
  </si>
  <si>
    <t>3318-68</t>
  </si>
  <si>
    <t>IV6808177</t>
  </si>
  <si>
    <t>3314-68</t>
  </si>
  <si>
    <t>IV25080712</t>
  </si>
  <si>
    <t>3146-68 3147-68 3148-68 3149-68 3150-68 3151-68</t>
  </si>
  <si>
    <t>IV25080242</t>
  </si>
  <si>
    <t>3108-68</t>
  </si>
  <si>
    <t>100523504</t>
  </si>
  <si>
    <t>3321-68</t>
  </si>
  <si>
    <t>IV6808229</t>
  </si>
  <si>
    <t>3322-68</t>
  </si>
  <si>
    <t>IV6808230</t>
  </si>
  <si>
    <t>3346-68</t>
  </si>
  <si>
    <t>IV25080399</t>
  </si>
  <si>
    <t>3132-68</t>
  </si>
  <si>
    <t>บ.มาร์ธา กรุ๊ป</t>
  </si>
  <si>
    <t>NG6801029</t>
  </si>
  <si>
    <t>5344149657</t>
  </si>
  <si>
    <t>5344150873</t>
  </si>
  <si>
    <t>5344149651</t>
  </si>
  <si>
    <t>1884-68</t>
  </si>
  <si>
    <t>บ.เอ็นโดเมด เซอร์วิส</t>
  </si>
  <si>
    <t>SV2025080024</t>
  </si>
  <si>
    <t>3157-68</t>
  </si>
  <si>
    <t>5344162874</t>
  </si>
  <si>
    <t>2060-68 2233-68</t>
  </si>
  <si>
    <t>IV6806152</t>
  </si>
  <si>
    <t>3142-68</t>
  </si>
  <si>
    <t>IV 250802503</t>
  </si>
  <si>
    <t>3103-68</t>
  </si>
  <si>
    <t>IV17814/68</t>
  </si>
  <si>
    <t>3243-68</t>
  </si>
  <si>
    <t>5344170243</t>
  </si>
  <si>
    <t>3351-68</t>
  </si>
  <si>
    <t>IV6808272</t>
  </si>
  <si>
    <t>3705-68</t>
  </si>
  <si>
    <t>EBL2025080032</t>
  </si>
  <si>
    <t>3042-68</t>
  </si>
  <si>
    <t>บ.ฟาซิแคร์</t>
  </si>
  <si>
    <t>SIV2508096</t>
  </si>
  <si>
    <t>3039-68</t>
  </si>
  <si>
    <t>IV17906/68</t>
  </si>
  <si>
    <t>3209-68</t>
  </si>
  <si>
    <t>IV17908/68</t>
  </si>
  <si>
    <t>3362-68</t>
  </si>
  <si>
    <t>IV6808296</t>
  </si>
  <si>
    <t>3382-68</t>
  </si>
  <si>
    <t>IV6808326</t>
  </si>
  <si>
    <t>3383-68</t>
  </si>
  <si>
    <t>IV6808328</t>
  </si>
  <si>
    <t>2986-68</t>
  </si>
  <si>
    <t>INT-AOM25080362</t>
  </si>
  <si>
    <t>3238-68</t>
  </si>
  <si>
    <t>IV6808-11116</t>
  </si>
  <si>
    <t>3492-68</t>
  </si>
  <si>
    <t>IV6808363</t>
  </si>
  <si>
    <t>3519-68</t>
  </si>
  <si>
    <t>IV6808362</t>
  </si>
  <si>
    <t>3521-68</t>
  </si>
  <si>
    <t>IV6808361</t>
  </si>
  <si>
    <t>3239-68</t>
  </si>
  <si>
    <t>1317950123</t>
  </si>
  <si>
    <t>3522-68</t>
  </si>
  <si>
    <t>IV25080610</t>
  </si>
  <si>
    <t>3520-68</t>
  </si>
  <si>
    <t>1318127402</t>
  </si>
  <si>
    <t>680801669</t>
  </si>
  <si>
    <t>5344176976</t>
  </si>
  <si>
    <t>680802729</t>
  </si>
  <si>
    <t>3254-68</t>
  </si>
  <si>
    <t>B6807061</t>
  </si>
  <si>
    <t>3140-68</t>
  </si>
  <si>
    <t>A680515</t>
  </si>
  <si>
    <t>3229-68</t>
  </si>
  <si>
    <t>682433</t>
  </si>
  <si>
    <t>3196-68</t>
  </si>
  <si>
    <t>1565844</t>
  </si>
  <si>
    <t>3228-68</t>
  </si>
  <si>
    <t>IV25083476</t>
  </si>
  <si>
    <t>3588-68</t>
  </si>
  <si>
    <t>IV6808436</t>
  </si>
  <si>
    <t>3197-68</t>
  </si>
  <si>
    <t>IV6833189</t>
  </si>
  <si>
    <t>3253-68</t>
  </si>
  <si>
    <t>AM6808/201</t>
  </si>
  <si>
    <t>3589-68</t>
  </si>
  <si>
    <t>IV6808443</t>
  </si>
  <si>
    <t>3606-68</t>
  </si>
  <si>
    <t>IV6808507</t>
  </si>
  <si>
    <t>3604-68</t>
  </si>
  <si>
    <t>IV6808506</t>
  </si>
  <si>
    <t>680803677</t>
  </si>
  <si>
    <t>68/08930</t>
  </si>
  <si>
    <t>2998-68</t>
  </si>
  <si>
    <t>RFMIV.008/2568</t>
  </si>
  <si>
    <t>3200-68 3199-68 3198-68</t>
  </si>
  <si>
    <t>IV250802621</t>
  </si>
  <si>
    <t>3296-68</t>
  </si>
  <si>
    <t>IV6808-11529</t>
  </si>
  <si>
    <t>3264-68</t>
  </si>
  <si>
    <t>IV6808375</t>
  </si>
  <si>
    <t>3270-68</t>
  </si>
  <si>
    <t>IV25083777</t>
  </si>
  <si>
    <t>3605-68</t>
  </si>
  <si>
    <t>IV6809045</t>
  </si>
  <si>
    <t>687363</t>
  </si>
  <si>
    <t>680803799</t>
  </si>
  <si>
    <t>68041837</t>
  </si>
  <si>
    <t>3271-68 3255-68 3294-68</t>
  </si>
  <si>
    <t>EL680823189</t>
  </si>
  <si>
    <t>3230-68</t>
  </si>
  <si>
    <t>EL680820158</t>
  </si>
  <si>
    <t>108000007306</t>
  </si>
  <si>
    <t>EL680825198</t>
  </si>
  <si>
    <t>3340-68</t>
  </si>
  <si>
    <t>63429</t>
  </si>
  <si>
    <t>3337-68 3338-68 3339-68</t>
  </si>
  <si>
    <t>IV250802675</t>
  </si>
  <si>
    <t>3328-68</t>
  </si>
  <si>
    <t>IV6804415</t>
  </si>
  <si>
    <t>3504-68</t>
  </si>
  <si>
    <t>810</t>
  </si>
  <si>
    <t>HV6805176</t>
  </si>
  <si>
    <t>680804456</t>
  </si>
  <si>
    <t>3345-68</t>
  </si>
  <si>
    <t>IV6807502</t>
  </si>
  <si>
    <t>3662-68</t>
  </si>
  <si>
    <t>02010101</t>
  </si>
  <si>
    <t>3349-68</t>
  </si>
  <si>
    <t>44-01390</t>
  </si>
  <si>
    <t>3706-68</t>
  </si>
  <si>
    <t>IV6809022</t>
  </si>
  <si>
    <t>3336-68 3329-68 3330-68</t>
  </si>
  <si>
    <t>EL680826224</t>
  </si>
  <si>
    <t>3331-68 3332-68 3333-68 3335-68</t>
  </si>
  <si>
    <t>IV6834521</t>
  </si>
  <si>
    <t>3348-68</t>
  </si>
  <si>
    <t>131593</t>
  </si>
  <si>
    <t>3347-68</t>
  </si>
  <si>
    <t>IV6808194</t>
  </si>
  <si>
    <t>2987-68</t>
  </si>
  <si>
    <t>IV2509-00004</t>
  </si>
  <si>
    <t>3464-68</t>
  </si>
  <si>
    <t>บ.ลาโบตรอน เมดิคอล</t>
  </si>
  <si>
    <t>IV6800524</t>
  </si>
  <si>
    <t>1885-68</t>
  </si>
  <si>
    <t>บ.สไปโร เมด</t>
  </si>
  <si>
    <t>SP25080308</t>
  </si>
  <si>
    <t>3493-68</t>
  </si>
  <si>
    <t>IV25090047</t>
  </si>
  <si>
    <t>330857401612</t>
  </si>
  <si>
    <t>5344266009</t>
  </si>
  <si>
    <t>IV6834774</t>
  </si>
  <si>
    <t>HV6805231</t>
  </si>
  <si>
    <t>3819-68</t>
  </si>
  <si>
    <t>IV6809054</t>
  </si>
  <si>
    <t>3542-68</t>
  </si>
  <si>
    <t>IV2509054</t>
  </si>
  <si>
    <t>3818-68</t>
  </si>
  <si>
    <t>IV25090129</t>
  </si>
  <si>
    <t>3462-68</t>
  </si>
  <si>
    <t>IV18127/68</t>
  </si>
  <si>
    <t>3459-685</t>
  </si>
  <si>
    <t>IV18126/68</t>
  </si>
  <si>
    <t>3420-68</t>
  </si>
  <si>
    <t>IV18125/68</t>
  </si>
  <si>
    <t>3458-68</t>
  </si>
  <si>
    <t>IV18128/68</t>
  </si>
  <si>
    <t>3457-68</t>
  </si>
  <si>
    <t>IV18124/68</t>
  </si>
  <si>
    <t>3365-68</t>
  </si>
  <si>
    <t>IV6835395</t>
  </si>
  <si>
    <t>3366-68</t>
  </si>
  <si>
    <t>68029359</t>
  </si>
  <si>
    <t>2552-68 2813-68</t>
  </si>
  <si>
    <t>A680602</t>
  </si>
  <si>
    <t>2921-68</t>
  </si>
  <si>
    <t>A680603</t>
  </si>
  <si>
    <t>3177-68</t>
  </si>
  <si>
    <t>A680604</t>
  </si>
  <si>
    <t>3178-68</t>
  </si>
  <si>
    <t>A680605</t>
  </si>
  <si>
    <t>3181-68 3182-668 3183-68 3184-68 3221-68</t>
  </si>
  <si>
    <t>IV6809067</t>
  </si>
  <si>
    <t>2870-68 2906-68 2869-68</t>
  </si>
  <si>
    <t>IV6809068</t>
  </si>
  <si>
    <t>3343-688/9</t>
  </si>
  <si>
    <t>บ.ปราณธารา อินเวนชั่น</t>
  </si>
  <si>
    <t>INV2025090001</t>
  </si>
  <si>
    <t>3533-68</t>
  </si>
  <si>
    <t>IV25081144</t>
  </si>
  <si>
    <t>3830-68</t>
  </si>
  <si>
    <t>IV6809180</t>
  </si>
  <si>
    <t>3829-68</t>
  </si>
  <si>
    <t>IV25090481</t>
  </si>
  <si>
    <t>3334-68</t>
  </si>
  <si>
    <t>BL68-09/176</t>
  </si>
  <si>
    <t>3526-68</t>
  </si>
  <si>
    <t>1567733</t>
  </si>
  <si>
    <t>3422-68</t>
  </si>
  <si>
    <t>SV2025090038</t>
  </si>
  <si>
    <t>3831-68</t>
  </si>
  <si>
    <t>IV6809179</t>
  </si>
  <si>
    <t>3832-68</t>
  </si>
  <si>
    <t>IV6809196</t>
  </si>
  <si>
    <t>3833-68</t>
  </si>
  <si>
    <t>IV6809178</t>
  </si>
  <si>
    <t>EL680826223</t>
  </si>
  <si>
    <t>687648</t>
  </si>
  <si>
    <t>IV25009027</t>
  </si>
  <si>
    <t>3527-68</t>
  </si>
  <si>
    <t>SP25090092</t>
  </si>
  <si>
    <t>3525-68</t>
  </si>
  <si>
    <t>SVM2509048</t>
  </si>
  <si>
    <t>3528-68</t>
  </si>
  <si>
    <t>25090531</t>
  </si>
  <si>
    <t>3524-68 3523-68</t>
  </si>
  <si>
    <t>IV25091116</t>
  </si>
  <si>
    <t>3639-68</t>
  </si>
  <si>
    <t>SVM2509070</t>
  </si>
  <si>
    <t>3550-68</t>
  </si>
  <si>
    <t>5344352587</t>
  </si>
  <si>
    <t>3518-68</t>
  </si>
  <si>
    <t>5344353889</t>
  </si>
  <si>
    <t>3759-68</t>
  </si>
  <si>
    <t>1318237998</t>
  </si>
  <si>
    <t>3552-68</t>
  </si>
  <si>
    <t>5344362533</t>
  </si>
  <si>
    <t>3555-68</t>
  </si>
  <si>
    <t>5344352349</t>
  </si>
  <si>
    <t>3556-68</t>
  </si>
  <si>
    <t>5344352350</t>
  </si>
  <si>
    <t>3593-68 3640-68</t>
  </si>
  <si>
    <t>IV25091825</t>
  </si>
  <si>
    <t>3266-68</t>
  </si>
  <si>
    <t>1318166665</t>
  </si>
  <si>
    <t>3591-68</t>
  </si>
  <si>
    <t>IV6809-12384</t>
  </si>
  <si>
    <t>3647-68</t>
  </si>
  <si>
    <t>688004</t>
  </si>
  <si>
    <t>3634-68</t>
  </si>
  <si>
    <t>IV250902898</t>
  </si>
  <si>
    <t>68/09610</t>
  </si>
  <si>
    <t>680901474</t>
  </si>
  <si>
    <t>5344334728</t>
  </si>
  <si>
    <t>68045242</t>
  </si>
  <si>
    <t>IV2025090095</t>
  </si>
  <si>
    <t>IV2025090099</t>
  </si>
  <si>
    <t>EL680909073</t>
  </si>
  <si>
    <t>10919</t>
  </si>
  <si>
    <t>3889-68</t>
  </si>
  <si>
    <t>IV6809284</t>
  </si>
  <si>
    <t>3888-68</t>
  </si>
  <si>
    <t>IV6809283</t>
  </si>
  <si>
    <t>FM680930</t>
  </si>
  <si>
    <t>330957400630</t>
  </si>
  <si>
    <t>HV6805464</t>
  </si>
  <si>
    <t>2867-68 2866-68 2865-68 2999-68</t>
  </si>
  <si>
    <t>IV25091002</t>
  </si>
  <si>
    <t>3344-68</t>
  </si>
  <si>
    <t>บ.อินโนเทค เซอร์จิคอล</t>
  </si>
  <si>
    <t>IV0015472</t>
  </si>
  <si>
    <t>3551-68</t>
  </si>
  <si>
    <t>5344383076</t>
  </si>
  <si>
    <t>3890-68</t>
  </si>
  <si>
    <t>IV6809294</t>
  </si>
  <si>
    <t>3891-68</t>
  </si>
  <si>
    <t>IV6809306</t>
  </si>
  <si>
    <t>3538-68</t>
  </si>
  <si>
    <t>บ.อาร์โอ เมดิคอล ซัพพลาย</t>
  </si>
  <si>
    <t>IVT-20250900002</t>
  </si>
  <si>
    <t>3421-68</t>
  </si>
  <si>
    <t>161650</t>
  </si>
  <si>
    <t>3656-68</t>
  </si>
  <si>
    <t>IV18335/68</t>
  </si>
  <si>
    <t>3636-68</t>
  </si>
  <si>
    <t>IV18327/68</t>
  </si>
  <si>
    <t>3612-68</t>
  </si>
  <si>
    <t>IV18328/68</t>
  </si>
  <si>
    <t>3614-68</t>
  </si>
  <si>
    <t>บ.อัมรินทร์ เมดิคอล</t>
  </si>
  <si>
    <t>6809/026</t>
  </si>
  <si>
    <t>3613-68</t>
  </si>
  <si>
    <t>6809/025</t>
  </si>
  <si>
    <t>3893-68</t>
  </si>
  <si>
    <t>IV6809352</t>
  </si>
  <si>
    <t>3894-68</t>
  </si>
  <si>
    <t>IV6809360</t>
  </si>
  <si>
    <t>3892-68</t>
  </si>
  <si>
    <t>1318262260</t>
  </si>
  <si>
    <t>3635-68</t>
  </si>
  <si>
    <t>IV18376/68</t>
  </si>
  <si>
    <t>3265-68</t>
  </si>
  <si>
    <t>IV25090480</t>
  </si>
  <si>
    <t>6804735</t>
  </si>
  <si>
    <t>5344346496</t>
  </si>
  <si>
    <t>5344356445</t>
  </si>
  <si>
    <t>5344388573</t>
  </si>
  <si>
    <t>5344397006</t>
  </si>
  <si>
    <t>3957-68</t>
  </si>
  <si>
    <t>IV6809399</t>
  </si>
  <si>
    <t>3541-68</t>
  </si>
  <si>
    <t>160047196</t>
  </si>
  <si>
    <t>3958-68</t>
  </si>
  <si>
    <t>IV6809442</t>
  </si>
  <si>
    <t>3959-68</t>
  </si>
  <si>
    <t>IV6809441</t>
  </si>
  <si>
    <t>3557-68 3558-68</t>
  </si>
  <si>
    <t>HV6805556</t>
  </si>
  <si>
    <t>3998-68</t>
  </si>
  <si>
    <t>68032107</t>
  </si>
  <si>
    <t>680903104</t>
  </si>
  <si>
    <t>3961-68</t>
  </si>
  <si>
    <t>IV6809490</t>
  </si>
  <si>
    <t>3962-68</t>
  </si>
  <si>
    <t>IV6809491</t>
  </si>
  <si>
    <t>3960-68</t>
  </si>
  <si>
    <t>IV6809489</t>
  </si>
  <si>
    <t>1318229471</t>
  </si>
  <si>
    <t>680903560</t>
  </si>
  <si>
    <t>5344424873</t>
  </si>
  <si>
    <t>3820-68</t>
  </si>
  <si>
    <t>IV25094037</t>
  </si>
  <si>
    <t>3827-68</t>
  </si>
  <si>
    <t>1318281343</t>
  </si>
  <si>
    <t>3802-68</t>
  </si>
  <si>
    <t>6801435</t>
  </si>
  <si>
    <t>3801-68</t>
  </si>
  <si>
    <t>AM6809/229</t>
  </si>
  <si>
    <t>3709-68</t>
  </si>
  <si>
    <t>EL680924157</t>
  </si>
  <si>
    <t>4007-68</t>
  </si>
  <si>
    <t>1318344446</t>
  </si>
  <si>
    <t>3999-68</t>
  </si>
  <si>
    <t>1318451661</t>
  </si>
  <si>
    <t>3764-68</t>
  </si>
  <si>
    <t>25091894</t>
  </si>
  <si>
    <t>3633-68 3592-68</t>
  </si>
  <si>
    <t>IV6838952</t>
  </si>
  <si>
    <t>IV68-00487</t>
  </si>
  <si>
    <t>5344430915</t>
  </si>
  <si>
    <t>3418-68</t>
  </si>
  <si>
    <t>ร้าน เอที ซัพพลาย แอนด์ เซอร์วิส</t>
  </si>
  <si>
    <t>A6809/011</t>
  </si>
  <si>
    <t>3419-68</t>
  </si>
  <si>
    <t>A6809/010</t>
  </si>
  <si>
    <t>3765-68</t>
  </si>
  <si>
    <t>5344450908</t>
  </si>
  <si>
    <t>3763-68</t>
  </si>
  <si>
    <t>5344452118</t>
  </si>
  <si>
    <t>3554-68</t>
  </si>
  <si>
    <t>1568964</t>
  </si>
  <si>
    <t>3652-68 3653-68  3654-68 3655-68</t>
  </si>
  <si>
    <t>EL680926175</t>
  </si>
  <si>
    <t>2873/68</t>
  </si>
  <si>
    <t>3531-68</t>
  </si>
  <si>
    <t>937</t>
  </si>
  <si>
    <t>3816-68 3817-68</t>
  </si>
  <si>
    <t>IV6801342</t>
  </si>
  <si>
    <t>02020134</t>
  </si>
  <si>
    <t>2833-68</t>
  </si>
  <si>
    <t>680398</t>
  </si>
  <si>
    <t>3839-68</t>
  </si>
  <si>
    <t>IV6809590</t>
  </si>
  <si>
    <t>69-0162</t>
  </si>
  <si>
    <t>1318378041</t>
  </si>
  <si>
    <t>3866-68 3867-68</t>
  </si>
  <si>
    <t>IV25100051</t>
  </si>
  <si>
    <t>3632-68</t>
  </si>
  <si>
    <t>IV6839760</t>
  </si>
  <si>
    <t>3840-68</t>
  </si>
  <si>
    <t>1318078632</t>
  </si>
  <si>
    <t>3295-68</t>
  </si>
  <si>
    <t>บ.ออริเคียว</t>
  </si>
  <si>
    <t>IN-2500420</t>
  </si>
  <si>
    <t>3842-68</t>
  </si>
  <si>
    <t>5344485190</t>
  </si>
  <si>
    <t>3845-68 3841-68 3843-68</t>
  </si>
  <si>
    <t>A680725</t>
  </si>
  <si>
    <t>3850-68 3849-68</t>
  </si>
  <si>
    <t>IV6839890</t>
  </si>
  <si>
    <t>3848-68 3938-68</t>
  </si>
  <si>
    <t>IV25095158</t>
  </si>
  <si>
    <t>69-0164</t>
  </si>
  <si>
    <t>IV6810057</t>
  </si>
  <si>
    <t>69-0163</t>
  </si>
  <si>
    <t>1318392333</t>
  </si>
  <si>
    <t>1882-68</t>
  </si>
  <si>
    <t>บ.บีลีฟ วินน์</t>
  </si>
  <si>
    <t>B6810-004</t>
  </si>
  <si>
    <t>69-0158</t>
  </si>
  <si>
    <t>IV6810073</t>
  </si>
  <si>
    <t>3851-68</t>
  </si>
  <si>
    <t>5344486768</t>
  </si>
  <si>
    <t>3879-68</t>
  </si>
  <si>
    <t>5344488916</t>
  </si>
  <si>
    <t>3846-68</t>
  </si>
  <si>
    <t>IV6805072</t>
  </si>
  <si>
    <t>3940-68</t>
  </si>
  <si>
    <t>682927</t>
  </si>
  <si>
    <t>3868-68</t>
  </si>
  <si>
    <t>5344490340</t>
  </si>
  <si>
    <t>3941-68</t>
  </si>
  <si>
    <t>5344491427</t>
  </si>
  <si>
    <t>69-0159</t>
  </si>
  <si>
    <t>IV6810106</t>
  </si>
  <si>
    <t>69-0160</t>
  </si>
  <si>
    <t>IV25100252</t>
  </si>
  <si>
    <t>IV6810131</t>
  </si>
  <si>
    <t>3951-68</t>
  </si>
  <si>
    <t>5344472931</t>
  </si>
  <si>
    <t>P69-0266</t>
  </si>
  <si>
    <t>IV6810166</t>
  </si>
  <si>
    <t>P69-0267</t>
  </si>
  <si>
    <t>IV6810167</t>
  </si>
  <si>
    <t>P69-0272</t>
  </si>
  <si>
    <t>IV6810165</t>
  </si>
  <si>
    <t>P69-0271</t>
  </si>
  <si>
    <t>IV6810194</t>
  </si>
  <si>
    <t>P69-0263</t>
  </si>
  <si>
    <t>IV6810184</t>
  </si>
  <si>
    <t>P69-0268</t>
  </si>
  <si>
    <t>IV6810171</t>
  </si>
  <si>
    <t>P69-0269</t>
  </si>
  <si>
    <t>IV6810172</t>
  </si>
  <si>
    <t>P69-0270</t>
  </si>
  <si>
    <t>IV6810173</t>
  </si>
  <si>
    <t>3865-68</t>
  </si>
  <si>
    <t>บ.เคทู เมดิคอล (ประเทศไทย)</t>
  </si>
  <si>
    <t>IV6810000036</t>
  </si>
  <si>
    <t>P69-0264</t>
  </si>
  <si>
    <t>IV6810208</t>
  </si>
  <si>
    <t>P69-0265</t>
  </si>
  <si>
    <t>IV6810206</t>
  </si>
  <si>
    <t>3766-68</t>
  </si>
  <si>
    <t>IV25094036</t>
  </si>
  <si>
    <t>3939-68 3937-68</t>
  </si>
  <si>
    <t>EL681009064</t>
  </si>
  <si>
    <t>2386-68</t>
  </si>
  <si>
    <t>KS681996</t>
  </si>
  <si>
    <t>3847-68</t>
  </si>
  <si>
    <t>5344544419</t>
  </si>
  <si>
    <t>3844-68</t>
  </si>
  <si>
    <t>5344490369</t>
  </si>
  <si>
    <t>69-0026</t>
  </si>
  <si>
    <t>AM6810/115</t>
  </si>
  <si>
    <t>3711-68</t>
  </si>
  <si>
    <t>IV18542/68</t>
  </si>
  <si>
    <t>3539-68</t>
  </si>
  <si>
    <t>A6809/017</t>
  </si>
  <si>
    <t>3714-68</t>
  </si>
  <si>
    <t>IV18539/68</t>
  </si>
  <si>
    <t>3712-68</t>
  </si>
  <si>
    <t>IV18541/68</t>
  </si>
  <si>
    <t>3713-68</t>
  </si>
  <si>
    <t>IV18540/68</t>
  </si>
  <si>
    <t>3710-68</t>
  </si>
  <si>
    <t>IV18543/68</t>
  </si>
  <si>
    <t>3461-68</t>
  </si>
  <si>
    <t>IV18573/68</t>
  </si>
  <si>
    <t>3537-68</t>
  </si>
  <si>
    <t>IV18574/68</t>
  </si>
  <si>
    <t>3034-68</t>
  </si>
  <si>
    <t>บ.บางกอกยูนิเทรด</t>
  </si>
  <si>
    <t>68/12091</t>
  </si>
  <si>
    <t>3718-68</t>
  </si>
  <si>
    <t>20251909</t>
  </si>
  <si>
    <t>3719-68</t>
  </si>
  <si>
    <t>20251908</t>
  </si>
  <si>
    <t>3534-68</t>
  </si>
  <si>
    <t>20251852</t>
  </si>
  <si>
    <t>3909-68</t>
  </si>
  <si>
    <t>IV18631/68</t>
  </si>
  <si>
    <t>3460-68</t>
  </si>
  <si>
    <t>บ.เกท์ทิงเก (ไทยแลนด์)</t>
  </si>
  <si>
    <t>25100011</t>
  </si>
  <si>
    <t>3904-68</t>
  </si>
  <si>
    <t>IV18632/68</t>
  </si>
  <si>
    <t>3910-68</t>
  </si>
  <si>
    <t>IV18641/68</t>
  </si>
  <si>
    <t>P69-0274</t>
  </si>
  <si>
    <t>IV6810205</t>
  </si>
  <si>
    <t>P69-0273</t>
  </si>
  <si>
    <t>IV6810204</t>
  </si>
  <si>
    <t>P69-0282</t>
  </si>
  <si>
    <t>IV6810252</t>
  </si>
  <si>
    <t>P69-0286</t>
  </si>
  <si>
    <t>IV6810221</t>
  </si>
  <si>
    <t>3760-68</t>
  </si>
  <si>
    <t>003.09.68</t>
  </si>
  <si>
    <t>4009-68</t>
  </si>
  <si>
    <t>5344567494</t>
  </si>
  <si>
    <t>4008-68</t>
  </si>
  <si>
    <t>5344555115</t>
  </si>
  <si>
    <t>P69-0283</t>
  </si>
  <si>
    <t>IV6810223</t>
  </si>
  <si>
    <t>P69-0284</t>
  </si>
  <si>
    <t>IV6810318</t>
  </si>
  <si>
    <t>P69--0287</t>
  </si>
  <si>
    <t>IV25100566</t>
  </si>
  <si>
    <t>P69-0066</t>
  </si>
  <si>
    <t>5344572696</t>
  </si>
  <si>
    <t>P69-0063</t>
  </si>
  <si>
    <t>5344578083</t>
  </si>
  <si>
    <t>P69-0060</t>
  </si>
  <si>
    <t>IV25102642</t>
  </si>
  <si>
    <t>P69-0061 P69-0062</t>
  </si>
  <si>
    <t>IV251003267</t>
  </si>
  <si>
    <t>P69-0059</t>
  </si>
  <si>
    <t>1318475879</t>
  </si>
  <si>
    <t>P69-0285</t>
  </si>
  <si>
    <t>IV6810371</t>
  </si>
  <si>
    <t>P69-0077</t>
  </si>
  <si>
    <t>บ.ซี อี เฮลท์แคร์</t>
  </si>
  <si>
    <t>CE-202500075</t>
  </si>
  <si>
    <t>P69-0058</t>
  </si>
  <si>
    <t>5344589241</t>
  </si>
  <si>
    <t>P69-0108</t>
  </si>
  <si>
    <t>5344617558</t>
  </si>
  <si>
    <t>P69-0104</t>
  </si>
  <si>
    <t>SH8622</t>
  </si>
  <si>
    <t>P69-0112</t>
  </si>
  <si>
    <t>บ.เฟรซีเนียส เมดิคอล แคร์</t>
  </si>
  <si>
    <t>681023680</t>
  </si>
  <si>
    <t>P69-0105</t>
  </si>
  <si>
    <t>IV6810-14422</t>
  </si>
  <si>
    <t>4020-68</t>
  </si>
  <si>
    <t>IV18789/68</t>
  </si>
  <si>
    <t>P69-0084 P69-0085 P69-0083 P69-0078</t>
  </si>
  <si>
    <t>EL681025161</t>
  </si>
  <si>
    <t>P69-0109</t>
  </si>
  <si>
    <t>IV251003363</t>
  </si>
  <si>
    <t>2602-68</t>
  </si>
  <si>
    <t>บ.ไทย วอเตอร์ เจนเนอเรชั่น</t>
  </si>
  <si>
    <t>TWG6810027</t>
  </si>
  <si>
    <t>P69-0111</t>
  </si>
  <si>
    <t>IV6810486</t>
  </si>
  <si>
    <t>4001-68</t>
  </si>
  <si>
    <t>IVT-20251000001</t>
  </si>
  <si>
    <t>111-68</t>
  </si>
  <si>
    <t>บ.เคม-ซายม์</t>
  </si>
  <si>
    <t>IV6712005</t>
  </si>
  <si>
    <t>115-68</t>
  </si>
  <si>
    <t>บ.เกรทส์ เมดเทคส์</t>
  </si>
  <si>
    <t>67/0210</t>
  </si>
  <si>
    <t>69-0088</t>
  </si>
  <si>
    <t>I6810-0101-01247</t>
  </si>
  <si>
    <t>120-68</t>
  </si>
  <si>
    <t>บ.ทัซแล็บ 2013</t>
  </si>
  <si>
    <t>INV6801-006</t>
  </si>
  <si>
    <t>106-68</t>
  </si>
  <si>
    <t>BL68-01/184</t>
  </si>
  <si>
    <t>303-68</t>
  </si>
  <si>
    <t>INV6712-034</t>
  </si>
  <si>
    <t>บ.พี ซี แอล โฮลดิ้ง</t>
  </si>
  <si>
    <t>PCI25-02-0165</t>
  </si>
  <si>
    <t>PCI25-02-2009</t>
  </si>
  <si>
    <t>101-68</t>
  </si>
  <si>
    <t>PCI25-02-3006</t>
  </si>
  <si>
    <t>490-68</t>
  </si>
  <si>
    <t>บ.ไทย ไดแอ็กนอสติก</t>
  </si>
  <si>
    <t>6712454</t>
  </si>
  <si>
    <t>365-68</t>
  </si>
  <si>
    <t>24122130</t>
  </si>
  <si>
    <t>894-68</t>
  </si>
  <si>
    <t>IV6802002</t>
  </si>
  <si>
    <t>901-68</t>
  </si>
  <si>
    <t>M6802-0245</t>
  </si>
  <si>
    <t>896-68</t>
  </si>
  <si>
    <t>INV6802-047</t>
  </si>
  <si>
    <t>418-68</t>
  </si>
  <si>
    <t>PCI25-03-0126</t>
  </si>
  <si>
    <t>419-68</t>
  </si>
  <si>
    <t>PCI25-03-0130</t>
  </si>
  <si>
    <t>433-68</t>
  </si>
  <si>
    <t>PCI25-03-0131</t>
  </si>
  <si>
    <t>417-68</t>
  </si>
  <si>
    <t>UO94050538</t>
  </si>
  <si>
    <t>1184-68</t>
  </si>
  <si>
    <t>INV6803-012</t>
  </si>
  <si>
    <t>1367-68</t>
  </si>
  <si>
    <t>บ.ควอลิฟาย เมด โซลูชันส์</t>
  </si>
  <si>
    <t>IV0198766</t>
  </si>
  <si>
    <t>1364-68</t>
  </si>
  <si>
    <t>IV6803006</t>
  </si>
  <si>
    <t>1366-68</t>
  </si>
  <si>
    <t>INV6803-038</t>
  </si>
  <si>
    <t>1373-68</t>
  </si>
  <si>
    <t>บ.ซี เมดิค</t>
  </si>
  <si>
    <t>IVZ6803-0580</t>
  </si>
  <si>
    <t>1369-68</t>
  </si>
  <si>
    <t>I25030343</t>
  </si>
  <si>
    <t>1370-68</t>
  </si>
  <si>
    <t>บ.โปรเฟสชั่นแนล เมดิคอล ซายน์</t>
  </si>
  <si>
    <t>INT-PMS-680300121</t>
  </si>
  <si>
    <t>1368-68</t>
  </si>
  <si>
    <t>PI25-03-0476</t>
  </si>
  <si>
    <t>1416-68</t>
  </si>
  <si>
    <t>6803252</t>
  </si>
  <si>
    <t>1360-68</t>
  </si>
  <si>
    <t>M6803-0632</t>
  </si>
  <si>
    <t>909-68</t>
  </si>
  <si>
    <t>UO94051455</t>
  </si>
  <si>
    <t>908-68</t>
  </si>
  <si>
    <t>PCI25-04-0111</t>
  </si>
  <si>
    <t>907-68</t>
  </si>
  <si>
    <t>PCI25-04-0114</t>
  </si>
  <si>
    <t>1624-68</t>
  </si>
  <si>
    <t>IV6803000061</t>
  </si>
  <si>
    <t>1417-68</t>
  </si>
  <si>
    <t>25031908</t>
  </si>
  <si>
    <t>1704-68</t>
  </si>
  <si>
    <t>INV6804-018</t>
  </si>
  <si>
    <t>1707-68</t>
  </si>
  <si>
    <t>บ.เอ็มพี เมดกรุ๊ป</t>
  </si>
  <si>
    <t>INT-MPM-680400134</t>
  </si>
  <si>
    <t>1703-68</t>
  </si>
  <si>
    <t>IV0199453</t>
  </si>
  <si>
    <t>1739-68</t>
  </si>
  <si>
    <t>IV6804005</t>
  </si>
  <si>
    <t>1848-68</t>
  </si>
  <si>
    <t>IVZ6804-0382</t>
  </si>
  <si>
    <t>1718-68</t>
  </si>
  <si>
    <t>M6804-0190</t>
  </si>
  <si>
    <t>1757-68</t>
  </si>
  <si>
    <t>6804222</t>
  </si>
  <si>
    <t>1705-68</t>
  </si>
  <si>
    <t>IV0199695</t>
  </si>
  <si>
    <t>1849-68</t>
  </si>
  <si>
    <t>INV6804-048</t>
  </si>
  <si>
    <t>1361-68</t>
  </si>
  <si>
    <t>UO94052006</t>
  </si>
  <si>
    <t>1362-68</t>
  </si>
  <si>
    <t>PCI25-05-0118</t>
  </si>
  <si>
    <t>1363-68</t>
  </si>
  <si>
    <t>PCI25-05-3003</t>
  </si>
  <si>
    <t>2170-68</t>
  </si>
  <si>
    <t>2236-68</t>
  </si>
  <si>
    <t>IVZ6805-0481</t>
  </si>
  <si>
    <t>2204-68</t>
  </si>
  <si>
    <t>M6805-0353</t>
  </si>
  <si>
    <t>2235-68</t>
  </si>
  <si>
    <t>I25050375</t>
  </si>
  <si>
    <t>1215-68</t>
  </si>
  <si>
    <t>682013-00095</t>
  </si>
  <si>
    <t>1214-68</t>
  </si>
  <si>
    <t>682022/00071</t>
  </si>
  <si>
    <t>1213-68</t>
  </si>
  <si>
    <t>682027/00062</t>
  </si>
  <si>
    <t>1709-68</t>
  </si>
  <si>
    <t>PCI25-06-0115</t>
  </si>
  <si>
    <t>1710-68</t>
  </si>
  <si>
    <t>PCI25-06-0118</t>
  </si>
  <si>
    <t>1708-68</t>
  </si>
  <si>
    <t>UO94053158</t>
  </si>
  <si>
    <t>1711-68</t>
  </si>
  <si>
    <t>PCI25-06-0126</t>
  </si>
  <si>
    <t>2380-68</t>
  </si>
  <si>
    <t>IV6805010</t>
  </si>
  <si>
    <t>2575-68</t>
  </si>
  <si>
    <t>บ.แล็บมาสเตอร์ แอ๊ดวานซ์</t>
  </si>
  <si>
    <t>IV6806-0503</t>
  </si>
  <si>
    <t>2576-68</t>
  </si>
  <si>
    <t>IV0201204</t>
  </si>
  <si>
    <t>2193-68</t>
  </si>
  <si>
    <t>6806032</t>
  </si>
  <si>
    <t>2577-68</t>
  </si>
  <si>
    <t>INV6806-029</t>
  </si>
  <si>
    <t>2381-68</t>
  </si>
  <si>
    <t>PCi25-06-0092</t>
  </si>
  <si>
    <t>2567-68</t>
  </si>
  <si>
    <t>INT-PMS-680600149</t>
  </si>
  <si>
    <t>2569-68</t>
  </si>
  <si>
    <t>I25060410</t>
  </si>
  <si>
    <t>2587-68</t>
  </si>
  <si>
    <t>M6806-0386</t>
  </si>
  <si>
    <t>1760-68</t>
  </si>
  <si>
    <t>682037/00081</t>
  </si>
  <si>
    <t>1759-68</t>
  </si>
  <si>
    <t>682044/00044</t>
  </si>
  <si>
    <t>2627-68</t>
  </si>
  <si>
    <t>IVZ6806-0611</t>
  </si>
  <si>
    <t>2207-68</t>
  </si>
  <si>
    <t>PCI25-06-0266</t>
  </si>
  <si>
    <t>2205-68</t>
  </si>
  <si>
    <t>PCI25-06-0269</t>
  </si>
  <si>
    <t>2234-68</t>
  </si>
  <si>
    <t>UG94657740</t>
  </si>
  <si>
    <t>2881-68</t>
  </si>
  <si>
    <t>IV6807005</t>
  </si>
  <si>
    <t>2932-68</t>
  </si>
  <si>
    <t>IV0201975</t>
  </si>
  <si>
    <t>2579-68</t>
  </si>
  <si>
    <t>บ.พลูก้าเทค</t>
  </si>
  <si>
    <t>P2507-018</t>
  </si>
  <si>
    <t>2882-68</t>
  </si>
  <si>
    <t>M6807-0265</t>
  </si>
  <si>
    <t>2930-68</t>
  </si>
  <si>
    <t>I25070217</t>
  </si>
  <si>
    <t>2931-68</t>
  </si>
  <si>
    <t>INV6807-018</t>
  </si>
  <si>
    <t>2790-68</t>
  </si>
  <si>
    <t>I25060865</t>
  </si>
  <si>
    <t>2830-68</t>
  </si>
  <si>
    <t>6807177</t>
  </si>
  <si>
    <t>2935-68</t>
  </si>
  <si>
    <t>IV6807-0497</t>
  </si>
  <si>
    <t>2926-68</t>
  </si>
  <si>
    <t>IVZ6807-0457</t>
  </si>
  <si>
    <t>2190-68</t>
  </si>
  <si>
    <t>682064/00092</t>
  </si>
  <si>
    <t>2189-68</t>
  </si>
  <si>
    <t>682059/00083</t>
  </si>
  <si>
    <t>2442-68</t>
  </si>
  <si>
    <t>682071/00075</t>
  </si>
  <si>
    <t>2934-68</t>
  </si>
  <si>
    <t>INT-PMS-680700222</t>
  </si>
  <si>
    <t>3119-68</t>
  </si>
  <si>
    <t>INV6807-066</t>
  </si>
  <si>
    <t>2570-68</t>
  </si>
  <si>
    <t>PCI25-08-0125</t>
  </si>
  <si>
    <t>2571-68</t>
  </si>
  <si>
    <t>PCI25-08-0132</t>
  </si>
  <si>
    <t>3118-68</t>
  </si>
  <si>
    <t>25071963</t>
  </si>
  <si>
    <t>3312-68</t>
  </si>
  <si>
    <t>IV6808005</t>
  </si>
  <si>
    <t>3186-68</t>
  </si>
  <si>
    <t>IV6808-0200</t>
  </si>
  <si>
    <t>3287-68</t>
  </si>
  <si>
    <t>6808133</t>
  </si>
  <si>
    <t>3381-68</t>
  </si>
  <si>
    <t>IVZ6808-0525</t>
  </si>
  <si>
    <t>3185-67</t>
  </si>
  <si>
    <t>INV6808-016</t>
  </si>
  <si>
    <t>2441-68</t>
  </si>
  <si>
    <t>682087/00018</t>
  </si>
  <si>
    <t>2432-68</t>
  </si>
  <si>
    <t>682084/00041</t>
  </si>
  <si>
    <t>2433-68</t>
  </si>
  <si>
    <t>682096/00007</t>
  </si>
  <si>
    <t>3372-68</t>
  </si>
  <si>
    <t>IV25-08103009</t>
  </si>
  <si>
    <t>3369-68</t>
  </si>
  <si>
    <t>IV0203181</t>
  </si>
  <si>
    <t>3380-68</t>
  </si>
  <si>
    <t>M6808-0592</t>
  </si>
  <si>
    <t>3377-68</t>
  </si>
  <si>
    <t>1317972769</t>
  </si>
  <si>
    <t>3373-68</t>
  </si>
  <si>
    <t>INT-MOM-680800417</t>
  </si>
  <si>
    <t>3378-68</t>
  </si>
  <si>
    <t>INT-PMS-680800216</t>
  </si>
  <si>
    <t>3379-68</t>
  </si>
  <si>
    <t>IV6808-1273</t>
  </si>
  <si>
    <t>3370-68</t>
  </si>
  <si>
    <t>INV6808-047</t>
  </si>
  <si>
    <t>3375-68</t>
  </si>
  <si>
    <t>68/0182</t>
  </si>
  <si>
    <t>2568-68</t>
  </si>
  <si>
    <t>UG94673927</t>
  </si>
  <si>
    <t>2936-68</t>
  </si>
  <si>
    <t>PCI25-09-0178</t>
  </si>
  <si>
    <t>2937-68</t>
  </si>
  <si>
    <t>PCI25-09-0181</t>
  </si>
  <si>
    <t>3374-68</t>
  </si>
  <si>
    <t>P2508-090</t>
  </si>
  <si>
    <t>3371-68</t>
  </si>
  <si>
    <t>PI25-08-0483</t>
  </si>
  <si>
    <t>3814-68</t>
  </si>
  <si>
    <t>IV6809007</t>
  </si>
  <si>
    <t>3811-68</t>
  </si>
  <si>
    <t>M6809-0287</t>
  </si>
  <si>
    <t>3758-68</t>
  </si>
  <si>
    <t>I25080623</t>
  </si>
  <si>
    <t>3813-68</t>
  </si>
  <si>
    <t>IV6809-0525</t>
  </si>
  <si>
    <t>3757-68</t>
  </si>
  <si>
    <t>IV6809-0873</t>
  </si>
  <si>
    <t>2832-68</t>
  </si>
  <si>
    <t>682118/00066</t>
  </si>
  <si>
    <t>2823-68</t>
  </si>
  <si>
    <t>682126/00081</t>
  </si>
  <si>
    <t>2824-68</t>
  </si>
  <si>
    <t>682109/00049</t>
  </si>
  <si>
    <t>3376-68</t>
  </si>
  <si>
    <t>I25090358</t>
  </si>
  <si>
    <t>3762-68</t>
  </si>
  <si>
    <t>IVZ6809-0605</t>
  </si>
  <si>
    <t>3896-68</t>
  </si>
  <si>
    <t>INT-PMS-680900290</t>
  </si>
  <si>
    <t>2938-68</t>
  </si>
  <si>
    <t>UG094056787</t>
  </si>
  <si>
    <t>3308-68</t>
  </si>
  <si>
    <t>UO94057478</t>
  </si>
  <si>
    <t>3306-68</t>
  </si>
  <si>
    <t>PCI25-09-0377</t>
  </si>
  <si>
    <t>3307-68</t>
  </si>
  <si>
    <t>PCI25-09-0386</t>
  </si>
  <si>
    <t>69-0027</t>
  </si>
  <si>
    <t>I6810-0101-02573</t>
  </si>
  <si>
    <t>69-0091</t>
  </si>
  <si>
    <t>I6810-0101-00869</t>
  </si>
  <si>
    <t>69-0097</t>
  </si>
  <si>
    <t>I6810-0105-00410</t>
  </si>
  <si>
    <t>69-0099</t>
  </si>
  <si>
    <t>I6810-0101-00753</t>
  </si>
  <si>
    <t>69-0098</t>
  </si>
  <si>
    <t>I6810-0101-00644</t>
  </si>
  <si>
    <t>69-0089</t>
  </si>
  <si>
    <t>I6810-0101-00942</t>
  </si>
  <si>
    <t>69-0087</t>
  </si>
  <si>
    <t>I6810-0101-01092</t>
  </si>
  <si>
    <t>69-0090</t>
  </si>
  <si>
    <t>I6810-0101-01352</t>
  </si>
  <si>
    <t>69-0095</t>
  </si>
  <si>
    <t>I6810-0105-00774</t>
  </si>
  <si>
    <t>69-0094</t>
  </si>
  <si>
    <t>I6810-0101-01563</t>
  </si>
  <si>
    <t>69-0093</t>
  </si>
  <si>
    <t>I6810-0101-01491</t>
  </si>
  <si>
    <t>69-0069</t>
  </si>
  <si>
    <t>I6810-0101-01658</t>
  </si>
  <si>
    <t>3895-68</t>
  </si>
  <si>
    <t>I25090760</t>
  </si>
  <si>
    <t>3812-68</t>
  </si>
  <si>
    <t>INV6809-024</t>
  </si>
  <si>
    <t>3283-68</t>
  </si>
  <si>
    <t>682133-00087</t>
  </si>
  <si>
    <t>3305-68</t>
  </si>
  <si>
    <t>682142/00004</t>
  </si>
  <si>
    <t>2364-68</t>
  </si>
  <si>
    <t>IV-20250600025</t>
  </si>
  <si>
    <t>2845-68</t>
  </si>
  <si>
    <t>IV-20250700246</t>
  </si>
  <si>
    <t>3165-68</t>
  </si>
  <si>
    <t>IV-20250800021</t>
  </si>
  <si>
    <t>3367-68</t>
  </si>
  <si>
    <t>IV-20250800227</t>
  </si>
  <si>
    <t>3412-68</t>
  </si>
  <si>
    <t>IV2509-066193</t>
  </si>
  <si>
    <t>3826-68</t>
  </si>
  <si>
    <t>IV-20250900196</t>
  </si>
  <si>
    <t>4006-68</t>
  </si>
  <si>
    <t>IV2510-067298</t>
  </si>
  <si>
    <t>P69-0057</t>
  </si>
  <si>
    <t>IV-20251000173</t>
  </si>
  <si>
    <t>1579-68</t>
  </si>
  <si>
    <t>61721</t>
  </si>
  <si>
    <t>1865-68</t>
  </si>
  <si>
    <t>TI0425378</t>
  </si>
  <si>
    <t>1656-68</t>
  </si>
  <si>
    <t>073/3619</t>
  </si>
  <si>
    <t>2289-68</t>
  </si>
  <si>
    <t>073/3620</t>
  </si>
  <si>
    <t>1654-68</t>
  </si>
  <si>
    <t>บ.ทีเอสพลัส สเตชั่นเนอรี่</t>
  </si>
  <si>
    <t>ORVC6806050002</t>
  </si>
  <si>
    <t>2121-68</t>
  </si>
  <si>
    <t>62084</t>
  </si>
  <si>
    <t>2599-68</t>
  </si>
  <si>
    <t>ORVC6806200008</t>
  </si>
  <si>
    <t>2665-68</t>
  </si>
  <si>
    <t>ร้าน อิมเมจมีเดีย</t>
  </si>
  <si>
    <t>01/495</t>
  </si>
  <si>
    <t>2643-68</t>
  </si>
  <si>
    <t>ORVC6807090001</t>
  </si>
  <si>
    <t>2073-68</t>
  </si>
  <si>
    <t>TI0725587</t>
  </si>
  <si>
    <t>1470-68</t>
  </si>
  <si>
    <t>ORVC6807180004</t>
  </si>
  <si>
    <t>2001-68</t>
  </si>
  <si>
    <t>ORVC6807180003</t>
  </si>
  <si>
    <t>2839-68</t>
  </si>
  <si>
    <t>62938</t>
  </si>
  <si>
    <t>2714-68</t>
  </si>
  <si>
    <t>TI0725647</t>
  </si>
  <si>
    <t>2265-68</t>
  </si>
  <si>
    <t>EL680726226</t>
  </si>
  <si>
    <t>2893-68</t>
  </si>
  <si>
    <t>ORVC6807290002</t>
  </si>
  <si>
    <t>2087-68</t>
  </si>
  <si>
    <t>ORVC6807290003</t>
  </si>
  <si>
    <t>2816-68</t>
  </si>
  <si>
    <t>TI0725682</t>
  </si>
  <si>
    <t>2903-68</t>
  </si>
  <si>
    <t>074/3658</t>
  </si>
  <si>
    <t>3167-68</t>
  </si>
  <si>
    <t>074/3665-3666</t>
  </si>
  <si>
    <t>3166-68</t>
  </si>
  <si>
    <t>ร้าน เบบี้โฮม</t>
  </si>
  <si>
    <t>054/2673</t>
  </si>
  <si>
    <t>2838-68</t>
  </si>
  <si>
    <t>บ.โมเดอร์น พริ้นเทค แอนด์ เลเบิ้ล</t>
  </si>
  <si>
    <t>68572</t>
  </si>
  <si>
    <t>3201-68</t>
  </si>
  <si>
    <t>074/3689</t>
  </si>
  <si>
    <t>3093-68</t>
  </si>
  <si>
    <t>ORVC6808130008</t>
  </si>
  <si>
    <t>2905-68</t>
  </si>
  <si>
    <t>TI0825738</t>
  </si>
  <si>
    <t>3120-68</t>
  </si>
  <si>
    <t>ORVC6808150006</t>
  </si>
  <si>
    <t>3023-68</t>
  </si>
  <si>
    <t>185/9220</t>
  </si>
  <si>
    <t>3357-68</t>
  </si>
  <si>
    <t>074/3681</t>
  </si>
  <si>
    <t>3356-68</t>
  </si>
  <si>
    <t>054/2674</t>
  </si>
  <si>
    <t>3352-68</t>
  </si>
  <si>
    <t>บ.โอเอ 2024</t>
  </si>
  <si>
    <t>UINN25090001</t>
  </si>
  <si>
    <t>3626-68</t>
  </si>
  <si>
    <t>บ.ออฟฟิศเมท(ไทย)</t>
  </si>
  <si>
    <t>SI2509005269</t>
  </si>
  <si>
    <t>3368-68</t>
  </si>
  <si>
    <t>หสม.สหประชาพาณิชย์</t>
  </si>
  <si>
    <t>IN6809001</t>
  </si>
  <si>
    <t>2711-68</t>
  </si>
  <si>
    <t>หจก.เอ็มวีซี ไอที</t>
  </si>
  <si>
    <t>BL000021</t>
  </si>
  <si>
    <t>3106-68</t>
  </si>
  <si>
    <t>AM6809/081</t>
  </si>
  <si>
    <t>3702-68</t>
  </si>
  <si>
    <t>074/3695</t>
  </si>
  <si>
    <t>3700-68</t>
  </si>
  <si>
    <t>054/2681</t>
  </si>
  <si>
    <t>3625-68</t>
  </si>
  <si>
    <t>หจก.ธงชัย โอเอ เซลส์แอนด์เซอร์วิส</t>
  </si>
  <si>
    <t>IV8090272</t>
  </si>
  <si>
    <t>3701-68</t>
  </si>
  <si>
    <t>SI2509058990</t>
  </si>
  <si>
    <t>3822-68</t>
  </si>
  <si>
    <t>63714</t>
  </si>
  <si>
    <t>3489-68</t>
  </si>
  <si>
    <t>ร้าน นางรองป้ายอิงค์เจ็ท</t>
  </si>
  <si>
    <t>13/06</t>
  </si>
  <si>
    <t>3834-68</t>
  </si>
  <si>
    <t>AM6809/230</t>
  </si>
  <si>
    <t>3921-68</t>
  </si>
  <si>
    <t>IV681008-023</t>
  </si>
  <si>
    <t>P69-0069</t>
  </si>
  <si>
    <t>075/3726</t>
  </si>
  <si>
    <t>P69-0070</t>
  </si>
  <si>
    <t>ร้าน พอเพียง</t>
  </si>
  <si>
    <t>3/67/07-08</t>
  </si>
  <si>
    <t>3956-68</t>
  </si>
  <si>
    <t>63859</t>
  </si>
  <si>
    <t>P69-0248</t>
  </si>
  <si>
    <t>IV2510-067628</t>
  </si>
  <si>
    <t>3946-68</t>
  </si>
  <si>
    <t>ร้าน อาร์ตซ็อป โดย นายเอกวัฒน์ หัดกล้า</t>
  </si>
  <si>
    <t>INV202510280001</t>
  </si>
  <si>
    <t>68006706</t>
  </si>
  <si>
    <t xml:space="preserve">1174-68 </t>
  </si>
  <si>
    <t>0320659595011503</t>
  </si>
  <si>
    <t xml:space="preserve">1331-68 </t>
  </si>
  <si>
    <t>0320659595013103</t>
  </si>
  <si>
    <t>2966-68</t>
  </si>
  <si>
    <t>436/1</t>
  </si>
  <si>
    <t>2973-68</t>
  </si>
  <si>
    <t>032871001837</t>
  </si>
  <si>
    <t>3092-68</t>
  </si>
  <si>
    <t>459/41</t>
  </si>
  <si>
    <t>3440-68</t>
  </si>
  <si>
    <t>1317985479</t>
  </si>
  <si>
    <t>3446-68</t>
  </si>
  <si>
    <t>032871001970</t>
  </si>
  <si>
    <t>3441-68</t>
  </si>
  <si>
    <t>บ.อินแพคฟาร์มา</t>
  </si>
  <si>
    <t>IV68079105</t>
  </si>
  <si>
    <t>3247-68</t>
  </si>
  <si>
    <t>032871002035</t>
  </si>
  <si>
    <t>3680-68</t>
  </si>
  <si>
    <t>1318155557</t>
  </si>
  <si>
    <t>3439-68</t>
  </si>
  <si>
    <t>1318056473</t>
  </si>
  <si>
    <t>3683-68</t>
  </si>
  <si>
    <t>1318155101</t>
  </si>
  <si>
    <t>3681-68</t>
  </si>
  <si>
    <t>5344361051</t>
  </si>
  <si>
    <t>3445-68</t>
  </si>
  <si>
    <t>497/3</t>
  </si>
  <si>
    <t>3682-68</t>
  </si>
  <si>
    <t>032871002183</t>
  </si>
  <si>
    <t>3897-68</t>
  </si>
  <si>
    <t>1/24</t>
  </si>
  <si>
    <t>3726-68</t>
  </si>
  <si>
    <t>49/68/32</t>
  </si>
  <si>
    <t>3729-68</t>
  </si>
  <si>
    <t>4/35</t>
  </si>
  <si>
    <t>3733-68</t>
  </si>
  <si>
    <t>6/16</t>
  </si>
  <si>
    <t>3730-68</t>
  </si>
  <si>
    <t>0320BC680000193</t>
  </si>
  <si>
    <t>3731-68</t>
  </si>
  <si>
    <t>0320BC680000194</t>
  </si>
  <si>
    <t>3723-68</t>
  </si>
  <si>
    <t>121250923307</t>
  </si>
  <si>
    <t>3732-68</t>
  </si>
  <si>
    <t>121250923306</t>
  </si>
  <si>
    <t>3725-68</t>
  </si>
  <si>
    <t>8/32-33</t>
  </si>
  <si>
    <t>3724-68</t>
  </si>
  <si>
    <t>10/33-34</t>
  </si>
  <si>
    <t>3728-68</t>
  </si>
  <si>
    <t>9/33-34</t>
  </si>
  <si>
    <t>3727-68</t>
  </si>
  <si>
    <t>3963-68</t>
  </si>
  <si>
    <t>032871002302</t>
  </si>
  <si>
    <t>P69-0046</t>
  </si>
  <si>
    <t>0320BC680000207</t>
  </si>
  <si>
    <t>P69-0044</t>
  </si>
  <si>
    <t>0320BC680000217</t>
  </si>
  <si>
    <t>P69-0043</t>
  </si>
  <si>
    <t>49/68/38</t>
  </si>
  <si>
    <t>P69-0037</t>
  </si>
  <si>
    <t>11/16-17</t>
  </si>
  <si>
    <t>P69-0045</t>
  </si>
  <si>
    <t>P69-0042</t>
  </si>
  <si>
    <t>P69-0039</t>
  </si>
  <si>
    <t>P69-0038</t>
  </si>
  <si>
    <t>7/16-17</t>
  </si>
  <si>
    <t>P69-0041</t>
  </si>
  <si>
    <t>121251012610</t>
  </si>
  <si>
    <t>P69-0040</t>
  </si>
  <si>
    <t>121251012142</t>
  </si>
  <si>
    <t>3935-68</t>
  </si>
  <si>
    <t>490/40</t>
  </si>
  <si>
    <t>5344589025</t>
  </si>
  <si>
    <t>3934-68</t>
  </si>
  <si>
    <t>1318412165</t>
  </si>
  <si>
    <t>P69-0194</t>
  </si>
  <si>
    <t>0320BC680000221</t>
  </si>
  <si>
    <t>P69-0193</t>
  </si>
  <si>
    <t>0320BC680000222</t>
  </si>
  <si>
    <t>P69-0191</t>
  </si>
  <si>
    <t>50/68/07</t>
  </si>
  <si>
    <t>P69-0192</t>
  </si>
  <si>
    <t>11/34-35</t>
  </si>
  <si>
    <t>P69-0188</t>
  </si>
  <si>
    <t>10/34-35</t>
  </si>
  <si>
    <t>P69-0190</t>
  </si>
  <si>
    <t>P69-0189</t>
  </si>
  <si>
    <t>9/34-35</t>
  </si>
  <si>
    <t>P69-0186</t>
  </si>
  <si>
    <t>8/17-18</t>
  </si>
  <si>
    <t>P69-0185</t>
  </si>
  <si>
    <t>12125123907</t>
  </si>
  <si>
    <t>P69-0187</t>
  </si>
  <si>
    <t>121251023902</t>
  </si>
  <si>
    <t>1/25</t>
  </si>
  <si>
    <t>2161-68</t>
  </si>
  <si>
    <t>หจก.ดุสิตา ปิโตรเลียม</t>
  </si>
  <si>
    <t>POS#1-P11#1369084</t>
  </si>
  <si>
    <t>2.1.08 ค่าวัสดุเชื้อเพลิงและหล่อลื่น</t>
  </si>
  <si>
    <t>3638-68</t>
  </si>
  <si>
    <t>หจก.มานะ-เสริมพล ปิโตรเลียม</t>
  </si>
  <si>
    <t>BN25070543</t>
  </si>
  <si>
    <t>3590-68</t>
  </si>
  <si>
    <t>บ.กอชั่งหยู ปิโตรเลียม บิซซิเนส</t>
  </si>
  <si>
    <t>POS#1-P7#2215601</t>
  </si>
  <si>
    <t>69-0015</t>
  </si>
  <si>
    <t>BN25080567</t>
  </si>
  <si>
    <t>3678-68</t>
  </si>
  <si>
    <t>บ.ร่วมใจบริการ (2002)</t>
  </si>
  <si>
    <t>POS#1-P7 #3047509</t>
  </si>
  <si>
    <t>1599-68</t>
  </si>
  <si>
    <t>68-03-0021</t>
  </si>
  <si>
    <t>2.1.09 ค่าวัสดุเครื่องแต่งกาย</t>
  </si>
  <si>
    <t>1467-68</t>
  </si>
  <si>
    <t>หสม.วราภรณ์ มาร์เก็ตติ้ง</t>
  </si>
  <si>
    <t>DI6805005</t>
  </si>
  <si>
    <t>1895-68</t>
  </si>
  <si>
    <t>DI6805017</t>
  </si>
  <si>
    <t>SOSU6708043</t>
  </si>
  <si>
    <t>SOSU6709024</t>
  </si>
  <si>
    <t>SOSU6709022</t>
  </si>
  <si>
    <t>SUSU6710032</t>
  </si>
  <si>
    <t>SOSU6711003</t>
  </si>
  <si>
    <t>SOSU6711019</t>
  </si>
  <si>
    <t>SOSU6711018</t>
  </si>
  <si>
    <t>197-68</t>
  </si>
  <si>
    <t>SOSU6712069</t>
  </si>
  <si>
    <t>546-68</t>
  </si>
  <si>
    <t>SISU6801044</t>
  </si>
  <si>
    <t>994-68</t>
  </si>
  <si>
    <t>SOSU6802046</t>
  </si>
  <si>
    <t>1282-68</t>
  </si>
  <si>
    <t>SOSU6803017</t>
  </si>
  <si>
    <t>33-68</t>
  </si>
  <si>
    <t>68-03-0022</t>
  </si>
  <si>
    <t>1580-68</t>
  </si>
  <si>
    <t>SOSU6804031</t>
  </si>
  <si>
    <t>1896-68</t>
  </si>
  <si>
    <t>68-05-0001</t>
  </si>
  <si>
    <t>2254-68</t>
  </si>
  <si>
    <t>หจก.ศุภเจตน์ เทรดดิ้ง กรุ๊ป</t>
  </si>
  <si>
    <t>2568/0084</t>
  </si>
  <si>
    <t>1951-68</t>
  </si>
  <si>
    <t>IV8050612</t>
  </si>
  <si>
    <t>1960-68</t>
  </si>
  <si>
    <t>IVT-20250500005</t>
  </si>
  <si>
    <t>1826-68</t>
  </si>
  <si>
    <t>DI6805025</t>
  </si>
  <si>
    <t>2361-68</t>
  </si>
  <si>
    <t>2568/0097</t>
  </si>
  <si>
    <t>2303-68</t>
  </si>
  <si>
    <t>IVT-20250500022</t>
  </si>
  <si>
    <t>2713-68</t>
  </si>
  <si>
    <t>2568/0130</t>
  </si>
  <si>
    <t>2700-68</t>
  </si>
  <si>
    <t>IVT-20250600019</t>
  </si>
  <si>
    <t>2668-68</t>
  </si>
  <si>
    <t>IV8070569</t>
  </si>
  <si>
    <t>1107-68</t>
  </si>
  <si>
    <t>INV680716004</t>
  </si>
  <si>
    <t>2841-68</t>
  </si>
  <si>
    <t>2568/0141</t>
  </si>
  <si>
    <t>2968-68</t>
  </si>
  <si>
    <t>1/6</t>
  </si>
  <si>
    <t>2967-68</t>
  </si>
  <si>
    <t>2840-68</t>
  </si>
  <si>
    <t>IV8070661</t>
  </si>
  <si>
    <t>2744-68</t>
  </si>
  <si>
    <t>024/1194</t>
  </si>
  <si>
    <t>2745-68</t>
  </si>
  <si>
    <t>025/1219</t>
  </si>
  <si>
    <t>3168-68</t>
  </si>
  <si>
    <t>054/2670--2672</t>
  </si>
  <si>
    <t>3020-68</t>
  </si>
  <si>
    <t>2568/0158</t>
  </si>
  <si>
    <t>2135-68</t>
  </si>
  <si>
    <t>68-08-0003</t>
  </si>
  <si>
    <t>3044-68</t>
  </si>
  <si>
    <t>IVT-20250700019</t>
  </si>
  <si>
    <t>2971-68</t>
  </si>
  <si>
    <t>บ.เอลิสต์ ซัพพลาย</t>
  </si>
  <si>
    <t>INV2025070046</t>
  </si>
  <si>
    <t>3438-68</t>
  </si>
  <si>
    <t>1/7</t>
  </si>
  <si>
    <t>3437-68</t>
  </si>
  <si>
    <t>3355-68</t>
  </si>
  <si>
    <t>054/2675-2676</t>
  </si>
  <si>
    <t>3022-68</t>
  </si>
  <si>
    <t>IV8080785</t>
  </si>
  <si>
    <t>3353-68</t>
  </si>
  <si>
    <t>IV8080898</t>
  </si>
  <si>
    <t>3885-68</t>
  </si>
  <si>
    <t>026/1256</t>
  </si>
  <si>
    <t>3884-68</t>
  </si>
  <si>
    <t>026/1255</t>
  </si>
  <si>
    <t>3354-68</t>
  </si>
  <si>
    <t>2568/0188</t>
  </si>
  <si>
    <t>3483-68</t>
  </si>
  <si>
    <t>IVT-20250800016</t>
  </si>
  <si>
    <t>3358-68</t>
  </si>
  <si>
    <t>2568/0191</t>
  </si>
  <si>
    <t>3703-68</t>
  </si>
  <si>
    <t>054/2678-2680</t>
  </si>
  <si>
    <t>3442-68</t>
  </si>
  <si>
    <t>2068</t>
  </si>
  <si>
    <t>3416-68</t>
  </si>
  <si>
    <t>INV680916005</t>
  </si>
  <si>
    <t>3684-68</t>
  </si>
  <si>
    <t>INV680916003</t>
  </si>
  <si>
    <t>3500-68</t>
  </si>
  <si>
    <t>INV680916004</t>
  </si>
  <si>
    <t>3350-68</t>
  </si>
  <si>
    <t>INV680916002</t>
  </si>
  <si>
    <t>3417-68</t>
  </si>
  <si>
    <t>DI6809007</t>
  </si>
  <si>
    <t>3824-68</t>
  </si>
  <si>
    <t>SOSU6809054</t>
  </si>
  <si>
    <t>3823-68</t>
  </si>
  <si>
    <t>IV8090770</t>
  </si>
  <si>
    <t>3252-68</t>
  </si>
  <si>
    <t>2568/0919</t>
  </si>
  <si>
    <t>3825-68</t>
  </si>
  <si>
    <t>2568/0215</t>
  </si>
  <si>
    <t>3900-68</t>
  </si>
  <si>
    <t>IVT-20250900021</t>
  </si>
  <si>
    <t>3786-68</t>
  </si>
  <si>
    <t>IV681007-016</t>
  </si>
  <si>
    <t>P69-0035</t>
  </si>
  <si>
    <t>2568/0223</t>
  </si>
  <si>
    <t>P69-0071</t>
  </si>
  <si>
    <t>3/68/09-10</t>
  </si>
  <si>
    <t>3936-68</t>
  </si>
  <si>
    <t>2078</t>
  </si>
  <si>
    <t>P69-0086</t>
  </si>
  <si>
    <t>2568/0242</t>
  </si>
  <si>
    <t>1837-68</t>
  </si>
  <si>
    <t>6805000278</t>
  </si>
  <si>
    <t>2.1.11 ค่าวัสดุยานพาหนะ</t>
  </si>
  <si>
    <t>3414-68</t>
  </si>
  <si>
    <t>6808000325</t>
  </si>
  <si>
    <t>3641-68</t>
  </si>
  <si>
    <t>6809000161</t>
  </si>
  <si>
    <t>4005-68</t>
  </si>
  <si>
    <t>6810000261</t>
  </si>
  <si>
    <t>750-68</t>
  </si>
  <si>
    <t>หจก.ซีคิวทูมิเตอร์</t>
  </si>
  <si>
    <t>IV2025020015</t>
  </si>
  <si>
    <t>1670-68</t>
  </si>
  <si>
    <t>TN00002864</t>
  </si>
  <si>
    <t>2313-68</t>
  </si>
  <si>
    <t>TN00002867</t>
  </si>
  <si>
    <t>2717-68</t>
  </si>
  <si>
    <t>TN00002868</t>
  </si>
  <si>
    <t>1713-68</t>
  </si>
  <si>
    <t>TN00002869</t>
  </si>
  <si>
    <t>2716-68</t>
  </si>
  <si>
    <t>TN00002886</t>
  </si>
  <si>
    <t>2429-68</t>
  </si>
  <si>
    <t>TN00002887</t>
  </si>
  <si>
    <t>2949-68 2954-68 2953-68 2952-68 2951-68 2950-68</t>
  </si>
  <si>
    <t>TN00002895</t>
  </si>
  <si>
    <t>3484-68</t>
  </si>
  <si>
    <t>TN00002981</t>
  </si>
  <si>
    <t>3755-68</t>
  </si>
  <si>
    <t>TN00002998</t>
  </si>
  <si>
    <t>3754-68</t>
  </si>
  <si>
    <t>TN00002999</t>
  </si>
  <si>
    <t>3752-68</t>
  </si>
  <si>
    <t>INV2025090014</t>
  </si>
  <si>
    <t>3749-68</t>
  </si>
  <si>
    <t>TN00003005</t>
  </si>
  <si>
    <t>3784-68</t>
  </si>
  <si>
    <t>TN00003020</t>
  </si>
  <si>
    <t>3771-68</t>
  </si>
  <si>
    <t>TN00003019</t>
  </si>
  <si>
    <t>3796-68</t>
  </si>
  <si>
    <t>TN00003028</t>
  </si>
  <si>
    <t>3917-68</t>
  </si>
  <si>
    <t>TN00003033</t>
  </si>
  <si>
    <t>3916-68</t>
  </si>
  <si>
    <t>TN00003036</t>
  </si>
  <si>
    <t>PB680530-0005</t>
  </si>
  <si>
    <t>1676-68</t>
  </si>
  <si>
    <t>IV680609-022</t>
  </si>
  <si>
    <t>1309-68</t>
  </si>
  <si>
    <t>IV680610-014</t>
  </si>
  <si>
    <t>3476-68</t>
  </si>
  <si>
    <t>ร้าน ปวีณ24</t>
  </si>
  <si>
    <t>2/5</t>
  </si>
  <si>
    <t>3621-68</t>
  </si>
  <si>
    <t>IV680915-001</t>
  </si>
  <si>
    <t>3745-68</t>
  </si>
  <si>
    <t>IV680924-011</t>
  </si>
  <si>
    <t>3746-68</t>
  </si>
  <si>
    <t>IV680924-014</t>
  </si>
  <si>
    <t>3740-68</t>
  </si>
  <si>
    <t>IV680924-013</t>
  </si>
  <si>
    <t>3747-68</t>
  </si>
  <si>
    <t>IV680924-009</t>
  </si>
  <si>
    <t>3744-68</t>
  </si>
  <si>
    <t>IV680925-032</t>
  </si>
  <si>
    <t>3480-68</t>
  </si>
  <si>
    <t>IV680926-013</t>
  </si>
  <si>
    <t>3737-68</t>
  </si>
  <si>
    <t>IV680926-001</t>
  </si>
  <si>
    <t>3736-68</t>
  </si>
  <si>
    <t>IV680926-002</t>
  </si>
  <si>
    <t>3738-68</t>
  </si>
  <si>
    <t>IV680926-016</t>
  </si>
  <si>
    <t>3788-68 3789-68 3790-68</t>
  </si>
  <si>
    <t>IV681007-018</t>
  </si>
  <si>
    <t>3739-68</t>
  </si>
  <si>
    <t>IV681007-017</t>
  </si>
  <si>
    <t>3794-68 3780-68</t>
  </si>
  <si>
    <t>IV681007-013</t>
  </si>
  <si>
    <t>3918-68 3919-68</t>
  </si>
  <si>
    <t>IV681008-020</t>
  </si>
  <si>
    <t>3923-68 3924-68</t>
  </si>
  <si>
    <t>IV681015-019</t>
  </si>
  <si>
    <t>3947-68 3949-68 3948-68</t>
  </si>
  <si>
    <t>IV681015-018</t>
  </si>
  <si>
    <t>บ.ไดนามิค อินสตรูเม้นท์</t>
  </si>
  <si>
    <t>670910</t>
  </si>
  <si>
    <t>INV2024080010</t>
  </si>
  <si>
    <t>บ.ซีซี เฮลท์ แคร์</t>
  </si>
  <si>
    <t>IV680201</t>
  </si>
  <si>
    <t>680118</t>
  </si>
  <si>
    <t>INV2025030003</t>
  </si>
  <si>
    <t>INV2025030004</t>
  </si>
  <si>
    <t>1459-68</t>
  </si>
  <si>
    <t>บ.มิท เทคโนโลยี</t>
  </si>
  <si>
    <t>RS202502392</t>
  </si>
  <si>
    <t>1786-68</t>
  </si>
  <si>
    <t>RS202502393</t>
  </si>
  <si>
    <t>1685-68</t>
  </si>
  <si>
    <t>680503</t>
  </si>
  <si>
    <t>2365-68</t>
  </si>
  <si>
    <t>บ.พันธ์สวัสดิ์ เคมเทค</t>
  </si>
  <si>
    <t>68545</t>
  </si>
  <si>
    <t>1622-68</t>
  </si>
  <si>
    <t>บ.นำวิวัฒน์การช่าง(1992)</t>
  </si>
  <si>
    <t>SIV250700298</t>
  </si>
  <si>
    <t>1667-68</t>
  </si>
  <si>
    <t>SIV250700299</t>
  </si>
  <si>
    <t>3026-68</t>
  </si>
  <si>
    <t>1/21</t>
  </si>
  <si>
    <t>2849-68</t>
  </si>
  <si>
    <t>3214-68 3215-68</t>
  </si>
  <si>
    <t>TN00002936</t>
  </si>
  <si>
    <t>3036-68 3035-68 3034-68 3033-68 3032-68</t>
  </si>
  <si>
    <t>INV2025080009</t>
  </si>
  <si>
    <t>INV2025080003</t>
  </si>
  <si>
    <t>INV2025070018</t>
  </si>
  <si>
    <t>3478-68</t>
  </si>
  <si>
    <t>IV680901-011</t>
  </si>
  <si>
    <t>3532-68</t>
  </si>
  <si>
    <t>INV680916001</t>
  </si>
  <si>
    <t>3615-68</t>
  </si>
  <si>
    <t>2/6</t>
  </si>
  <si>
    <t>3741-68</t>
  </si>
  <si>
    <t>TN00003002</t>
  </si>
  <si>
    <t>3627-68</t>
  </si>
  <si>
    <t>บ.สยามรัฐไดนาโม</t>
  </si>
  <si>
    <t>003/0103</t>
  </si>
  <si>
    <t>3486-68 3487-68</t>
  </si>
  <si>
    <t>INV2025090011</t>
  </si>
  <si>
    <t>3751-68</t>
  </si>
  <si>
    <t>INV2025090009</t>
  </si>
  <si>
    <t>3742-68</t>
  </si>
  <si>
    <t>TN00003004</t>
  </si>
  <si>
    <t>3887-68</t>
  </si>
  <si>
    <t>IV680925-031</t>
  </si>
  <si>
    <t>3942-68</t>
  </si>
  <si>
    <t>I68/000653</t>
  </si>
  <si>
    <t>3861-68</t>
  </si>
  <si>
    <t>TN00003017</t>
  </si>
  <si>
    <t>3852-68 -1</t>
  </si>
  <si>
    <t>I68/000671</t>
  </si>
  <si>
    <t>W69-0002</t>
  </si>
  <si>
    <t>ร้าน ดาวละมัยดอกไม้สด</t>
  </si>
  <si>
    <t>2/21</t>
  </si>
  <si>
    <t>4003-68</t>
  </si>
  <si>
    <t>I68/000676</t>
  </si>
  <si>
    <t>3795-68</t>
  </si>
  <si>
    <t>TN00003027</t>
  </si>
  <si>
    <t>3773-68 3783-68 3782-68 3774-68 3781-68</t>
  </si>
  <si>
    <t>INV2025100014</t>
  </si>
  <si>
    <t>W69-0001</t>
  </si>
  <si>
    <t>1/3</t>
  </si>
  <si>
    <t>3212-68</t>
  </si>
  <si>
    <t>3785-68</t>
  </si>
  <si>
    <t>0003/0016</t>
  </si>
  <si>
    <t>3933-68</t>
  </si>
  <si>
    <t>INV2025100013</t>
  </si>
  <si>
    <t>บ.เอกตรงเคมีภัณฑ์ (1985)</t>
  </si>
  <si>
    <t>67100161</t>
  </si>
  <si>
    <t>2.1.19 ค่าวัสดุเภสัชกรรม</t>
  </si>
  <si>
    <t>บ.โพส เฮลท์ แคร์</t>
  </si>
  <si>
    <t>241011006</t>
  </si>
  <si>
    <t>67100394</t>
  </si>
  <si>
    <t>บ.เดอะเฟิร์สท์เฮลท์แคร์</t>
  </si>
  <si>
    <t>INV2024110028</t>
  </si>
  <si>
    <t>67110433</t>
  </si>
  <si>
    <t>67120129</t>
  </si>
  <si>
    <t>บ.อัมรินทร์ มาร์เก็ตติ้ง</t>
  </si>
  <si>
    <t>AMH0017830</t>
  </si>
  <si>
    <t>68010103</t>
  </si>
  <si>
    <t>บ.เฟอร์โน่</t>
  </si>
  <si>
    <t>FN/IV6800389</t>
  </si>
  <si>
    <t>68010440</t>
  </si>
  <si>
    <t>250211006</t>
  </si>
  <si>
    <t>68020138</t>
  </si>
  <si>
    <t>บ.ปัญญฤกษ์</t>
  </si>
  <si>
    <t>680217</t>
  </si>
  <si>
    <t>FN/IV6801246</t>
  </si>
  <si>
    <t>68020345</t>
  </si>
  <si>
    <t>67713</t>
  </si>
  <si>
    <t>EL680303028</t>
  </si>
  <si>
    <t>3000979282</t>
  </si>
  <si>
    <t>680312</t>
  </si>
  <si>
    <t>68009615</t>
  </si>
  <si>
    <t>68030151</t>
  </si>
  <si>
    <t>68012006</t>
  </si>
  <si>
    <t>68030411</t>
  </si>
  <si>
    <t>FN/IV6802808</t>
  </si>
  <si>
    <t>AMH0018193</t>
  </si>
  <si>
    <t>TP680325077</t>
  </si>
  <si>
    <t>680419</t>
  </si>
  <si>
    <t>68012492</t>
  </si>
  <si>
    <t>67964</t>
  </si>
  <si>
    <t>68040110</t>
  </si>
  <si>
    <t>68014218</t>
  </si>
  <si>
    <t>68040245</t>
  </si>
  <si>
    <t>EL680512104</t>
  </si>
  <si>
    <t>68155</t>
  </si>
  <si>
    <t>680522</t>
  </si>
  <si>
    <t>INV2025050043</t>
  </si>
  <si>
    <t>3001010015</t>
  </si>
  <si>
    <t>68017716</t>
  </si>
  <si>
    <t>AMH0018345</t>
  </si>
  <si>
    <t>68050382</t>
  </si>
  <si>
    <t>68237</t>
  </si>
  <si>
    <t>AMH0018378</t>
  </si>
  <si>
    <t>TP680602006</t>
  </si>
  <si>
    <t>บ.ออล ควอลิตี้ ซัพพลาย</t>
  </si>
  <si>
    <t>67/00706</t>
  </si>
  <si>
    <t>AMH0018411</t>
  </si>
  <si>
    <t>680650</t>
  </si>
  <si>
    <t>680655</t>
  </si>
  <si>
    <t>3001027576</t>
  </si>
  <si>
    <t>68060339</t>
  </si>
  <si>
    <t>680656</t>
  </si>
  <si>
    <t>EL680625236</t>
  </si>
  <si>
    <t>TP680626105</t>
  </si>
  <si>
    <t>บ.เบทเทอร์แพ็คพลัส</t>
  </si>
  <si>
    <t>SV003590</t>
  </si>
  <si>
    <t>68023102</t>
  </si>
  <si>
    <t>68070081</t>
  </si>
  <si>
    <t>68498</t>
  </si>
  <si>
    <t>68516</t>
  </si>
  <si>
    <t>AMH0018510</t>
  </si>
  <si>
    <t>3001042227</t>
  </si>
  <si>
    <t>AMH0018566</t>
  </si>
  <si>
    <t>TP680726074</t>
  </si>
  <si>
    <t>AMH0018572</t>
  </si>
  <si>
    <t>68025142</t>
  </si>
  <si>
    <t>680803</t>
  </si>
  <si>
    <t>680804</t>
  </si>
  <si>
    <t>68070538</t>
  </si>
  <si>
    <t>68080197</t>
  </si>
  <si>
    <t>3001056068</t>
  </si>
  <si>
    <t>68028245</t>
  </si>
  <si>
    <t>AMH0018646</t>
  </si>
  <si>
    <t>AMH0018647</t>
  </si>
  <si>
    <t>68080355</t>
  </si>
  <si>
    <t>AMH0018648</t>
  </si>
  <si>
    <t>AMH0018678</t>
  </si>
  <si>
    <t>บ.ยู อิยดัสตรี้</t>
  </si>
  <si>
    <t>IVUIS.2568/128</t>
  </si>
  <si>
    <t>67/00737</t>
  </si>
  <si>
    <t>68090210</t>
  </si>
  <si>
    <t>AMH0018723</t>
  </si>
  <si>
    <t>TP680910025</t>
  </si>
  <si>
    <t>3001070332</t>
  </si>
  <si>
    <t>68900</t>
  </si>
  <si>
    <t>68090392</t>
  </si>
  <si>
    <t>68031202</t>
  </si>
  <si>
    <t>68909</t>
  </si>
  <si>
    <t>68100242</t>
  </si>
  <si>
    <t>68100245</t>
  </si>
  <si>
    <t>68034545</t>
  </si>
  <si>
    <t>AMH0018842</t>
  </si>
  <si>
    <t>AMH0018841</t>
  </si>
  <si>
    <t>69055</t>
  </si>
  <si>
    <t>AMH0018845</t>
  </si>
  <si>
    <t>69028</t>
  </si>
  <si>
    <t>TP681022056</t>
  </si>
  <si>
    <t>บ.วี อาร์ พี เด้นท์</t>
  </si>
  <si>
    <t>147100132</t>
  </si>
  <si>
    <t>147110093</t>
  </si>
  <si>
    <t>บ.ออสเทมส์</t>
  </si>
  <si>
    <t>C-IMPLANT-24-0656</t>
  </si>
  <si>
    <t>BL67-11/289</t>
  </si>
  <si>
    <t>141-68</t>
  </si>
  <si>
    <t>IN6711-2507</t>
  </si>
  <si>
    <t>393-68</t>
  </si>
  <si>
    <t>บ.ยูนิตี้ เด็นตัล</t>
  </si>
  <si>
    <t>IS6800082</t>
  </si>
  <si>
    <t>396-68</t>
  </si>
  <si>
    <t>147120284</t>
  </si>
  <si>
    <t>281-68</t>
  </si>
  <si>
    <t>IVD0102846</t>
  </si>
  <si>
    <t>925-68</t>
  </si>
  <si>
    <t>บ.นูโวเด้นท์</t>
  </si>
  <si>
    <t>IV6801720</t>
  </si>
  <si>
    <t>1274-68</t>
  </si>
  <si>
    <t>IS6800767</t>
  </si>
  <si>
    <t>1275-68</t>
  </si>
  <si>
    <t>หจก.เซี่ยงไฮ้ทันตภัณฑ์</t>
  </si>
  <si>
    <t>BB256802/01594</t>
  </si>
  <si>
    <t>1278-68</t>
  </si>
  <si>
    <t>บ.เด็นท์-เมท</t>
  </si>
  <si>
    <t>IVG00071009</t>
  </si>
  <si>
    <t>1081-68</t>
  </si>
  <si>
    <t>บ.แอดวานซ์ เมดิคอล คอร์ปอเรชั่น</t>
  </si>
  <si>
    <t>IV6803181</t>
  </si>
  <si>
    <t>937-68</t>
  </si>
  <si>
    <t>IV6803180</t>
  </si>
  <si>
    <t>1273-68</t>
  </si>
  <si>
    <t>บ.แปดสิบแปด อินเตอร์กรุ๊ป</t>
  </si>
  <si>
    <t>IV068/04/005</t>
  </si>
  <si>
    <t>1277-68</t>
  </si>
  <si>
    <t>บ.ไดรว์ เด็นทั่ล อินคอร์ปอเรชั่น</t>
  </si>
  <si>
    <t>IN-200641</t>
  </si>
  <si>
    <t>1440-68</t>
  </si>
  <si>
    <t>บ.โฮมเด้นท์ กรุ๊ป</t>
  </si>
  <si>
    <t>IV0002294</t>
  </si>
  <si>
    <t>1437-68 1438-68</t>
  </si>
  <si>
    <t>บ.เอส.ดี.ทันตเวช(1988)</t>
  </si>
  <si>
    <t>A2503-1289</t>
  </si>
  <si>
    <t>1280-68</t>
  </si>
  <si>
    <t>148030053</t>
  </si>
  <si>
    <t>1941-68</t>
  </si>
  <si>
    <t>บ.ซีทีเอ็ม โกลเบิล</t>
  </si>
  <si>
    <t>IV8040191</t>
  </si>
  <si>
    <t>1870-68</t>
  </si>
  <si>
    <t>บ.บีดีเอช เมดิคอล ซัพพลาย</t>
  </si>
  <si>
    <t>BDHT-202504090</t>
  </si>
  <si>
    <t>1871-68</t>
  </si>
  <si>
    <t>IS6801267</t>
  </si>
  <si>
    <t>1872-68</t>
  </si>
  <si>
    <t>BB256804/00341</t>
  </si>
  <si>
    <t>1873-68</t>
  </si>
  <si>
    <t>A2504-0453</t>
  </si>
  <si>
    <t>1874-68</t>
  </si>
  <si>
    <t>Bl68-04/306</t>
  </si>
  <si>
    <t>1947-68</t>
  </si>
  <si>
    <t>IN6804-1081</t>
  </si>
  <si>
    <t>1955-68</t>
  </si>
  <si>
    <t>IN-200476</t>
  </si>
  <si>
    <t>1944-68</t>
  </si>
  <si>
    <t>บ.มิด-เวสต์ เด็นตอลกรุ๊ป</t>
  </si>
  <si>
    <t>IV6805-0015</t>
  </si>
  <si>
    <t>1868-68</t>
  </si>
  <si>
    <t>C-IMPLANT-25-0291</t>
  </si>
  <si>
    <t>1869-68</t>
  </si>
  <si>
    <t>C-IMPLANT-25-0281</t>
  </si>
  <si>
    <t>2275-68</t>
  </si>
  <si>
    <t>IN-202354</t>
  </si>
  <si>
    <t>2276-68</t>
  </si>
  <si>
    <t>IN-202267</t>
  </si>
  <si>
    <t>2277-68</t>
  </si>
  <si>
    <t>BB256805/00470</t>
  </si>
  <si>
    <t>2279-68</t>
  </si>
  <si>
    <t>บ.เดนทัล วิชั่น (ประเทสไทย)</t>
  </si>
  <si>
    <t>SI2505-00408</t>
  </si>
  <si>
    <t>2619-68</t>
  </si>
  <si>
    <t>IN-203510</t>
  </si>
  <si>
    <t>2621-68</t>
  </si>
  <si>
    <t>IV2505103296</t>
  </si>
  <si>
    <t>2622-68</t>
  </si>
  <si>
    <t>บ.อุดม เมดิคอล อิควิปเม้นท์</t>
  </si>
  <si>
    <t>GU125060491</t>
  </si>
  <si>
    <t>2623-68</t>
  </si>
  <si>
    <t>บ.พรีเมียร์ เมดสพลาย</t>
  </si>
  <si>
    <t>IV6806164</t>
  </si>
  <si>
    <t>2697-68 2698-68</t>
  </si>
  <si>
    <t>C-MATERIAL-25-0375</t>
  </si>
  <si>
    <t>2694-68</t>
  </si>
  <si>
    <t>A2507-0582</t>
  </si>
  <si>
    <t>2699-68</t>
  </si>
  <si>
    <t>IV6807266</t>
  </si>
  <si>
    <t>3062-68</t>
  </si>
  <si>
    <t>A2506-1663</t>
  </si>
  <si>
    <t>3063-68</t>
  </si>
  <si>
    <t>UIS6802533</t>
  </si>
  <si>
    <t>3065-68</t>
  </si>
  <si>
    <t>A2506-1676</t>
  </si>
  <si>
    <t>3066-68</t>
  </si>
  <si>
    <t>บ.พร้อมท์ เดนทัล แอนด์ เมดิคอล ซัพพลาย</t>
  </si>
  <si>
    <t>IV2025050375</t>
  </si>
  <si>
    <t>3067-68</t>
  </si>
  <si>
    <t>IV8061934</t>
  </si>
  <si>
    <t>3069-68</t>
  </si>
  <si>
    <t>IV6807132</t>
  </si>
  <si>
    <t>3061-68</t>
  </si>
  <si>
    <t>IN-205744</t>
  </si>
  <si>
    <t>3642-68</t>
  </si>
  <si>
    <t>5344082891</t>
  </si>
  <si>
    <t>3070-68</t>
  </si>
  <si>
    <t>บ.โอดอนเท็กซ์</t>
  </si>
  <si>
    <t>IV6802671</t>
  </si>
  <si>
    <t>3559-68</t>
  </si>
  <si>
    <t>IS6803015</t>
  </si>
  <si>
    <t>3560-68</t>
  </si>
  <si>
    <t>5343690941</t>
  </si>
  <si>
    <t>3561-68</t>
  </si>
  <si>
    <t>148060256</t>
  </si>
  <si>
    <t>3562-68</t>
  </si>
  <si>
    <t>IVG00072877</t>
  </si>
  <si>
    <t>3563-68</t>
  </si>
  <si>
    <t>บ.พรอมมิ เน้นซ์</t>
  </si>
  <si>
    <t>IV6812859</t>
  </si>
  <si>
    <t>3564-68</t>
  </si>
  <si>
    <t>บ.นูเด้นท์</t>
  </si>
  <si>
    <t>DS6808/0256</t>
  </si>
  <si>
    <t>3565-68</t>
  </si>
  <si>
    <t>IV8080884</t>
  </si>
  <si>
    <t>3566-68</t>
  </si>
  <si>
    <t>5344150462</t>
  </si>
  <si>
    <t>3567-68</t>
  </si>
  <si>
    <t>5344150989</t>
  </si>
  <si>
    <t>3569-68</t>
  </si>
  <si>
    <t>A2508-0984</t>
  </si>
  <si>
    <t>3572-68</t>
  </si>
  <si>
    <t>IS6803145</t>
  </si>
  <si>
    <t>3573-68</t>
  </si>
  <si>
    <t>IN-2085114</t>
  </si>
  <si>
    <t>3574-68</t>
  </si>
  <si>
    <t>IV6808323</t>
  </si>
  <si>
    <t>3575-68</t>
  </si>
  <si>
    <t>5344137936</t>
  </si>
  <si>
    <t>3576-68</t>
  </si>
  <si>
    <t>IV2025080088</t>
  </si>
  <si>
    <t>3577-68</t>
  </si>
  <si>
    <t>IV68080690</t>
  </si>
  <si>
    <t>3578-68</t>
  </si>
  <si>
    <t>148090021</t>
  </si>
  <si>
    <t>3579-68</t>
  </si>
  <si>
    <t>IV25080101123</t>
  </si>
  <si>
    <t>3580-68</t>
  </si>
  <si>
    <t>5344072886</t>
  </si>
  <si>
    <t>3581-68</t>
  </si>
  <si>
    <t>5344155603</t>
  </si>
  <si>
    <t>3582-68</t>
  </si>
  <si>
    <t>5344148071</t>
  </si>
  <si>
    <t>3583-68</t>
  </si>
  <si>
    <t>BL68-07/263</t>
  </si>
  <si>
    <t>3584-68</t>
  </si>
  <si>
    <t>IN6806-2698</t>
  </si>
  <si>
    <t>3585-68</t>
  </si>
  <si>
    <t>A2507-1084</t>
  </si>
  <si>
    <t>3586-68</t>
  </si>
  <si>
    <t>บ.ซีเอสโซลูชั่น 2020</t>
  </si>
  <si>
    <t>IV-6807004</t>
  </si>
  <si>
    <t>3587-68</t>
  </si>
  <si>
    <t>BB256806/00622</t>
  </si>
  <si>
    <t>3568-68</t>
  </si>
  <si>
    <t>IV6803341</t>
  </si>
  <si>
    <t>3855-68</t>
  </si>
  <si>
    <t>A2509-1097</t>
  </si>
  <si>
    <t>3570-68</t>
  </si>
  <si>
    <t>IV6809028</t>
  </si>
  <si>
    <t>3571-68</t>
  </si>
  <si>
    <t>SI2509-00176</t>
  </si>
  <si>
    <t>3858-68</t>
  </si>
  <si>
    <t>3856-68</t>
  </si>
  <si>
    <t>BB256808/00975</t>
  </si>
  <si>
    <t>3854-68</t>
  </si>
  <si>
    <t>IV6807098</t>
  </si>
  <si>
    <t>3857-68</t>
  </si>
  <si>
    <t>IN-209370</t>
  </si>
  <si>
    <t>-3667-68</t>
  </si>
  <si>
    <t>5344227232</t>
  </si>
  <si>
    <t>3670-68</t>
  </si>
  <si>
    <t>IN6808-1270</t>
  </si>
  <si>
    <t>3671-68</t>
  </si>
  <si>
    <t>5343950130</t>
  </si>
  <si>
    <t>3672-68</t>
  </si>
  <si>
    <t>5344202761</t>
  </si>
  <si>
    <t>3673-68</t>
  </si>
  <si>
    <t>บ.ดี บัดดี้ 2022</t>
  </si>
  <si>
    <t>INV2025090046</t>
  </si>
  <si>
    <t>3674-68</t>
  </si>
  <si>
    <t>BB256808/01839</t>
  </si>
  <si>
    <t>3860-68</t>
  </si>
  <si>
    <t>5344406193</t>
  </si>
  <si>
    <t>3945-68</t>
  </si>
  <si>
    <t>5344399643</t>
  </si>
  <si>
    <t>3668-68</t>
  </si>
  <si>
    <t>5344147072</t>
  </si>
  <si>
    <t>3675-68</t>
  </si>
  <si>
    <t>IV2509102512</t>
  </si>
  <si>
    <t>บ.ลิฟท์ไทยเทค</t>
  </si>
  <si>
    <t>LT-671654</t>
  </si>
  <si>
    <t>I6711075</t>
  </si>
  <si>
    <t>20241801</t>
  </si>
  <si>
    <t>MT2568-0094</t>
  </si>
  <si>
    <t>MT2568-0096</t>
  </si>
  <si>
    <t>2880-68</t>
  </si>
  <si>
    <t>MT2568-0253</t>
  </si>
  <si>
    <t>2850-68</t>
  </si>
  <si>
    <t>2/4</t>
  </si>
  <si>
    <t>1806-68</t>
  </si>
  <si>
    <t>2/7</t>
  </si>
  <si>
    <t>1828-68</t>
  </si>
  <si>
    <t>6805000090</t>
  </si>
  <si>
    <t>2.2.03 ค่าซ่อมครุภัณฑ์ยานพาหนะ</t>
  </si>
  <si>
    <t>1835-68</t>
  </si>
  <si>
    <t>6805000012</t>
  </si>
  <si>
    <t>1827-68</t>
  </si>
  <si>
    <t>6805000091</t>
  </si>
  <si>
    <t>2090-68</t>
  </si>
  <si>
    <t>6805000351</t>
  </si>
  <si>
    <t>1829-68</t>
  </si>
  <si>
    <t>6805000430</t>
  </si>
  <si>
    <t>2169-68</t>
  </si>
  <si>
    <t>6806000001</t>
  </si>
  <si>
    <t>2239-68</t>
  </si>
  <si>
    <t>6806000003</t>
  </si>
  <si>
    <t>2238-68</t>
  </si>
  <si>
    <t>6806000002</t>
  </si>
  <si>
    <t>2314-68</t>
  </si>
  <si>
    <t>6806000230</t>
  </si>
  <si>
    <t>2499-68</t>
  </si>
  <si>
    <t>6806000250</t>
  </si>
  <si>
    <t>2687-68</t>
  </si>
  <si>
    <t>6807000214</t>
  </si>
  <si>
    <t>2929-68</t>
  </si>
  <si>
    <t>6807000275</t>
  </si>
  <si>
    <t>2782-68</t>
  </si>
  <si>
    <t>6807000335</t>
  </si>
  <si>
    <t>2781-68</t>
  </si>
  <si>
    <t>6807000333</t>
  </si>
  <si>
    <t>3075-68</t>
  </si>
  <si>
    <t>6807000336</t>
  </si>
  <si>
    <t>3004-68</t>
  </si>
  <si>
    <t>6808000200</t>
  </si>
  <si>
    <t>3121-68</t>
  </si>
  <si>
    <t>บ.มิดซู แสนรุ่งเรือง บุรีรัมย์</t>
  </si>
  <si>
    <t>B680813003</t>
  </si>
  <si>
    <t>3074-68</t>
  </si>
  <si>
    <t>6808000206</t>
  </si>
  <si>
    <t>3413-68</t>
  </si>
  <si>
    <t>6808000360</t>
  </si>
  <si>
    <t>3491-68</t>
  </si>
  <si>
    <t>6809000087</t>
  </si>
  <si>
    <t>3482-68</t>
  </si>
  <si>
    <t>6809000088</t>
  </si>
  <si>
    <t>3610-68</t>
  </si>
  <si>
    <t>6809000238</t>
  </si>
  <si>
    <t>3609-68</t>
  </si>
  <si>
    <t>6809000262</t>
  </si>
  <si>
    <t>3611-68</t>
  </si>
  <si>
    <t>6809000394</t>
  </si>
  <si>
    <t>3903-68</t>
  </si>
  <si>
    <t>6810000048</t>
  </si>
  <si>
    <t>3901-68</t>
  </si>
  <si>
    <t>6810000049</t>
  </si>
  <si>
    <t>3981-68</t>
  </si>
  <si>
    <t>6810000178</t>
  </si>
  <si>
    <t>3984-68</t>
  </si>
  <si>
    <t>6810000176</t>
  </si>
  <si>
    <t>3982-68</t>
  </si>
  <si>
    <t>6810000175</t>
  </si>
  <si>
    <t>3902-68</t>
  </si>
  <si>
    <t>6810000268</t>
  </si>
  <si>
    <t>4004-68</t>
  </si>
  <si>
    <t>6810000262</t>
  </si>
  <si>
    <t>P69-0050</t>
  </si>
  <si>
    <t>บ.เทพนครคาร์</t>
  </si>
  <si>
    <t>A24AT0400225100124C</t>
  </si>
  <si>
    <t>2023985</t>
  </si>
  <si>
    <t>154211</t>
  </si>
  <si>
    <t>321247400937</t>
  </si>
  <si>
    <t>24120143</t>
  </si>
  <si>
    <t>A6801/030</t>
  </si>
  <si>
    <t>A6801/031</t>
  </si>
  <si>
    <t>155712</t>
  </si>
  <si>
    <t>SE2501-103</t>
  </si>
  <si>
    <t>SE-2501-104</t>
  </si>
  <si>
    <t>25020024</t>
  </si>
  <si>
    <t>25020023</t>
  </si>
  <si>
    <t>155968</t>
  </si>
  <si>
    <t>M6712-0646</t>
  </si>
  <si>
    <t>M6803-0044</t>
  </si>
  <si>
    <t>ร้าน เซอร์วิส เมดิคอล แอดวานซ์</t>
  </si>
  <si>
    <t>INV2025030001</t>
  </si>
  <si>
    <t>320357400308</t>
  </si>
  <si>
    <t>SE-2503-197</t>
  </si>
  <si>
    <t>1374-68</t>
  </si>
  <si>
    <t>IV15975/68</t>
  </si>
  <si>
    <t>1345-68</t>
  </si>
  <si>
    <t>IV15924/68</t>
  </si>
  <si>
    <t>1346-68</t>
  </si>
  <si>
    <t>M6804-0149</t>
  </si>
  <si>
    <t>1155-68</t>
  </si>
  <si>
    <t>บ.ไทยสเตอริไลเซอร์ กรุ๊ป</t>
  </si>
  <si>
    <t>150/2568</t>
  </si>
  <si>
    <t>1348-68</t>
  </si>
  <si>
    <t>หจก.ซี อี เทคโนโลยี</t>
  </si>
  <si>
    <t>6804009</t>
  </si>
  <si>
    <t>1892-68</t>
  </si>
  <si>
    <t>IV16663/68</t>
  </si>
  <si>
    <t>1734-68</t>
  </si>
  <si>
    <t>A6805/038</t>
  </si>
  <si>
    <t>1736-68</t>
  </si>
  <si>
    <t>A6805/039</t>
  </si>
  <si>
    <t>M6805-0454</t>
  </si>
  <si>
    <t>1891-68</t>
  </si>
  <si>
    <t>บ.จำเริญแพทย์ภัณฑ์</t>
  </si>
  <si>
    <t>IMV125060039</t>
  </si>
  <si>
    <t>1375-68</t>
  </si>
  <si>
    <t>บ.เมดเทด เมดิคอล</t>
  </si>
  <si>
    <t>IV256806-101</t>
  </si>
  <si>
    <t>M6804-0625</t>
  </si>
  <si>
    <t>1376-68</t>
  </si>
  <si>
    <t>2025715</t>
  </si>
  <si>
    <t>1563-68</t>
  </si>
  <si>
    <t>M6806-0167</t>
  </si>
  <si>
    <t>1562-68</t>
  </si>
  <si>
    <t>2025_06_060</t>
  </si>
  <si>
    <t>1350-68</t>
  </si>
  <si>
    <t>IMV125040139</t>
  </si>
  <si>
    <t>1844-68</t>
  </si>
  <si>
    <t>5151626910</t>
  </si>
  <si>
    <t>1838-68</t>
  </si>
  <si>
    <t>บ.เมกกะฟิล</t>
  </si>
  <si>
    <t>IV-25/00663</t>
  </si>
  <si>
    <t>2128-68</t>
  </si>
  <si>
    <t>0001/0016</t>
  </si>
  <si>
    <t>1737-68</t>
  </si>
  <si>
    <t>20251199</t>
  </si>
  <si>
    <t>1894-68</t>
  </si>
  <si>
    <t>IV2507-00052</t>
  </si>
  <si>
    <t>2592-68</t>
  </si>
  <si>
    <t>บ.บีทีแอล เทคโนโลจีส์</t>
  </si>
  <si>
    <t>2025_07_043</t>
  </si>
  <si>
    <t>1568-68</t>
  </si>
  <si>
    <t>บ.ซี.อาร์.เอ็ม.เฮลท์แคร์</t>
  </si>
  <si>
    <t>INV2025070001</t>
  </si>
  <si>
    <t>1854-68</t>
  </si>
  <si>
    <t>GU125070530</t>
  </si>
  <si>
    <t>1856-68</t>
  </si>
  <si>
    <t>GU125070529</t>
  </si>
  <si>
    <t>1857-68</t>
  </si>
  <si>
    <t>GU125070533</t>
  </si>
  <si>
    <t>1855-68</t>
  </si>
  <si>
    <t>GU125070531</t>
  </si>
  <si>
    <t>1841-68</t>
  </si>
  <si>
    <t>IV17249/68</t>
  </si>
  <si>
    <t>1561-68</t>
  </si>
  <si>
    <t>IV17096/68</t>
  </si>
  <si>
    <t>2411-68</t>
  </si>
  <si>
    <t>IV17297/68</t>
  </si>
  <si>
    <t>1893-68</t>
  </si>
  <si>
    <t>A6805/037</t>
  </si>
  <si>
    <t>1735-68</t>
  </si>
  <si>
    <t>A6805/040</t>
  </si>
  <si>
    <t>1845-68</t>
  </si>
  <si>
    <t>A6805/048</t>
  </si>
  <si>
    <t>1842-68</t>
  </si>
  <si>
    <t>A6805/041</t>
  </si>
  <si>
    <t>1559-68</t>
  </si>
  <si>
    <t>M6807-0169</t>
  </si>
  <si>
    <t>1560-68</t>
  </si>
  <si>
    <t>M6807-0167</t>
  </si>
  <si>
    <t>1987-68</t>
  </si>
  <si>
    <t>M6807-0255</t>
  </si>
  <si>
    <t>1858-68</t>
  </si>
  <si>
    <t>SV2025070006</t>
  </si>
  <si>
    <t>1989-68</t>
  </si>
  <si>
    <t>IV17296/68</t>
  </si>
  <si>
    <t>1668-68</t>
  </si>
  <si>
    <t>SIV250700423</t>
  </si>
  <si>
    <t>1666-68</t>
  </si>
  <si>
    <t>SIV250700539</t>
  </si>
  <si>
    <t>1153-68</t>
  </si>
  <si>
    <t>20251202</t>
  </si>
  <si>
    <t>2837-68</t>
  </si>
  <si>
    <t>5343968714</t>
  </si>
  <si>
    <t>1567-68</t>
  </si>
  <si>
    <t>1317571220</t>
  </si>
  <si>
    <t>1570-68</t>
  </si>
  <si>
    <t>1317574765</t>
  </si>
  <si>
    <t>1566-68</t>
  </si>
  <si>
    <t>1317574776</t>
  </si>
  <si>
    <t>2054-68</t>
  </si>
  <si>
    <t>บ.แอทเทส</t>
  </si>
  <si>
    <t>IV1680035</t>
  </si>
  <si>
    <t>2053-68</t>
  </si>
  <si>
    <t>IV680034</t>
  </si>
  <si>
    <t>1564-68</t>
  </si>
  <si>
    <t>A6806/031</t>
  </si>
  <si>
    <t>2589-68</t>
  </si>
  <si>
    <t>IMV125070071</t>
  </si>
  <si>
    <t>1988-68</t>
  </si>
  <si>
    <t>IV6807-9322</t>
  </si>
  <si>
    <t>1843-68</t>
  </si>
  <si>
    <t>159855</t>
  </si>
  <si>
    <t>2762-68</t>
  </si>
  <si>
    <t>บ.ฮอลลีวู้ด อินเตอร์เนชั่นแนล</t>
  </si>
  <si>
    <t>IV25080503</t>
  </si>
  <si>
    <t>2588-68</t>
  </si>
  <si>
    <t>20251387</t>
  </si>
  <si>
    <t>1852-68</t>
  </si>
  <si>
    <t>บ.เอสอีไอ เมดิคัล</t>
  </si>
  <si>
    <t>INV/2025/070060</t>
  </si>
  <si>
    <t>1839-68</t>
  </si>
  <si>
    <t>20251388</t>
  </si>
  <si>
    <t>2414-68</t>
  </si>
  <si>
    <t>SE2507-140</t>
  </si>
  <si>
    <t>3125-68</t>
  </si>
  <si>
    <t>5344143575</t>
  </si>
  <si>
    <t>2416-68</t>
  </si>
  <si>
    <t>TSD IV25080007</t>
  </si>
  <si>
    <t>2927-68</t>
  </si>
  <si>
    <t>IV-6807025</t>
  </si>
  <si>
    <t>2593-68</t>
  </si>
  <si>
    <t>SE2507-197</t>
  </si>
  <si>
    <t>2591-68</t>
  </si>
  <si>
    <t>SE2507-139</t>
  </si>
  <si>
    <t>2590-68</t>
  </si>
  <si>
    <t>M6808-0360</t>
  </si>
  <si>
    <t>1556-68</t>
  </si>
  <si>
    <t>5343700783</t>
  </si>
  <si>
    <t>2410-68</t>
  </si>
  <si>
    <t>A6807/013</t>
  </si>
  <si>
    <t>3038-68</t>
  </si>
  <si>
    <t>6808014</t>
  </si>
  <si>
    <t>3133-68</t>
  </si>
  <si>
    <t>SV2025080064</t>
  </si>
  <si>
    <t>3463-68</t>
  </si>
  <si>
    <t>บ.ดีมาร์ค</t>
  </si>
  <si>
    <t>202508016</t>
  </si>
  <si>
    <t>1851-68</t>
  </si>
  <si>
    <t>INV/2025/090018</t>
  </si>
  <si>
    <t>2055-68</t>
  </si>
  <si>
    <t>A6807/014</t>
  </si>
  <si>
    <t>3135-68</t>
  </si>
  <si>
    <t>A6807/015</t>
  </si>
  <si>
    <t>3126-68</t>
  </si>
  <si>
    <t>5344342343</t>
  </si>
  <si>
    <t>2674-68</t>
  </si>
  <si>
    <t>5344342391</t>
  </si>
  <si>
    <t>3127-68</t>
  </si>
  <si>
    <t>5344342331</t>
  </si>
  <si>
    <t>2683-68</t>
  </si>
  <si>
    <t>5344342359</t>
  </si>
  <si>
    <t>2684-68</t>
  </si>
  <si>
    <t>5344342357</t>
  </si>
  <si>
    <t>3129-68</t>
  </si>
  <si>
    <t>5344342327</t>
  </si>
  <si>
    <t>2682-68</t>
  </si>
  <si>
    <t>5344342367</t>
  </si>
  <si>
    <t>2677-68</t>
  </si>
  <si>
    <t>5344342388</t>
  </si>
  <si>
    <t>2679-68</t>
  </si>
  <si>
    <t>5344342375</t>
  </si>
  <si>
    <t>2676-68</t>
  </si>
  <si>
    <t>5344342381</t>
  </si>
  <si>
    <t>2678-68</t>
  </si>
  <si>
    <t>5344342376</t>
  </si>
  <si>
    <t>2675-68</t>
  </si>
  <si>
    <t>5344342383</t>
  </si>
  <si>
    <t>3128-68</t>
  </si>
  <si>
    <t>5344342330</t>
  </si>
  <si>
    <t>2680-68</t>
  </si>
  <si>
    <t>5344342372</t>
  </si>
  <si>
    <t>2685-68</t>
  </si>
  <si>
    <t>5344342354</t>
  </si>
  <si>
    <t>2681-68</t>
  </si>
  <si>
    <t>5344342369</t>
  </si>
  <si>
    <t>3124-68</t>
  </si>
  <si>
    <t>5344342347</t>
  </si>
  <si>
    <t>2686-68</t>
  </si>
  <si>
    <t>5344342350</t>
  </si>
  <si>
    <t>3536-68</t>
  </si>
  <si>
    <t>1318238947</t>
  </si>
  <si>
    <t>3535-68</t>
  </si>
  <si>
    <t>1318229041</t>
  </si>
  <si>
    <t>3131-68</t>
  </si>
  <si>
    <t>IV2509-00197</t>
  </si>
  <si>
    <t>1558-68</t>
  </si>
  <si>
    <t>M6810-0038</t>
  </si>
  <si>
    <t>3137-68</t>
  </si>
  <si>
    <t>บ.อาฟต้า เซอร์วิส แอนด์ ซัพพลาย</t>
  </si>
  <si>
    <t>IV6809064</t>
  </si>
  <si>
    <t>3136-68</t>
  </si>
  <si>
    <t>IV6809065</t>
  </si>
  <si>
    <t>3720-68</t>
  </si>
  <si>
    <t>5344447567</t>
  </si>
  <si>
    <t>68/12089</t>
  </si>
  <si>
    <t>3134-68</t>
  </si>
  <si>
    <t>บ.เมดดิเพล็กซ์(ไทยแลนด์)</t>
  </si>
  <si>
    <t>MSV25090050</t>
  </si>
  <si>
    <t>3208-68</t>
  </si>
  <si>
    <t>IV18759/68</t>
  </si>
  <si>
    <t>3915-68</t>
  </si>
  <si>
    <t>IV18782/68</t>
  </si>
  <si>
    <t>3205-68</t>
  </si>
  <si>
    <t>IV18758/68</t>
  </si>
  <si>
    <t>3207-68</t>
  </si>
  <si>
    <t>IV18760/68</t>
  </si>
  <si>
    <t>3964-68</t>
  </si>
  <si>
    <t>IMV125100111</t>
  </si>
  <si>
    <t>KR6803-012</t>
  </si>
  <si>
    <t>2.2.07 ค่าซ่อมครุภัณฑ์งานบ้านงานครัว</t>
  </si>
  <si>
    <t>2176-68</t>
  </si>
  <si>
    <t>KR6805-034</t>
  </si>
  <si>
    <t>2860-68</t>
  </si>
  <si>
    <t>KR6808-014</t>
  </si>
  <si>
    <t>2448-68</t>
  </si>
  <si>
    <t>SOCL6806041</t>
  </si>
  <si>
    <t>2452-68</t>
  </si>
  <si>
    <t>SOCl6806040</t>
  </si>
  <si>
    <t>2453-68</t>
  </si>
  <si>
    <t>SOCL6807040</t>
  </si>
  <si>
    <t>SOCL6807041</t>
  </si>
  <si>
    <t>3660-68</t>
  </si>
  <si>
    <t>SOCL6808039</t>
  </si>
  <si>
    <t>3154-68</t>
  </si>
  <si>
    <t>SPCL6808040</t>
  </si>
  <si>
    <t>SOCL6809039</t>
  </si>
  <si>
    <t>SOCL6809040</t>
  </si>
  <si>
    <t>SOCL6810039</t>
  </si>
  <si>
    <t>SOCL6810040</t>
  </si>
  <si>
    <t>2013-68</t>
  </si>
  <si>
    <t>บ.เจ.เอฟ.แอดวาน เมด</t>
  </si>
  <si>
    <t>IV2505/435</t>
  </si>
  <si>
    <t>2807-68</t>
  </si>
  <si>
    <t>IV-20250500003</t>
  </si>
  <si>
    <t>IV2506/526</t>
  </si>
  <si>
    <t>2806-68</t>
  </si>
  <si>
    <t>IV-20250600003</t>
  </si>
  <si>
    <t>2808-68</t>
  </si>
  <si>
    <t>IV-20250700003</t>
  </si>
  <si>
    <t>IV2507/468</t>
  </si>
  <si>
    <t>3664-68</t>
  </si>
  <si>
    <t>IV2508/412</t>
  </si>
  <si>
    <t>BL2025090059</t>
  </si>
  <si>
    <t>IV2509/536</t>
  </si>
  <si>
    <t>IV2510/484</t>
  </si>
  <si>
    <t>BL2025100021</t>
  </si>
  <si>
    <t>671011</t>
  </si>
  <si>
    <t>428/2567</t>
  </si>
  <si>
    <t>SSY2500167</t>
  </si>
  <si>
    <t>SSY2500161</t>
  </si>
  <si>
    <t>1549703</t>
  </si>
  <si>
    <t>1547841</t>
  </si>
  <si>
    <t>852-68</t>
  </si>
  <si>
    <t>680303</t>
  </si>
  <si>
    <t>851-68</t>
  </si>
  <si>
    <t>116/2568</t>
  </si>
  <si>
    <t>บ.อัลคอน แลบอราทอรีส์(ประเทศไทย)</t>
  </si>
  <si>
    <t>9128674058</t>
  </si>
  <si>
    <t>855-68</t>
  </si>
  <si>
    <t>SSY2500804</t>
  </si>
  <si>
    <t>854-68</t>
  </si>
  <si>
    <t>SSY2500805</t>
  </si>
  <si>
    <t>2777-68</t>
  </si>
  <si>
    <t>IV92477/010768</t>
  </si>
  <si>
    <t>บ.เอ็กซ์-ลิงค์ เมดิคอล</t>
  </si>
  <si>
    <t>BNR 68-0007</t>
  </si>
  <si>
    <t>BNR 68-0008</t>
  </si>
  <si>
    <t>BNR 68-0009</t>
  </si>
  <si>
    <t>2446-68</t>
  </si>
  <si>
    <t>680705</t>
  </si>
  <si>
    <t>1249-68</t>
  </si>
  <si>
    <t>หจก.เอที พรีเว้นท์ แอนด์ คาลิเบรชั่น</t>
  </si>
  <si>
    <t>A6805-025</t>
  </si>
  <si>
    <t>2377-68</t>
  </si>
  <si>
    <t>IV92476/010768</t>
  </si>
  <si>
    <t>2753-68</t>
  </si>
  <si>
    <t>IV92968/040868</t>
  </si>
  <si>
    <t>2754-68</t>
  </si>
  <si>
    <t>IV92973/040868</t>
  </si>
  <si>
    <t>BNR68-0010</t>
  </si>
  <si>
    <t>BNR68-0011</t>
  </si>
  <si>
    <t>BMR68-0012</t>
  </si>
  <si>
    <t>3399-68</t>
  </si>
  <si>
    <t>บ.โมบาย เทค เอกซเรย์</t>
  </si>
  <si>
    <t>2025008020</t>
  </si>
  <si>
    <t>1610-68</t>
  </si>
  <si>
    <t>IV-25/00949</t>
  </si>
  <si>
    <t>2402-68</t>
  </si>
  <si>
    <t>IV-25/00950</t>
  </si>
  <si>
    <t>3502-68</t>
  </si>
  <si>
    <t>IV93258/010968</t>
  </si>
  <si>
    <t>3503-68</t>
  </si>
  <si>
    <t>IV93259/010968</t>
  </si>
  <si>
    <t>BNR68-0013</t>
  </si>
  <si>
    <t>BNR68-0014</t>
  </si>
  <si>
    <t>BNR68-0015</t>
  </si>
  <si>
    <t>751-68</t>
  </si>
  <si>
    <t>468040051</t>
  </si>
  <si>
    <t>752-68</t>
  </si>
  <si>
    <t>468040052</t>
  </si>
  <si>
    <t>3618-68 3617-68 3485-68 3616-68</t>
  </si>
  <si>
    <t>020/0968</t>
  </si>
  <si>
    <t>3203-68</t>
  </si>
  <si>
    <t>25IS00090014</t>
  </si>
  <si>
    <t>2447-68</t>
  </si>
  <si>
    <t>245/2568</t>
  </si>
  <si>
    <t>2445-68</t>
  </si>
  <si>
    <t>1561264</t>
  </si>
  <si>
    <t>2443-68</t>
  </si>
  <si>
    <t>SSY2501408</t>
  </si>
  <si>
    <t>2444-68</t>
  </si>
  <si>
    <t>SSY2501406</t>
  </si>
  <si>
    <t>1732-68</t>
  </si>
  <si>
    <t>9128684946</t>
  </si>
  <si>
    <t>1609-68</t>
  </si>
  <si>
    <t>5151635168</t>
  </si>
  <si>
    <t>BNR68-0016</t>
  </si>
  <si>
    <t>BNR68-0017</t>
  </si>
  <si>
    <t>BNR68-0018</t>
  </si>
  <si>
    <t>3748-68</t>
  </si>
  <si>
    <t>020/0970</t>
  </si>
  <si>
    <t>3797-68</t>
  </si>
  <si>
    <t>020/0972</t>
  </si>
  <si>
    <t>3767-68 3799-68 3779-68 3778-68 3777-68 3768-68 3798-68 3787-68</t>
  </si>
  <si>
    <t>020/0974</t>
  </si>
  <si>
    <t>3838-68</t>
  </si>
  <si>
    <t>บ.ทริปเปิ้ล เอส เซล์ แอนด์ เซอร์วิส</t>
  </si>
  <si>
    <t>INV2025100004</t>
  </si>
  <si>
    <t>3932-68 3926-68 3925-68 3928-68 3929-68 3930-68</t>
  </si>
  <si>
    <t>020/0973</t>
  </si>
  <si>
    <t>3931-68 3927-68</t>
  </si>
  <si>
    <t>020/0971</t>
  </si>
  <si>
    <t>69-0002</t>
  </si>
  <si>
    <t>นาย ชาญชัย สกุลประยงค์</t>
  </si>
  <si>
    <t>P69-0049</t>
  </si>
  <si>
    <t>I007763</t>
  </si>
  <si>
    <t>24060253</t>
  </si>
  <si>
    <t>24110586</t>
  </si>
  <si>
    <t>356-68</t>
  </si>
  <si>
    <t>1551058</t>
  </si>
  <si>
    <t>357-68</t>
  </si>
  <si>
    <t>1558025</t>
  </si>
  <si>
    <t>1600044592</t>
  </si>
  <si>
    <t>757-68</t>
  </si>
  <si>
    <t>25070518</t>
  </si>
  <si>
    <t>1500-68</t>
  </si>
  <si>
    <t>1554887</t>
  </si>
  <si>
    <t>1499-68</t>
  </si>
  <si>
    <t>1557025</t>
  </si>
  <si>
    <t>2495-68</t>
  </si>
  <si>
    <t>1566941</t>
  </si>
  <si>
    <t>2493-68</t>
  </si>
  <si>
    <t>1566934</t>
  </si>
  <si>
    <t>1501-68</t>
  </si>
  <si>
    <t>1600047069</t>
  </si>
  <si>
    <t>2272-68</t>
  </si>
  <si>
    <t>25070519</t>
  </si>
  <si>
    <t>006/094 07/67</t>
  </si>
  <si>
    <t>007/001 09/67</t>
  </si>
  <si>
    <t>007/005 08/67</t>
  </si>
  <si>
    <t>บ.บุรีวัตร  สิทธิ ชำระเงิน</t>
  </si>
  <si>
    <t>007/021 11/67</t>
  </si>
  <si>
    <t>007/006 10/67</t>
  </si>
  <si>
    <t>007/007 10/67</t>
  </si>
  <si>
    <t>007/008 10/67</t>
  </si>
  <si>
    <t>007/009 10/67</t>
  </si>
  <si>
    <t>007/012 10/67</t>
  </si>
  <si>
    <t>007/014 10/67</t>
  </si>
  <si>
    <t>007/020 10/67</t>
  </si>
  <si>
    <t>007/010 09/67</t>
  </si>
  <si>
    <t>007/011 09/67</t>
  </si>
  <si>
    <t>007/013 10/67</t>
  </si>
  <si>
    <t>007/036 01/68</t>
  </si>
  <si>
    <t>007/037 01/68</t>
  </si>
  <si>
    <t>007/038 01/68</t>
  </si>
  <si>
    <t>007/039 01/68</t>
  </si>
  <si>
    <t>007/040 02/68</t>
  </si>
  <si>
    <t>007/041 02/68</t>
  </si>
  <si>
    <t>007/042 02/68</t>
  </si>
  <si>
    <t>007/043 02/68</t>
  </si>
  <si>
    <t>007/052 01/68</t>
  </si>
  <si>
    <t>007/055 01/68</t>
  </si>
  <si>
    <t>007/056 02/68</t>
  </si>
  <si>
    <t>007/058 01/68</t>
  </si>
  <si>
    <t>007/059 12/67</t>
  </si>
  <si>
    <t>007/061 03/68</t>
  </si>
  <si>
    <t>007/067 03/68</t>
  </si>
  <si>
    <t>007/068 03/68</t>
  </si>
  <si>
    <t>007/070 03/68</t>
  </si>
  <si>
    <t>007/069 03/68</t>
  </si>
  <si>
    <t>007/063 03/68</t>
  </si>
  <si>
    <t>007/062 03/68</t>
  </si>
  <si>
    <t>007/060 02/68</t>
  </si>
  <si>
    <t>007/057 02/68</t>
  </si>
  <si>
    <t>007/053 01/68</t>
  </si>
  <si>
    <t>บ.บุรีวัตร  สิทธิ อปท</t>
  </si>
  <si>
    <t>007/079 12/67</t>
  </si>
  <si>
    <t>007/078 11/67</t>
  </si>
  <si>
    <t>007/051 12/67</t>
  </si>
  <si>
    <t>007/082 03/68</t>
  </si>
  <si>
    <t>007/081 02/68</t>
  </si>
  <si>
    <t>007/054 01/68</t>
  </si>
  <si>
    <t>007/077 10/67</t>
  </si>
  <si>
    <t>007/076 09/67</t>
  </si>
  <si>
    <t>007/080 01/68</t>
  </si>
  <si>
    <t>007/071 04/67</t>
  </si>
  <si>
    <t>007/072 05/67</t>
  </si>
  <si>
    <t>007/073 06/67</t>
  </si>
  <si>
    <t>007/074 07/67</t>
  </si>
  <si>
    <t>007/075 08/67</t>
  </si>
  <si>
    <t>007/083 04/68</t>
  </si>
  <si>
    <t>007/084 04/68</t>
  </si>
  <si>
    <t>007/085 04/68</t>
  </si>
  <si>
    <t>007/086 04/68</t>
  </si>
  <si>
    <t>007/087 12/67</t>
  </si>
  <si>
    <t>007/088 04/68</t>
  </si>
  <si>
    <t>007/089 03/68</t>
  </si>
  <si>
    <t>007/090 04/68</t>
  </si>
  <si>
    <t>007/091 04/68</t>
  </si>
  <si>
    <t>007/092 04/68</t>
  </si>
  <si>
    <t>007/093 05/68</t>
  </si>
  <si>
    <t>บ.บุรีวัตร  สิทธิ ปกส</t>
  </si>
  <si>
    <t>007/094 03/68</t>
  </si>
  <si>
    <t>007/095 04/68</t>
  </si>
  <si>
    <t>007/096 03/68</t>
  </si>
  <si>
    <t>007/097 05/68</t>
  </si>
  <si>
    <t>007/098 06/68</t>
  </si>
  <si>
    <t>007/099 05/68</t>
  </si>
  <si>
    <t>007/100 04/68</t>
  </si>
  <si>
    <t>008/001 04/68</t>
  </si>
  <si>
    <t>008/002 05/68</t>
  </si>
  <si>
    <t>008/003 07/68</t>
  </si>
  <si>
    <t>008/004 07/68</t>
  </si>
  <si>
    <t>008/005 07/68</t>
  </si>
  <si>
    <t>008/006 07/68</t>
  </si>
  <si>
    <t>008/007 07/68</t>
  </si>
  <si>
    <t>008/012 07/68</t>
  </si>
  <si>
    <t>008/013 07/68</t>
  </si>
  <si>
    <t>008/014 07/68</t>
  </si>
  <si>
    <t>008/015 07/68</t>
  </si>
  <si>
    <t>008/016 07/68</t>
  </si>
  <si>
    <t>008/022 07/68</t>
  </si>
  <si>
    <t>008/024 07/68</t>
  </si>
  <si>
    <t>008/025 07/68</t>
  </si>
  <si>
    <t>008/023 07/68</t>
  </si>
  <si>
    <t>008/026 07/68</t>
  </si>
  <si>
    <t>008/027 08/68</t>
  </si>
  <si>
    <t>008/028 08/68</t>
  </si>
  <si>
    <t>008/029 08/68</t>
  </si>
  <si>
    <t>008/030 08/68</t>
  </si>
  <si>
    <t>008/031 08/68</t>
  </si>
  <si>
    <t>008/032 06/68</t>
  </si>
  <si>
    <t>008/033 08/68</t>
  </si>
  <si>
    <t>008/034 08/68</t>
  </si>
  <si>
    <t>008/035 08/68</t>
  </si>
  <si>
    <t>008/036 08/68</t>
  </si>
  <si>
    <t>008/037 08/68</t>
  </si>
  <si>
    <t>008/038 08/68</t>
  </si>
  <si>
    <t>008/039 08/68</t>
  </si>
  <si>
    <t>008/040 08/68</t>
  </si>
  <si>
    <t>008/041 08/68</t>
  </si>
  <si>
    <t>008/042 08/68</t>
  </si>
  <si>
    <t>008/043 09/68</t>
  </si>
  <si>
    <t>008/044 09/68</t>
  </si>
  <si>
    <t>008/045 09/68</t>
  </si>
  <si>
    <t>008/046 09/68</t>
  </si>
  <si>
    <t>008/047 09/68</t>
  </si>
  <si>
    <t>008/048 09/68</t>
  </si>
  <si>
    <t>008/049 09/68</t>
  </si>
  <si>
    <t>008/050 09/68</t>
  </si>
  <si>
    <t>008/051 09/68</t>
  </si>
  <si>
    <t>008/021 09/68</t>
  </si>
  <si>
    <t>008/020 09/68</t>
  </si>
  <si>
    <t>008/019 09/68</t>
  </si>
  <si>
    <t>008/018 09/68</t>
  </si>
  <si>
    <t>008/010 09/68</t>
  </si>
  <si>
    <t>008/011 09/68</t>
  </si>
  <si>
    <t>008/017 09/68</t>
  </si>
  <si>
    <t>008/009 09/68</t>
  </si>
  <si>
    <t>008/008 09/68</t>
  </si>
  <si>
    <t>008/052 04/68</t>
  </si>
  <si>
    <t>008/053 05/68</t>
  </si>
  <si>
    <t>008/054 12/67</t>
  </si>
  <si>
    <t>008/055 06/68</t>
  </si>
  <si>
    <t>008/056 07/68</t>
  </si>
  <si>
    <t>008/057 09/68</t>
  </si>
  <si>
    <t>008/058 09/68</t>
  </si>
  <si>
    <t>008/059 09/68</t>
  </si>
  <si>
    <t>008/060 09/68</t>
  </si>
  <si>
    <t>008/061 09/68</t>
  </si>
  <si>
    <t>008/062 09/68</t>
  </si>
  <si>
    <t>008/063 09/68</t>
  </si>
  <si>
    <t>008/064 09/68</t>
  </si>
  <si>
    <t>008/065 09/68</t>
  </si>
  <si>
    <t>008/066 09/68</t>
  </si>
  <si>
    <t>008/067 05/68</t>
  </si>
  <si>
    <t>008/068 10/68</t>
  </si>
  <si>
    <t>008/069 10/68</t>
  </si>
  <si>
    <t>008/070 10/68</t>
  </si>
  <si>
    <t>008/071 10/68</t>
  </si>
  <si>
    <t>008/072 10/68</t>
  </si>
  <si>
    <t>008/073 08/68</t>
  </si>
  <si>
    <t>008/074 09/68</t>
  </si>
  <si>
    <t>008/075 09/68</t>
  </si>
  <si>
    <t>008/076 09/68</t>
  </si>
  <si>
    <t>008/077 09/68</t>
  </si>
  <si>
    <t>008/078 09/68</t>
  </si>
  <si>
    <t>1910-68</t>
  </si>
  <si>
    <t>บ.อาร์เอ็นดี ไดแอกโนสติกส์</t>
  </si>
  <si>
    <t>INT-RND-680100088</t>
  </si>
  <si>
    <t>94-68</t>
  </si>
  <si>
    <t>INT-RND-680200098</t>
  </si>
  <si>
    <t>PCI25-02-0139</t>
  </si>
  <si>
    <t>PCI25-02-0138</t>
  </si>
  <si>
    <t>213-68</t>
  </si>
  <si>
    <t>บ.พี ซี ที ลาบอราตอรี่ เซอร์วิส</t>
  </si>
  <si>
    <t>TI25-01-1128</t>
  </si>
  <si>
    <t>212-68</t>
  </si>
  <si>
    <t>TI25-01-1008</t>
  </si>
  <si>
    <t>435-68</t>
  </si>
  <si>
    <t>INT-RND-680300107</t>
  </si>
  <si>
    <t>431-68</t>
  </si>
  <si>
    <t>PCI25-03-0128</t>
  </si>
  <si>
    <t>456-68</t>
  </si>
  <si>
    <t>PCI25-03-0129</t>
  </si>
  <si>
    <t>499-68</t>
  </si>
  <si>
    <t>TI25-02-1140</t>
  </si>
  <si>
    <t>464-68</t>
  </si>
  <si>
    <t>TI25-02-1012</t>
  </si>
  <si>
    <t>1477-68</t>
  </si>
  <si>
    <t>บ.บ้านฟัน โคราช</t>
  </si>
  <si>
    <t>BI6802163</t>
  </si>
  <si>
    <t>905-68</t>
  </si>
  <si>
    <t>PCI25-04-0110</t>
  </si>
  <si>
    <t>904-68</t>
  </si>
  <si>
    <t>PCI25-04-2005</t>
  </si>
  <si>
    <t>906-68</t>
  </si>
  <si>
    <t>INT-RND-680400060</t>
  </si>
  <si>
    <t>828-68</t>
  </si>
  <si>
    <t>TI25-03-1143</t>
  </si>
  <si>
    <t>829-68</t>
  </si>
  <si>
    <t>TI25-03-1010</t>
  </si>
  <si>
    <t>2070-68</t>
  </si>
  <si>
    <t>BI6803033</t>
  </si>
  <si>
    <t>2071-68</t>
  </si>
  <si>
    <t>บ.เด็นทาเนียร์</t>
  </si>
  <si>
    <t>TIN-6804-0214</t>
  </si>
  <si>
    <t>1358-68</t>
  </si>
  <si>
    <t>PCI25-05-2004</t>
  </si>
  <si>
    <t>1357-68</t>
  </si>
  <si>
    <t>PCI25-05-0115</t>
  </si>
  <si>
    <t>1359-68</t>
  </si>
  <si>
    <t>INT-RND-680500138</t>
  </si>
  <si>
    <t>1208-68</t>
  </si>
  <si>
    <t>SV001/68040177</t>
  </si>
  <si>
    <t>1207-68</t>
  </si>
  <si>
    <t>TI25-04-1145</t>
  </si>
  <si>
    <t>1206-68</t>
  </si>
  <si>
    <t>TI25-04-1020</t>
  </si>
  <si>
    <t>1212-68</t>
  </si>
  <si>
    <t>682028/00046</t>
  </si>
  <si>
    <t>2344-68</t>
  </si>
  <si>
    <t>บ.เอ็กซา ซีแลม</t>
  </si>
  <si>
    <t>CMBI-2505-002338</t>
  </si>
  <si>
    <t>2343-68</t>
  </si>
  <si>
    <t>Bi6804165</t>
  </si>
  <si>
    <t>2345-68</t>
  </si>
  <si>
    <t>TIN-6805-0194</t>
  </si>
  <si>
    <t>1715-68</t>
  </si>
  <si>
    <t>PCI25-06-0110</t>
  </si>
  <si>
    <t>1716-68</t>
  </si>
  <si>
    <t>PCI25-06-0114</t>
  </si>
  <si>
    <t>1714-68</t>
  </si>
  <si>
    <t>INT-RND-680600098</t>
  </si>
  <si>
    <t>1211-68</t>
  </si>
  <si>
    <t>682031/00009</t>
  </si>
  <si>
    <t>1765-68</t>
  </si>
  <si>
    <t>TI25-05-1028</t>
  </si>
  <si>
    <t>1766-68</t>
  </si>
  <si>
    <t>TI25-05-1155</t>
  </si>
  <si>
    <t>1764-68</t>
  </si>
  <si>
    <t>SV001/68050160</t>
  </si>
  <si>
    <t>1763-68</t>
  </si>
  <si>
    <t>สถาบันพยาธิวิทยา กรมการแพทย์</t>
  </si>
  <si>
    <t>สธ0314/กง.1261</t>
  </si>
  <si>
    <t>1767-68</t>
  </si>
  <si>
    <t>682053/00088</t>
  </si>
  <si>
    <t>2804-68</t>
  </si>
  <si>
    <t>CMBI-2506-000740</t>
  </si>
  <si>
    <t>2803-68</t>
  </si>
  <si>
    <t>TIN-6806-0169</t>
  </si>
  <si>
    <t>2805-68</t>
  </si>
  <si>
    <t>BI6805086</t>
  </si>
  <si>
    <t>2210-68</t>
  </si>
  <si>
    <t>INT-RND-680600164</t>
  </si>
  <si>
    <t>2209-68</t>
  </si>
  <si>
    <t>PCI25-06-0268</t>
  </si>
  <si>
    <t>2206-68</t>
  </si>
  <si>
    <t>PCI25-06-0267</t>
  </si>
  <si>
    <t>1768-68</t>
  </si>
  <si>
    <t>682055/00095</t>
  </si>
  <si>
    <t>2196-68</t>
  </si>
  <si>
    <t>TI25-06-1153</t>
  </si>
  <si>
    <t>2195-68</t>
  </si>
  <si>
    <t>TI25-06-1021</t>
  </si>
  <si>
    <t>1210-68</t>
  </si>
  <si>
    <t>บ.เอซีซี เมดิคอล</t>
  </si>
  <si>
    <t>IVA6807-006</t>
  </si>
  <si>
    <t>2194-68</t>
  </si>
  <si>
    <t>SV001/68060173</t>
  </si>
  <si>
    <t>2191-68</t>
  </si>
  <si>
    <t>682080/00011</t>
  </si>
  <si>
    <t>2197-68</t>
  </si>
  <si>
    <t>สธ0314/กง.1382</t>
  </si>
  <si>
    <t>2192-68</t>
  </si>
  <si>
    <t>682077/00018</t>
  </si>
  <si>
    <t>2198-68</t>
  </si>
  <si>
    <t>IVA6807-284</t>
  </si>
  <si>
    <t>3171-68</t>
  </si>
  <si>
    <t>ศูนย์บริการพยาธิวิทยา โรงพยาบาลรามาธิบดี</t>
  </si>
  <si>
    <t>บพ.1272/68</t>
  </si>
  <si>
    <t>3139-68</t>
  </si>
  <si>
    <t>BI6806055</t>
  </si>
  <si>
    <t>3138-68</t>
  </si>
  <si>
    <t>CMBI-2507-002963</t>
  </si>
  <si>
    <t>2572-68</t>
  </si>
  <si>
    <t>INT-RND-680800073</t>
  </si>
  <si>
    <t>2574-68</t>
  </si>
  <si>
    <t>PCI25-08-0131</t>
  </si>
  <si>
    <t>2573-68</t>
  </si>
  <si>
    <t>PCI25-08-0128</t>
  </si>
  <si>
    <t>3187-68</t>
  </si>
  <si>
    <t>1317763389</t>
  </si>
  <si>
    <t>3313-68</t>
  </si>
  <si>
    <t>1317849303</t>
  </si>
  <si>
    <t>2438-68</t>
  </si>
  <si>
    <t>TI25-07-1548</t>
  </si>
  <si>
    <t>2437-68</t>
  </si>
  <si>
    <t>TI25-07-1456</t>
  </si>
  <si>
    <t>2440-68</t>
  </si>
  <si>
    <t>สธ0314/กง1520</t>
  </si>
  <si>
    <t>2436-68</t>
  </si>
  <si>
    <t>SV001/68070184</t>
  </si>
  <si>
    <t>2435-68</t>
  </si>
  <si>
    <t>682101/00071</t>
  </si>
  <si>
    <t>2439-68</t>
  </si>
  <si>
    <t>IVA6808-262</t>
  </si>
  <si>
    <t>3645-68</t>
  </si>
  <si>
    <t>BI6807077</t>
  </si>
  <si>
    <t>3646-68</t>
  </si>
  <si>
    <t>BIDM25005023</t>
  </si>
  <si>
    <t>3644-68</t>
  </si>
  <si>
    <t>TIN-6808-0220</t>
  </si>
  <si>
    <t>3643-68</t>
  </si>
  <si>
    <t>TIN-6807-0293</t>
  </si>
  <si>
    <t>2939-68</t>
  </si>
  <si>
    <t>PCI25-09-018</t>
  </si>
  <si>
    <t>2941-68</t>
  </si>
  <si>
    <t>INT-RND-680900114</t>
  </si>
  <si>
    <t>2940-68</t>
  </si>
  <si>
    <t>PCI25-09-0179</t>
  </si>
  <si>
    <t>3804-68</t>
  </si>
  <si>
    <t>1318023393</t>
  </si>
  <si>
    <t>2828-68</t>
  </si>
  <si>
    <t>TI25-08-1125</t>
  </si>
  <si>
    <t>2829-68</t>
  </si>
  <si>
    <t>TI25-08-1019</t>
  </si>
  <si>
    <t>2827-68</t>
  </si>
  <si>
    <t>SV001/68080190</t>
  </si>
  <si>
    <t>3869-68</t>
  </si>
  <si>
    <t>IVA6809-227</t>
  </si>
  <si>
    <t>2826-68</t>
  </si>
  <si>
    <t>682130/00079</t>
  </si>
  <si>
    <t>2831-68</t>
  </si>
  <si>
    <t>สธ0314/กง.1650</t>
  </si>
  <si>
    <t>2825-68</t>
  </si>
  <si>
    <t>682113/00030</t>
  </si>
  <si>
    <t>3803-68</t>
  </si>
  <si>
    <t>1318214038</t>
  </si>
  <si>
    <t>3309-68</t>
  </si>
  <si>
    <t>PCI25-09-0374</t>
  </si>
  <si>
    <t>3310-68</t>
  </si>
  <si>
    <t>PCI25-09-0371</t>
  </si>
  <si>
    <t>3311-68</t>
  </si>
  <si>
    <t>INT-RND-681000114</t>
  </si>
  <si>
    <t>3291-68</t>
  </si>
  <si>
    <t>TI25-09-1117</t>
  </si>
  <si>
    <t>3290-68</t>
  </si>
  <si>
    <t>TI25-09-1019</t>
  </si>
  <si>
    <t>3288-68</t>
  </si>
  <si>
    <t>SV001/68090170</t>
  </si>
  <si>
    <t>1205-68</t>
  </si>
  <si>
    <t>บพ.2134-68</t>
  </si>
  <si>
    <t>3286-68</t>
  </si>
  <si>
    <t>682153/00093</t>
  </si>
  <si>
    <t>3304-68</t>
  </si>
  <si>
    <t>682136/00045</t>
  </si>
  <si>
    <t>69-0139</t>
  </si>
  <si>
    <t>I6809-0502-00031</t>
  </si>
  <si>
    <t>69-0138</t>
  </si>
  <si>
    <t>I6809-0502-00030</t>
  </si>
  <si>
    <t>69-0226</t>
  </si>
  <si>
    <t>I6809-0502-00061</t>
  </si>
  <si>
    <t>69-0137</t>
  </si>
  <si>
    <t>I6810-0502-00074</t>
  </si>
  <si>
    <t>69-0136</t>
  </si>
  <si>
    <t>I6810-0502-00098</t>
  </si>
  <si>
    <t>3289-68</t>
  </si>
  <si>
    <t>สธ0314/กง.1834</t>
  </si>
  <si>
    <t>69-0036</t>
  </si>
  <si>
    <t>1318288485</t>
  </si>
  <si>
    <t>บ.ไทย เฮลท์ อิมเมจจิ้ง CT SCAN  สิทธิ จ่ายตรง</t>
  </si>
  <si>
    <t>015/744 11/67</t>
  </si>
  <si>
    <t>015/745 11/67</t>
  </si>
  <si>
    <t>บ.ไทย เฮลท์ อิมเมจจิ้ง CT SCAN  สิทธิ ชำระเงิน</t>
  </si>
  <si>
    <t>015/746 11/67</t>
  </si>
  <si>
    <t>015/747 11/67</t>
  </si>
  <si>
    <t>บ.ไทย เฮลท์ อิมเมจจิ้ง CT SCAN  สิทธิ พรบ.</t>
  </si>
  <si>
    <t>015/750 09/67</t>
  </si>
  <si>
    <t>บ.ไทย เฮลท์ อิมเมจจิ้ง CT SCAN  สิทธิ สปสช</t>
  </si>
  <si>
    <t>015/735 11/67</t>
  </si>
  <si>
    <t>015/736 11/67</t>
  </si>
  <si>
    <t>015/737 11/67</t>
  </si>
  <si>
    <t>015/738 11/67</t>
  </si>
  <si>
    <t>015/739 11/67</t>
  </si>
  <si>
    <t>015/740 11/67</t>
  </si>
  <si>
    <t>015/741 11/67</t>
  </si>
  <si>
    <t>015/742 11/67</t>
  </si>
  <si>
    <t>015/743 11/67</t>
  </si>
  <si>
    <t>1650-68</t>
  </si>
  <si>
    <t>016/758 12/67</t>
  </si>
  <si>
    <t>1649-68</t>
  </si>
  <si>
    <t>016/759 12/67</t>
  </si>
  <si>
    <t>1648-68</t>
  </si>
  <si>
    <t>016/760 12/67</t>
  </si>
  <si>
    <t>1647-68</t>
  </si>
  <si>
    <t>016/761 12/67</t>
  </si>
  <si>
    <t>1646-68</t>
  </si>
  <si>
    <t>016/762 12/67</t>
  </si>
  <si>
    <t>1645-68</t>
  </si>
  <si>
    <t>016/763 12/67</t>
  </si>
  <si>
    <t>1644-68</t>
  </si>
  <si>
    <t>016/764 12/67</t>
  </si>
  <si>
    <t>1643-68</t>
  </si>
  <si>
    <t>016/765 12/67</t>
  </si>
  <si>
    <t>1642-68</t>
  </si>
  <si>
    <t>016/766 12/67</t>
  </si>
  <si>
    <t>1641-68</t>
  </si>
  <si>
    <t>016/767 12/67</t>
  </si>
  <si>
    <t>1640-68</t>
  </si>
  <si>
    <t>016/768 12/67</t>
  </si>
  <si>
    <t>1639-68</t>
  </si>
  <si>
    <t>016/769 12/67</t>
  </si>
  <si>
    <t>1636-68</t>
  </si>
  <si>
    <t>016/772 12/67</t>
  </si>
  <si>
    <t>1659-68</t>
  </si>
  <si>
    <t>016/773 12/67</t>
  </si>
  <si>
    <t>1657-68</t>
  </si>
  <si>
    <t>016/774 12/67</t>
  </si>
  <si>
    <t>1754-68</t>
  </si>
  <si>
    <t>016/792 01/68</t>
  </si>
  <si>
    <t>1755-68</t>
  </si>
  <si>
    <t>016/793 01/68</t>
  </si>
  <si>
    <t>1686-68</t>
  </si>
  <si>
    <t>016/776 01/68</t>
  </si>
  <si>
    <t>1687-68</t>
  </si>
  <si>
    <t>016/777 01/68</t>
  </si>
  <si>
    <t>1688-68</t>
  </si>
  <si>
    <t>016/778 01/68</t>
  </si>
  <si>
    <t>1689-68</t>
  </si>
  <si>
    <t>016/779 01/68</t>
  </si>
  <si>
    <t>1742-68</t>
  </si>
  <si>
    <t>016/780 01/68</t>
  </si>
  <si>
    <t>1743-68</t>
  </si>
  <si>
    <t>016/781 01/68</t>
  </si>
  <si>
    <t>1744-68</t>
  </si>
  <si>
    <t>016/782 01/68</t>
  </si>
  <si>
    <t>1745-68</t>
  </si>
  <si>
    <t>016/783 01/68</t>
  </si>
  <si>
    <t>1746-68</t>
  </si>
  <si>
    <t>016/784 01/68</t>
  </si>
  <si>
    <t>1747-68</t>
  </si>
  <si>
    <t>016/785 01/68</t>
  </si>
  <si>
    <t>1748-68</t>
  </si>
  <si>
    <t>016/786 01/68</t>
  </si>
  <si>
    <t>1749-68</t>
  </si>
  <si>
    <t>016/787 01/68</t>
  </si>
  <si>
    <t>1750-68</t>
  </si>
  <si>
    <t>016/788 01/68</t>
  </si>
  <si>
    <t>1751-68</t>
  </si>
  <si>
    <t>016/789 01/68</t>
  </si>
  <si>
    <t>1778-68</t>
  </si>
  <si>
    <t>001/047 01/68</t>
  </si>
  <si>
    <t>1775-68</t>
  </si>
  <si>
    <t>001/048 01/68</t>
  </si>
  <si>
    <t>1783-68</t>
  </si>
  <si>
    <t>001/050 01/68</t>
  </si>
  <si>
    <t>1784-68</t>
  </si>
  <si>
    <t>002/051 01/68</t>
  </si>
  <si>
    <t>1779-68</t>
  </si>
  <si>
    <t>002/052 01/68</t>
  </si>
  <si>
    <t>1780-68</t>
  </si>
  <si>
    <t>002/053 01/68</t>
  </si>
  <si>
    <t>1776-68</t>
  </si>
  <si>
    <t>002/054 01/68</t>
  </si>
  <si>
    <t>1777-68</t>
  </si>
  <si>
    <t>002/055 01/68</t>
  </si>
  <si>
    <t>2026-68</t>
  </si>
  <si>
    <t>016/795 02/68</t>
  </si>
  <si>
    <t>2027-68</t>
  </si>
  <si>
    <t>016/796 02/68</t>
  </si>
  <si>
    <t>2028-68</t>
  </si>
  <si>
    <t>016/797 02/68</t>
  </si>
  <si>
    <t>2029-68</t>
  </si>
  <si>
    <t>016/798 02/68</t>
  </si>
  <si>
    <t>2030-68</t>
  </si>
  <si>
    <t>016/799 02/68</t>
  </si>
  <si>
    <t>2031-68</t>
  </si>
  <si>
    <t>016/800 02/68</t>
  </si>
  <si>
    <t>2032-68</t>
  </si>
  <si>
    <t>017/801 02/68</t>
  </si>
  <si>
    <t>2033-68</t>
  </si>
  <si>
    <t>017/802 02/68</t>
  </si>
  <si>
    <t>2034-68</t>
  </si>
  <si>
    <t>017/803 02/68</t>
  </si>
  <si>
    <t>2035-68</t>
  </si>
  <si>
    <t>017/804 02/68</t>
  </si>
  <si>
    <t>2036-68</t>
  </si>
  <si>
    <t>017/805 02/68</t>
  </si>
  <si>
    <t>2037-68</t>
  </si>
  <si>
    <t>017/806 02/68</t>
  </si>
  <si>
    <t>2038-68</t>
  </si>
  <si>
    <t>017/807 02/68</t>
  </si>
  <si>
    <t>2039-68</t>
  </si>
  <si>
    <t>017/808 02/68</t>
  </si>
  <si>
    <t>2042-68</t>
  </si>
  <si>
    <t>017/811 02/68</t>
  </si>
  <si>
    <t>2023-68</t>
  </si>
  <si>
    <t>017/812 02/68</t>
  </si>
  <si>
    <t>2024-668</t>
  </si>
  <si>
    <t>017/813 02/68</t>
  </si>
  <si>
    <t>2257-68</t>
  </si>
  <si>
    <t>บ.โรงพยาบาลกรุงเทพ ราชสีมา  สิทธิ สปสช</t>
  </si>
  <si>
    <t>BKH.AR080/2568 03/68</t>
  </si>
  <si>
    <t>2258-68</t>
  </si>
  <si>
    <t>บ.โรงพยาบาลกรุงเทพ ราชสีมา  สิทธิ จ่ายตรง</t>
  </si>
  <si>
    <t>BKH.AR081/2568 03/68</t>
  </si>
  <si>
    <t>2214-68</t>
  </si>
  <si>
    <t>002/057 02/68</t>
  </si>
  <si>
    <t>2215-68</t>
  </si>
  <si>
    <t>002/058 02/68</t>
  </si>
  <si>
    <t>2216-68</t>
  </si>
  <si>
    <t>บ.ไทย เฮลท์ อิมเมจจิ้ง MRI  สิทธิ ปกส</t>
  </si>
  <si>
    <t>002/059 02/68</t>
  </si>
  <si>
    <t>2217-68</t>
  </si>
  <si>
    <t>002/060 02/68</t>
  </si>
  <si>
    <t>2220-68</t>
  </si>
  <si>
    <t>002/063 02/68</t>
  </si>
  <si>
    <t>2221-68</t>
  </si>
  <si>
    <t>002/064 02/68</t>
  </si>
  <si>
    <t>2222-68</t>
  </si>
  <si>
    <t>002/065 02/68</t>
  </si>
  <si>
    <t>2223-68</t>
  </si>
  <si>
    <t>002/066 02/68</t>
  </si>
  <si>
    <t>2224-68</t>
  </si>
  <si>
    <t>002/067 02/68</t>
  </si>
  <si>
    <t>3013-68</t>
  </si>
  <si>
    <t>BKH.AR088/2568 04/68</t>
  </si>
  <si>
    <t>3014-68</t>
  </si>
  <si>
    <t>บ.โรงพยาบาลกรุงเทพ ราชสีมา  สิทธิ ปกส</t>
  </si>
  <si>
    <t>BKH.AR089/2568 04/68</t>
  </si>
  <si>
    <t>3015-68</t>
  </si>
  <si>
    <t>บ.โรงพยาบาลกรุงเทพ ราชสีมา  สิทธิ ชำระเงิน</t>
  </si>
  <si>
    <t>BKH.AR090/2568 04/68</t>
  </si>
  <si>
    <t>3016-68</t>
  </si>
  <si>
    <t>บ.โรงพยาบาลกรุงเทพ ราชสีมา  สิทธิ พรบ.</t>
  </si>
  <si>
    <t>BKH.AR091/2568 04/68</t>
  </si>
  <si>
    <t>3012-68</t>
  </si>
  <si>
    <t>BKH.AR087/2568</t>
  </si>
  <si>
    <t>2007-68</t>
  </si>
  <si>
    <t>IV2505/436</t>
  </si>
  <si>
    <t>017/820 03/68</t>
  </si>
  <si>
    <t>017/821 03/68</t>
  </si>
  <si>
    <t>017/822 03/68</t>
  </si>
  <si>
    <t>017/823 03/68</t>
  </si>
  <si>
    <t>017/824 03/68</t>
  </si>
  <si>
    <t>017/825 03/68</t>
  </si>
  <si>
    <t>017/826 03/68</t>
  </si>
  <si>
    <t>017/827 03/68</t>
  </si>
  <si>
    <t>017/828 03/68</t>
  </si>
  <si>
    <t>017/829 03/68</t>
  </si>
  <si>
    <t>017/830 03/68</t>
  </si>
  <si>
    <t>017/832 03/68</t>
  </si>
  <si>
    <t>017/833 03/68</t>
  </si>
  <si>
    <t>บ.ไทย เฮลท์ อิมเมจจิ้ง CT SCAN  สิทธิ ปกส</t>
  </si>
  <si>
    <t>017/834 03/68</t>
  </si>
  <si>
    <t>017/835 03/68</t>
  </si>
  <si>
    <t>017/836 03/68</t>
  </si>
  <si>
    <t>2515-68</t>
  </si>
  <si>
    <t>017/837 03/68</t>
  </si>
  <si>
    <t>2516-68</t>
  </si>
  <si>
    <t>017/838 03/68</t>
  </si>
  <si>
    <t>2517-68</t>
  </si>
  <si>
    <t>บ.ไทย เฮลท์ อิมเมจจิ้ง MMG  สิทธิ ปกส</t>
  </si>
  <si>
    <t>017/839 03/68</t>
  </si>
  <si>
    <t>2502-68</t>
  </si>
  <si>
    <t>002/069 03/68</t>
  </si>
  <si>
    <t>2503-68</t>
  </si>
  <si>
    <t>002/070 03/68</t>
  </si>
  <si>
    <t>2504-68</t>
  </si>
  <si>
    <t>002/071 03/68</t>
  </si>
  <si>
    <t>2505-68</t>
  </si>
  <si>
    <t>002/072 03/68</t>
  </si>
  <si>
    <t>2506-68</t>
  </si>
  <si>
    <t>002/073 03/68</t>
  </si>
  <si>
    <t>2507-68</t>
  </si>
  <si>
    <t>002/074 03/68</t>
  </si>
  <si>
    <t>2508-68</t>
  </si>
  <si>
    <t>002/075 03/68</t>
  </si>
  <si>
    <t>2509-68</t>
  </si>
  <si>
    <t>002/076 03/68</t>
  </si>
  <si>
    <t>2510-68</t>
  </si>
  <si>
    <t>002/077 03/68</t>
  </si>
  <si>
    <t>2511-68</t>
  </si>
  <si>
    <t>002/078 03/68</t>
  </si>
  <si>
    <t>2512-68</t>
  </si>
  <si>
    <t>002/079 03/68</t>
  </si>
  <si>
    <t>2513-68</t>
  </si>
  <si>
    <t>002/080 03/68</t>
  </si>
  <si>
    <t>2514-68</t>
  </si>
  <si>
    <t>002/081 03/68</t>
  </si>
  <si>
    <t>3017-68</t>
  </si>
  <si>
    <t>BKH.AR094/2568 03/68</t>
  </si>
  <si>
    <t>3018-68</t>
  </si>
  <si>
    <t>BKH.AR095/2568 03/68</t>
  </si>
  <si>
    <t>BKH.AR096/2568 03/68</t>
  </si>
  <si>
    <t>3019-68</t>
  </si>
  <si>
    <t>BKH.AR097/2568 03/68</t>
  </si>
  <si>
    <t>IV2506/525</t>
  </si>
  <si>
    <t>บ.ไทย เฮลท์ อิมเมจจิ้ง CT SCAN</t>
  </si>
  <si>
    <t>017/837 04/68</t>
  </si>
  <si>
    <t>017/838 05/68</t>
  </si>
  <si>
    <t>017/822 06/68</t>
  </si>
  <si>
    <t>2218-68</t>
  </si>
  <si>
    <t>003/108 02/68</t>
  </si>
  <si>
    <t>2219-68</t>
  </si>
  <si>
    <t>003/109 02/68</t>
  </si>
  <si>
    <t>BKH.AR101/2568 06/68</t>
  </si>
  <si>
    <t>BKH.AR102/2568 06/68</t>
  </si>
  <si>
    <t>BKH.AR103/2568 06/68</t>
  </si>
  <si>
    <t>IV2507/467</t>
  </si>
  <si>
    <t>BKH.AR113/2568 07/68</t>
  </si>
  <si>
    <t>BKH.AR114/2568 07/68</t>
  </si>
  <si>
    <t>3657-68</t>
  </si>
  <si>
    <t>IV2508/411</t>
  </si>
  <si>
    <t>BKH.AR120/2568 08/68</t>
  </si>
  <si>
    <t>BKH.AR121/2568 08/68</t>
  </si>
  <si>
    <t>IV2509/534</t>
  </si>
  <si>
    <t>BKH.AR123/2568 09/68</t>
  </si>
  <si>
    <t>BKH.AR124/2568 09/68</t>
  </si>
  <si>
    <t>246-68</t>
  </si>
  <si>
    <t>D-Q24121616</t>
  </si>
  <si>
    <t>1109-68</t>
  </si>
  <si>
    <t>EL680409110</t>
  </si>
  <si>
    <t>1897-68</t>
  </si>
  <si>
    <t>I68/000263</t>
  </si>
  <si>
    <t>806-68</t>
  </si>
  <si>
    <t>บ.ทอพพิเคิล</t>
  </si>
  <si>
    <t>680495</t>
  </si>
  <si>
    <t>1291-68</t>
  </si>
  <si>
    <t>61802</t>
  </si>
  <si>
    <t>809-68</t>
  </si>
  <si>
    <t>บ.ดั๊บเบิ้ลยู เมดิคอล</t>
  </si>
  <si>
    <t>IV680511</t>
  </si>
  <si>
    <t>810-68</t>
  </si>
  <si>
    <t>EL680506053</t>
  </si>
  <si>
    <t>1613-68</t>
  </si>
  <si>
    <t>IV68050165</t>
  </si>
  <si>
    <t>1628-68</t>
  </si>
  <si>
    <t>034/3422</t>
  </si>
  <si>
    <t>1785-68</t>
  </si>
  <si>
    <t>EL680604031</t>
  </si>
  <si>
    <t>1719-68</t>
  </si>
  <si>
    <t>บ.ทันตภัณฑ์ไทย(ที.ดี.พี.)</t>
  </si>
  <si>
    <t>INV2025060006</t>
  </si>
  <si>
    <t>2173-68</t>
  </si>
  <si>
    <t>EL680617151</t>
  </si>
  <si>
    <t>1292-68</t>
  </si>
  <si>
    <t>TN00002852</t>
  </si>
  <si>
    <t>2629-68</t>
  </si>
  <si>
    <t>EL680617148</t>
  </si>
  <si>
    <t>2719-68</t>
  </si>
  <si>
    <t>62314</t>
  </si>
  <si>
    <t>1343-68</t>
  </si>
  <si>
    <t>2568/0670</t>
  </si>
  <si>
    <t>2657-68</t>
  </si>
  <si>
    <t>EL680707064</t>
  </si>
  <si>
    <t>2705-68</t>
  </si>
  <si>
    <t>EL680703036</t>
  </si>
  <si>
    <t>2757-68</t>
  </si>
  <si>
    <t>034/3498</t>
  </si>
  <si>
    <t>2688-68</t>
  </si>
  <si>
    <t>034/3497</t>
  </si>
  <si>
    <t>2669-68</t>
  </si>
  <si>
    <t>EL680701011</t>
  </si>
  <si>
    <t>2482-68</t>
  </si>
  <si>
    <t>หจก.อินเตอร์ เมดิคอล เทรดดิ้ง</t>
  </si>
  <si>
    <t>068/025374</t>
  </si>
  <si>
    <t>2628-68</t>
  </si>
  <si>
    <t>D-Q25061206</t>
  </si>
  <si>
    <t>3060-68</t>
  </si>
  <si>
    <t>TN00002915</t>
  </si>
  <si>
    <t>1911-68</t>
  </si>
  <si>
    <t>OFF2508050</t>
  </si>
  <si>
    <t>2756-68 2755-68</t>
  </si>
  <si>
    <t>035/3547</t>
  </si>
  <si>
    <t>3516-68</t>
  </si>
  <si>
    <t>TN00002957</t>
  </si>
  <si>
    <t>3498-68</t>
  </si>
  <si>
    <t>I68/000561</t>
  </si>
  <si>
    <t>1254-68</t>
  </si>
  <si>
    <t>035/3548</t>
  </si>
  <si>
    <t>3499-68</t>
  </si>
  <si>
    <t>63446</t>
  </si>
  <si>
    <t>3594-68</t>
  </si>
  <si>
    <t>I68/000585</t>
  </si>
  <si>
    <t>2419-68</t>
  </si>
  <si>
    <t>63639</t>
  </si>
  <si>
    <t>3677-68</t>
  </si>
  <si>
    <t>TN00002987</t>
  </si>
  <si>
    <t>3122-68</t>
  </si>
  <si>
    <t>TN00002988</t>
  </si>
  <si>
    <t>3679-68</t>
  </si>
  <si>
    <t>TN00002989</t>
  </si>
  <si>
    <t>3648-68 3649-68 3650-68 3651-68</t>
  </si>
  <si>
    <t>EL680916117</t>
  </si>
  <si>
    <t>3828-68</t>
  </si>
  <si>
    <t>TN00003006</t>
  </si>
  <si>
    <t>3223-68</t>
  </si>
  <si>
    <t>191/9522</t>
  </si>
  <si>
    <t>3776-68</t>
  </si>
  <si>
    <t>IV681007-014</t>
  </si>
  <si>
    <t>3943-68</t>
  </si>
  <si>
    <t>6828/2568</t>
  </si>
  <si>
    <t>3050-68</t>
  </si>
  <si>
    <t>หจก.บัวบุตร คอนซัลท์ แอนด์ โซลูซั่น</t>
  </si>
  <si>
    <t>1005</t>
  </si>
  <si>
    <t>P69-0051</t>
  </si>
  <si>
    <t>BL2025080047</t>
  </si>
  <si>
    <t>1663-68</t>
  </si>
  <si>
    <t>IV25050126</t>
  </si>
  <si>
    <t>3623-68</t>
  </si>
  <si>
    <t>IV680915-006</t>
  </si>
  <si>
    <t>2.3.07 ค่าครุภัณฑ์การเกษตร</t>
  </si>
  <si>
    <t>3950-68</t>
  </si>
  <si>
    <t>IV681015-010</t>
  </si>
  <si>
    <t>260-68</t>
  </si>
  <si>
    <t>บ.เคเมด แอดวานซ์</t>
  </si>
  <si>
    <t>KIN2025000001</t>
  </si>
  <si>
    <t>479-68</t>
  </si>
  <si>
    <t>6801/050</t>
  </si>
  <si>
    <t>1117-68</t>
  </si>
  <si>
    <t>I6803054</t>
  </si>
  <si>
    <t>1431-68 976-68</t>
  </si>
  <si>
    <t>6804/049</t>
  </si>
  <si>
    <t>1494-68</t>
  </si>
  <si>
    <t>6804/050</t>
  </si>
  <si>
    <t>1189-68</t>
  </si>
  <si>
    <t>KIN2025000005</t>
  </si>
  <si>
    <t>1188-68</t>
  </si>
  <si>
    <t>KIN2025000006</t>
  </si>
  <si>
    <t>753-68</t>
  </si>
  <si>
    <t>I6805069</t>
  </si>
  <si>
    <t>1179-68</t>
  </si>
  <si>
    <t>D-Q25032704</t>
  </si>
  <si>
    <t>480-68</t>
  </si>
  <si>
    <t>D-Q25012003</t>
  </si>
  <si>
    <t>1611-68</t>
  </si>
  <si>
    <t>IV0002456</t>
  </si>
  <si>
    <t>1182-68</t>
  </si>
  <si>
    <t>034/3439</t>
  </si>
  <si>
    <t>1629-68 1625-68</t>
  </si>
  <si>
    <t>034/3440</t>
  </si>
  <si>
    <t>406-68</t>
  </si>
  <si>
    <t>B6803032</t>
  </si>
  <si>
    <t>2081-68</t>
  </si>
  <si>
    <t>681872</t>
  </si>
  <si>
    <t>1720-68</t>
  </si>
  <si>
    <t>บ.ออล อินทิเกรชั่น ซัพพลาย</t>
  </si>
  <si>
    <t>B.6806/011</t>
  </si>
  <si>
    <t>1625-68</t>
  </si>
  <si>
    <t>C&amp;K Business Development</t>
  </si>
  <si>
    <t>IV2506-005</t>
  </si>
  <si>
    <t>2485-68</t>
  </si>
  <si>
    <t>บ.เลอ นีซ</t>
  </si>
  <si>
    <t>IV000243</t>
  </si>
  <si>
    <t>1967-68</t>
  </si>
  <si>
    <t>2568/0669</t>
  </si>
  <si>
    <t>2654-68</t>
  </si>
  <si>
    <t>BB256807/00035</t>
  </si>
  <si>
    <t>245-68</t>
  </si>
  <si>
    <t>SIV250500687</t>
  </si>
  <si>
    <t>3025-68</t>
  </si>
  <si>
    <t>6808/004</t>
  </si>
  <si>
    <t>1255-68</t>
  </si>
  <si>
    <t>035/3559</t>
  </si>
  <si>
    <t>1695-68</t>
  </si>
  <si>
    <t>25090276</t>
  </si>
  <si>
    <t>1801-68</t>
  </si>
  <si>
    <t>บ.ธนินท์ธร มาร์เก็ตติ้ง แอนด์ ซัพพลาย</t>
  </si>
  <si>
    <t>IV2508173</t>
  </si>
  <si>
    <t>UG90035768</t>
  </si>
  <si>
    <t>3622-68</t>
  </si>
  <si>
    <t>INV2025090010</t>
  </si>
  <si>
    <t>2.3.10 ค่าครุภัณฑ์งานบ้านงานครัว</t>
  </si>
  <si>
    <t>B6810-006</t>
  </si>
  <si>
    <t>TWG6810010</t>
  </si>
  <si>
    <t>บ.เอ.เอส.ที.เมดิคอล ซัพพลาย (ไทยแลนด์)</t>
  </si>
  <si>
    <t>IV6810030</t>
  </si>
  <si>
    <t>IV6810029</t>
  </si>
  <si>
    <t>IV6810031</t>
  </si>
  <si>
    <t>บ.เอซีซี เมดิคอล โซลูชั่น</t>
  </si>
  <si>
    <t>IV-202510-0007</t>
  </si>
  <si>
    <t>3216-68</t>
  </si>
  <si>
    <t>002/0076</t>
  </si>
  <si>
    <t>2.3.15 ค่าครุภัณฑ์โรงงาน</t>
  </si>
  <si>
    <t>3735-68</t>
  </si>
  <si>
    <t>INV2025090013</t>
  </si>
  <si>
    <t>1139680120809</t>
  </si>
  <si>
    <t>ค่าไฟ บ.พี.ซี.ดี.วาย คอร์ปอเรชั่น</t>
  </si>
  <si>
    <t>NAR2025-07</t>
  </si>
  <si>
    <t>NAR2025-08</t>
  </si>
  <si>
    <t>NAR2025-09</t>
  </si>
  <si>
    <t>NAR2025-10</t>
  </si>
  <si>
    <t>858010458811</t>
  </si>
  <si>
    <t>885203746384</t>
  </si>
  <si>
    <t>876003746099</t>
  </si>
  <si>
    <t>2368-68</t>
  </si>
  <si>
    <t>0000908846783</t>
  </si>
  <si>
    <t>2369-68</t>
  </si>
  <si>
    <t>0000908573774</t>
  </si>
  <si>
    <t>2370-68</t>
  </si>
  <si>
    <t>0000908573775</t>
  </si>
  <si>
    <t>3508-68</t>
  </si>
  <si>
    <t>W-IN-18-6809-2002931</t>
  </si>
  <si>
    <t>3512-68</t>
  </si>
  <si>
    <t>0000913583750</t>
  </si>
  <si>
    <t>3507-68</t>
  </si>
  <si>
    <t>0000913820011</t>
  </si>
  <si>
    <t>3511-68</t>
  </si>
  <si>
    <t>0000913776982</t>
  </si>
  <si>
    <t>3510-68</t>
  </si>
  <si>
    <t>0000913546253</t>
  </si>
  <si>
    <t>3509-68</t>
  </si>
  <si>
    <t>0000913546254</t>
  </si>
  <si>
    <t>3513-68</t>
  </si>
  <si>
    <t>W-IN-18-6809-2007130</t>
  </si>
  <si>
    <t>3390-68</t>
  </si>
  <si>
    <t>W-IN-18-6810-2006714</t>
  </si>
  <si>
    <t>3394-68</t>
  </si>
  <si>
    <t>W-IN-18-6810-2009694</t>
  </si>
  <si>
    <t>3388-68</t>
  </si>
  <si>
    <t>0000916293876</t>
  </si>
  <si>
    <t>3389-68</t>
  </si>
  <si>
    <t>0000916153878</t>
  </si>
  <si>
    <t>3391-68</t>
  </si>
  <si>
    <t>0000916317455</t>
  </si>
  <si>
    <t>3392-68</t>
  </si>
  <si>
    <t>0000916026811</t>
  </si>
  <si>
    <t>3393-68</t>
  </si>
  <si>
    <t>0000916026812</t>
  </si>
  <si>
    <t>A31110-6810-0432</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</si>
</sst>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187041E]d&quot; &quot;mmm&quot; &quot;yy"/>
    <numFmt numFmtId="165" formatCode="_(&quot; &quot;* #,##0.00_);_(&quot; &quot;* \(#,##0.00\);_(&quot; &quot;* &quot;-&quot;??_);_(@_)"/>
    <numFmt numFmtId="166" formatCode="_-&quot; &quot;* #,##0.00_-;\-&quot; &quot;* #,##0.00_-;_-&quot; &quot;* &quot;-&quot;??_-;_-@"/>
  </numFmts>
  <fonts count="3">
    <font>
      <sz val="11.0"/>
      <color theme="1"/>
      <name val="Calibri"/>
      <scheme val="minor"/>
    </font>
    <font>
      <sz val="11.0"/>
      <color theme="1"/>
      <name val="TH Sarabun PSK"/>
    </font>
    <font>
      <b/>
      <sz val="12.0"/>
      <color theme="1"/>
      <name val="TH Sarabun PSK"/>
    </font>
  </fonts>
  <fills count="3">
    <fill>
      <patternFill patternType="none"/>
    </fill>
    <fill>
      <patternFill patternType="lightGray"/>
    </fill>
    <fill>
      <patternFill patternType="solid">
        <fgColor theme="0"/>
        <bgColor theme="0"/>
      </patternFill>
    </fill>
  </fills>
  <borders count="2">
    <border/>
    <border>
      <left/>
      <right/>
      <top/>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vertical="center"/>
    </xf>
    <xf borderId="1" fillId="2" fontId="1" numFmtId="164" xfId="0" applyAlignment="1" applyBorder="1" applyFont="1" applyNumberFormat="1">
      <alignment horizontal="center" vertical="center"/>
    </xf>
    <xf borderId="1" fillId="2" fontId="2" numFmtId="49" xfId="0" applyAlignment="1" applyBorder="1" applyFont="1" applyNumberFormat="1">
      <alignment horizontal="center" vertical="center"/>
    </xf>
    <xf borderId="1" fillId="2" fontId="1" numFmtId="165" xfId="0" applyAlignment="1" applyBorder="1" applyFont="1" applyNumberFormat="1">
      <alignment horizontal="center" vertical="center"/>
    </xf>
    <xf borderId="1" fillId="2" fontId="1" numFmtId="49" xfId="0" applyAlignment="1" applyBorder="1" applyFont="1" applyNumberFormat="1">
      <alignment horizontal="center" shrinkToFit="1" vertical="center" wrapText="0"/>
    </xf>
    <xf borderId="1" fillId="2" fontId="1" numFmtId="166" xfId="0" applyAlignment="1" applyBorder="1" applyFont="1" applyNumberFormat="1">
      <alignment horizontal="center" vertical="center"/>
    </xf>
    <xf borderId="1" fillId="2" fontId="1" numFmtId="0" xfId="0" applyAlignment="1" applyBorder="1" applyFont="1">
      <alignment horizontal="center" vertical="center"/>
    </xf>
    <xf borderId="1" fillId="2" fontId="1" numFmtId="0" xfId="0" applyAlignment="1" applyBorder="1" applyFont="1">
      <alignment horizontal="center" vertical="center"/>
    </xf>
    <xf borderId="1" fillId="2" fontId="1" numFmtId="49" xfId="0" applyAlignment="1" applyBorder="1" applyFont="1" applyNumberFormat="1">
      <alignment horizontal="left" vertical="center"/>
    </xf>
    <xf borderId="1" fillId="2" fontId="1" numFmtId="166" xfId="0" applyAlignment="1" applyBorder="1" applyFont="1" applyNumberFormat="1">
      <alignment horizontal="left" vertical="center"/>
    </xf>
    <xf borderId="1" fillId="2" fontId="1" numFmtId="0" xfId="0" applyAlignment="1" applyBorder="1" applyFont="1">
      <alignment horizontal="left" vertical="center"/>
    </xf>
    <xf borderId="1" fillId="2" fontId="1" numFmtId="0" xfId="0" applyAlignment="1" applyBorder="1" applyFont="1">
      <alignment horizontal="left" vertical="center"/>
    </xf>
  </cellXfs>
  <cellStyles count="1">
    <cellStyle xfId="0" name="Normal" builtinId="0"/>
  </cellStyles>
  <dxfs count="3">
    <dxf>
      <font/>
      <fill>
        <patternFill patternType="none"/>
      </fill>
      <border/>
    </dxf>
    <dxf>
      <font/>
      <fill>
        <patternFill patternType="solid">
          <fgColor theme="0"/>
          <bgColor theme="0"/>
        </patternFill>
      </fill>
      <border/>
    </dxf>
    <dxf>
      <font/>
      <fill>
        <patternFill patternType="solid">
          <fgColor rgb="FFFBE4D5"/>
          <bgColor rgb="FFFBE4D5"/>
        </patternFill>
      </fill>
      <border/>
    </dxf>
  </dxfs>
  <tableStyles count="1">
    <tableStyle count="3" pivot="0" name="data on outstanding creditors-style">
      <tableStyleElement dxfId="1" type="headerRow"/>
      <tableStyleElement dxfId="2" type="firstRowStripe"/>
      <tableStyleElement dxfId="1"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microsoft.com/office/2007/relationships/slicerCache" Target="slicerCaches/slicerCache1.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104775</xdr:colOff>
      <xdr:row>1429</xdr:row>
      <xdr:rowOff>66675</xdr:rowOff>
    </xdr:from>
    <xdr:ext cx="2838450" cy="2857500"/>
    <mc:AlternateContent>
      <mc:Choice Requires="sle15">
        <xdr:graphicFrame>
          <xdr:nvGraphicFramePr>
            <xdr:cNvPr id="1" name="ค่า_1"/>
            <xdr:cNvGraphicFramePr/>
          </xdr:nvGraphicFramePr>
          <xdr:xfrm>
            <a:off x="0" y="0"/>
            <a:ext cx="0" cy="0"/>
          </xdr:xfrm>
          <a:graphic>
            <a:graphicData uri="http://schemas.microsoft.com/office/drawing/2010/slicer">
              <x3Unk:slicer name="ค่า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9</xdr:col>
      <xdr:colOff>419100</xdr:colOff>
      <xdr:row>3925</xdr:row>
      <xdr:rowOff>47625</xdr:rowOff>
    </xdr:from>
    <xdr:ext cx="2447925" cy="2857500"/>
    <mc:AlternateContent>
      <mc:Choice Requires="sle15">
        <xdr:graphicFrame>
          <xdr:nvGraphicFramePr>
            <xdr:cNvPr id="2" name="ค่า_2"/>
            <xdr:cNvGraphicFramePr/>
          </xdr:nvGraphicFramePr>
          <xdr:xfrm>
            <a:off x="0" y="0"/>
            <a:ext cx="0" cy="0"/>
          </xdr:xfrm>
          <a:graphic>
            <a:graphicData uri="http://schemas.microsoft.com/office/drawing/2010/slicer">
              <x3Unk:slicer name="ค่า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3" sourceName="ค่า">
  <x14:extLst>
    <ext uri="{2F2917AC-EB37-4324-AD4E-5DD8C200BD13}">
      <x15:tableSlicerCache tableId="1" column="13"/>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ค่า_1" cache="SlicerCache_Table_1_Col_13" caption="ค่า" rowHeight="247650"/>
  <x14:slicer name="ค่า_2" cache="SlicerCache_Table_1_Col_13" caption="ค่า" rowHeight="247650"/>
</x14:slicers>
</file>

<file path=xl/tables/table1.xml><?xml version="1.0" encoding="utf-8"?>
<table xmlns="http://schemas.openxmlformats.org/spreadsheetml/2006/main" ref="A1:T3937" displayName="Table_1" name="Table_1" id="1">
  <autoFilter ref="$A$1:$T$3937"/>
  <tableColumns count="20">
    <tableColumn name="รหัส-แผน" id="1"/>
    <tableColumn name="วันที่ตรวจรับของ" id="2"/>
    <tableColumn name="ชื่อเจ้าหนี้" id="3"/>
    <tableColumn name="เลขที่ใบส่งของ" id="4"/>
    <tableColumn name="จำนวนเงิน" id="5"/>
    <tableColumn name="จ่าย" id="6"/>
    <tableColumn name="ปรับปรุง เจ้าหนี้" id="7"/>
    <tableColumn name="คงเหลือ" id="8"/>
    <tableColumn name="วันที่ชำระเงิน" id="9"/>
    <tableColumn name="อื่นๆ" id="10"/>
    <tableColumn name="รับเอกสาร" id="11"/>
    <tableColumn name="หมายเหตุ" id="12"/>
    <tableColumn name="ค่า" id="13"/>
    <tableColumn name="หน่วยงาน" id="14"/>
    <tableColumn name="Goods Value" id="15"/>
    <tableColumn name="Vat 7 %" id="16"/>
    <tableColumn name="วันที่ตรวจรับของ2" id="17"/>
    <tableColumn name="วันที่ตรวจรับของ3" id="18"/>
    <tableColumn name="วันที่ตรวจรับของ4" id="19"/>
    <tableColumn name="กันซ้ำ" id="20"/>
  </tableColumns>
  <tableStyleInfo name="data on outstanding creditor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 Id="rId6"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cols>
    <col customWidth="1" min="1" max="1" width="9.57"/>
    <col customWidth="1" min="2" max="2" width="17.14"/>
    <col customWidth="1" min="3" max="3" width="35.0"/>
    <col customWidth="1" min="4" max="4" width="31.0"/>
    <col customWidth="1" min="5" max="8" width="21.0"/>
    <col customWidth="1" min="9" max="9" width="16.57"/>
    <col customWidth="1" min="10" max="10" width="15.57"/>
    <col customWidth="1" min="11" max="11" width="17.0"/>
    <col customWidth="1" min="12" max="12" width="16.43"/>
    <col customWidth="1" min="13" max="13" width="28.86"/>
    <col customWidth="1" min="14" max="14" width="16.43"/>
    <col customWidth="1" min="15" max="16" width="18.86"/>
    <col customWidth="1" min="17" max="19" width="10.0"/>
    <col customWidth="1" min="20" max="20" width="89.86"/>
    <col customWidth="1" min="21" max="21" width="89.43"/>
  </cols>
  <sheetData>
    <row r="1" ht="13.5" customHeight="1">
      <c r="A1" s="1" t="s">
        <v>0</v>
      </c>
      <c r="B1" s="2" t="s">
        <v>1</v>
      </c>
      <c r="C1" s="3" t="s">
        <v>2</v>
      </c>
      <c r="D1" s="1" t="s">
        <v>3</v>
      </c>
      <c r="E1" s="4" t="s">
        <v>4</v>
      </c>
      <c r="F1" s="4" t="s">
        <v>5</v>
      </c>
      <c r="G1" s="4" t="s">
        <v>6</v>
      </c>
      <c r="H1" s="4" t="s">
        <v>7</v>
      </c>
      <c r="I1" s="2" t="s">
        <v>8</v>
      </c>
      <c r="J1" s="1" t="s">
        <v>9</v>
      </c>
      <c r="K1" s="2" t="s">
        <v>10</v>
      </c>
      <c r="L1" s="5" t="s">
        <v>11</v>
      </c>
      <c r="M1" s="1" t="s">
        <v>12</v>
      </c>
      <c r="N1" s="1" t="s">
        <v>13</v>
      </c>
      <c r="O1" s="6" t="s">
        <v>14</v>
      </c>
      <c r="P1" s="6" t="s">
        <v>15</v>
      </c>
      <c r="Q1" s="7" t="s">
        <v>16</v>
      </c>
      <c r="R1" s="7" t="s">
        <v>17</v>
      </c>
      <c r="S1" s="7" t="s">
        <v>18</v>
      </c>
      <c r="T1" s="7" t="s">
        <v>19</v>
      </c>
      <c r="U1" s="8"/>
    </row>
    <row r="2" ht="13.5" customHeight="1">
      <c r="A2" s="1"/>
      <c r="B2" s="2">
        <v>45695.0</v>
      </c>
      <c r="C2" s="9" t="s">
        <v>20</v>
      </c>
      <c r="D2" s="1" t="s">
        <v>21</v>
      </c>
      <c r="E2" s="4">
        <v>15000.0</v>
      </c>
      <c r="F2" s="4">
        <v>15000.0</v>
      </c>
      <c r="G2" s="4"/>
      <c r="H2" s="4">
        <f>'data on outstanding creditors'!$E2-'data on outstanding creditors'!$F2-'data on outstanding creditors'!$G2</f>
        <v>0</v>
      </c>
      <c r="I2" s="2">
        <v>45938.0</v>
      </c>
      <c r="J2" s="1"/>
      <c r="K2" s="2"/>
      <c r="L2" s="5"/>
      <c r="M2" s="9" t="s">
        <v>22</v>
      </c>
      <c r="N2" s="9" t="s">
        <v>23</v>
      </c>
      <c r="O2" s="10">
        <f>'data on outstanding creditors'!$E2*100/107</f>
        <v>14018.69159</v>
      </c>
      <c r="P2" s="10">
        <f>'data on outstanding creditors'!$E2-'data on outstanding creditors'!$O2</f>
        <v>981.3084112</v>
      </c>
      <c r="Q2" s="7">
        <f>DAY('data on outstanding creditors'!$B2)</f>
        <v>7</v>
      </c>
      <c r="R2" s="7">
        <f>MONTH('data on outstanding creditors'!$B2)</f>
        <v>2</v>
      </c>
      <c r="S2" s="7">
        <f>YEAR('data on outstanding creditors'!$B2)</f>
        <v>2025</v>
      </c>
      <c r="T2" s="11" t="str">
        <f>'data on outstanding creditors'!$C2&amp;" "&amp;'data on outstanding creditors'!$D2&amp;" "&amp;TEXT('data on outstanding creditors'!$E2,"#,##0.00")</f>
        <v>บ.พีเอ็มแอล ฟาร์มาซูติคอลส์ SIS250205-084 15,000.00</v>
      </c>
      <c r="U2" s="8"/>
    </row>
    <row r="3" ht="13.5" customHeight="1">
      <c r="A3" s="1"/>
      <c r="B3" s="2">
        <v>45734.0</v>
      </c>
      <c r="C3" s="9" t="s">
        <v>24</v>
      </c>
      <c r="D3" s="1" t="s">
        <v>25</v>
      </c>
      <c r="E3" s="4">
        <v>43980.0</v>
      </c>
      <c r="F3" s="4">
        <v>43980.0</v>
      </c>
      <c r="G3" s="4"/>
      <c r="H3" s="4">
        <f>'data on outstanding creditors'!$E3-'data on outstanding creditors'!$F3-'data on outstanding creditors'!$G3</f>
        <v>0</v>
      </c>
      <c r="I3" s="2">
        <v>45938.0</v>
      </c>
      <c r="J3" s="1"/>
      <c r="K3" s="2"/>
      <c r="L3" s="5"/>
      <c r="M3" s="9" t="s">
        <v>22</v>
      </c>
      <c r="N3" s="9" t="s">
        <v>23</v>
      </c>
      <c r="O3" s="10">
        <f>'data on outstanding creditors'!$E3*100/107</f>
        <v>41102.80374</v>
      </c>
      <c r="P3" s="10">
        <f>'data on outstanding creditors'!$E3-'data on outstanding creditors'!$O3</f>
        <v>2877.196262</v>
      </c>
      <c r="Q3" s="7">
        <f>DAY('data on outstanding creditors'!$B3)</f>
        <v>18</v>
      </c>
      <c r="R3" s="7">
        <f>MONTH('data on outstanding creditors'!$B3)</f>
        <v>3</v>
      </c>
      <c r="S3" s="7">
        <f>YEAR('data on outstanding creditors'!$B3)</f>
        <v>2025</v>
      </c>
      <c r="T3" s="11" t="str">
        <f>'data on outstanding creditors'!$C3&amp;" "&amp;'data on outstanding creditors'!$D3&amp;" "&amp;TEXT('data on outstanding creditors'!$E3,"#,##0.00")</f>
        <v>บ.เซ็นทรัลโพลีเทรดดิ้ง 31i25013722 43,980.00</v>
      </c>
      <c r="U3" s="8"/>
    </row>
    <row r="4" ht="13.5" customHeight="1">
      <c r="A4" s="1"/>
      <c r="B4" s="2">
        <v>45734.0</v>
      </c>
      <c r="C4" s="9" t="s">
        <v>24</v>
      </c>
      <c r="D4" s="1" t="s">
        <v>26</v>
      </c>
      <c r="E4" s="4">
        <v>48000.0</v>
      </c>
      <c r="F4" s="4">
        <v>48000.0</v>
      </c>
      <c r="G4" s="4"/>
      <c r="H4" s="4">
        <f>'data on outstanding creditors'!$E4-'data on outstanding creditors'!$F4-'data on outstanding creditors'!$G4</f>
        <v>0</v>
      </c>
      <c r="I4" s="2">
        <v>45938.0</v>
      </c>
      <c r="J4" s="1"/>
      <c r="K4" s="2"/>
      <c r="L4" s="5"/>
      <c r="M4" s="9" t="s">
        <v>22</v>
      </c>
      <c r="N4" s="9" t="s">
        <v>23</v>
      </c>
      <c r="O4" s="10">
        <f>'data on outstanding creditors'!$E4*100/107</f>
        <v>44859.81308</v>
      </c>
      <c r="P4" s="10">
        <f>'data on outstanding creditors'!$E4-'data on outstanding creditors'!$O4</f>
        <v>3140.186916</v>
      </c>
      <c r="Q4" s="7">
        <f>DAY('data on outstanding creditors'!$B4)</f>
        <v>18</v>
      </c>
      <c r="R4" s="7">
        <f>MONTH('data on outstanding creditors'!$B4)</f>
        <v>3</v>
      </c>
      <c r="S4" s="7">
        <f>YEAR('data on outstanding creditors'!$B4)</f>
        <v>2025</v>
      </c>
      <c r="T4" s="11" t="str">
        <f>'data on outstanding creditors'!$C4&amp;" "&amp;'data on outstanding creditors'!$D4&amp;" "&amp;TEXT('data on outstanding creditors'!$E4,"#,##0.00")</f>
        <v>บ.เซ็นทรัลโพลีเทรดดิ้ง 31i25014076 48,000.00</v>
      </c>
      <c r="U4" s="8"/>
    </row>
    <row r="5" ht="13.5" customHeight="1">
      <c r="A5" s="1"/>
      <c r="B5" s="2">
        <v>45737.0</v>
      </c>
      <c r="C5" s="9" t="s">
        <v>24</v>
      </c>
      <c r="D5" s="1" t="s">
        <v>27</v>
      </c>
      <c r="E5" s="4">
        <v>55000.0</v>
      </c>
      <c r="F5" s="4">
        <v>55000.0</v>
      </c>
      <c r="G5" s="4"/>
      <c r="H5" s="4">
        <f>'data on outstanding creditors'!$E5-'data on outstanding creditors'!$F5-'data on outstanding creditors'!$G5</f>
        <v>0</v>
      </c>
      <c r="I5" s="2">
        <v>45938.0</v>
      </c>
      <c r="J5" s="1"/>
      <c r="K5" s="2"/>
      <c r="L5" s="5"/>
      <c r="M5" s="9" t="s">
        <v>22</v>
      </c>
      <c r="N5" s="9" t="s">
        <v>23</v>
      </c>
      <c r="O5" s="10">
        <f>'data on outstanding creditors'!$E5*100/107</f>
        <v>51401.86916</v>
      </c>
      <c r="P5" s="10">
        <f>'data on outstanding creditors'!$E5-'data on outstanding creditors'!$O5</f>
        <v>3598.130841</v>
      </c>
      <c r="Q5" s="7">
        <f>DAY('data on outstanding creditors'!$B5)</f>
        <v>21</v>
      </c>
      <c r="R5" s="7">
        <f>MONTH('data on outstanding creditors'!$B5)</f>
        <v>3</v>
      </c>
      <c r="S5" s="7">
        <f>YEAR('data on outstanding creditors'!$B5)</f>
        <v>2025</v>
      </c>
      <c r="T5" s="11" t="str">
        <f>'data on outstanding creditors'!$C5&amp;" "&amp;'data on outstanding creditors'!$D5&amp;" "&amp;TEXT('data on outstanding creditors'!$E5,"#,##0.00")</f>
        <v>บ.เซ็นทรัลโพลีเทรดดิ้ง 31i25015092 55,000.00</v>
      </c>
      <c r="U5" s="8"/>
    </row>
    <row r="6" ht="13.5" customHeight="1">
      <c r="A6" s="1"/>
      <c r="B6" s="2">
        <v>45742.0</v>
      </c>
      <c r="C6" s="9" t="s">
        <v>24</v>
      </c>
      <c r="D6" s="1" t="s">
        <v>28</v>
      </c>
      <c r="E6" s="4">
        <v>68000.0</v>
      </c>
      <c r="F6" s="4">
        <v>68000.0</v>
      </c>
      <c r="G6" s="4"/>
      <c r="H6" s="4">
        <f>'data on outstanding creditors'!$E6-'data on outstanding creditors'!$F6-'data on outstanding creditors'!$G6</f>
        <v>0</v>
      </c>
      <c r="I6" s="2">
        <v>45938.0</v>
      </c>
      <c r="J6" s="1"/>
      <c r="K6" s="2"/>
      <c r="L6" s="5"/>
      <c r="M6" s="9" t="s">
        <v>22</v>
      </c>
      <c r="N6" s="9" t="s">
        <v>23</v>
      </c>
      <c r="O6" s="10">
        <f>'data on outstanding creditors'!$E6*100/107</f>
        <v>63551.40187</v>
      </c>
      <c r="P6" s="10">
        <f>'data on outstanding creditors'!$E6-'data on outstanding creditors'!$O6</f>
        <v>4448.598131</v>
      </c>
      <c r="Q6" s="7">
        <f>DAY('data on outstanding creditors'!$B6)</f>
        <v>26</v>
      </c>
      <c r="R6" s="7">
        <f>MONTH('data on outstanding creditors'!$B6)</f>
        <v>3</v>
      </c>
      <c r="S6" s="7">
        <f>YEAR('data on outstanding creditors'!$B6)</f>
        <v>2025</v>
      </c>
      <c r="T6" s="11" t="str">
        <f>'data on outstanding creditors'!$C6&amp;" "&amp;'data on outstanding creditors'!$D6&amp;" "&amp;TEXT('data on outstanding creditors'!$E6,"#,##0.00")</f>
        <v>บ.เซ็นทรัลโพลีเทรดดิ้ง 31i25016112 68,000.00</v>
      </c>
      <c r="U6" s="8"/>
    </row>
    <row r="7" ht="13.5" customHeight="1">
      <c r="A7" s="1"/>
      <c r="B7" s="2">
        <v>45742.0</v>
      </c>
      <c r="C7" s="9" t="s">
        <v>24</v>
      </c>
      <c r="D7" s="1" t="s">
        <v>29</v>
      </c>
      <c r="E7" s="4">
        <v>28000.0</v>
      </c>
      <c r="F7" s="4">
        <v>28000.0</v>
      </c>
      <c r="G7" s="4"/>
      <c r="H7" s="4">
        <f>'data on outstanding creditors'!$E7-'data on outstanding creditors'!$F7-'data on outstanding creditors'!$G7</f>
        <v>0</v>
      </c>
      <c r="I7" s="2">
        <v>45938.0</v>
      </c>
      <c r="J7" s="1"/>
      <c r="K7" s="2"/>
      <c r="L7" s="5"/>
      <c r="M7" s="9" t="s">
        <v>22</v>
      </c>
      <c r="N7" s="9" t="s">
        <v>23</v>
      </c>
      <c r="O7" s="10">
        <f>'data on outstanding creditors'!$E7*100/107</f>
        <v>26168.2243</v>
      </c>
      <c r="P7" s="10">
        <f>'data on outstanding creditors'!$E7-'data on outstanding creditors'!$O7</f>
        <v>1831.775701</v>
      </c>
      <c r="Q7" s="7">
        <f>DAY('data on outstanding creditors'!$B7)</f>
        <v>26</v>
      </c>
      <c r="R7" s="7">
        <f>MONTH('data on outstanding creditors'!$B7)</f>
        <v>3</v>
      </c>
      <c r="S7" s="7">
        <f>YEAR('data on outstanding creditors'!$B7)</f>
        <v>2025</v>
      </c>
      <c r="T7" s="11" t="str">
        <f>'data on outstanding creditors'!$C7&amp;" "&amp;'data on outstanding creditors'!$D7&amp;" "&amp;TEXT('data on outstanding creditors'!$E7,"#,##0.00")</f>
        <v>บ.เซ็นทรัลโพลีเทรดดิ้ง 31i25016114 28,000.00</v>
      </c>
      <c r="U7" s="8"/>
    </row>
    <row r="8" ht="13.5" customHeight="1">
      <c r="A8" s="1"/>
      <c r="B8" s="2">
        <v>45742.0</v>
      </c>
      <c r="C8" s="9" t="s">
        <v>24</v>
      </c>
      <c r="D8" s="1" t="s">
        <v>30</v>
      </c>
      <c r="E8" s="4">
        <v>15000.0</v>
      </c>
      <c r="F8" s="4">
        <v>15000.0</v>
      </c>
      <c r="G8" s="4"/>
      <c r="H8" s="4">
        <f>'data on outstanding creditors'!$E8-'data on outstanding creditors'!$F8-'data on outstanding creditors'!$G8</f>
        <v>0</v>
      </c>
      <c r="I8" s="2">
        <v>45938.0</v>
      </c>
      <c r="J8" s="1"/>
      <c r="K8" s="2"/>
      <c r="L8" s="5"/>
      <c r="M8" s="9" t="s">
        <v>22</v>
      </c>
      <c r="N8" s="9" t="s">
        <v>23</v>
      </c>
      <c r="O8" s="10">
        <f>'data on outstanding creditors'!$E8*100/107</f>
        <v>14018.69159</v>
      </c>
      <c r="P8" s="10">
        <f>'data on outstanding creditors'!$E8-'data on outstanding creditors'!$O8</f>
        <v>981.3084112</v>
      </c>
      <c r="Q8" s="7">
        <f>DAY('data on outstanding creditors'!$B8)</f>
        <v>26</v>
      </c>
      <c r="R8" s="7">
        <f>MONTH('data on outstanding creditors'!$B8)</f>
        <v>3</v>
      </c>
      <c r="S8" s="7">
        <f>YEAR('data on outstanding creditors'!$B8)</f>
        <v>2025</v>
      </c>
      <c r="T8" s="11" t="str">
        <f>'data on outstanding creditors'!$C8&amp;" "&amp;'data on outstanding creditors'!$D8&amp;" "&amp;TEXT('data on outstanding creditors'!$E8,"#,##0.00")</f>
        <v>บ.เซ็นทรัลโพลีเทรดดิ้ง 31i25016391 15,000.00</v>
      </c>
      <c r="U8" s="8"/>
    </row>
    <row r="9" ht="13.5" customHeight="1">
      <c r="A9" s="1"/>
      <c r="B9" s="2">
        <v>45751.0</v>
      </c>
      <c r="C9" s="9" t="s">
        <v>24</v>
      </c>
      <c r="D9" s="1" t="s">
        <v>31</v>
      </c>
      <c r="E9" s="4">
        <v>10000.0</v>
      </c>
      <c r="F9" s="4">
        <v>10000.0</v>
      </c>
      <c r="G9" s="4"/>
      <c r="H9" s="4">
        <f>'data on outstanding creditors'!$E9-'data on outstanding creditors'!$F9-'data on outstanding creditors'!$G9</f>
        <v>0</v>
      </c>
      <c r="I9" s="2">
        <v>45938.0</v>
      </c>
      <c r="J9" s="1"/>
      <c r="K9" s="2"/>
      <c r="L9" s="5"/>
      <c r="M9" s="9" t="s">
        <v>22</v>
      </c>
      <c r="N9" s="9" t="s">
        <v>23</v>
      </c>
      <c r="O9" s="10">
        <f>'data on outstanding creditors'!$E9*100/107</f>
        <v>9345.794393</v>
      </c>
      <c r="P9" s="10">
        <f>'data on outstanding creditors'!$E9-'data on outstanding creditors'!$O9</f>
        <v>654.2056075</v>
      </c>
      <c r="Q9" s="7">
        <f>DAY('data on outstanding creditors'!$B9)</f>
        <v>4</v>
      </c>
      <c r="R9" s="7">
        <f>MONTH('data on outstanding creditors'!$B9)</f>
        <v>4</v>
      </c>
      <c r="S9" s="7">
        <f>YEAR('data on outstanding creditors'!$B9)</f>
        <v>2025</v>
      </c>
      <c r="T9" s="11" t="str">
        <f>'data on outstanding creditors'!$C9&amp;" "&amp;'data on outstanding creditors'!$D9&amp;" "&amp;TEXT('data on outstanding creditors'!$E9,"#,##0.00")</f>
        <v>บ.เซ็นทรัลโพลีเทรดดิ้ง 31i25017963 10,000.00</v>
      </c>
      <c r="U9" s="8"/>
    </row>
    <row r="10" ht="13.5" customHeight="1">
      <c r="A10" s="1"/>
      <c r="B10" s="2">
        <v>45758.0</v>
      </c>
      <c r="C10" s="9" t="s">
        <v>24</v>
      </c>
      <c r="D10" s="1" t="s">
        <v>32</v>
      </c>
      <c r="E10" s="4">
        <v>43200.0</v>
      </c>
      <c r="F10" s="4">
        <v>43200.0</v>
      </c>
      <c r="G10" s="4"/>
      <c r="H10" s="4">
        <f>'data on outstanding creditors'!$E10-'data on outstanding creditors'!$F10-'data on outstanding creditors'!$G10</f>
        <v>0</v>
      </c>
      <c r="I10" s="2">
        <v>45938.0</v>
      </c>
      <c r="J10" s="1"/>
      <c r="K10" s="2"/>
      <c r="L10" s="5"/>
      <c r="M10" s="9" t="s">
        <v>22</v>
      </c>
      <c r="N10" s="9" t="s">
        <v>23</v>
      </c>
      <c r="O10" s="10">
        <f>'data on outstanding creditors'!$E10*100/107</f>
        <v>40373.83178</v>
      </c>
      <c r="P10" s="10">
        <f>'data on outstanding creditors'!$E10-'data on outstanding creditors'!$O10</f>
        <v>2826.168224</v>
      </c>
      <c r="Q10" s="7">
        <f>DAY('data on outstanding creditors'!$B10)</f>
        <v>11</v>
      </c>
      <c r="R10" s="7">
        <f>MONTH('data on outstanding creditors'!$B10)</f>
        <v>4</v>
      </c>
      <c r="S10" s="7">
        <f>YEAR('data on outstanding creditors'!$B10)</f>
        <v>2025</v>
      </c>
      <c r="T10" s="11" t="str">
        <f>'data on outstanding creditors'!$C10&amp;" "&amp;'data on outstanding creditors'!$D10&amp;" "&amp;TEXT('data on outstanding creditors'!$E10,"#,##0.00")</f>
        <v>บ.เซ็นทรัลโพลีเทรดดิ้ง 31i25018889 43,200.00</v>
      </c>
      <c r="U10" s="8"/>
    </row>
    <row r="11" ht="13.5" customHeight="1">
      <c r="A11" s="1"/>
      <c r="B11" s="2">
        <v>45764.0</v>
      </c>
      <c r="C11" s="9" t="s">
        <v>24</v>
      </c>
      <c r="D11" s="1" t="s">
        <v>33</v>
      </c>
      <c r="E11" s="4">
        <v>8250.0</v>
      </c>
      <c r="F11" s="4">
        <v>8250.0</v>
      </c>
      <c r="G11" s="4"/>
      <c r="H11" s="4">
        <f>'data on outstanding creditors'!$E11-'data on outstanding creditors'!$F11-'data on outstanding creditors'!$G11</f>
        <v>0</v>
      </c>
      <c r="I11" s="2">
        <v>45938.0</v>
      </c>
      <c r="J11" s="1"/>
      <c r="K11" s="2"/>
      <c r="L11" s="5"/>
      <c r="M11" s="9" t="s">
        <v>22</v>
      </c>
      <c r="N11" s="9" t="s">
        <v>23</v>
      </c>
      <c r="O11" s="10">
        <f>'data on outstanding creditors'!$E11*100/107</f>
        <v>7710.280374</v>
      </c>
      <c r="P11" s="10">
        <f>'data on outstanding creditors'!$E11-'data on outstanding creditors'!$O11</f>
        <v>539.7196262</v>
      </c>
      <c r="Q11" s="7">
        <f>DAY('data on outstanding creditors'!$B11)</f>
        <v>17</v>
      </c>
      <c r="R11" s="7">
        <f>MONTH('data on outstanding creditors'!$B11)</f>
        <v>4</v>
      </c>
      <c r="S11" s="7">
        <f>YEAR('data on outstanding creditors'!$B11)</f>
        <v>2025</v>
      </c>
      <c r="T11" s="11" t="str">
        <f>'data on outstanding creditors'!$C11&amp;" "&amp;'data on outstanding creditors'!$D11&amp;" "&amp;TEXT('data on outstanding creditors'!$E11,"#,##0.00")</f>
        <v>บ.เซ็นทรัลโพลีเทรดดิ้ง 31i25019285 8,250.00</v>
      </c>
      <c r="U11" s="8"/>
    </row>
    <row r="12" ht="13.5" customHeight="1">
      <c r="A12" s="1"/>
      <c r="B12" s="2">
        <v>45765.0</v>
      </c>
      <c r="C12" s="9" t="s">
        <v>24</v>
      </c>
      <c r="D12" s="1" t="s">
        <v>34</v>
      </c>
      <c r="E12" s="4">
        <v>35000.0</v>
      </c>
      <c r="F12" s="4">
        <v>35000.0</v>
      </c>
      <c r="G12" s="4"/>
      <c r="H12" s="4">
        <f>'data on outstanding creditors'!$E12-'data on outstanding creditors'!$F12-'data on outstanding creditors'!$G12</f>
        <v>0</v>
      </c>
      <c r="I12" s="2">
        <v>45938.0</v>
      </c>
      <c r="J12" s="1"/>
      <c r="K12" s="2"/>
      <c r="L12" s="5"/>
      <c r="M12" s="9" t="s">
        <v>22</v>
      </c>
      <c r="N12" s="9" t="s">
        <v>23</v>
      </c>
      <c r="O12" s="10">
        <f>'data on outstanding creditors'!$E12*100/107</f>
        <v>32710.28037</v>
      </c>
      <c r="P12" s="10">
        <f>'data on outstanding creditors'!$E12-'data on outstanding creditors'!$O12</f>
        <v>2289.719626</v>
      </c>
      <c r="Q12" s="7">
        <f>DAY('data on outstanding creditors'!$B12)</f>
        <v>18</v>
      </c>
      <c r="R12" s="7">
        <f>MONTH('data on outstanding creditors'!$B12)</f>
        <v>4</v>
      </c>
      <c r="S12" s="7">
        <f>YEAR('data on outstanding creditors'!$B12)</f>
        <v>2025</v>
      </c>
      <c r="T12" s="11" t="str">
        <f>'data on outstanding creditors'!$C12&amp;" "&amp;'data on outstanding creditors'!$D12&amp;" "&amp;TEXT('data on outstanding creditors'!$E12,"#,##0.00")</f>
        <v>บ.เซ็นทรัลโพลีเทรดดิ้ง 31i25019846 35,000.00</v>
      </c>
      <c r="U12" s="8"/>
    </row>
    <row r="13" ht="13.5" customHeight="1">
      <c r="A13" s="1"/>
      <c r="B13" s="2">
        <v>45765.0</v>
      </c>
      <c r="C13" s="9" t="s">
        <v>24</v>
      </c>
      <c r="D13" s="1" t="s">
        <v>35</v>
      </c>
      <c r="E13" s="4">
        <v>8750.0</v>
      </c>
      <c r="F13" s="4">
        <v>8750.0</v>
      </c>
      <c r="G13" s="4"/>
      <c r="H13" s="4">
        <f>'data on outstanding creditors'!$E13-'data on outstanding creditors'!$F13-'data on outstanding creditors'!$G13</f>
        <v>0</v>
      </c>
      <c r="I13" s="2">
        <v>45938.0</v>
      </c>
      <c r="J13" s="1"/>
      <c r="K13" s="2"/>
      <c r="L13" s="5"/>
      <c r="M13" s="9" t="s">
        <v>22</v>
      </c>
      <c r="N13" s="9" t="s">
        <v>23</v>
      </c>
      <c r="O13" s="10">
        <f>'data on outstanding creditors'!$E13*100/107</f>
        <v>8177.570093</v>
      </c>
      <c r="P13" s="10">
        <f>'data on outstanding creditors'!$E13-'data on outstanding creditors'!$O13</f>
        <v>572.4299065</v>
      </c>
      <c r="Q13" s="7">
        <f>DAY('data on outstanding creditors'!$B13)</f>
        <v>18</v>
      </c>
      <c r="R13" s="7">
        <f>MONTH('data on outstanding creditors'!$B13)</f>
        <v>4</v>
      </c>
      <c r="S13" s="7">
        <f>YEAR('data on outstanding creditors'!$B13)</f>
        <v>2025</v>
      </c>
      <c r="T13" s="11" t="str">
        <f>'data on outstanding creditors'!$C13&amp;" "&amp;'data on outstanding creditors'!$D13&amp;" "&amp;TEXT('data on outstanding creditors'!$E13,"#,##0.00")</f>
        <v>บ.เซ็นทรัลโพลีเทรดดิ้ง 31i25020207 8,750.00</v>
      </c>
      <c r="U13" s="8"/>
    </row>
    <row r="14" ht="13.5" customHeight="1">
      <c r="A14" s="1"/>
      <c r="B14" s="2">
        <v>45772.0</v>
      </c>
      <c r="C14" s="9" t="s">
        <v>24</v>
      </c>
      <c r="D14" s="1" t="s">
        <v>36</v>
      </c>
      <c r="E14" s="4">
        <v>38400.0</v>
      </c>
      <c r="F14" s="4">
        <v>38400.0</v>
      </c>
      <c r="G14" s="4"/>
      <c r="H14" s="4">
        <f>'data on outstanding creditors'!$E14-'data on outstanding creditors'!$F14-'data on outstanding creditors'!$G14</f>
        <v>0</v>
      </c>
      <c r="I14" s="2">
        <v>45938.0</v>
      </c>
      <c r="J14" s="1"/>
      <c r="K14" s="2"/>
      <c r="L14" s="5"/>
      <c r="M14" s="9" t="s">
        <v>22</v>
      </c>
      <c r="N14" s="9" t="s">
        <v>23</v>
      </c>
      <c r="O14" s="10">
        <f>'data on outstanding creditors'!$E14*100/107</f>
        <v>35887.85047</v>
      </c>
      <c r="P14" s="10">
        <f>'data on outstanding creditors'!$E14-'data on outstanding creditors'!$O14</f>
        <v>2512.149533</v>
      </c>
      <c r="Q14" s="7">
        <f>DAY('data on outstanding creditors'!$B14)</f>
        <v>25</v>
      </c>
      <c r="R14" s="7">
        <f>MONTH('data on outstanding creditors'!$B14)</f>
        <v>4</v>
      </c>
      <c r="S14" s="7">
        <f>YEAR('data on outstanding creditors'!$B14)</f>
        <v>2025</v>
      </c>
      <c r="T14" s="11" t="str">
        <f>'data on outstanding creditors'!$C14&amp;" "&amp;'data on outstanding creditors'!$D14&amp;" "&amp;TEXT('data on outstanding creditors'!$E14,"#,##0.00")</f>
        <v>บ.เซ็นทรัลโพลีเทรดดิ้ง 31i25021784 38,400.00</v>
      </c>
      <c r="U14" s="8"/>
    </row>
    <row r="15" ht="13.5" customHeight="1">
      <c r="A15" s="1"/>
      <c r="B15" s="2">
        <v>45785.0</v>
      </c>
      <c r="C15" s="9" t="s">
        <v>24</v>
      </c>
      <c r="D15" s="1" t="s">
        <v>37</v>
      </c>
      <c r="E15" s="4">
        <v>68000.0</v>
      </c>
      <c r="F15" s="4">
        <v>68000.0</v>
      </c>
      <c r="G15" s="4"/>
      <c r="H15" s="4">
        <f>'data on outstanding creditors'!$E15-'data on outstanding creditors'!$F15-'data on outstanding creditors'!$G15</f>
        <v>0</v>
      </c>
      <c r="I15" s="2">
        <v>45938.0</v>
      </c>
      <c r="J15" s="1"/>
      <c r="K15" s="2"/>
      <c r="L15" s="5"/>
      <c r="M15" s="9" t="s">
        <v>22</v>
      </c>
      <c r="N15" s="9" t="s">
        <v>23</v>
      </c>
      <c r="O15" s="10">
        <f>'data on outstanding creditors'!$E15*100/107</f>
        <v>63551.40187</v>
      </c>
      <c r="P15" s="10">
        <f>'data on outstanding creditors'!$E15-'data on outstanding creditors'!$O15</f>
        <v>4448.598131</v>
      </c>
      <c r="Q15" s="7">
        <f>DAY('data on outstanding creditors'!$B15)</f>
        <v>8</v>
      </c>
      <c r="R15" s="7">
        <f>MONTH('data on outstanding creditors'!$B15)</f>
        <v>5</v>
      </c>
      <c r="S15" s="7">
        <f>YEAR('data on outstanding creditors'!$B15)</f>
        <v>2025</v>
      </c>
      <c r="T15" s="11" t="str">
        <f>'data on outstanding creditors'!$C15&amp;" "&amp;'data on outstanding creditors'!$D15&amp;" "&amp;TEXT('data on outstanding creditors'!$E15,"#,##0.00")</f>
        <v>บ.เซ็นทรัลโพลีเทรดดิ้ง 31i25024063 68,000.00</v>
      </c>
      <c r="U15" s="8"/>
    </row>
    <row r="16" ht="13.5" customHeight="1">
      <c r="A16" s="1"/>
      <c r="B16" s="2">
        <v>45798.0</v>
      </c>
      <c r="C16" s="9" t="s">
        <v>24</v>
      </c>
      <c r="D16" s="1" t="s">
        <v>38</v>
      </c>
      <c r="E16" s="4">
        <v>10000.0</v>
      </c>
      <c r="F16" s="4">
        <v>10000.0</v>
      </c>
      <c r="G16" s="4"/>
      <c r="H16" s="4">
        <f>'data on outstanding creditors'!$E16-'data on outstanding creditors'!$F16-'data on outstanding creditors'!$G16</f>
        <v>0</v>
      </c>
      <c r="I16" s="2">
        <v>45938.0</v>
      </c>
      <c r="J16" s="1"/>
      <c r="K16" s="2"/>
      <c r="L16" s="5"/>
      <c r="M16" s="9" t="s">
        <v>22</v>
      </c>
      <c r="N16" s="9" t="s">
        <v>23</v>
      </c>
      <c r="O16" s="10">
        <f>'data on outstanding creditors'!$E16*100/107</f>
        <v>9345.794393</v>
      </c>
      <c r="P16" s="10">
        <f>'data on outstanding creditors'!$E16-'data on outstanding creditors'!$O16</f>
        <v>654.2056075</v>
      </c>
      <c r="Q16" s="7">
        <f>DAY('data on outstanding creditors'!$B16)</f>
        <v>21</v>
      </c>
      <c r="R16" s="7">
        <f>MONTH('data on outstanding creditors'!$B16)</f>
        <v>5</v>
      </c>
      <c r="S16" s="7">
        <f>YEAR('data on outstanding creditors'!$B16)</f>
        <v>2025</v>
      </c>
      <c r="T16" s="11" t="str">
        <f>'data on outstanding creditors'!$C16&amp;" "&amp;'data on outstanding creditors'!$D16&amp;" "&amp;TEXT('data on outstanding creditors'!$E16,"#,##0.00")</f>
        <v>บ.เซ็นทรัลโพลีเทรดดิ้ง 31i25026539 10,000.00</v>
      </c>
      <c r="U16" s="8"/>
    </row>
    <row r="17" ht="13.5" customHeight="1">
      <c r="A17" s="1"/>
      <c r="B17" s="2">
        <v>45804.0</v>
      </c>
      <c r="C17" s="9" t="s">
        <v>24</v>
      </c>
      <c r="D17" s="1" t="s">
        <v>39</v>
      </c>
      <c r="E17" s="4">
        <v>13600.0</v>
      </c>
      <c r="F17" s="4">
        <v>13600.0</v>
      </c>
      <c r="G17" s="4"/>
      <c r="H17" s="4">
        <f>'data on outstanding creditors'!$E17-'data on outstanding creditors'!$F17-'data on outstanding creditors'!$G17</f>
        <v>0</v>
      </c>
      <c r="I17" s="2">
        <v>45938.0</v>
      </c>
      <c r="J17" s="1"/>
      <c r="K17" s="2"/>
      <c r="L17" s="5"/>
      <c r="M17" s="9" t="s">
        <v>22</v>
      </c>
      <c r="N17" s="9" t="s">
        <v>23</v>
      </c>
      <c r="O17" s="10">
        <f>'data on outstanding creditors'!$E17*100/107</f>
        <v>12710.28037</v>
      </c>
      <c r="P17" s="10">
        <f>'data on outstanding creditors'!$E17-'data on outstanding creditors'!$O17</f>
        <v>889.7196262</v>
      </c>
      <c r="Q17" s="7">
        <f>DAY('data on outstanding creditors'!$B17)</f>
        <v>27</v>
      </c>
      <c r="R17" s="7">
        <f>MONTH('data on outstanding creditors'!$B17)</f>
        <v>5</v>
      </c>
      <c r="S17" s="7">
        <f>YEAR('data on outstanding creditors'!$B17)</f>
        <v>2025</v>
      </c>
      <c r="T17" s="11" t="str">
        <f>'data on outstanding creditors'!$C17&amp;" "&amp;'data on outstanding creditors'!$D17&amp;" "&amp;TEXT('data on outstanding creditors'!$E17,"#,##0.00")</f>
        <v>บ.เซ็นทรัลโพลีเทรดดิ้ง 31i25028103 13,600.00</v>
      </c>
      <c r="U17" s="8"/>
    </row>
    <row r="18" ht="13.5" customHeight="1">
      <c r="A18" s="1"/>
      <c r="B18" s="2">
        <v>45805.0</v>
      </c>
      <c r="C18" s="9" t="s">
        <v>24</v>
      </c>
      <c r="D18" s="1" t="s">
        <v>40</v>
      </c>
      <c r="E18" s="4">
        <v>43200.0</v>
      </c>
      <c r="F18" s="4">
        <v>43200.0</v>
      </c>
      <c r="G18" s="4"/>
      <c r="H18" s="4">
        <f>'data on outstanding creditors'!$E18-'data on outstanding creditors'!$F18-'data on outstanding creditors'!$G18</f>
        <v>0</v>
      </c>
      <c r="I18" s="2">
        <v>45938.0</v>
      </c>
      <c r="J18" s="1"/>
      <c r="K18" s="2"/>
      <c r="L18" s="5"/>
      <c r="M18" s="9" t="s">
        <v>22</v>
      </c>
      <c r="N18" s="9" t="s">
        <v>23</v>
      </c>
      <c r="O18" s="10">
        <f>'data on outstanding creditors'!$E18*100/107</f>
        <v>40373.83178</v>
      </c>
      <c r="P18" s="10">
        <f>'data on outstanding creditors'!$E18-'data on outstanding creditors'!$O18</f>
        <v>2826.168224</v>
      </c>
      <c r="Q18" s="7">
        <f>DAY('data on outstanding creditors'!$B18)</f>
        <v>28</v>
      </c>
      <c r="R18" s="7">
        <f>MONTH('data on outstanding creditors'!$B18)</f>
        <v>5</v>
      </c>
      <c r="S18" s="7">
        <f>YEAR('data on outstanding creditors'!$B18)</f>
        <v>2025</v>
      </c>
      <c r="T18" s="11" t="str">
        <f>'data on outstanding creditors'!$C18&amp;" "&amp;'data on outstanding creditors'!$D18&amp;" "&amp;TEXT('data on outstanding creditors'!$E18,"#,##0.00")</f>
        <v>บ.เซ็นทรัลโพลีเทรดดิ้ง 31i25028102 43,200.00</v>
      </c>
      <c r="U18" s="8"/>
    </row>
    <row r="19" ht="13.5" customHeight="1">
      <c r="A19" s="1"/>
      <c r="B19" s="2">
        <v>45687.0</v>
      </c>
      <c r="C19" s="9" t="s">
        <v>41</v>
      </c>
      <c r="D19" s="1" t="s">
        <v>42</v>
      </c>
      <c r="E19" s="4">
        <v>6000.0</v>
      </c>
      <c r="F19" s="4">
        <v>6000.0</v>
      </c>
      <c r="G19" s="4"/>
      <c r="H19" s="4">
        <f>'data on outstanding creditors'!$E19-'data on outstanding creditors'!$F19-'data on outstanding creditors'!$G19</f>
        <v>0</v>
      </c>
      <c r="I19" s="2">
        <v>45938.0</v>
      </c>
      <c r="J19" s="1"/>
      <c r="K19" s="2"/>
      <c r="L19" s="5"/>
      <c r="M19" s="9" t="s">
        <v>43</v>
      </c>
      <c r="N19" s="9" t="s">
        <v>44</v>
      </c>
      <c r="O19" s="10">
        <f>'data on outstanding creditors'!$E19*100/107</f>
        <v>5607.476636</v>
      </c>
      <c r="P19" s="10">
        <f>'data on outstanding creditors'!$E19-'data on outstanding creditors'!$O19</f>
        <v>392.5233645</v>
      </c>
      <c r="Q19" s="7">
        <f>DAY('data on outstanding creditors'!$B19)</f>
        <v>30</v>
      </c>
      <c r="R19" s="7">
        <f>MONTH('data on outstanding creditors'!$B19)</f>
        <v>1</v>
      </c>
      <c r="S19" s="7">
        <f>YEAR('data on outstanding creditors'!$B19)</f>
        <v>2025</v>
      </c>
      <c r="T19" s="11" t="str">
        <f>'data on outstanding creditors'!$C19&amp;" "&amp;'data on outstanding creditors'!$D19&amp;" "&amp;TEXT('data on outstanding creditors'!$E19,"#,##0.00")</f>
        <v>บ.เอ็นราฟ-โนเนียส เมดิคอล อิควิปเมนท์ I6801/00064 6,000.00</v>
      </c>
      <c r="U19" s="8"/>
    </row>
    <row r="20" ht="13.5" customHeight="1">
      <c r="A20" s="1" t="s">
        <v>45</v>
      </c>
      <c r="B20" s="2">
        <v>45869.0</v>
      </c>
      <c r="C20" s="9" t="s">
        <v>46</v>
      </c>
      <c r="D20" s="1" t="s">
        <v>47</v>
      </c>
      <c r="E20" s="4">
        <v>138638.8</v>
      </c>
      <c r="F20" s="4">
        <v>138638.8</v>
      </c>
      <c r="G20" s="4"/>
      <c r="H20" s="4">
        <f>'data on outstanding creditors'!$E20-'data on outstanding creditors'!$F20-'data on outstanding creditors'!$G20</f>
        <v>0</v>
      </c>
      <c r="I20" s="2">
        <v>45938.0</v>
      </c>
      <c r="J20" s="1"/>
      <c r="K20" s="2"/>
      <c r="L20" s="5"/>
      <c r="M20" s="9" t="s">
        <v>48</v>
      </c>
      <c r="N20" s="9" t="s">
        <v>49</v>
      </c>
      <c r="O20" s="10">
        <f>'data on outstanding creditors'!$E20*100/107</f>
        <v>129568.972</v>
      </c>
      <c r="P20" s="10">
        <f>'data on outstanding creditors'!$E20-'data on outstanding creditors'!$O20</f>
        <v>9069.828037</v>
      </c>
      <c r="Q20" s="7">
        <f>DAY('data on outstanding creditors'!$B20)</f>
        <v>31</v>
      </c>
      <c r="R20" s="7">
        <f>MONTH('data on outstanding creditors'!$B20)</f>
        <v>7</v>
      </c>
      <c r="S20" s="7">
        <f>YEAR('data on outstanding creditors'!$B20)</f>
        <v>2025</v>
      </c>
      <c r="T20" s="11" t="str">
        <f>'data on outstanding creditors'!$C20&amp;" "&amp;'data on outstanding creditors'!$D20&amp;" "&amp;TEXT('data on outstanding creditors'!$E20,"#,##0.00")</f>
        <v>บ.เดอะคอนเนคเซอร์วิสเซล BL2025070058 138,638.80</v>
      </c>
      <c r="U20" s="8"/>
    </row>
    <row r="21" ht="13.5" customHeight="1">
      <c r="A21" s="1" t="s">
        <v>45</v>
      </c>
      <c r="B21" s="2">
        <v>45901.0</v>
      </c>
      <c r="C21" s="9" t="s">
        <v>46</v>
      </c>
      <c r="D21" s="1" t="s">
        <v>50</v>
      </c>
      <c r="E21" s="4">
        <v>207955.17</v>
      </c>
      <c r="F21" s="4">
        <v>207955.17</v>
      </c>
      <c r="G21" s="4"/>
      <c r="H21" s="4">
        <f>'data on outstanding creditors'!$E21-'data on outstanding creditors'!$F21-'data on outstanding creditors'!$G21</f>
        <v>0</v>
      </c>
      <c r="I21" s="2">
        <v>45938.0</v>
      </c>
      <c r="J21" s="1"/>
      <c r="K21" s="2"/>
      <c r="L21" s="5"/>
      <c r="M21" s="9" t="s">
        <v>48</v>
      </c>
      <c r="N21" s="9" t="s">
        <v>49</v>
      </c>
      <c r="O21" s="10">
        <f>'data on outstanding creditors'!$E21*100/107</f>
        <v>194350.6262</v>
      </c>
      <c r="P21" s="10">
        <f>'data on outstanding creditors'!$E21-'data on outstanding creditors'!$O21</f>
        <v>13604.54383</v>
      </c>
      <c r="Q21" s="7">
        <f>DAY('data on outstanding creditors'!$B21)</f>
        <v>1</v>
      </c>
      <c r="R21" s="7">
        <f>MONTH('data on outstanding creditors'!$B21)</f>
        <v>9</v>
      </c>
      <c r="S21" s="7">
        <f>YEAR('data on outstanding creditors'!$B21)</f>
        <v>2025</v>
      </c>
      <c r="T21" s="11" t="str">
        <f>'data on outstanding creditors'!$C21&amp;" "&amp;'data on outstanding creditors'!$D21&amp;" "&amp;TEXT('data on outstanding creditors'!$E21,"#,##0.00")</f>
        <v>บ.เดอะคอนเนคเซอร์วิสเซล BL2025080063 207,955.17</v>
      </c>
      <c r="U21" s="8"/>
    </row>
    <row r="22" ht="13.5" customHeight="1">
      <c r="A22" s="1" t="s">
        <v>51</v>
      </c>
      <c r="B22" s="2">
        <v>45807.0</v>
      </c>
      <c r="C22" s="9" t="s">
        <v>52</v>
      </c>
      <c r="D22" s="1" t="s">
        <v>53</v>
      </c>
      <c r="E22" s="4">
        <v>139177.5</v>
      </c>
      <c r="F22" s="4">
        <v>139177.5</v>
      </c>
      <c r="G22" s="4"/>
      <c r="H22" s="4">
        <f>'data on outstanding creditors'!$E22-'data on outstanding creditors'!$F22-'data on outstanding creditors'!$G22</f>
        <v>0</v>
      </c>
      <c r="I22" s="2">
        <v>45938.0</v>
      </c>
      <c r="J22" s="1"/>
      <c r="K22" s="2"/>
      <c r="L22" s="5"/>
      <c r="M22" s="9" t="s">
        <v>54</v>
      </c>
      <c r="N22" s="9" t="s">
        <v>49</v>
      </c>
      <c r="O22" s="10">
        <f>'data on outstanding creditors'!$E22*100/107</f>
        <v>130072.4299</v>
      </c>
      <c r="P22" s="10">
        <f>'data on outstanding creditors'!$E22-'data on outstanding creditors'!$O22</f>
        <v>9105.070093</v>
      </c>
      <c r="Q22" s="7">
        <f>DAY('data on outstanding creditors'!$B22)</f>
        <v>30</v>
      </c>
      <c r="R22" s="7">
        <f>MONTH('data on outstanding creditors'!$B22)</f>
        <v>5</v>
      </c>
      <c r="S22" s="7">
        <f>YEAR('data on outstanding creditors'!$B22)</f>
        <v>2025</v>
      </c>
      <c r="T22" s="11" t="str">
        <f>'data on outstanding creditors'!$C22&amp;" "&amp;'data on outstanding creditors'!$D22&amp;" "&amp;TEXT('data on outstanding creditors'!$E22,"#,##0.00")</f>
        <v>หจก.ส.เรืองโรจน์สระบุรี IV92173/030668 139,177.50</v>
      </c>
      <c r="U22" s="8"/>
    </row>
    <row r="23" ht="13.5" customHeight="1">
      <c r="A23" s="1" t="s">
        <v>55</v>
      </c>
      <c r="B23" s="2">
        <v>45852.0</v>
      </c>
      <c r="C23" s="9" t="s">
        <v>56</v>
      </c>
      <c r="D23" s="1" t="s">
        <v>57</v>
      </c>
      <c r="E23" s="4">
        <v>3177.9</v>
      </c>
      <c r="F23" s="4">
        <v>3177.9</v>
      </c>
      <c r="G23" s="4"/>
      <c r="H23" s="4">
        <f>'data on outstanding creditors'!$E23-'data on outstanding creditors'!$F23-'data on outstanding creditors'!$G23</f>
        <v>0</v>
      </c>
      <c r="I23" s="2">
        <v>45938.0</v>
      </c>
      <c r="J23" s="1"/>
      <c r="K23" s="2"/>
      <c r="L23" s="5"/>
      <c r="M23" s="9" t="s">
        <v>58</v>
      </c>
      <c r="N23" s="9" t="s">
        <v>49</v>
      </c>
      <c r="O23" s="10">
        <f>'data on outstanding creditors'!$E23*100/107</f>
        <v>2970</v>
      </c>
      <c r="P23" s="10">
        <f>'data on outstanding creditors'!$E23-'data on outstanding creditors'!$O23</f>
        <v>207.9</v>
      </c>
      <c r="Q23" s="7">
        <f>DAY('data on outstanding creditors'!$B23)</f>
        <v>14</v>
      </c>
      <c r="R23" s="7">
        <f>MONTH('data on outstanding creditors'!$B23)</f>
        <v>7</v>
      </c>
      <c r="S23" s="7">
        <f>YEAR('data on outstanding creditors'!$B23)</f>
        <v>2025</v>
      </c>
      <c r="T23" s="11" t="str">
        <f>'data on outstanding creditors'!$C23&amp;" "&amp;'data on outstanding creditors'!$D23&amp;" "&amp;TEXT('data on outstanding creditors'!$E23,"#,##0.00")</f>
        <v>บ.ห้องปฏิบัติการกลาง(ประเทศไทย) SIVKK-2506-0712 3,177.90</v>
      </c>
      <c r="U23" s="8"/>
    </row>
    <row r="24" ht="13.5" customHeight="1">
      <c r="A24" s="1"/>
      <c r="B24" s="2">
        <v>45673.0</v>
      </c>
      <c r="C24" s="9" t="s">
        <v>59</v>
      </c>
      <c r="D24" s="1" t="s">
        <v>60</v>
      </c>
      <c r="E24" s="4">
        <v>35100.0</v>
      </c>
      <c r="F24" s="4">
        <v>35100.0</v>
      </c>
      <c r="G24" s="4"/>
      <c r="H24" s="4">
        <f>'data on outstanding creditors'!$E24-'data on outstanding creditors'!$F24-'data on outstanding creditors'!$G24</f>
        <v>0</v>
      </c>
      <c r="I24" s="2">
        <v>45938.0</v>
      </c>
      <c r="J24" s="1"/>
      <c r="K24" s="2"/>
      <c r="L24" s="5"/>
      <c r="M24" s="9" t="s">
        <v>61</v>
      </c>
      <c r="N24" s="9" t="s">
        <v>49</v>
      </c>
      <c r="O24" s="10">
        <f>'data on outstanding creditors'!$E24*100/107</f>
        <v>32803.73832</v>
      </c>
      <c r="P24" s="10">
        <f>'data on outstanding creditors'!$E24-'data on outstanding creditors'!$O24</f>
        <v>2296.261682</v>
      </c>
      <c r="Q24" s="7">
        <f>DAY('data on outstanding creditors'!$B24)</f>
        <v>16</v>
      </c>
      <c r="R24" s="7">
        <f>MONTH('data on outstanding creditors'!$B24)</f>
        <v>1</v>
      </c>
      <c r="S24" s="7">
        <f>YEAR('data on outstanding creditors'!$B24)</f>
        <v>2025</v>
      </c>
      <c r="T24" s="11" t="str">
        <f>'data on outstanding creditors'!$C24&amp;" "&amp;'data on outstanding creditors'!$D24&amp;" "&amp;TEXT('data on outstanding creditors'!$E24,"#,##0.00")</f>
        <v>บ.ไทย เฮลท์ อิมเมจจิ้ง MRI  สิทธิ จ่ายตรง 001/028 11/67 35,100.00</v>
      </c>
      <c r="U24" s="8"/>
    </row>
    <row r="25" ht="13.5" customHeight="1">
      <c r="A25" s="1"/>
      <c r="B25" s="2">
        <v>45673.0</v>
      </c>
      <c r="C25" s="9" t="s">
        <v>59</v>
      </c>
      <c r="D25" s="1" t="s">
        <v>62</v>
      </c>
      <c r="E25" s="4">
        <v>134850.0</v>
      </c>
      <c r="F25" s="4">
        <v>134850.0</v>
      </c>
      <c r="G25" s="4"/>
      <c r="H25" s="4">
        <f>'data on outstanding creditors'!$E25-'data on outstanding creditors'!$F25-'data on outstanding creditors'!$G25</f>
        <v>0</v>
      </c>
      <c r="I25" s="2">
        <v>45938.0</v>
      </c>
      <c r="J25" s="1"/>
      <c r="K25" s="2"/>
      <c r="L25" s="5"/>
      <c r="M25" s="9" t="s">
        <v>61</v>
      </c>
      <c r="N25" s="9" t="s">
        <v>49</v>
      </c>
      <c r="O25" s="10">
        <f>'data on outstanding creditors'!$E25*100/107</f>
        <v>126028.0374</v>
      </c>
      <c r="P25" s="10">
        <f>'data on outstanding creditors'!$E25-'data on outstanding creditors'!$O25</f>
        <v>8821.962617</v>
      </c>
      <c r="Q25" s="7">
        <f>DAY('data on outstanding creditors'!$B25)</f>
        <v>16</v>
      </c>
      <c r="R25" s="7">
        <f>MONTH('data on outstanding creditors'!$B25)</f>
        <v>1</v>
      </c>
      <c r="S25" s="7">
        <f>YEAR('data on outstanding creditors'!$B25)</f>
        <v>2025</v>
      </c>
      <c r="T25" s="11" t="str">
        <f>'data on outstanding creditors'!$C25&amp;" "&amp;'data on outstanding creditors'!$D25&amp;" "&amp;TEXT('data on outstanding creditors'!$E25,"#,##0.00")</f>
        <v>บ.ไทย เฮลท์ อิมเมจจิ้ง MRI  สิทธิ จ่ายตรง 001/033 11/67 134,850.00</v>
      </c>
      <c r="U25" s="8"/>
    </row>
    <row r="26" ht="13.5" customHeight="1">
      <c r="A26" s="1"/>
      <c r="B26" s="2">
        <v>45673.0</v>
      </c>
      <c r="C26" s="9" t="s">
        <v>59</v>
      </c>
      <c r="D26" s="1" t="s">
        <v>63</v>
      </c>
      <c r="E26" s="4">
        <v>75550.0</v>
      </c>
      <c r="F26" s="4">
        <v>75550.0</v>
      </c>
      <c r="G26" s="4"/>
      <c r="H26" s="4">
        <f>'data on outstanding creditors'!$E26-'data on outstanding creditors'!$F26-'data on outstanding creditors'!$G26</f>
        <v>0</v>
      </c>
      <c r="I26" s="2">
        <v>45938.0</v>
      </c>
      <c r="J26" s="1"/>
      <c r="K26" s="2"/>
      <c r="L26" s="5"/>
      <c r="M26" s="9" t="s">
        <v>61</v>
      </c>
      <c r="N26" s="9" t="s">
        <v>49</v>
      </c>
      <c r="O26" s="10">
        <f>'data on outstanding creditors'!$E26*100/107</f>
        <v>70607.47664</v>
      </c>
      <c r="P26" s="10">
        <f>'data on outstanding creditors'!$E26-'data on outstanding creditors'!$O26</f>
        <v>4942.523364</v>
      </c>
      <c r="Q26" s="7">
        <f>DAY('data on outstanding creditors'!$B26)</f>
        <v>16</v>
      </c>
      <c r="R26" s="7">
        <f>MONTH('data on outstanding creditors'!$B26)</f>
        <v>1</v>
      </c>
      <c r="S26" s="7">
        <f>YEAR('data on outstanding creditors'!$B26)</f>
        <v>2025</v>
      </c>
      <c r="T26" s="11" t="str">
        <f>'data on outstanding creditors'!$C26&amp;" "&amp;'data on outstanding creditors'!$D26&amp;" "&amp;TEXT('data on outstanding creditors'!$E26,"#,##0.00")</f>
        <v>บ.ไทย เฮลท์ อิมเมจจิ้ง MRI  สิทธิ จ่ายตรง 001/034 11/67 75,550.00</v>
      </c>
      <c r="U26" s="8"/>
    </row>
    <row r="27" ht="13.5" customHeight="1">
      <c r="A27" s="1"/>
      <c r="B27" s="2">
        <v>45673.0</v>
      </c>
      <c r="C27" s="9" t="s">
        <v>64</v>
      </c>
      <c r="D27" s="1" t="s">
        <v>65</v>
      </c>
      <c r="E27" s="4">
        <v>13600.0</v>
      </c>
      <c r="F27" s="4">
        <v>13600.0</v>
      </c>
      <c r="G27" s="4"/>
      <c r="H27" s="4">
        <f>'data on outstanding creditors'!$E27-'data on outstanding creditors'!$F27-'data on outstanding creditors'!$G27</f>
        <v>0</v>
      </c>
      <c r="I27" s="2">
        <v>45938.0</v>
      </c>
      <c r="J27" s="1"/>
      <c r="K27" s="2"/>
      <c r="L27" s="5"/>
      <c r="M27" s="9" t="s">
        <v>61</v>
      </c>
      <c r="N27" s="9" t="s">
        <v>49</v>
      </c>
      <c r="O27" s="10">
        <f>'data on outstanding creditors'!$E27*100/107</f>
        <v>12710.28037</v>
      </c>
      <c r="P27" s="10">
        <f>'data on outstanding creditors'!$E27-'data on outstanding creditors'!$O27</f>
        <v>889.7196262</v>
      </c>
      <c r="Q27" s="7">
        <f>DAY('data on outstanding creditors'!$B27)</f>
        <v>16</v>
      </c>
      <c r="R27" s="7">
        <f>MONTH('data on outstanding creditors'!$B27)</f>
        <v>1</v>
      </c>
      <c r="S27" s="7">
        <f>YEAR('data on outstanding creditors'!$B27)</f>
        <v>2025</v>
      </c>
      <c r="T27" s="11" t="str">
        <f>'data on outstanding creditors'!$C27&amp;" "&amp;'data on outstanding creditors'!$D27&amp;" "&amp;TEXT('data on outstanding creditors'!$E27,"#,##0.00")</f>
        <v>บ.ไทย เฮลท์ อิมเมจจิ้ง MRI  สิทธิ ชำระเงิน 001/031 11/67 13,600.00</v>
      </c>
      <c r="U27" s="8"/>
    </row>
    <row r="28" ht="13.5" customHeight="1">
      <c r="A28" s="1"/>
      <c r="B28" s="2">
        <v>45673.0</v>
      </c>
      <c r="C28" s="9" t="s">
        <v>66</v>
      </c>
      <c r="D28" s="1" t="s">
        <v>67</v>
      </c>
      <c r="E28" s="4">
        <v>33950.0</v>
      </c>
      <c r="F28" s="4">
        <v>33950.0</v>
      </c>
      <c r="G28" s="4"/>
      <c r="H28" s="4">
        <f>'data on outstanding creditors'!$E28-'data on outstanding creditors'!$F28-'data on outstanding creditors'!$G28</f>
        <v>0</v>
      </c>
      <c r="I28" s="2">
        <v>45938.0</v>
      </c>
      <c r="J28" s="1"/>
      <c r="K28" s="2"/>
      <c r="L28" s="5"/>
      <c r="M28" s="9" t="s">
        <v>61</v>
      </c>
      <c r="N28" s="9" t="s">
        <v>49</v>
      </c>
      <c r="O28" s="10">
        <f>'data on outstanding creditors'!$E28*100/107</f>
        <v>31728.97196</v>
      </c>
      <c r="P28" s="10">
        <f>'data on outstanding creditors'!$E28-'data on outstanding creditors'!$O28</f>
        <v>2221.028037</v>
      </c>
      <c r="Q28" s="7">
        <f>DAY('data on outstanding creditors'!$B28)</f>
        <v>16</v>
      </c>
      <c r="R28" s="7">
        <f>MONTH('data on outstanding creditors'!$B28)</f>
        <v>1</v>
      </c>
      <c r="S28" s="7">
        <f>YEAR('data on outstanding creditors'!$B28)</f>
        <v>2025</v>
      </c>
      <c r="T28" s="11" t="str">
        <f>'data on outstanding creditors'!$C28&amp;" "&amp;'data on outstanding creditors'!$D28&amp;" "&amp;TEXT('data on outstanding creditors'!$E28,"#,##0.00")</f>
        <v>บ.ไทย เฮลท์ อิมเมจจิ้ง MRI  สิทธิ พรบ. 001/030 11/67 33,950.00</v>
      </c>
      <c r="U28" s="8"/>
    </row>
    <row r="29" ht="13.5" customHeight="1">
      <c r="A29" s="1"/>
      <c r="B29" s="2">
        <v>45673.0</v>
      </c>
      <c r="C29" s="9" t="s">
        <v>68</v>
      </c>
      <c r="D29" s="1" t="s">
        <v>69</v>
      </c>
      <c r="E29" s="4">
        <v>76950.0</v>
      </c>
      <c r="F29" s="4">
        <v>76950.0</v>
      </c>
      <c r="G29" s="4"/>
      <c r="H29" s="4">
        <f>'data on outstanding creditors'!$E29-'data on outstanding creditors'!$F29-'data on outstanding creditors'!$G29</f>
        <v>0</v>
      </c>
      <c r="I29" s="2">
        <v>45938.0</v>
      </c>
      <c r="J29" s="1"/>
      <c r="K29" s="2"/>
      <c r="L29" s="5"/>
      <c r="M29" s="9" t="s">
        <v>61</v>
      </c>
      <c r="N29" s="9" t="s">
        <v>49</v>
      </c>
      <c r="O29" s="10">
        <f>'data on outstanding creditors'!$E29*100/107</f>
        <v>71915.88785</v>
      </c>
      <c r="P29" s="10">
        <f>'data on outstanding creditors'!$E29-'data on outstanding creditors'!$O29</f>
        <v>5034.11215</v>
      </c>
      <c r="Q29" s="7">
        <f>DAY('data on outstanding creditors'!$B29)</f>
        <v>16</v>
      </c>
      <c r="R29" s="7">
        <f>MONTH('data on outstanding creditors'!$B29)</f>
        <v>1</v>
      </c>
      <c r="S29" s="7">
        <f>YEAR('data on outstanding creditors'!$B29)</f>
        <v>2025</v>
      </c>
      <c r="T29" s="11" t="str">
        <f>'data on outstanding creditors'!$C29&amp;" "&amp;'data on outstanding creditors'!$D29&amp;" "&amp;TEXT('data on outstanding creditors'!$E29,"#,##0.00")</f>
        <v>บ.ไทย เฮลท์ อิมเมจจิ้ง MRI  สิทธิ สปสช 001/027 11/67 76,950.00</v>
      </c>
      <c r="U29" s="8"/>
    </row>
    <row r="30" ht="13.5" customHeight="1">
      <c r="A30" s="1"/>
      <c r="B30" s="2">
        <v>45673.0</v>
      </c>
      <c r="C30" s="9" t="s">
        <v>68</v>
      </c>
      <c r="D30" s="1" t="s">
        <v>70</v>
      </c>
      <c r="E30" s="4">
        <v>142200.0</v>
      </c>
      <c r="F30" s="4">
        <v>142200.0</v>
      </c>
      <c r="G30" s="4"/>
      <c r="H30" s="4">
        <f>'data on outstanding creditors'!$E30-'data on outstanding creditors'!$F30-'data on outstanding creditors'!$G30</f>
        <v>0</v>
      </c>
      <c r="I30" s="2">
        <v>45938.0</v>
      </c>
      <c r="J30" s="1"/>
      <c r="K30" s="2"/>
      <c r="L30" s="5"/>
      <c r="M30" s="9" t="s">
        <v>61</v>
      </c>
      <c r="N30" s="9" t="s">
        <v>49</v>
      </c>
      <c r="O30" s="10">
        <f>'data on outstanding creditors'!$E30*100/107</f>
        <v>132897.1963</v>
      </c>
      <c r="P30" s="10">
        <f>'data on outstanding creditors'!$E30-'data on outstanding creditors'!$O30</f>
        <v>9302.803738</v>
      </c>
      <c r="Q30" s="7">
        <f>DAY('data on outstanding creditors'!$B30)</f>
        <v>16</v>
      </c>
      <c r="R30" s="7">
        <f>MONTH('data on outstanding creditors'!$B30)</f>
        <v>1</v>
      </c>
      <c r="S30" s="7">
        <f>YEAR('data on outstanding creditors'!$B30)</f>
        <v>2025</v>
      </c>
      <c r="T30" s="11" t="str">
        <f>'data on outstanding creditors'!$C30&amp;" "&amp;'data on outstanding creditors'!$D30&amp;" "&amp;TEXT('data on outstanding creditors'!$E30,"#,##0.00")</f>
        <v>บ.ไทย เฮลท์ อิมเมจจิ้ง MRI  สิทธิ สปสช 001/035 11/67 142,200.00</v>
      </c>
      <c r="U30" s="8"/>
    </row>
    <row r="31" ht="13.5" customHeight="1">
      <c r="A31" s="1"/>
      <c r="B31" s="2">
        <v>45673.0</v>
      </c>
      <c r="C31" s="9" t="s">
        <v>68</v>
      </c>
      <c r="D31" s="1" t="s">
        <v>71</v>
      </c>
      <c r="E31" s="4">
        <v>119700.0</v>
      </c>
      <c r="F31" s="4">
        <v>119700.0</v>
      </c>
      <c r="G31" s="4"/>
      <c r="H31" s="4">
        <f>'data on outstanding creditors'!$E31-'data on outstanding creditors'!$F31-'data on outstanding creditors'!$G31</f>
        <v>0</v>
      </c>
      <c r="I31" s="2">
        <v>45938.0</v>
      </c>
      <c r="J31" s="1"/>
      <c r="K31" s="2"/>
      <c r="L31" s="5"/>
      <c r="M31" s="9" t="s">
        <v>61</v>
      </c>
      <c r="N31" s="9" t="s">
        <v>49</v>
      </c>
      <c r="O31" s="10">
        <f>'data on outstanding creditors'!$E31*100/107</f>
        <v>111869.1589</v>
      </c>
      <c r="P31" s="10">
        <f>'data on outstanding creditors'!$E31-'data on outstanding creditors'!$O31</f>
        <v>7830.841121</v>
      </c>
      <c r="Q31" s="7">
        <f>DAY('data on outstanding creditors'!$B31)</f>
        <v>16</v>
      </c>
      <c r="R31" s="7">
        <f>MONTH('data on outstanding creditors'!$B31)</f>
        <v>1</v>
      </c>
      <c r="S31" s="7">
        <f>YEAR('data on outstanding creditors'!$B31)</f>
        <v>2025</v>
      </c>
      <c r="T31" s="11" t="str">
        <f>'data on outstanding creditors'!$C31&amp;" "&amp;'data on outstanding creditors'!$D31&amp;" "&amp;TEXT('data on outstanding creditors'!$E31,"#,##0.00")</f>
        <v>บ.ไทย เฮลท์ อิมเมจจิ้ง MRI  สิทธิ สปสช 001/036 11/67 119,700.00</v>
      </c>
      <c r="U31" s="8"/>
    </row>
    <row r="32" ht="13.5" customHeight="1">
      <c r="A32" s="1"/>
      <c r="B32" s="2">
        <v>45688.0</v>
      </c>
      <c r="C32" s="9" t="s">
        <v>59</v>
      </c>
      <c r="D32" s="1" t="s">
        <v>72</v>
      </c>
      <c r="E32" s="4">
        <v>18000.0</v>
      </c>
      <c r="F32" s="4">
        <v>18000.0</v>
      </c>
      <c r="G32" s="4"/>
      <c r="H32" s="4">
        <f>'data on outstanding creditors'!$E32-'data on outstanding creditors'!$F32-'data on outstanding creditors'!$G32</f>
        <v>0</v>
      </c>
      <c r="I32" s="2">
        <v>45938.0</v>
      </c>
      <c r="J32" s="1"/>
      <c r="K32" s="2"/>
      <c r="L32" s="5"/>
      <c r="M32" s="9" t="s">
        <v>61</v>
      </c>
      <c r="N32" s="9" t="s">
        <v>49</v>
      </c>
      <c r="O32" s="10">
        <f>'data on outstanding creditors'!$E32*100/107</f>
        <v>16822.42991</v>
      </c>
      <c r="P32" s="10">
        <f>'data on outstanding creditors'!$E32-'data on outstanding creditors'!$O32</f>
        <v>1177.570093</v>
      </c>
      <c r="Q32" s="7">
        <f>DAY('data on outstanding creditors'!$B32)</f>
        <v>31</v>
      </c>
      <c r="R32" s="7">
        <f>MONTH('data on outstanding creditors'!$B32)</f>
        <v>1</v>
      </c>
      <c r="S32" s="7">
        <f>YEAR('data on outstanding creditors'!$B32)</f>
        <v>2025</v>
      </c>
      <c r="T32" s="11" t="str">
        <f>'data on outstanding creditors'!$C32&amp;" "&amp;'data on outstanding creditors'!$D32&amp;" "&amp;TEXT('data on outstanding creditors'!$E32,"#,##0.00")</f>
        <v>บ.ไทย เฮลท์ อิมเมจจิ้ง MRI  สิทธิ จ่ายตรง 001/039 12/67 18,000.00</v>
      </c>
      <c r="U32" s="8"/>
    </row>
    <row r="33" ht="13.5" customHeight="1">
      <c r="A33" s="1"/>
      <c r="B33" s="2">
        <v>45688.0</v>
      </c>
      <c r="C33" s="9" t="s">
        <v>59</v>
      </c>
      <c r="D33" s="1" t="s">
        <v>73</v>
      </c>
      <c r="E33" s="4">
        <v>120450.0</v>
      </c>
      <c r="F33" s="4">
        <v>120450.0</v>
      </c>
      <c r="G33" s="4"/>
      <c r="H33" s="4">
        <f>'data on outstanding creditors'!$E33-'data on outstanding creditors'!$F33-'data on outstanding creditors'!$G33</f>
        <v>0</v>
      </c>
      <c r="I33" s="2">
        <v>45938.0</v>
      </c>
      <c r="J33" s="1"/>
      <c r="K33" s="2"/>
      <c r="L33" s="5"/>
      <c r="M33" s="9" t="s">
        <v>61</v>
      </c>
      <c r="N33" s="9" t="s">
        <v>49</v>
      </c>
      <c r="O33" s="10">
        <f>'data on outstanding creditors'!$E33*100/107</f>
        <v>112570.0935</v>
      </c>
      <c r="P33" s="10">
        <f>'data on outstanding creditors'!$E33-'data on outstanding creditors'!$O33</f>
        <v>7879.906542</v>
      </c>
      <c r="Q33" s="7">
        <f>DAY('data on outstanding creditors'!$B33)</f>
        <v>31</v>
      </c>
      <c r="R33" s="7">
        <f>MONTH('data on outstanding creditors'!$B33)</f>
        <v>1</v>
      </c>
      <c r="S33" s="7">
        <f>YEAR('data on outstanding creditors'!$B33)</f>
        <v>2025</v>
      </c>
      <c r="T33" s="11" t="str">
        <f>'data on outstanding creditors'!$C33&amp;" "&amp;'data on outstanding creditors'!$D33&amp;" "&amp;TEXT('data on outstanding creditors'!$E33,"#,##0.00")</f>
        <v>บ.ไทย เฮลท์ อิมเมจจิ้ง MRI  สิทธิ จ่ายตรง 001/042 12/67 120,450.00</v>
      </c>
      <c r="U33" s="8"/>
    </row>
    <row r="34" ht="13.5" customHeight="1">
      <c r="A34" s="1"/>
      <c r="B34" s="2">
        <v>45688.0</v>
      </c>
      <c r="C34" s="9" t="s">
        <v>59</v>
      </c>
      <c r="D34" s="1" t="s">
        <v>74</v>
      </c>
      <c r="E34" s="4">
        <v>66150.0</v>
      </c>
      <c r="F34" s="4">
        <v>66150.0</v>
      </c>
      <c r="G34" s="4"/>
      <c r="H34" s="4">
        <f>'data on outstanding creditors'!$E34-'data on outstanding creditors'!$F34-'data on outstanding creditors'!$G34</f>
        <v>0</v>
      </c>
      <c r="I34" s="2">
        <v>45938.0</v>
      </c>
      <c r="J34" s="1"/>
      <c r="K34" s="2"/>
      <c r="L34" s="5"/>
      <c r="M34" s="9" t="s">
        <v>61</v>
      </c>
      <c r="N34" s="9" t="s">
        <v>49</v>
      </c>
      <c r="O34" s="10">
        <f>'data on outstanding creditors'!$E34*100/107</f>
        <v>61822.42991</v>
      </c>
      <c r="P34" s="10">
        <f>'data on outstanding creditors'!$E34-'data on outstanding creditors'!$O34</f>
        <v>4327.570093</v>
      </c>
      <c r="Q34" s="7">
        <f>DAY('data on outstanding creditors'!$B34)</f>
        <v>31</v>
      </c>
      <c r="R34" s="7">
        <f>MONTH('data on outstanding creditors'!$B34)</f>
        <v>1</v>
      </c>
      <c r="S34" s="7">
        <f>YEAR('data on outstanding creditors'!$B34)</f>
        <v>2025</v>
      </c>
      <c r="T34" s="11" t="str">
        <f>'data on outstanding creditors'!$C34&amp;" "&amp;'data on outstanding creditors'!$D34&amp;" "&amp;TEXT('data on outstanding creditors'!$E34,"#,##0.00")</f>
        <v>บ.ไทย เฮลท์ อิมเมจจิ้ง MRI  สิทธิ จ่ายตรง 001/043 12/67 66,150.00</v>
      </c>
      <c r="U34" s="8"/>
    </row>
    <row r="35" ht="13.5" customHeight="1">
      <c r="A35" s="1"/>
      <c r="B35" s="2">
        <v>45688.0</v>
      </c>
      <c r="C35" s="9" t="s">
        <v>66</v>
      </c>
      <c r="D35" s="1" t="s">
        <v>75</v>
      </c>
      <c r="E35" s="4">
        <v>20400.0</v>
      </c>
      <c r="F35" s="4">
        <v>20400.0</v>
      </c>
      <c r="G35" s="4"/>
      <c r="H35" s="4">
        <f>'data on outstanding creditors'!$E35-'data on outstanding creditors'!$F35-'data on outstanding creditors'!$G35</f>
        <v>0</v>
      </c>
      <c r="I35" s="2">
        <v>45938.0</v>
      </c>
      <c r="J35" s="1"/>
      <c r="K35" s="2"/>
      <c r="L35" s="5"/>
      <c r="M35" s="9" t="s">
        <v>61</v>
      </c>
      <c r="N35" s="9" t="s">
        <v>49</v>
      </c>
      <c r="O35" s="10">
        <f>'data on outstanding creditors'!$E35*100/107</f>
        <v>19065.42056</v>
      </c>
      <c r="P35" s="10">
        <f>'data on outstanding creditors'!$E35-'data on outstanding creditors'!$O35</f>
        <v>1334.579439</v>
      </c>
      <c r="Q35" s="7">
        <f>DAY('data on outstanding creditors'!$B35)</f>
        <v>31</v>
      </c>
      <c r="R35" s="7">
        <f>MONTH('data on outstanding creditors'!$B35)</f>
        <v>1</v>
      </c>
      <c r="S35" s="7">
        <f>YEAR('data on outstanding creditors'!$B35)</f>
        <v>2025</v>
      </c>
      <c r="T35" s="11" t="str">
        <f>'data on outstanding creditors'!$C35&amp;" "&amp;'data on outstanding creditors'!$D35&amp;" "&amp;TEXT('data on outstanding creditors'!$E35,"#,##0.00")</f>
        <v>บ.ไทย เฮลท์ อิมเมจจิ้ง MRI  สิทธิ พรบ. 001/041 12/67 20,400.00</v>
      </c>
      <c r="U35" s="8"/>
    </row>
    <row r="36" ht="13.5" customHeight="1">
      <c r="A36" s="1"/>
      <c r="B36" s="2">
        <v>45688.0</v>
      </c>
      <c r="C36" s="9" t="s">
        <v>68</v>
      </c>
      <c r="D36" s="1" t="s">
        <v>76</v>
      </c>
      <c r="E36" s="4">
        <v>112950.0</v>
      </c>
      <c r="F36" s="4">
        <v>112950.0</v>
      </c>
      <c r="G36" s="4"/>
      <c r="H36" s="4">
        <f>'data on outstanding creditors'!$E36-'data on outstanding creditors'!$F36-'data on outstanding creditors'!$G36</f>
        <v>0</v>
      </c>
      <c r="I36" s="2">
        <v>45938.0</v>
      </c>
      <c r="J36" s="1"/>
      <c r="K36" s="2"/>
      <c r="L36" s="5"/>
      <c r="M36" s="9" t="s">
        <v>61</v>
      </c>
      <c r="N36" s="9" t="s">
        <v>49</v>
      </c>
      <c r="O36" s="10">
        <f>'data on outstanding creditors'!$E36*100/107</f>
        <v>105560.7477</v>
      </c>
      <c r="P36" s="10">
        <f>'data on outstanding creditors'!$E36-'data on outstanding creditors'!$O36</f>
        <v>7389.252336</v>
      </c>
      <c r="Q36" s="7">
        <f>DAY('data on outstanding creditors'!$B36)</f>
        <v>31</v>
      </c>
      <c r="R36" s="7">
        <f>MONTH('data on outstanding creditors'!$B36)</f>
        <v>1</v>
      </c>
      <c r="S36" s="7">
        <f>YEAR('data on outstanding creditors'!$B36)</f>
        <v>2025</v>
      </c>
      <c r="T36" s="11" t="str">
        <f>'data on outstanding creditors'!$C36&amp;" "&amp;'data on outstanding creditors'!$D36&amp;" "&amp;TEXT('data on outstanding creditors'!$E36,"#,##0.00")</f>
        <v>บ.ไทย เฮลท์ อิมเมจจิ้ง MRI  สิทธิ สปสช 001/038 12/67 112,950.00</v>
      </c>
      <c r="U36" s="8"/>
    </row>
    <row r="37" ht="13.5" customHeight="1">
      <c r="A37" s="1"/>
      <c r="B37" s="2">
        <v>45688.0</v>
      </c>
      <c r="C37" s="9" t="s">
        <v>68</v>
      </c>
      <c r="D37" s="1" t="s">
        <v>77</v>
      </c>
      <c r="E37" s="4">
        <v>109150.0</v>
      </c>
      <c r="F37" s="4">
        <v>109150.0</v>
      </c>
      <c r="G37" s="4"/>
      <c r="H37" s="4">
        <f>'data on outstanding creditors'!$E37-'data on outstanding creditors'!$F37-'data on outstanding creditors'!$G37</f>
        <v>0</v>
      </c>
      <c r="I37" s="2">
        <v>45938.0</v>
      </c>
      <c r="J37" s="1"/>
      <c r="K37" s="2"/>
      <c r="L37" s="5"/>
      <c r="M37" s="9" t="s">
        <v>61</v>
      </c>
      <c r="N37" s="9" t="s">
        <v>49</v>
      </c>
      <c r="O37" s="10">
        <f>'data on outstanding creditors'!$E37*100/107</f>
        <v>102009.3458</v>
      </c>
      <c r="P37" s="10">
        <f>'data on outstanding creditors'!$E37-'data on outstanding creditors'!$O37</f>
        <v>7140.654206</v>
      </c>
      <c r="Q37" s="7">
        <f>DAY('data on outstanding creditors'!$B37)</f>
        <v>31</v>
      </c>
      <c r="R37" s="7">
        <f>MONTH('data on outstanding creditors'!$B37)</f>
        <v>1</v>
      </c>
      <c r="S37" s="7">
        <f>YEAR('data on outstanding creditors'!$B37)</f>
        <v>2025</v>
      </c>
      <c r="T37" s="11" t="str">
        <f>'data on outstanding creditors'!$C37&amp;" "&amp;'data on outstanding creditors'!$D37&amp;" "&amp;TEXT('data on outstanding creditors'!$E37,"#,##0.00")</f>
        <v>บ.ไทย เฮลท์ อิมเมจจิ้ง MRI  สิทธิ สปสช 001/044 12/67 109,150.00</v>
      </c>
      <c r="U37" s="8"/>
    </row>
    <row r="38" ht="13.5" customHeight="1">
      <c r="A38" s="1"/>
      <c r="B38" s="2">
        <v>45688.0</v>
      </c>
      <c r="C38" s="9" t="s">
        <v>68</v>
      </c>
      <c r="D38" s="1" t="s">
        <v>78</v>
      </c>
      <c r="E38" s="4">
        <v>72000.0</v>
      </c>
      <c r="F38" s="4">
        <v>72000.0</v>
      </c>
      <c r="G38" s="4"/>
      <c r="H38" s="4">
        <f>'data on outstanding creditors'!$E38-'data on outstanding creditors'!$F38-'data on outstanding creditors'!$G38</f>
        <v>0</v>
      </c>
      <c r="I38" s="2">
        <v>45938.0</v>
      </c>
      <c r="J38" s="1"/>
      <c r="K38" s="2"/>
      <c r="L38" s="5"/>
      <c r="M38" s="9" t="s">
        <v>61</v>
      </c>
      <c r="N38" s="9" t="s">
        <v>49</v>
      </c>
      <c r="O38" s="10">
        <f>'data on outstanding creditors'!$E38*100/107</f>
        <v>67289.71963</v>
      </c>
      <c r="P38" s="10">
        <f>'data on outstanding creditors'!$E38-'data on outstanding creditors'!$O38</f>
        <v>4710.280374</v>
      </c>
      <c r="Q38" s="7">
        <f>DAY('data on outstanding creditors'!$B38)</f>
        <v>31</v>
      </c>
      <c r="R38" s="7">
        <f>MONTH('data on outstanding creditors'!$B38)</f>
        <v>1</v>
      </c>
      <c r="S38" s="7">
        <f>YEAR('data on outstanding creditors'!$B38)</f>
        <v>2025</v>
      </c>
      <c r="T38" s="11" t="str">
        <f>'data on outstanding creditors'!$C38&amp;" "&amp;'data on outstanding creditors'!$D38&amp;" "&amp;TEXT('data on outstanding creditors'!$E38,"#,##0.00")</f>
        <v>บ.ไทย เฮลท์ อิมเมจจิ้ง MRI  สิทธิ สปสช 001/045 12/67 72,000.00</v>
      </c>
      <c r="U38" s="8"/>
    </row>
    <row r="39" ht="13.5" customHeight="1">
      <c r="A39" s="1"/>
      <c r="B39" s="2">
        <v>45693.0</v>
      </c>
      <c r="C39" s="9" t="s">
        <v>79</v>
      </c>
      <c r="D39" s="1" t="s">
        <v>80</v>
      </c>
      <c r="E39" s="4">
        <v>49920.0</v>
      </c>
      <c r="F39" s="4">
        <v>49920.0</v>
      </c>
      <c r="G39" s="4"/>
      <c r="H39" s="4">
        <f>'data on outstanding creditors'!$E39-'data on outstanding creditors'!$F39-'data on outstanding creditors'!$G39</f>
        <v>0</v>
      </c>
      <c r="I39" s="2">
        <v>45938.0</v>
      </c>
      <c r="J39" s="1"/>
      <c r="K39" s="2"/>
      <c r="L39" s="5"/>
      <c r="M39" s="9" t="s">
        <v>61</v>
      </c>
      <c r="N39" s="9" t="s">
        <v>49</v>
      </c>
      <c r="O39" s="10">
        <f>'data on outstanding creditors'!$E39*100/107</f>
        <v>46654.20561</v>
      </c>
      <c r="P39" s="10">
        <f>'data on outstanding creditors'!$E39-'data on outstanding creditors'!$O39</f>
        <v>3265.794393</v>
      </c>
      <c r="Q39" s="7">
        <f>DAY('data on outstanding creditors'!$B39)</f>
        <v>5</v>
      </c>
      <c r="R39" s="7">
        <f>MONTH('data on outstanding creditors'!$B39)</f>
        <v>2</v>
      </c>
      <c r="S39" s="7">
        <f>YEAR('data on outstanding creditors'!$B39)</f>
        <v>2025</v>
      </c>
      <c r="T39" s="11" t="str">
        <f>'data on outstanding creditors'!$C39&amp;" "&amp;'data on outstanding creditors'!$D39&amp;" "&amp;TEXT('data on outstanding creditors'!$E39,"#,##0.00")</f>
        <v>บ.ไทย เฮลท์ อิมเมจจิ้ง MMG  สิทธิ สปสช 016/751 11/67 49,920.00</v>
      </c>
      <c r="U39" s="8"/>
    </row>
    <row r="40" ht="13.5" customHeight="1">
      <c r="A40" s="1"/>
      <c r="B40" s="2">
        <v>45693.0</v>
      </c>
      <c r="C40" s="9" t="s">
        <v>81</v>
      </c>
      <c r="D40" s="1" t="s">
        <v>82</v>
      </c>
      <c r="E40" s="4">
        <v>19200.0</v>
      </c>
      <c r="F40" s="4">
        <v>19200.0</v>
      </c>
      <c r="G40" s="4"/>
      <c r="H40" s="4">
        <f>'data on outstanding creditors'!$E40-'data on outstanding creditors'!$F40-'data on outstanding creditors'!$G40</f>
        <v>0</v>
      </c>
      <c r="I40" s="2">
        <v>45938.0</v>
      </c>
      <c r="J40" s="1"/>
      <c r="K40" s="2"/>
      <c r="L40" s="5"/>
      <c r="M40" s="9" t="s">
        <v>61</v>
      </c>
      <c r="N40" s="9" t="s">
        <v>49</v>
      </c>
      <c r="O40" s="10">
        <f>'data on outstanding creditors'!$E40*100/107</f>
        <v>17943.92523</v>
      </c>
      <c r="P40" s="10">
        <f>'data on outstanding creditors'!$E40-'data on outstanding creditors'!$O40</f>
        <v>1256.074766</v>
      </c>
      <c r="Q40" s="7">
        <f>DAY('data on outstanding creditors'!$B40)</f>
        <v>5</v>
      </c>
      <c r="R40" s="7">
        <f>MONTH('data on outstanding creditors'!$B40)</f>
        <v>2</v>
      </c>
      <c r="S40" s="7">
        <f>YEAR('data on outstanding creditors'!$B40)</f>
        <v>2025</v>
      </c>
      <c r="T40" s="11" t="str">
        <f>'data on outstanding creditors'!$C40&amp;" "&amp;'data on outstanding creditors'!$D40&amp;" "&amp;TEXT('data on outstanding creditors'!$E40,"#,##0.00")</f>
        <v>บ.ไทย เฮลท์ อิมเมจจิ้ง MMG  สิทธิ จ่ายตรง 016/752 11/67 19,200.00</v>
      </c>
      <c r="U40" s="8"/>
    </row>
    <row r="41" ht="13.5" customHeight="1">
      <c r="A41" s="1" t="s">
        <v>83</v>
      </c>
      <c r="B41" s="2">
        <v>45818.0</v>
      </c>
      <c r="C41" s="9" t="s">
        <v>84</v>
      </c>
      <c r="D41" s="1" t="s">
        <v>85</v>
      </c>
      <c r="E41" s="4">
        <v>114000.0</v>
      </c>
      <c r="F41" s="4">
        <v>114000.0</v>
      </c>
      <c r="G41" s="4"/>
      <c r="H41" s="4">
        <f>'data on outstanding creditors'!$E41-'data on outstanding creditors'!$F41-'data on outstanding creditors'!$G41</f>
        <v>0</v>
      </c>
      <c r="I41" s="2">
        <v>45938.0</v>
      </c>
      <c r="J41" s="1"/>
      <c r="K41" s="2"/>
      <c r="L41" s="5"/>
      <c r="M41" s="9" t="s">
        <v>86</v>
      </c>
      <c r="N41" s="9" t="s">
        <v>49</v>
      </c>
      <c r="O41" s="10">
        <f>'data on outstanding creditors'!$E41*100/107</f>
        <v>106542.0561</v>
      </c>
      <c r="P41" s="10">
        <f>'data on outstanding creditors'!$E41-'data on outstanding creditors'!$O41</f>
        <v>7457.943925</v>
      </c>
      <c r="Q41" s="7">
        <f>DAY('data on outstanding creditors'!$B41)</f>
        <v>10</v>
      </c>
      <c r="R41" s="7">
        <f>MONTH('data on outstanding creditors'!$B41)</f>
        <v>6</v>
      </c>
      <c r="S41" s="7">
        <f>YEAR('data on outstanding creditors'!$B41)</f>
        <v>2025</v>
      </c>
      <c r="T41" s="11" t="str">
        <f>'data on outstanding creditors'!$C41&amp;" "&amp;'data on outstanding creditors'!$D41&amp;" "&amp;TEXT('data on outstanding creditors'!$E41,"#,##0.00")</f>
        <v>ร้าน สมาร์ทดอกคิวเมนท์ S680005 114,000.00</v>
      </c>
      <c r="U41" s="8"/>
    </row>
    <row r="42" ht="13.5" customHeight="1">
      <c r="A42" s="1" t="s">
        <v>87</v>
      </c>
      <c r="B42" s="2">
        <v>45845.0</v>
      </c>
      <c r="C42" s="9" t="s">
        <v>88</v>
      </c>
      <c r="D42" s="1" t="s">
        <v>89</v>
      </c>
      <c r="E42" s="4">
        <v>39000.0</v>
      </c>
      <c r="F42" s="4">
        <v>39000.0</v>
      </c>
      <c r="G42" s="4"/>
      <c r="H42" s="4">
        <f>'data on outstanding creditors'!$E42-'data on outstanding creditors'!$F42-'data on outstanding creditors'!$G42</f>
        <v>0</v>
      </c>
      <c r="I42" s="2">
        <v>45938.0</v>
      </c>
      <c r="J42" s="1"/>
      <c r="K42" s="2"/>
      <c r="L42" s="5"/>
      <c r="M42" s="9" t="s">
        <v>90</v>
      </c>
      <c r="N42" s="9" t="s">
        <v>49</v>
      </c>
      <c r="O42" s="10">
        <f>'data on outstanding creditors'!$E42*100/107</f>
        <v>36448.59813</v>
      </c>
      <c r="P42" s="10">
        <f>'data on outstanding creditors'!$E42-'data on outstanding creditors'!$O42</f>
        <v>2551.401869</v>
      </c>
      <c r="Q42" s="7">
        <f>DAY('data on outstanding creditors'!$B42)</f>
        <v>7</v>
      </c>
      <c r="R42" s="7">
        <f>MONTH('data on outstanding creditors'!$B42)</f>
        <v>7</v>
      </c>
      <c r="S42" s="7">
        <f>YEAR('data on outstanding creditors'!$B42)</f>
        <v>2025</v>
      </c>
      <c r="T42" s="11" t="str">
        <f>'data on outstanding creditors'!$C42&amp;" "&amp;'data on outstanding creditors'!$D42&amp;" "&amp;TEXT('data on outstanding creditors'!$E42,"#,##0.00")</f>
        <v>บ.ดูวอนไทย DW088/2568 39,000.00</v>
      </c>
      <c r="U42" s="8"/>
    </row>
    <row r="43" ht="13.5" customHeight="1">
      <c r="A43" s="1" t="s">
        <v>91</v>
      </c>
      <c r="B43" s="2">
        <v>45889.0</v>
      </c>
      <c r="C43" s="9" t="s">
        <v>92</v>
      </c>
      <c r="D43" s="1" t="s">
        <v>93</v>
      </c>
      <c r="E43" s="4">
        <v>2940.0</v>
      </c>
      <c r="F43" s="4">
        <v>2940.0</v>
      </c>
      <c r="G43" s="4"/>
      <c r="H43" s="4">
        <f>'data on outstanding creditors'!$E43-'data on outstanding creditors'!$F43-'data on outstanding creditors'!$G43</f>
        <v>0</v>
      </c>
      <c r="I43" s="2">
        <v>45939.0</v>
      </c>
      <c r="J43" s="1"/>
      <c r="K43" s="2"/>
      <c r="L43" s="5"/>
      <c r="M43" s="9" t="s">
        <v>94</v>
      </c>
      <c r="N43" s="9" t="s">
        <v>49</v>
      </c>
      <c r="O43" s="10">
        <f>'data on outstanding creditors'!$E43*100/107</f>
        <v>2747.663551</v>
      </c>
      <c r="P43" s="10">
        <f>'data on outstanding creditors'!$E43-'data on outstanding creditors'!$O43</f>
        <v>192.3364486</v>
      </c>
      <c r="Q43" s="7">
        <f>DAY('data on outstanding creditors'!$B43)</f>
        <v>20</v>
      </c>
      <c r="R43" s="7">
        <f>MONTH('data on outstanding creditors'!$B43)</f>
        <v>8</v>
      </c>
      <c r="S43" s="7">
        <f>YEAR('data on outstanding creditors'!$B43)</f>
        <v>2025</v>
      </c>
      <c r="T43" s="11" t="str">
        <f>'data on outstanding creditors'!$C43&amp;" "&amp;'data on outstanding creditors'!$D43&amp;" "&amp;TEXT('data on outstanding creditors'!$E43,"#,##0.00")</f>
        <v>หจก.นางรองคอมพิวเตอร์ เซ็นเตอร์ IV2508-065644 2,940.00</v>
      </c>
      <c r="U43" s="8"/>
    </row>
    <row r="44" ht="13.5" customHeight="1">
      <c r="A44" s="1" t="s">
        <v>95</v>
      </c>
      <c r="B44" s="2">
        <v>45894.0</v>
      </c>
      <c r="C44" s="9" t="s">
        <v>92</v>
      </c>
      <c r="D44" s="1" t="s">
        <v>96</v>
      </c>
      <c r="E44" s="4">
        <v>1700.0</v>
      </c>
      <c r="F44" s="4">
        <v>1700.0</v>
      </c>
      <c r="G44" s="4"/>
      <c r="H44" s="4">
        <f>'data on outstanding creditors'!$E44-'data on outstanding creditors'!$F44-'data on outstanding creditors'!$G44</f>
        <v>0</v>
      </c>
      <c r="I44" s="2">
        <v>45939.0</v>
      </c>
      <c r="J44" s="1"/>
      <c r="K44" s="2"/>
      <c r="L44" s="5"/>
      <c r="M44" s="9" t="s">
        <v>94</v>
      </c>
      <c r="N44" s="9" t="s">
        <v>49</v>
      </c>
      <c r="O44" s="10">
        <f>'data on outstanding creditors'!$E44*100/107</f>
        <v>1588.785047</v>
      </c>
      <c r="P44" s="10">
        <f>'data on outstanding creditors'!$E44-'data on outstanding creditors'!$O44</f>
        <v>111.2149533</v>
      </c>
      <c r="Q44" s="7">
        <f>DAY('data on outstanding creditors'!$B44)</f>
        <v>25</v>
      </c>
      <c r="R44" s="7">
        <f>MONTH('data on outstanding creditors'!$B44)</f>
        <v>8</v>
      </c>
      <c r="S44" s="7">
        <f>YEAR('data on outstanding creditors'!$B44)</f>
        <v>2025</v>
      </c>
      <c r="T44" s="11" t="str">
        <f>'data on outstanding creditors'!$C44&amp;" "&amp;'data on outstanding creditors'!$D44&amp;" "&amp;TEXT('data on outstanding creditors'!$E44,"#,##0.00")</f>
        <v>หจก.นางรองคอมพิวเตอร์ เซ็นเตอร์ IV2508-065740 1,700.00</v>
      </c>
      <c r="U44" s="8"/>
    </row>
    <row r="45" ht="13.5" customHeight="1">
      <c r="A45" s="1" t="s">
        <v>97</v>
      </c>
      <c r="B45" s="2">
        <v>45905.0</v>
      </c>
      <c r="C45" s="9" t="s">
        <v>92</v>
      </c>
      <c r="D45" s="1" t="s">
        <v>98</v>
      </c>
      <c r="E45" s="4">
        <v>1470.0</v>
      </c>
      <c r="F45" s="4">
        <v>1470.0</v>
      </c>
      <c r="G45" s="4"/>
      <c r="H45" s="4">
        <f>'data on outstanding creditors'!$E45-'data on outstanding creditors'!$F45-'data on outstanding creditors'!$G45</f>
        <v>0</v>
      </c>
      <c r="I45" s="2">
        <v>45939.0</v>
      </c>
      <c r="J45" s="1"/>
      <c r="K45" s="2"/>
      <c r="L45" s="5"/>
      <c r="M45" s="9" t="s">
        <v>94</v>
      </c>
      <c r="N45" s="9" t="s">
        <v>49</v>
      </c>
      <c r="O45" s="10">
        <f>'data on outstanding creditors'!$E45*100/107</f>
        <v>1373.831776</v>
      </c>
      <c r="P45" s="10">
        <f>'data on outstanding creditors'!$E45-'data on outstanding creditors'!$O45</f>
        <v>96.1682243</v>
      </c>
      <c r="Q45" s="7">
        <f>DAY('data on outstanding creditors'!$B45)</f>
        <v>5</v>
      </c>
      <c r="R45" s="7">
        <f>MONTH('data on outstanding creditors'!$B45)</f>
        <v>9</v>
      </c>
      <c r="S45" s="7">
        <f>YEAR('data on outstanding creditors'!$B45)</f>
        <v>2025</v>
      </c>
      <c r="T45" s="11" t="str">
        <f>'data on outstanding creditors'!$C45&amp;" "&amp;'data on outstanding creditors'!$D45&amp;" "&amp;TEXT('data on outstanding creditors'!$E45,"#,##0.00")</f>
        <v>หจก.นางรองคอมพิวเตอร์ เซ็นเตอร์ IV2509-066191 1,470.00</v>
      </c>
      <c r="U45" s="8"/>
    </row>
    <row r="46" ht="13.5" customHeight="1">
      <c r="A46" s="1" t="s">
        <v>99</v>
      </c>
      <c r="B46" s="2">
        <v>45924.0</v>
      </c>
      <c r="C46" s="9" t="s">
        <v>100</v>
      </c>
      <c r="D46" s="1" t="s">
        <v>101</v>
      </c>
      <c r="E46" s="4">
        <v>600.0</v>
      </c>
      <c r="F46" s="4">
        <v>600.0</v>
      </c>
      <c r="G46" s="4"/>
      <c r="H46" s="4">
        <f>'data on outstanding creditors'!$E46-'data on outstanding creditors'!$F46-'data on outstanding creditors'!$G46</f>
        <v>0</v>
      </c>
      <c r="I46" s="2">
        <v>45939.0</v>
      </c>
      <c r="J46" s="1"/>
      <c r="K46" s="2"/>
      <c r="L46" s="5"/>
      <c r="M46" s="9" t="s">
        <v>94</v>
      </c>
      <c r="N46" s="9" t="s">
        <v>49</v>
      </c>
      <c r="O46" s="10">
        <f>'data on outstanding creditors'!$E46*100/107</f>
        <v>560.7476636</v>
      </c>
      <c r="P46" s="10">
        <f>'data on outstanding creditors'!$E46-'data on outstanding creditors'!$O46</f>
        <v>39.25233645</v>
      </c>
      <c r="Q46" s="7">
        <f>DAY('data on outstanding creditors'!$B46)</f>
        <v>24</v>
      </c>
      <c r="R46" s="7">
        <f>MONTH('data on outstanding creditors'!$B46)</f>
        <v>9</v>
      </c>
      <c r="S46" s="7">
        <f>YEAR('data on outstanding creditors'!$B46)</f>
        <v>2025</v>
      </c>
      <c r="T46" s="11" t="str">
        <f>'data on outstanding creditors'!$C46&amp;" "&amp;'data on outstanding creditors'!$D46&amp;" "&amp;TEXT('data on outstanding creditors'!$E46,"#,##0.00")</f>
        <v>หจก.ทวีศักดิ์การไฟฟ้า 2018 TN00003003 600.00</v>
      </c>
      <c r="U46" s="8"/>
    </row>
    <row r="47" ht="13.5" customHeight="1">
      <c r="A47" s="1" t="s">
        <v>102</v>
      </c>
      <c r="B47" s="2">
        <v>45834.0</v>
      </c>
      <c r="C47" s="9" t="s">
        <v>103</v>
      </c>
      <c r="D47" s="1" t="s">
        <v>104</v>
      </c>
      <c r="E47" s="4">
        <v>2934.0</v>
      </c>
      <c r="F47" s="4">
        <v>2934.0</v>
      </c>
      <c r="G47" s="4"/>
      <c r="H47" s="4">
        <f>'data on outstanding creditors'!$E47-'data on outstanding creditors'!$F47-'data on outstanding creditors'!$G47</f>
        <v>0</v>
      </c>
      <c r="I47" s="2">
        <v>45939.0</v>
      </c>
      <c r="J47" s="1"/>
      <c r="K47" s="2"/>
      <c r="L47" s="5"/>
      <c r="M47" s="9" t="s">
        <v>105</v>
      </c>
      <c r="N47" s="9" t="s">
        <v>49</v>
      </c>
      <c r="O47" s="10">
        <f>'data on outstanding creditors'!$E47*100/107</f>
        <v>2742.056075</v>
      </c>
      <c r="P47" s="10">
        <f>'data on outstanding creditors'!$E47-'data on outstanding creditors'!$O47</f>
        <v>191.9439252</v>
      </c>
      <c r="Q47" s="7">
        <f>DAY('data on outstanding creditors'!$B47)</f>
        <v>26</v>
      </c>
      <c r="R47" s="7">
        <f>MONTH('data on outstanding creditors'!$B47)</f>
        <v>6</v>
      </c>
      <c r="S47" s="7">
        <f>YEAR('data on outstanding creditors'!$B47)</f>
        <v>2025</v>
      </c>
      <c r="T47" s="11" t="str">
        <f>'data on outstanding creditors'!$C47&amp;" "&amp;'data on outstanding creditors'!$D47&amp;" "&amp;TEXT('data on outstanding creditors'!$E47,"#,##0.00")</f>
        <v>บ.ก้ำหมงเครื่องครัว INV680626004 2,934.00</v>
      </c>
      <c r="U47" s="8"/>
    </row>
    <row r="48" ht="13.5" customHeight="1">
      <c r="A48" s="1" t="s">
        <v>106</v>
      </c>
      <c r="B48" s="2">
        <v>45898.0</v>
      </c>
      <c r="C48" s="9" t="s">
        <v>100</v>
      </c>
      <c r="D48" s="1" t="s">
        <v>107</v>
      </c>
      <c r="E48" s="4">
        <v>3600.0</v>
      </c>
      <c r="F48" s="4">
        <v>3600.0</v>
      </c>
      <c r="G48" s="4"/>
      <c r="H48" s="4">
        <f>'data on outstanding creditors'!$E48-'data on outstanding creditors'!$F48-'data on outstanding creditors'!$G48</f>
        <v>0</v>
      </c>
      <c r="I48" s="2">
        <v>45939.0</v>
      </c>
      <c r="J48" s="1"/>
      <c r="K48" s="2"/>
      <c r="L48" s="5"/>
      <c r="M48" s="9" t="s">
        <v>105</v>
      </c>
      <c r="N48" s="9" t="s">
        <v>49</v>
      </c>
      <c r="O48" s="10">
        <f>'data on outstanding creditors'!$E48*100/107</f>
        <v>3364.485981</v>
      </c>
      <c r="P48" s="10">
        <f>'data on outstanding creditors'!$E48-'data on outstanding creditors'!$O48</f>
        <v>235.5140187</v>
      </c>
      <c r="Q48" s="7">
        <f>DAY('data on outstanding creditors'!$B48)</f>
        <v>29</v>
      </c>
      <c r="R48" s="7">
        <f>MONTH('data on outstanding creditors'!$B48)</f>
        <v>8</v>
      </c>
      <c r="S48" s="7">
        <f>YEAR('data on outstanding creditors'!$B48)</f>
        <v>2025</v>
      </c>
      <c r="T48" s="11" t="str">
        <f>'data on outstanding creditors'!$C48&amp;" "&amp;'data on outstanding creditors'!$D48&amp;" "&amp;TEXT('data on outstanding creditors'!$E48,"#,##0.00")</f>
        <v>หจก.ทวีศักดิ์การไฟฟ้า 2018 TN00002955 3,600.00</v>
      </c>
      <c r="U48" s="8"/>
    </row>
    <row r="49" ht="13.5" customHeight="1">
      <c r="A49" s="1" t="s">
        <v>108</v>
      </c>
      <c r="B49" s="2">
        <v>45915.0</v>
      </c>
      <c r="C49" s="9" t="s">
        <v>109</v>
      </c>
      <c r="D49" s="1" t="s">
        <v>110</v>
      </c>
      <c r="E49" s="4">
        <v>3850.0</v>
      </c>
      <c r="F49" s="4">
        <v>3850.0</v>
      </c>
      <c r="G49" s="4"/>
      <c r="H49" s="4">
        <f>'data on outstanding creditors'!$E49-'data on outstanding creditors'!$F49-'data on outstanding creditors'!$G49</f>
        <v>0</v>
      </c>
      <c r="I49" s="2">
        <v>45939.0</v>
      </c>
      <c r="J49" s="1"/>
      <c r="K49" s="2"/>
      <c r="L49" s="5"/>
      <c r="M49" s="9" t="s">
        <v>105</v>
      </c>
      <c r="N49" s="9" t="s">
        <v>49</v>
      </c>
      <c r="O49" s="10">
        <f>'data on outstanding creditors'!$E49*100/107</f>
        <v>3598.130841</v>
      </c>
      <c r="P49" s="10">
        <f>'data on outstanding creditors'!$E49-'data on outstanding creditors'!$O49</f>
        <v>251.8691589</v>
      </c>
      <c r="Q49" s="7">
        <f>DAY('data on outstanding creditors'!$B49)</f>
        <v>15</v>
      </c>
      <c r="R49" s="7">
        <f>MONTH('data on outstanding creditors'!$B49)</f>
        <v>9</v>
      </c>
      <c r="S49" s="7">
        <f>YEAR('data on outstanding creditors'!$B49)</f>
        <v>2025</v>
      </c>
      <c r="T49" s="11" t="str">
        <f>'data on outstanding creditors'!$C49&amp;" "&amp;'data on outstanding creditors'!$D49&amp;" "&amp;TEXT('data on outstanding creditors'!$E49,"#,##0.00")</f>
        <v>นาย อิฐธิเดช นาแพง 01/01 3,850.00</v>
      </c>
      <c r="U49" s="8"/>
    </row>
    <row r="50" ht="13.5" customHeight="1">
      <c r="A50" s="1" t="s">
        <v>111</v>
      </c>
      <c r="B50" s="2">
        <v>45917.0</v>
      </c>
      <c r="C50" s="9" t="s">
        <v>112</v>
      </c>
      <c r="D50" s="1" t="s">
        <v>113</v>
      </c>
      <c r="E50" s="4">
        <v>27000.0</v>
      </c>
      <c r="F50" s="4">
        <v>27000.0</v>
      </c>
      <c r="G50" s="4"/>
      <c r="H50" s="4">
        <f>'data on outstanding creditors'!$E50-'data on outstanding creditors'!$F50-'data on outstanding creditors'!$G50</f>
        <v>0</v>
      </c>
      <c r="I50" s="2">
        <v>45939.0</v>
      </c>
      <c r="J50" s="1"/>
      <c r="K50" s="2"/>
      <c r="L50" s="5"/>
      <c r="M50" s="9" t="s">
        <v>105</v>
      </c>
      <c r="N50" s="9" t="s">
        <v>49</v>
      </c>
      <c r="O50" s="10">
        <f>'data on outstanding creditors'!$E50*100/107</f>
        <v>25233.64486</v>
      </c>
      <c r="P50" s="10">
        <f>'data on outstanding creditors'!$E50-'data on outstanding creditors'!$O50</f>
        <v>1766.35514</v>
      </c>
      <c r="Q50" s="7">
        <f>DAY('data on outstanding creditors'!$B50)</f>
        <v>17</v>
      </c>
      <c r="R50" s="7">
        <f>MONTH('data on outstanding creditors'!$B50)</f>
        <v>9</v>
      </c>
      <c r="S50" s="7">
        <f>YEAR('data on outstanding creditors'!$B50)</f>
        <v>2025</v>
      </c>
      <c r="T50" s="11" t="str">
        <f>'data on outstanding creditors'!$C50&amp;" "&amp;'data on outstanding creditors'!$D50&amp;" "&amp;TEXT('data on outstanding creditors'!$E50,"#,##0.00")</f>
        <v>ร้าน ต้นดีไซน์ 60/17 27,000.00</v>
      </c>
      <c r="U50" s="8"/>
    </row>
    <row r="51" ht="13.5" customHeight="1">
      <c r="A51" s="1" t="s">
        <v>114</v>
      </c>
      <c r="B51" s="2">
        <v>45832.0</v>
      </c>
      <c r="C51" s="9" t="s">
        <v>115</v>
      </c>
      <c r="D51" s="1" t="s">
        <v>116</v>
      </c>
      <c r="E51" s="4">
        <v>52000.0</v>
      </c>
      <c r="F51" s="4">
        <v>52000.0</v>
      </c>
      <c r="G51" s="4"/>
      <c r="H51" s="4">
        <f>'data on outstanding creditors'!$E51-'data on outstanding creditors'!$F51-'data on outstanding creditors'!$G51</f>
        <v>0</v>
      </c>
      <c r="I51" s="2">
        <v>45939.0</v>
      </c>
      <c r="J51" s="1"/>
      <c r="K51" s="2"/>
      <c r="L51" s="5"/>
      <c r="M51" s="9" t="s">
        <v>117</v>
      </c>
      <c r="N51" s="9" t="s">
        <v>49</v>
      </c>
      <c r="O51" s="10">
        <f>'data on outstanding creditors'!$E51*100/107</f>
        <v>48598.13084</v>
      </c>
      <c r="P51" s="10">
        <f>'data on outstanding creditors'!$E51-'data on outstanding creditors'!$O51</f>
        <v>3401.869159</v>
      </c>
      <c r="Q51" s="7">
        <f>DAY('data on outstanding creditors'!$B51)</f>
        <v>24</v>
      </c>
      <c r="R51" s="7">
        <f>MONTH('data on outstanding creditors'!$B51)</f>
        <v>6</v>
      </c>
      <c r="S51" s="7">
        <f>YEAR('data on outstanding creditors'!$B51)</f>
        <v>2025</v>
      </c>
      <c r="T51" s="11" t="str">
        <f>'data on outstanding creditors'!$C51&amp;" "&amp;'data on outstanding creditors'!$D51&amp;" "&amp;TEXT('data on outstanding creditors'!$E51,"#,##0.00")</f>
        <v>สหกรการเกษตรเพื่อการตลาดลูกค้า 332/46 52,000.00</v>
      </c>
      <c r="U51" s="8"/>
    </row>
    <row r="52" ht="13.5" customHeight="1">
      <c r="A52" s="1" t="s">
        <v>118</v>
      </c>
      <c r="B52" s="2">
        <v>45889.0</v>
      </c>
      <c r="C52" s="9" t="s">
        <v>119</v>
      </c>
      <c r="D52" s="1" t="s">
        <v>120</v>
      </c>
      <c r="E52" s="4">
        <v>46000.0</v>
      </c>
      <c r="F52" s="4">
        <v>46000.0</v>
      </c>
      <c r="G52" s="4"/>
      <c r="H52" s="4">
        <f>'data on outstanding creditors'!$E52-'data on outstanding creditors'!$F52-'data on outstanding creditors'!$G52</f>
        <v>0</v>
      </c>
      <c r="I52" s="2">
        <v>45939.0</v>
      </c>
      <c r="J52" s="1"/>
      <c r="K52" s="2"/>
      <c r="L52" s="5"/>
      <c r="M52" s="9" t="s">
        <v>117</v>
      </c>
      <c r="N52" s="9" t="s">
        <v>49</v>
      </c>
      <c r="O52" s="10">
        <f>'data on outstanding creditors'!$E52*100/107</f>
        <v>42990.65421</v>
      </c>
      <c r="P52" s="10">
        <f>'data on outstanding creditors'!$E52-'data on outstanding creditors'!$O52</f>
        <v>3009.345794</v>
      </c>
      <c r="Q52" s="7">
        <f>DAY('data on outstanding creditors'!$B52)</f>
        <v>20</v>
      </c>
      <c r="R52" s="7">
        <f>MONTH('data on outstanding creditors'!$B52)</f>
        <v>8</v>
      </c>
      <c r="S52" s="7">
        <f>YEAR('data on outstanding creditors'!$B52)</f>
        <v>2025</v>
      </c>
      <c r="T52" s="11" t="str">
        <f>'data on outstanding creditors'!$C52&amp;" "&amp;'data on outstanding creditors'!$D52&amp;" "&amp;TEXT('data on outstanding creditors'!$E52,"#,##0.00")</f>
        <v>ร้าน น้ำดื่มเพชราวอเธอร์ 1/20 46,000.00</v>
      </c>
      <c r="U52" s="8"/>
    </row>
    <row r="53" ht="13.5" customHeight="1">
      <c r="A53" s="1" t="s">
        <v>121</v>
      </c>
      <c r="B53" s="2">
        <v>45898.0</v>
      </c>
      <c r="C53" s="9" t="s">
        <v>119</v>
      </c>
      <c r="D53" s="1" t="s">
        <v>122</v>
      </c>
      <c r="E53" s="4">
        <v>19284.0</v>
      </c>
      <c r="F53" s="4">
        <v>19284.0</v>
      </c>
      <c r="G53" s="4"/>
      <c r="H53" s="4">
        <f>'data on outstanding creditors'!$E53-'data on outstanding creditors'!$F53-'data on outstanding creditors'!$G53</f>
        <v>0</v>
      </c>
      <c r="I53" s="2">
        <v>45939.0</v>
      </c>
      <c r="J53" s="1"/>
      <c r="K53" s="2"/>
      <c r="L53" s="5"/>
      <c r="M53" s="9" t="s">
        <v>117</v>
      </c>
      <c r="N53" s="9" t="s">
        <v>49</v>
      </c>
      <c r="O53" s="10">
        <f>'data on outstanding creditors'!$E53*100/107</f>
        <v>18022.42991</v>
      </c>
      <c r="P53" s="10">
        <f>'data on outstanding creditors'!$E53-'data on outstanding creditors'!$O53</f>
        <v>1261.570093</v>
      </c>
      <c r="Q53" s="7">
        <f>DAY('data on outstanding creditors'!$B53)</f>
        <v>29</v>
      </c>
      <c r="R53" s="7">
        <f>MONTH('data on outstanding creditors'!$B53)</f>
        <v>8</v>
      </c>
      <c r="S53" s="7">
        <f>YEAR('data on outstanding creditors'!$B53)</f>
        <v>2025</v>
      </c>
      <c r="T53" s="11" t="str">
        <f>'data on outstanding creditors'!$C53&amp;" "&amp;'data on outstanding creditors'!$D53&amp;" "&amp;TEXT('data on outstanding creditors'!$E53,"#,##0.00")</f>
        <v>ร้าน น้ำดื่มเพชราวอเธอร์ 1/23 19,284.00</v>
      </c>
      <c r="U53" s="8"/>
    </row>
    <row r="54" ht="13.5" customHeight="1">
      <c r="A54" s="1" t="s">
        <v>123</v>
      </c>
      <c r="B54" s="2">
        <v>45798.0</v>
      </c>
      <c r="C54" s="9" t="s">
        <v>103</v>
      </c>
      <c r="D54" s="1" t="s">
        <v>124</v>
      </c>
      <c r="E54" s="4">
        <v>544.0</v>
      </c>
      <c r="F54" s="4">
        <v>544.0</v>
      </c>
      <c r="G54" s="4"/>
      <c r="H54" s="4">
        <f>'data on outstanding creditors'!$E54-'data on outstanding creditors'!$F54-'data on outstanding creditors'!$G54</f>
        <v>0</v>
      </c>
      <c r="I54" s="2">
        <v>45939.0</v>
      </c>
      <c r="J54" s="1"/>
      <c r="K54" s="2"/>
      <c r="L54" s="5"/>
      <c r="M54" s="9" t="s">
        <v>125</v>
      </c>
      <c r="N54" s="9" t="s">
        <v>49</v>
      </c>
      <c r="O54" s="10">
        <f>'data on outstanding creditors'!$E54*100/107</f>
        <v>508.411215</v>
      </c>
      <c r="P54" s="10">
        <f>'data on outstanding creditors'!$E54-'data on outstanding creditors'!$O54</f>
        <v>35.58878505</v>
      </c>
      <c r="Q54" s="7">
        <f>DAY('data on outstanding creditors'!$B54)</f>
        <v>21</v>
      </c>
      <c r="R54" s="7">
        <f>MONTH('data on outstanding creditors'!$B54)</f>
        <v>5</v>
      </c>
      <c r="S54" s="7">
        <f>YEAR('data on outstanding creditors'!$B54)</f>
        <v>2025</v>
      </c>
      <c r="T54" s="11" t="str">
        <f>'data on outstanding creditors'!$C54&amp;" "&amp;'data on outstanding creditors'!$D54&amp;" "&amp;TEXT('data on outstanding creditors'!$E54,"#,##0.00")</f>
        <v>บ.ก้ำหมงเครื่องครัว INV680521004 544.00</v>
      </c>
      <c r="U54" s="8"/>
    </row>
    <row r="55" ht="13.5" customHeight="1">
      <c r="A55" s="1" t="s">
        <v>126</v>
      </c>
      <c r="B55" s="2">
        <v>45798.0</v>
      </c>
      <c r="C55" s="9" t="s">
        <v>103</v>
      </c>
      <c r="D55" s="1" t="s">
        <v>127</v>
      </c>
      <c r="E55" s="4">
        <v>1450.0</v>
      </c>
      <c r="F55" s="4">
        <v>1450.0</v>
      </c>
      <c r="G55" s="4"/>
      <c r="H55" s="4">
        <f>'data on outstanding creditors'!$E55-'data on outstanding creditors'!$F55-'data on outstanding creditors'!$G55</f>
        <v>0</v>
      </c>
      <c r="I55" s="2">
        <v>45939.0</v>
      </c>
      <c r="J55" s="1"/>
      <c r="K55" s="2"/>
      <c r="L55" s="5"/>
      <c r="M55" s="9" t="s">
        <v>125</v>
      </c>
      <c r="N55" s="9" t="s">
        <v>49</v>
      </c>
      <c r="O55" s="10">
        <f>'data on outstanding creditors'!$E55*100/107</f>
        <v>1355.140187</v>
      </c>
      <c r="P55" s="10">
        <f>'data on outstanding creditors'!$E55-'data on outstanding creditors'!$O55</f>
        <v>94.85981308</v>
      </c>
      <c r="Q55" s="7">
        <f>DAY('data on outstanding creditors'!$B55)</f>
        <v>21</v>
      </c>
      <c r="R55" s="7">
        <f>MONTH('data on outstanding creditors'!$B55)</f>
        <v>5</v>
      </c>
      <c r="S55" s="7">
        <f>YEAR('data on outstanding creditors'!$B55)</f>
        <v>2025</v>
      </c>
      <c r="T55" s="11" t="str">
        <f>'data on outstanding creditors'!$C55&amp;" "&amp;'data on outstanding creditors'!$D55&amp;" "&amp;TEXT('data on outstanding creditors'!$E55,"#,##0.00")</f>
        <v>บ.ก้ำหมงเครื่องครัว INV680521005 1,450.00</v>
      </c>
      <c r="U55" s="8"/>
    </row>
    <row r="56" ht="13.5" customHeight="1">
      <c r="A56" s="1" t="s">
        <v>128</v>
      </c>
      <c r="B56" s="2">
        <v>45824.0</v>
      </c>
      <c r="C56" s="9" t="s">
        <v>129</v>
      </c>
      <c r="D56" s="1" t="s">
        <v>130</v>
      </c>
      <c r="E56" s="4">
        <v>20300.0</v>
      </c>
      <c r="F56" s="4">
        <v>20300.0</v>
      </c>
      <c r="G56" s="4"/>
      <c r="H56" s="4">
        <f>'data on outstanding creditors'!$E56-'data on outstanding creditors'!$F56-'data on outstanding creditors'!$G56</f>
        <v>0</v>
      </c>
      <c r="I56" s="2">
        <v>45939.0</v>
      </c>
      <c r="J56" s="1"/>
      <c r="K56" s="2"/>
      <c r="L56" s="5"/>
      <c r="M56" s="9" t="s">
        <v>125</v>
      </c>
      <c r="N56" s="9" t="s">
        <v>49</v>
      </c>
      <c r="O56" s="10">
        <f>'data on outstanding creditors'!$E56*100/107</f>
        <v>18971.96262</v>
      </c>
      <c r="P56" s="10">
        <f>'data on outstanding creditors'!$E56-'data on outstanding creditors'!$O56</f>
        <v>1328.037383</v>
      </c>
      <c r="Q56" s="7">
        <f>DAY('data on outstanding creditors'!$B56)</f>
        <v>16</v>
      </c>
      <c r="R56" s="7">
        <f>MONTH('data on outstanding creditors'!$B56)</f>
        <v>6</v>
      </c>
      <c r="S56" s="7">
        <f>YEAR('data on outstanding creditors'!$B56)</f>
        <v>2025</v>
      </c>
      <c r="T56" s="11" t="str">
        <f>'data on outstanding creditors'!$C56&amp;" "&amp;'data on outstanding creditors'!$D56&amp;" "&amp;TEXT('data on outstanding creditors'!$E56,"#,##0.00")</f>
        <v>นางสาว สุวรรณี บานประโคน 1/5 20,300.00</v>
      </c>
      <c r="U56" s="8"/>
    </row>
    <row r="57" ht="13.5" customHeight="1">
      <c r="A57" s="1" t="s">
        <v>131</v>
      </c>
      <c r="B57" s="2">
        <v>45824.0</v>
      </c>
      <c r="C57" s="9" t="s">
        <v>129</v>
      </c>
      <c r="D57" s="1" t="s">
        <v>130</v>
      </c>
      <c r="E57" s="4">
        <v>22800.0</v>
      </c>
      <c r="F57" s="4">
        <v>22800.0</v>
      </c>
      <c r="G57" s="4"/>
      <c r="H57" s="4">
        <f>'data on outstanding creditors'!$E57-'data on outstanding creditors'!$F57-'data on outstanding creditors'!$G57</f>
        <v>0</v>
      </c>
      <c r="I57" s="2">
        <v>45939.0</v>
      </c>
      <c r="J57" s="1"/>
      <c r="K57" s="2"/>
      <c r="L57" s="5"/>
      <c r="M57" s="9" t="s">
        <v>125</v>
      </c>
      <c r="N57" s="9" t="s">
        <v>49</v>
      </c>
      <c r="O57" s="10">
        <f>'data on outstanding creditors'!$E57*100/107</f>
        <v>21308.41121</v>
      </c>
      <c r="P57" s="10">
        <f>'data on outstanding creditors'!$E57-'data on outstanding creditors'!$O57</f>
        <v>1491.588785</v>
      </c>
      <c r="Q57" s="7">
        <f>DAY('data on outstanding creditors'!$B57)</f>
        <v>16</v>
      </c>
      <c r="R57" s="7">
        <f>MONTH('data on outstanding creditors'!$B57)</f>
        <v>6</v>
      </c>
      <c r="S57" s="7">
        <f>YEAR('data on outstanding creditors'!$B57)</f>
        <v>2025</v>
      </c>
      <c r="T57" s="11" t="str">
        <f>'data on outstanding creditors'!$C57&amp;" "&amp;'data on outstanding creditors'!$D57&amp;" "&amp;TEXT('data on outstanding creditors'!$E57,"#,##0.00")</f>
        <v>นางสาว สุวรรณี บานประโคน 1/5 22,800.00</v>
      </c>
      <c r="U57" s="8"/>
    </row>
    <row r="58" ht="13.5" customHeight="1">
      <c r="A58" s="1" t="s">
        <v>132</v>
      </c>
      <c r="B58" s="2">
        <v>45834.0</v>
      </c>
      <c r="C58" s="9" t="s">
        <v>103</v>
      </c>
      <c r="D58" s="1" t="s">
        <v>133</v>
      </c>
      <c r="E58" s="4">
        <v>3808.0</v>
      </c>
      <c r="F58" s="4">
        <v>3808.0</v>
      </c>
      <c r="G58" s="4"/>
      <c r="H58" s="4">
        <f>'data on outstanding creditors'!$E58-'data on outstanding creditors'!$F58-'data on outstanding creditors'!$G58</f>
        <v>0</v>
      </c>
      <c r="I58" s="2">
        <v>45939.0</v>
      </c>
      <c r="J58" s="1"/>
      <c r="K58" s="2"/>
      <c r="L58" s="5"/>
      <c r="M58" s="9" t="s">
        <v>125</v>
      </c>
      <c r="N58" s="9" t="s">
        <v>49</v>
      </c>
      <c r="O58" s="10">
        <f>'data on outstanding creditors'!$E58*100/107</f>
        <v>3558.878505</v>
      </c>
      <c r="P58" s="10">
        <f>'data on outstanding creditors'!$E58-'data on outstanding creditors'!$O58</f>
        <v>249.1214953</v>
      </c>
      <c r="Q58" s="7">
        <f>DAY('data on outstanding creditors'!$B58)</f>
        <v>26</v>
      </c>
      <c r="R58" s="7">
        <f>MONTH('data on outstanding creditors'!$B58)</f>
        <v>6</v>
      </c>
      <c r="S58" s="7">
        <f>YEAR('data on outstanding creditors'!$B58)</f>
        <v>2025</v>
      </c>
      <c r="T58" s="11" t="str">
        <f>'data on outstanding creditors'!$C58&amp;" "&amp;'data on outstanding creditors'!$D58&amp;" "&amp;TEXT('data on outstanding creditors'!$E58,"#,##0.00")</f>
        <v>บ.ก้ำหมงเครื่องครัว INV680026005 3,808.00</v>
      </c>
      <c r="U58" s="8"/>
    </row>
    <row r="59" ht="13.5" customHeight="1">
      <c r="A59" s="1" t="s">
        <v>134</v>
      </c>
      <c r="B59" s="2">
        <v>45888.0</v>
      </c>
      <c r="C59" s="9" t="s">
        <v>100</v>
      </c>
      <c r="D59" s="1" t="s">
        <v>135</v>
      </c>
      <c r="E59" s="4">
        <v>900.0</v>
      </c>
      <c r="F59" s="4">
        <v>900.0</v>
      </c>
      <c r="G59" s="4"/>
      <c r="H59" s="4">
        <f>'data on outstanding creditors'!$E59-'data on outstanding creditors'!$F59-'data on outstanding creditors'!$G59</f>
        <v>0</v>
      </c>
      <c r="I59" s="2">
        <v>45939.0</v>
      </c>
      <c r="J59" s="1"/>
      <c r="K59" s="2"/>
      <c r="L59" s="5"/>
      <c r="M59" s="9" t="s">
        <v>125</v>
      </c>
      <c r="N59" s="9" t="s">
        <v>49</v>
      </c>
      <c r="O59" s="10">
        <f>'data on outstanding creditors'!$E59*100/107</f>
        <v>841.1214953</v>
      </c>
      <c r="P59" s="10">
        <f>'data on outstanding creditors'!$E59-'data on outstanding creditors'!$O59</f>
        <v>58.87850467</v>
      </c>
      <c r="Q59" s="7">
        <f>DAY('data on outstanding creditors'!$B59)</f>
        <v>19</v>
      </c>
      <c r="R59" s="7">
        <f>MONTH('data on outstanding creditors'!$B59)</f>
        <v>8</v>
      </c>
      <c r="S59" s="7">
        <f>YEAR('data on outstanding creditors'!$B59)</f>
        <v>2025</v>
      </c>
      <c r="T59" s="11" t="str">
        <f>'data on outstanding creditors'!$C59&amp;" "&amp;'data on outstanding creditors'!$D59&amp;" "&amp;TEXT('data on outstanding creditors'!$E59,"#,##0.00")</f>
        <v>หจก.ทวีศักดิ์การไฟฟ้า 2018 TN00002946 900.00</v>
      </c>
      <c r="U59" s="8"/>
    </row>
    <row r="60" ht="13.5" customHeight="1">
      <c r="A60" s="1" t="s">
        <v>136</v>
      </c>
      <c r="B60" s="2">
        <v>45908.0</v>
      </c>
      <c r="C60" s="9" t="s">
        <v>137</v>
      </c>
      <c r="D60" s="1" t="s">
        <v>138</v>
      </c>
      <c r="E60" s="4">
        <v>2200.0</v>
      </c>
      <c r="F60" s="4">
        <v>2200.0</v>
      </c>
      <c r="G60" s="4"/>
      <c r="H60" s="4">
        <f>'data on outstanding creditors'!$E60-'data on outstanding creditors'!$F60-'data on outstanding creditors'!$G60</f>
        <v>0</v>
      </c>
      <c r="I60" s="2">
        <v>45939.0</v>
      </c>
      <c r="J60" s="1"/>
      <c r="K60" s="2"/>
      <c r="L60" s="5"/>
      <c r="M60" s="9" t="s">
        <v>125</v>
      </c>
      <c r="N60" s="9" t="s">
        <v>49</v>
      </c>
      <c r="O60" s="10">
        <f>'data on outstanding creditors'!$E60*100/107</f>
        <v>2056.074766</v>
      </c>
      <c r="P60" s="10">
        <f>'data on outstanding creditors'!$E60-'data on outstanding creditors'!$O60</f>
        <v>143.9252336</v>
      </c>
      <c r="Q60" s="7">
        <f>DAY('data on outstanding creditors'!$B60)</f>
        <v>8</v>
      </c>
      <c r="R60" s="7">
        <f>MONTH('data on outstanding creditors'!$B60)</f>
        <v>9</v>
      </c>
      <c r="S60" s="7">
        <f>YEAR('data on outstanding creditors'!$B60)</f>
        <v>2025</v>
      </c>
      <c r="T60" s="11" t="str">
        <f>'data on outstanding creditors'!$C60&amp;" "&amp;'data on outstanding creditors'!$D60&amp;" "&amp;TEXT('data on outstanding creditors'!$E60,"#,##0.00")</f>
        <v>บ.เฟอร์นิช สเปช IV-68090801 2,200.00</v>
      </c>
      <c r="U60" s="8"/>
    </row>
    <row r="61" ht="13.5" customHeight="1">
      <c r="A61" s="1" t="s">
        <v>139</v>
      </c>
      <c r="B61" s="2">
        <v>45805.0</v>
      </c>
      <c r="C61" s="9" t="s">
        <v>100</v>
      </c>
      <c r="D61" s="1" t="s">
        <v>140</v>
      </c>
      <c r="E61" s="4">
        <v>2250.0</v>
      </c>
      <c r="F61" s="4">
        <v>2250.0</v>
      </c>
      <c r="G61" s="4"/>
      <c r="H61" s="4">
        <f>'data on outstanding creditors'!$E61-'data on outstanding creditors'!$F61-'data on outstanding creditors'!$G61</f>
        <v>0</v>
      </c>
      <c r="I61" s="2">
        <v>45939.0</v>
      </c>
      <c r="J61" s="1"/>
      <c r="K61" s="2"/>
      <c r="L61" s="5"/>
      <c r="M61" s="9" t="s">
        <v>141</v>
      </c>
      <c r="N61" s="9" t="s">
        <v>49</v>
      </c>
      <c r="O61" s="10">
        <f>'data on outstanding creditors'!$E61*100/107</f>
        <v>2102.803738</v>
      </c>
      <c r="P61" s="10">
        <f>'data on outstanding creditors'!$E61-'data on outstanding creditors'!$O61</f>
        <v>147.1962617</v>
      </c>
      <c r="Q61" s="7">
        <f>DAY('data on outstanding creditors'!$B61)</f>
        <v>28</v>
      </c>
      <c r="R61" s="7">
        <f>MONTH('data on outstanding creditors'!$B61)</f>
        <v>5</v>
      </c>
      <c r="S61" s="7">
        <f>YEAR('data on outstanding creditors'!$B61)</f>
        <v>2025</v>
      </c>
      <c r="T61" s="11" t="str">
        <f>'data on outstanding creditors'!$C61&amp;" "&amp;'data on outstanding creditors'!$D61&amp;" "&amp;TEXT('data on outstanding creditors'!$E61,"#,##0.00")</f>
        <v>หจก.ทวีศักดิ์การไฟฟ้า 2018 TN00002796 2,250.00</v>
      </c>
      <c r="U61" s="8"/>
    </row>
    <row r="62" ht="13.5" customHeight="1">
      <c r="A62" s="1" t="s">
        <v>142</v>
      </c>
      <c r="B62" s="2">
        <v>45832.0</v>
      </c>
      <c r="C62" s="9" t="s">
        <v>100</v>
      </c>
      <c r="D62" s="1" t="s">
        <v>143</v>
      </c>
      <c r="E62" s="4">
        <v>3925.0</v>
      </c>
      <c r="F62" s="4">
        <v>3925.0</v>
      </c>
      <c r="G62" s="4"/>
      <c r="H62" s="4">
        <f>'data on outstanding creditors'!$E62-'data on outstanding creditors'!$F62-'data on outstanding creditors'!$G62</f>
        <v>0</v>
      </c>
      <c r="I62" s="2">
        <v>45939.0</v>
      </c>
      <c r="J62" s="1"/>
      <c r="K62" s="2"/>
      <c r="L62" s="5"/>
      <c r="M62" s="9" t="s">
        <v>141</v>
      </c>
      <c r="N62" s="9" t="s">
        <v>49</v>
      </c>
      <c r="O62" s="10">
        <f>'data on outstanding creditors'!$E62*100/107</f>
        <v>3668.224299</v>
      </c>
      <c r="P62" s="10">
        <f>'data on outstanding creditors'!$E62-'data on outstanding creditors'!$O62</f>
        <v>256.7757009</v>
      </c>
      <c r="Q62" s="7">
        <f>DAY('data on outstanding creditors'!$B62)</f>
        <v>24</v>
      </c>
      <c r="R62" s="7">
        <f>MONTH('data on outstanding creditors'!$B62)</f>
        <v>6</v>
      </c>
      <c r="S62" s="7">
        <f>YEAR('data on outstanding creditors'!$B62)</f>
        <v>2025</v>
      </c>
      <c r="T62" s="11" t="str">
        <f>'data on outstanding creditors'!$C62&amp;" "&amp;'data on outstanding creditors'!$D62&amp;" "&amp;TEXT('data on outstanding creditors'!$E62,"#,##0.00")</f>
        <v>หจก.ทวีศักดิ์การไฟฟ้า 2018 TN00002845 3,925.00</v>
      </c>
      <c r="U62" s="8"/>
    </row>
    <row r="63" ht="13.5" customHeight="1">
      <c r="A63" s="1" t="s">
        <v>144</v>
      </c>
      <c r="B63" s="2">
        <v>45833.0</v>
      </c>
      <c r="C63" s="9" t="s">
        <v>100</v>
      </c>
      <c r="D63" s="1" t="s">
        <v>145</v>
      </c>
      <c r="E63" s="4">
        <v>72130.0</v>
      </c>
      <c r="F63" s="4">
        <v>72130.0</v>
      </c>
      <c r="G63" s="4"/>
      <c r="H63" s="4">
        <f>'data on outstanding creditors'!$E63-'data on outstanding creditors'!$F63-'data on outstanding creditors'!$G63</f>
        <v>0</v>
      </c>
      <c r="I63" s="2">
        <v>45939.0</v>
      </c>
      <c r="J63" s="1"/>
      <c r="K63" s="2"/>
      <c r="L63" s="5"/>
      <c r="M63" s="9" t="s">
        <v>141</v>
      </c>
      <c r="N63" s="9" t="s">
        <v>49</v>
      </c>
      <c r="O63" s="10">
        <f>'data on outstanding creditors'!$E63*100/107</f>
        <v>67411.21495</v>
      </c>
      <c r="P63" s="10">
        <f>'data on outstanding creditors'!$E63-'data on outstanding creditors'!$O63</f>
        <v>4718.785047</v>
      </c>
      <c r="Q63" s="7">
        <f>DAY('data on outstanding creditors'!$B63)</f>
        <v>25</v>
      </c>
      <c r="R63" s="7">
        <f>MONTH('data on outstanding creditors'!$B63)</f>
        <v>6</v>
      </c>
      <c r="S63" s="7">
        <f>YEAR('data on outstanding creditors'!$B63)</f>
        <v>2025</v>
      </c>
      <c r="T63" s="11" t="str">
        <f>'data on outstanding creditors'!$C63&amp;" "&amp;'data on outstanding creditors'!$D63&amp;" "&amp;TEXT('data on outstanding creditors'!$E63,"#,##0.00")</f>
        <v>หจก.ทวีศักดิ์การไฟฟ้า 2018 TN00002846 72,130.00</v>
      </c>
      <c r="U63" s="8"/>
    </row>
    <row r="64" ht="13.5" customHeight="1">
      <c r="A64" s="1" t="s">
        <v>146</v>
      </c>
      <c r="B64" s="2">
        <v>45863.0</v>
      </c>
      <c r="C64" s="9" t="s">
        <v>100</v>
      </c>
      <c r="D64" s="1" t="s">
        <v>147</v>
      </c>
      <c r="E64" s="4">
        <v>3960.0</v>
      </c>
      <c r="F64" s="4">
        <v>3960.0</v>
      </c>
      <c r="G64" s="4"/>
      <c r="H64" s="4">
        <f>'data on outstanding creditors'!$E64-'data on outstanding creditors'!$F64-'data on outstanding creditors'!$G64</f>
        <v>0</v>
      </c>
      <c r="I64" s="2">
        <v>45939.0</v>
      </c>
      <c r="J64" s="1"/>
      <c r="K64" s="2"/>
      <c r="L64" s="5"/>
      <c r="M64" s="9" t="s">
        <v>141</v>
      </c>
      <c r="N64" s="9" t="s">
        <v>49</v>
      </c>
      <c r="O64" s="10">
        <f>'data on outstanding creditors'!$E64*100/107</f>
        <v>3700.934579</v>
      </c>
      <c r="P64" s="10">
        <f>'data on outstanding creditors'!$E64-'data on outstanding creditors'!$O64</f>
        <v>259.0654206</v>
      </c>
      <c r="Q64" s="7">
        <f>DAY('data on outstanding creditors'!$B64)</f>
        <v>25</v>
      </c>
      <c r="R64" s="7">
        <f>MONTH('data on outstanding creditors'!$B64)</f>
        <v>7</v>
      </c>
      <c r="S64" s="7">
        <f>YEAR('data on outstanding creditors'!$B64)</f>
        <v>2025</v>
      </c>
      <c r="T64" s="11" t="str">
        <f>'data on outstanding creditors'!$C64&amp;" "&amp;'data on outstanding creditors'!$D64&amp;" "&amp;TEXT('data on outstanding creditors'!$E64,"#,##0.00")</f>
        <v>หจก.ทวีศักดิ์การไฟฟ้า 2018 TN00002898 3,960.00</v>
      </c>
      <c r="U64" s="8"/>
    </row>
    <row r="65" ht="13.5" customHeight="1">
      <c r="A65" s="1" t="s">
        <v>148</v>
      </c>
      <c r="B65" s="2">
        <v>45748.0</v>
      </c>
      <c r="C65" s="9" t="s">
        <v>149</v>
      </c>
      <c r="D65" s="1" t="s">
        <v>150</v>
      </c>
      <c r="E65" s="4">
        <v>6340.0</v>
      </c>
      <c r="F65" s="4">
        <v>6340.0</v>
      </c>
      <c r="G65" s="4"/>
      <c r="H65" s="4">
        <f>'data on outstanding creditors'!$E65-'data on outstanding creditors'!$F65-'data on outstanding creditors'!$G65</f>
        <v>0</v>
      </c>
      <c r="I65" s="2">
        <v>45939.0</v>
      </c>
      <c r="J65" s="1"/>
      <c r="K65" s="2"/>
      <c r="L65" s="5"/>
      <c r="M65" s="9" t="s">
        <v>151</v>
      </c>
      <c r="N65" s="9" t="s">
        <v>49</v>
      </c>
      <c r="O65" s="10">
        <f>'data on outstanding creditors'!$E65*100/107</f>
        <v>5925.233645</v>
      </c>
      <c r="P65" s="10">
        <f>'data on outstanding creditors'!$E65-'data on outstanding creditors'!$O65</f>
        <v>414.7663551</v>
      </c>
      <c r="Q65" s="7">
        <f>DAY('data on outstanding creditors'!$B65)</f>
        <v>1</v>
      </c>
      <c r="R65" s="7">
        <f>MONTH('data on outstanding creditors'!$B65)</f>
        <v>4</v>
      </c>
      <c r="S65" s="7">
        <f>YEAR('data on outstanding creditors'!$B65)</f>
        <v>2025</v>
      </c>
      <c r="T65" s="11" t="str">
        <f>'data on outstanding creditors'!$C65&amp;" "&amp;'data on outstanding creditors'!$D65&amp;" "&amp;TEXT('data on outstanding creditors'!$E65,"#,##0.00")</f>
        <v>หจก.บุรีรัมย์ซัพพลายอีเล็คโทรนิค I68/000204 6,340.00</v>
      </c>
      <c r="U65" s="8"/>
    </row>
    <row r="66" ht="13.5" customHeight="1">
      <c r="A66" s="1"/>
      <c r="B66" s="2">
        <v>45863.0</v>
      </c>
      <c r="C66" s="9" t="s">
        <v>152</v>
      </c>
      <c r="D66" s="1" t="s">
        <v>153</v>
      </c>
      <c r="E66" s="4">
        <v>900.0</v>
      </c>
      <c r="F66" s="4">
        <v>900.0</v>
      </c>
      <c r="G66" s="4"/>
      <c r="H66" s="4">
        <f>'data on outstanding creditors'!$E66-'data on outstanding creditors'!$F66-'data on outstanding creditors'!$G66</f>
        <v>0</v>
      </c>
      <c r="I66" s="2">
        <v>45939.0</v>
      </c>
      <c r="J66" s="1"/>
      <c r="K66" s="2"/>
      <c r="L66" s="5"/>
      <c r="M66" s="9" t="s">
        <v>151</v>
      </c>
      <c r="N66" s="9" t="s">
        <v>49</v>
      </c>
      <c r="O66" s="10">
        <f>'data on outstanding creditors'!$E66*100/107</f>
        <v>841.1214953</v>
      </c>
      <c r="P66" s="10">
        <f>'data on outstanding creditors'!$E66-'data on outstanding creditors'!$O66</f>
        <v>58.87850467</v>
      </c>
      <c r="Q66" s="7">
        <f>DAY('data on outstanding creditors'!$B66)</f>
        <v>25</v>
      </c>
      <c r="R66" s="7">
        <f>MONTH('data on outstanding creditors'!$B66)</f>
        <v>7</v>
      </c>
      <c r="S66" s="7">
        <f>YEAR('data on outstanding creditors'!$B66)</f>
        <v>2025</v>
      </c>
      <c r="T66" s="11" t="str">
        <f>'data on outstanding creditors'!$C66&amp;" "&amp;'data on outstanding creditors'!$D66&amp;" "&amp;TEXT('data on outstanding creditors'!$E66,"#,##0.00")</f>
        <v>บ.มาเจริญ โฮม เฟอร์นิเจอร์ 183/9101 900.00</v>
      </c>
      <c r="U66" s="8"/>
    </row>
    <row r="67" ht="13.5" customHeight="1">
      <c r="A67" s="1"/>
      <c r="B67" s="2">
        <v>45863.0</v>
      </c>
      <c r="C67" s="9" t="s">
        <v>152</v>
      </c>
      <c r="D67" s="1" t="s">
        <v>154</v>
      </c>
      <c r="E67" s="4">
        <v>1350.0</v>
      </c>
      <c r="F67" s="4">
        <v>1350.0</v>
      </c>
      <c r="G67" s="4"/>
      <c r="H67" s="4">
        <f>'data on outstanding creditors'!$E67-'data on outstanding creditors'!$F67-'data on outstanding creditors'!$G67</f>
        <v>0</v>
      </c>
      <c r="I67" s="2">
        <v>45939.0</v>
      </c>
      <c r="J67" s="1"/>
      <c r="K67" s="2"/>
      <c r="L67" s="5"/>
      <c r="M67" s="9" t="s">
        <v>151</v>
      </c>
      <c r="N67" s="9" t="s">
        <v>49</v>
      </c>
      <c r="O67" s="10">
        <f>'data on outstanding creditors'!$E67*100/107</f>
        <v>1261.682243</v>
      </c>
      <c r="P67" s="10">
        <f>'data on outstanding creditors'!$E67-'data on outstanding creditors'!$O67</f>
        <v>88.31775701</v>
      </c>
      <c r="Q67" s="7">
        <f>DAY('data on outstanding creditors'!$B67)</f>
        <v>25</v>
      </c>
      <c r="R67" s="7">
        <f>MONTH('data on outstanding creditors'!$B67)</f>
        <v>7</v>
      </c>
      <c r="S67" s="7">
        <f>YEAR('data on outstanding creditors'!$B67)</f>
        <v>2025</v>
      </c>
      <c r="T67" s="11" t="str">
        <f>'data on outstanding creditors'!$C67&amp;" "&amp;'data on outstanding creditors'!$D67&amp;" "&amp;TEXT('data on outstanding creditors'!$E67,"#,##0.00")</f>
        <v>บ.มาเจริญ โฮม เฟอร์นิเจอร์ 182/9098 1,350.00</v>
      </c>
      <c r="U67" s="8"/>
    </row>
    <row r="68" ht="13.5" customHeight="1">
      <c r="A68" s="1" t="s">
        <v>155</v>
      </c>
      <c r="B68" s="2">
        <v>45890.0</v>
      </c>
      <c r="C68" s="9" t="s">
        <v>156</v>
      </c>
      <c r="D68" s="1" t="s">
        <v>157</v>
      </c>
      <c r="E68" s="4">
        <v>2150.0</v>
      </c>
      <c r="F68" s="4">
        <v>2150.0</v>
      </c>
      <c r="G68" s="4"/>
      <c r="H68" s="4">
        <f>'data on outstanding creditors'!$E68-'data on outstanding creditors'!$F68-'data on outstanding creditors'!$G68</f>
        <v>0</v>
      </c>
      <c r="I68" s="2">
        <v>45939.0</v>
      </c>
      <c r="J68" s="1"/>
      <c r="K68" s="2"/>
      <c r="L68" s="5"/>
      <c r="M68" s="9" t="s">
        <v>151</v>
      </c>
      <c r="N68" s="9" t="s">
        <v>49</v>
      </c>
      <c r="O68" s="10">
        <f>'data on outstanding creditors'!$E68*100/107</f>
        <v>2009.345794</v>
      </c>
      <c r="P68" s="10">
        <f>'data on outstanding creditors'!$E68-'data on outstanding creditors'!$O68</f>
        <v>140.6542056</v>
      </c>
      <c r="Q68" s="7">
        <f>DAY('data on outstanding creditors'!$B68)</f>
        <v>21</v>
      </c>
      <c r="R68" s="7">
        <f>MONTH('data on outstanding creditors'!$B68)</f>
        <v>8</v>
      </c>
      <c r="S68" s="7">
        <f>YEAR('data on outstanding creditors'!$B68)</f>
        <v>2025</v>
      </c>
      <c r="T68" s="11" t="str">
        <f>'data on outstanding creditors'!$C68&amp;" "&amp;'data on outstanding creditors'!$D68&amp;" "&amp;TEXT('data on outstanding creditors'!$E68,"#,##0.00")</f>
        <v>ร้าน เอส เค แอร์ อิเล็กโทรนิคส์ 2 020/0965 2,150.00</v>
      </c>
      <c r="U68" s="8"/>
    </row>
    <row r="69" ht="13.5" customHeight="1">
      <c r="A69" s="1" t="s">
        <v>158</v>
      </c>
      <c r="B69" s="2">
        <v>45903.0</v>
      </c>
      <c r="C69" s="9" t="s">
        <v>149</v>
      </c>
      <c r="D69" s="1" t="s">
        <v>159</v>
      </c>
      <c r="E69" s="4">
        <v>3400.0</v>
      </c>
      <c r="F69" s="4">
        <v>3400.0</v>
      </c>
      <c r="G69" s="4"/>
      <c r="H69" s="4">
        <f>'data on outstanding creditors'!$E69-'data on outstanding creditors'!$F69-'data on outstanding creditors'!$G69</f>
        <v>0</v>
      </c>
      <c r="I69" s="2">
        <v>45939.0</v>
      </c>
      <c r="J69" s="1"/>
      <c r="K69" s="2"/>
      <c r="L69" s="5"/>
      <c r="M69" s="9" t="s">
        <v>151</v>
      </c>
      <c r="N69" s="9" t="s">
        <v>49</v>
      </c>
      <c r="O69" s="10">
        <f>'data on outstanding creditors'!$E69*100/107</f>
        <v>3177.570093</v>
      </c>
      <c r="P69" s="10">
        <f>'data on outstanding creditors'!$E69-'data on outstanding creditors'!$O69</f>
        <v>222.4299065</v>
      </c>
      <c r="Q69" s="7">
        <f>DAY('data on outstanding creditors'!$B69)</f>
        <v>3</v>
      </c>
      <c r="R69" s="7">
        <f>MONTH('data on outstanding creditors'!$B69)</f>
        <v>9</v>
      </c>
      <c r="S69" s="7">
        <f>YEAR('data on outstanding creditors'!$B69)</f>
        <v>2025</v>
      </c>
      <c r="T69" s="11" t="str">
        <f>'data on outstanding creditors'!$C69&amp;" "&amp;'data on outstanding creditors'!$D69&amp;" "&amp;TEXT('data on outstanding creditors'!$E69,"#,##0.00")</f>
        <v>หจก.บุรีรัมย์ซัพพลายอีเล็คโทรนิค I68/000553 3,400.00</v>
      </c>
      <c r="U69" s="8"/>
    </row>
    <row r="70" ht="13.5" customHeight="1">
      <c r="A70" s="1" t="s">
        <v>160</v>
      </c>
      <c r="B70" s="2">
        <v>45903.0</v>
      </c>
      <c r="C70" s="9" t="s">
        <v>100</v>
      </c>
      <c r="D70" s="1" t="s">
        <v>161</v>
      </c>
      <c r="E70" s="4">
        <v>750.0</v>
      </c>
      <c r="F70" s="4">
        <v>750.0</v>
      </c>
      <c r="G70" s="4"/>
      <c r="H70" s="4">
        <f>'data on outstanding creditors'!$E70-'data on outstanding creditors'!$F70-'data on outstanding creditors'!$G70</f>
        <v>0</v>
      </c>
      <c r="I70" s="2">
        <v>45939.0</v>
      </c>
      <c r="J70" s="1"/>
      <c r="K70" s="2"/>
      <c r="L70" s="5"/>
      <c r="M70" s="9" t="s">
        <v>151</v>
      </c>
      <c r="N70" s="9" t="s">
        <v>49</v>
      </c>
      <c r="O70" s="10">
        <f>'data on outstanding creditors'!$E70*100/107</f>
        <v>700.9345794</v>
      </c>
      <c r="P70" s="10">
        <f>'data on outstanding creditors'!$E70-'data on outstanding creditors'!$O70</f>
        <v>49.06542056</v>
      </c>
      <c r="Q70" s="7">
        <f>DAY('data on outstanding creditors'!$B70)</f>
        <v>3</v>
      </c>
      <c r="R70" s="7">
        <f>MONTH('data on outstanding creditors'!$B70)</f>
        <v>9</v>
      </c>
      <c r="S70" s="7">
        <f>YEAR('data on outstanding creditors'!$B70)</f>
        <v>2025</v>
      </c>
      <c r="T70" s="11" t="str">
        <f>'data on outstanding creditors'!$C70&amp;" "&amp;'data on outstanding creditors'!$D70&amp;" "&amp;TEXT('data on outstanding creditors'!$E70,"#,##0.00")</f>
        <v>หจก.ทวีศักดิ์การไฟฟ้า 2018 TN00002967 750.00</v>
      </c>
      <c r="U70" s="8"/>
    </row>
    <row r="71" ht="13.5" customHeight="1">
      <c r="A71" s="1" t="s">
        <v>162</v>
      </c>
      <c r="B71" s="2">
        <v>45908.0</v>
      </c>
      <c r="C71" s="9" t="s">
        <v>163</v>
      </c>
      <c r="D71" s="1" t="s">
        <v>164</v>
      </c>
      <c r="E71" s="4">
        <v>4650.0</v>
      </c>
      <c r="F71" s="4">
        <v>4650.0</v>
      </c>
      <c r="G71" s="4"/>
      <c r="H71" s="4">
        <f>'data on outstanding creditors'!$E71-'data on outstanding creditors'!$F71-'data on outstanding creditors'!$G71</f>
        <v>0</v>
      </c>
      <c r="I71" s="2">
        <v>45939.0</v>
      </c>
      <c r="J71" s="1"/>
      <c r="K71" s="2"/>
      <c r="L71" s="5"/>
      <c r="M71" s="9" t="s">
        <v>151</v>
      </c>
      <c r="N71" s="9" t="s">
        <v>49</v>
      </c>
      <c r="O71" s="10">
        <f>'data on outstanding creditors'!$E71*100/107</f>
        <v>4345.794393</v>
      </c>
      <c r="P71" s="10">
        <f>'data on outstanding creditors'!$E71-'data on outstanding creditors'!$O71</f>
        <v>304.2056075</v>
      </c>
      <c r="Q71" s="7">
        <f>DAY('data on outstanding creditors'!$B71)</f>
        <v>8</v>
      </c>
      <c r="R71" s="7">
        <f>MONTH('data on outstanding creditors'!$B71)</f>
        <v>9</v>
      </c>
      <c r="S71" s="7">
        <f>YEAR('data on outstanding creditors'!$B71)</f>
        <v>2025</v>
      </c>
      <c r="T71" s="11" t="str">
        <f>'data on outstanding creditors'!$C71&amp;" "&amp;'data on outstanding creditors'!$D71&amp;" "&amp;TEXT('data on outstanding creditors'!$E71,"#,##0.00")</f>
        <v>ร้าน เซฟตี้แอนด์เรสคิว 201/3 4,650.00</v>
      </c>
      <c r="U71" s="8"/>
    </row>
    <row r="72" ht="13.5" customHeight="1">
      <c r="A72" s="1" t="s">
        <v>165</v>
      </c>
      <c r="B72" s="2">
        <v>45910.0</v>
      </c>
      <c r="C72" s="9" t="s">
        <v>163</v>
      </c>
      <c r="D72" s="1" t="s">
        <v>166</v>
      </c>
      <c r="E72" s="4">
        <v>3800.0</v>
      </c>
      <c r="F72" s="4">
        <v>3800.0</v>
      </c>
      <c r="G72" s="4"/>
      <c r="H72" s="4">
        <f>'data on outstanding creditors'!$E72-'data on outstanding creditors'!$F72-'data on outstanding creditors'!$G72</f>
        <v>0</v>
      </c>
      <c r="I72" s="2">
        <v>45939.0</v>
      </c>
      <c r="J72" s="1"/>
      <c r="K72" s="2"/>
      <c r="L72" s="5"/>
      <c r="M72" s="9" t="s">
        <v>151</v>
      </c>
      <c r="N72" s="9" t="s">
        <v>49</v>
      </c>
      <c r="O72" s="10">
        <f>'data on outstanding creditors'!$E72*100/107</f>
        <v>3551.401869</v>
      </c>
      <c r="P72" s="10">
        <f>'data on outstanding creditors'!$E72-'data on outstanding creditors'!$O72</f>
        <v>248.5981308</v>
      </c>
      <c r="Q72" s="7">
        <f>DAY('data on outstanding creditors'!$B72)</f>
        <v>10</v>
      </c>
      <c r="R72" s="7">
        <f>MONTH('data on outstanding creditors'!$B72)</f>
        <v>9</v>
      </c>
      <c r="S72" s="7">
        <f>YEAR('data on outstanding creditors'!$B72)</f>
        <v>2025</v>
      </c>
      <c r="T72" s="11" t="str">
        <f>'data on outstanding creditors'!$C72&amp;" "&amp;'data on outstanding creditors'!$D72&amp;" "&amp;TEXT('data on outstanding creditors'!$E72,"#,##0.00")</f>
        <v>ร้าน เซฟตี้แอนด์เรสคิว 6/11 3,800.00</v>
      </c>
      <c r="U72" s="8"/>
    </row>
    <row r="73" ht="13.5" customHeight="1">
      <c r="A73" s="1" t="s">
        <v>167</v>
      </c>
      <c r="B73" s="2">
        <v>45922.0</v>
      </c>
      <c r="C73" s="9" t="s">
        <v>149</v>
      </c>
      <c r="D73" s="1" t="s">
        <v>168</v>
      </c>
      <c r="E73" s="4">
        <v>2000.0</v>
      </c>
      <c r="F73" s="4">
        <v>2000.0</v>
      </c>
      <c r="G73" s="4"/>
      <c r="H73" s="4">
        <f>'data on outstanding creditors'!$E73-'data on outstanding creditors'!$F73-'data on outstanding creditors'!$G73</f>
        <v>0</v>
      </c>
      <c r="I73" s="2">
        <v>45939.0</v>
      </c>
      <c r="J73" s="1"/>
      <c r="K73" s="2"/>
      <c r="L73" s="5"/>
      <c r="M73" s="9" t="s">
        <v>151</v>
      </c>
      <c r="N73" s="9" t="s">
        <v>49</v>
      </c>
      <c r="O73" s="10">
        <f>'data on outstanding creditors'!$E73*100/107</f>
        <v>1869.158879</v>
      </c>
      <c r="P73" s="10">
        <f>'data on outstanding creditors'!$E73-'data on outstanding creditors'!$O73</f>
        <v>130.8411215</v>
      </c>
      <c r="Q73" s="7">
        <f>DAY('data on outstanding creditors'!$B73)</f>
        <v>22</v>
      </c>
      <c r="R73" s="7">
        <f>MONTH('data on outstanding creditors'!$B73)</f>
        <v>9</v>
      </c>
      <c r="S73" s="7">
        <f>YEAR('data on outstanding creditors'!$B73)</f>
        <v>2025</v>
      </c>
      <c r="T73" s="11" t="str">
        <f>'data on outstanding creditors'!$C73&amp;" "&amp;'data on outstanding creditors'!$D73&amp;" "&amp;TEXT('data on outstanding creditors'!$E73,"#,##0.00")</f>
        <v>หจก.บุรีรัมย์ซัพพลายอีเล็คโทรนิค I68/000612 2,000.00</v>
      </c>
      <c r="U73" s="8"/>
    </row>
    <row r="74" ht="13.5" customHeight="1">
      <c r="A74" s="1"/>
      <c r="B74" s="2">
        <v>45827.0</v>
      </c>
      <c r="C74" s="9" t="s">
        <v>156</v>
      </c>
      <c r="D74" s="1" t="s">
        <v>169</v>
      </c>
      <c r="E74" s="4">
        <v>5200.0</v>
      </c>
      <c r="F74" s="4">
        <v>5200.0</v>
      </c>
      <c r="G74" s="4"/>
      <c r="H74" s="4">
        <f>'data on outstanding creditors'!$E74-'data on outstanding creditors'!$F74-'data on outstanding creditors'!$G74</f>
        <v>0</v>
      </c>
      <c r="I74" s="2">
        <v>45939.0</v>
      </c>
      <c r="J74" s="1"/>
      <c r="K74" s="2"/>
      <c r="L74" s="5"/>
      <c r="M74" s="9" t="s">
        <v>170</v>
      </c>
      <c r="N74" s="9" t="s">
        <v>49</v>
      </c>
      <c r="O74" s="10">
        <f>'data on outstanding creditors'!$E74*100/107</f>
        <v>4859.813084</v>
      </c>
      <c r="P74" s="10">
        <f>'data on outstanding creditors'!$E74-'data on outstanding creditors'!$O74</f>
        <v>340.1869159</v>
      </c>
      <c r="Q74" s="7">
        <f>DAY('data on outstanding creditors'!$B74)</f>
        <v>19</v>
      </c>
      <c r="R74" s="7">
        <f>MONTH('data on outstanding creditors'!$B74)</f>
        <v>6</v>
      </c>
      <c r="S74" s="7">
        <f>YEAR('data on outstanding creditors'!$B74)</f>
        <v>2025</v>
      </c>
      <c r="T74" s="11" t="str">
        <f>'data on outstanding creditors'!$C74&amp;" "&amp;'data on outstanding creditors'!$D74&amp;" "&amp;TEXT('data on outstanding creditors'!$E74,"#,##0.00")</f>
        <v>ร้าน เอส เค แอร์ อิเล็กโทรนิคส์ 2 019/0928 5,200.00</v>
      </c>
      <c r="U74" s="8"/>
    </row>
    <row r="75" ht="13.5" customHeight="1">
      <c r="A75" s="1" t="s">
        <v>171</v>
      </c>
      <c r="B75" s="2">
        <v>45909.0</v>
      </c>
      <c r="C75" s="9" t="s">
        <v>156</v>
      </c>
      <c r="D75" s="1" t="s">
        <v>172</v>
      </c>
      <c r="E75" s="4">
        <v>2110.0</v>
      </c>
      <c r="F75" s="4">
        <v>2110.0</v>
      </c>
      <c r="G75" s="4"/>
      <c r="H75" s="4">
        <f>'data on outstanding creditors'!$E75-'data on outstanding creditors'!$F75-'data on outstanding creditors'!$G75</f>
        <v>0</v>
      </c>
      <c r="I75" s="2">
        <v>45939.0</v>
      </c>
      <c r="J75" s="1"/>
      <c r="K75" s="2"/>
      <c r="L75" s="5"/>
      <c r="M75" s="9" t="s">
        <v>54</v>
      </c>
      <c r="N75" s="9" t="s">
        <v>49</v>
      </c>
      <c r="O75" s="10">
        <f>'data on outstanding creditors'!$E75*100/107</f>
        <v>1971.962617</v>
      </c>
      <c r="P75" s="10">
        <f>'data on outstanding creditors'!$E75-'data on outstanding creditors'!$O75</f>
        <v>138.0373832</v>
      </c>
      <c r="Q75" s="7">
        <f>DAY('data on outstanding creditors'!$B75)</f>
        <v>9</v>
      </c>
      <c r="R75" s="7">
        <f>MONTH('data on outstanding creditors'!$B75)</f>
        <v>9</v>
      </c>
      <c r="S75" s="7">
        <f>YEAR('data on outstanding creditors'!$B75)</f>
        <v>2025</v>
      </c>
      <c r="T75" s="11" t="str">
        <f>'data on outstanding creditors'!$C75&amp;" "&amp;'data on outstanding creditors'!$D75&amp;" "&amp;TEXT('data on outstanding creditors'!$E75,"#,##0.00")</f>
        <v>ร้าน เอส เค แอร์ อิเล็กโทรนิคส์ 2 020/0967 2,110.00</v>
      </c>
      <c r="U75" s="8"/>
    </row>
    <row r="76" ht="13.5" customHeight="1">
      <c r="A76" s="1" t="s">
        <v>173</v>
      </c>
      <c r="B76" s="2">
        <v>45925.0</v>
      </c>
      <c r="C76" s="9" t="s">
        <v>174</v>
      </c>
      <c r="D76" s="1" t="s">
        <v>175</v>
      </c>
      <c r="E76" s="4">
        <v>14383.0</v>
      </c>
      <c r="F76" s="4">
        <v>14383.0</v>
      </c>
      <c r="G76" s="4"/>
      <c r="H76" s="4">
        <f>'data on outstanding creditors'!$E76-'data on outstanding creditors'!$F76-'data on outstanding creditors'!$G76</f>
        <v>0</v>
      </c>
      <c r="I76" s="2">
        <v>45939.0</v>
      </c>
      <c r="J76" s="1"/>
      <c r="K76" s="2"/>
      <c r="L76" s="5"/>
      <c r="M76" s="9" t="s">
        <v>54</v>
      </c>
      <c r="N76" s="9" t="s">
        <v>49</v>
      </c>
      <c r="O76" s="10">
        <f>'data on outstanding creditors'!$E76*100/107</f>
        <v>13442.05607</v>
      </c>
      <c r="P76" s="10">
        <f>'data on outstanding creditors'!$E76-'data on outstanding creditors'!$O76</f>
        <v>940.9439252</v>
      </c>
      <c r="Q76" s="7">
        <f>DAY('data on outstanding creditors'!$B76)</f>
        <v>25</v>
      </c>
      <c r="R76" s="7">
        <f>MONTH('data on outstanding creditors'!$B76)</f>
        <v>9</v>
      </c>
      <c r="S76" s="7">
        <f>YEAR('data on outstanding creditors'!$B76)</f>
        <v>2025</v>
      </c>
      <c r="T76" s="11" t="str">
        <f>'data on outstanding creditors'!$C76&amp;" "&amp;'data on outstanding creditors'!$D76&amp;" "&amp;TEXT('data on outstanding creditors'!$E76,"#,##0.00")</f>
        <v>ร้าน T&amp;P แอร์ไฟฟ้า 0003 14,383.00</v>
      </c>
      <c r="U76" s="8"/>
    </row>
    <row r="77" ht="13.5" customHeight="1">
      <c r="A77" s="1" t="s">
        <v>176</v>
      </c>
      <c r="B77" s="2">
        <v>45812.0</v>
      </c>
      <c r="C77" s="9" t="s">
        <v>149</v>
      </c>
      <c r="D77" s="1" t="s">
        <v>177</v>
      </c>
      <c r="E77" s="4">
        <v>5990.0</v>
      </c>
      <c r="F77" s="4">
        <v>5990.0</v>
      </c>
      <c r="G77" s="4"/>
      <c r="H77" s="4">
        <f>'data on outstanding creditors'!$E77-'data on outstanding creditors'!$F77-'data on outstanding creditors'!$G77</f>
        <v>0</v>
      </c>
      <c r="I77" s="2">
        <v>45939.0</v>
      </c>
      <c r="J77" s="1"/>
      <c r="K77" s="2"/>
      <c r="L77" s="5"/>
      <c r="M77" s="9" t="s">
        <v>178</v>
      </c>
      <c r="N77" s="9" t="s">
        <v>49</v>
      </c>
      <c r="O77" s="10">
        <f>'data on outstanding creditors'!$E77*100/107</f>
        <v>5598.130841</v>
      </c>
      <c r="P77" s="10">
        <f>'data on outstanding creditors'!$E77-'data on outstanding creditors'!$O77</f>
        <v>391.8691589</v>
      </c>
      <c r="Q77" s="7">
        <f>DAY('data on outstanding creditors'!$B77)</f>
        <v>4</v>
      </c>
      <c r="R77" s="7">
        <f>MONTH('data on outstanding creditors'!$B77)</f>
        <v>6</v>
      </c>
      <c r="S77" s="7">
        <f>YEAR('data on outstanding creditors'!$B77)</f>
        <v>2025</v>
      </c>
      <c r="T77" s="11" t="str">
        <f>'data on outstanding creditors'!$C77&amp;" "&amp;'data on outstanding creditors'!$D77&amp;" "&amp;TEXT('data on outstanding creditors'!$E77,"#,##0.00")</f>
        <v>หจก.บุรีรัมย์ซัพพลายอีเล็คโทรนิค I68/000352 5,990.00</v>
      </c>
      <c r="U77" s="8"/>
    </row>
    <row r="78" ht="13.5" customHeight="1">
      <c r="A78" s="1" t="s">
        <v>179</v>
      </c>
      <c r="B78" s="2">
        <v>45875.0</v>
      </c>
      <c r="C78" s="9" t="s">
        <v>149</v>
      </c>
      <c r="D78" s="1" t="s">
        <v>180</v>
      </c>
      <c r="E78" s="4">
        <v>4590.0</v>
      </c>
      <c r="F78" s="4">
        <v>4590.0</v>
      </c>
      <c r="G78" s="4"/>
      <c r="H78" s="4">
        <f>'data on outstanding creditors'!$E78-'data on outstanding creditors'!$F78-'data on outstanding creditors'!$G78</f>
        <v>0</v>
      </c>
      <c r="I78" s="2">
        <v>45939.0</v>
      </c>
      <c r="J78" s="1"/>
      <c r="K78" s="2"/>
      <c r="L78" s="5"/>
      <c r="M78" s="9" t="s">
        <v>178</v>
      </c>
      <c r="N78" s="9" t="s">
        <v>49</v>
      </c>
      <c r="O78" s="10">
        <f>'data on outstanding creditors'!$E78*100/107</f>
        <v>4289.719626</v>
      </c>
      <c r="P78" s="10">
        <f>'data on outstanding creditors'!$E78-'data on outstanding creditors'!$O78</f>
        <v>300.2803738</v>
      </c>
      <c r="Q78" s="7">
        <f>DAY('data on outstanding creditors'!$B78)</f>
        <v>6</v>
      </c>
      <c r="R78" s="7">
        <f>MONTH('data on outstanding creditors'!$B78)</f>
        <v>8</v>
      </c>
      <c r="S78" s="7">
        <f>YEAR('data on outstanding creditors'!$B78)</f>
        <v>2025</v>
      </c>
      <c r="T78" s="11" t="str">
        <f>'data on outstanding creditors'!$C78&amp;" "&amp;'data on outstanding creditors'!$D78&amp;" "&amp;TEXT('data on outstanding creditors'!$E78,"#,##0.00")</f>
        <v>หจก.บุรีรัมย์ซัพพลายอีเล็คโทรนิค I68/000491 4,590.00</v>
      </c>
      <c r="U78" s="8"/>
    </row>
    <row r="79" ht="13.5" customHeight="1">
      <c r="A79" s="1" t="s">
        <v>181</v>
      </c>
      <c r="B79" s="2">
        <v>45890.0</v>
      </c>
      <c r="C79" s="9" t="s">
        <v>137</v>
      </c>
      <c r="D79" s="1" t="s">
        <v>182</v>
      </c>
      <c r="E79" s="4">
        <v>4600.0</v>
      </c>
      <c r="F79" s="4">
        <v>4600.0</v>
      </c>
      <c r="G79" s="4"/>
      <c r="H79" s="4">
        <f>'data on outstanding creditors'!$E79-'data on outstanding creditors'!$F79-'data on outstanding creditors'!$G79</f>
        <v>0</v>
      </c>
      <c r="I79" s="2">
        <v>45939.0</v>
      </c>
      <c r="J79" s="1"/>
      <c r="K79" s="2"/>
      <c r="L79" s="5"/>
      <c r="M79" s="9" t="s">
        <v>178</v>
      </c>
      <c r="N79" s="9" t="s">
        <v>49</v>
      </c>
      <c r="O79" s="10">
        <f>'data on outstanding creditors'!$E79*100/107</f>
        <v>4299.065421</v>
      </c>
      <c r="P79" s="10">
        <f>'data on outstanding creditors'!$E79-'data on outstanding creditors'!$O79</f>
        <v>300.9345794</v>
      </c>
      <c r="Q79" s="7">
        <f>DAY('data on outstanding creditors'!$B79)</f>
        <v>21</v>
      </c>
      <c r="R79" s="7">
        <f>MONTH('data on outstanding creditors'!$B79)</f>
        <v>8</v>
      </c>
      <c r="S79" s="7">
        <f>YEAR('data on outstanding creditors'!$B79)</f>
        <v>2025</v>
      </c>
      <c r="T79" s="11" t="str">
        <f>'data on outstanding creditors'!$C79&amp;" "&amp;'data on outstanding creditors'!$D79&amp;" "&amp;TEXT('data on outstanding creditors'!$E79,"#,##0.00")</f>
        <v>บ.เฟอร์นิช สเปช IV-68082101 4,600.00</v>
      </c>
      <c r="U79" s="8"/>
    </row>
    <row r="80" ht="13.5" customHeight="1">
      <c r="A80" s="1" t="s">
        <v>183</v>
      </c>
      <c r="B80" s="2">
        <v>45901.0</v>
      </c>
      <c r="C80" s="9" t="s">
        <v>137</v>
      </c>
      <c r="D80" s="1" t="s">
        <v>184</v>
      </c>
      <c r="E80" s="4">
        <v>4700.0</v>
      </c>
      <c r="F80" s="4">
        <v>4700.0</v>
      </c>
      <c r="G80" s="4"/>
      <c r="H80" s="4">
        <f>'data on outstanding creditors'!$E80-'data on outstanding creditors'!$F80-'data on outstanding creditors'!$G80</f>
        <v>0</v>
      </c>
      <c r="I80" s="2">
        <v>45939.0</v>
      </c>
      <c r="J80" s="1"/>
      <c r="K80" s="2"/>
      <c r="L80" s="5"/>
      <c r="M80" s="9" t="s">
        <v>178</v>
      </c>
      <c r="N80" s="9" t="s">
        <v>49</v>
      </c>
      <c r="O80" s="10">
        <f>'data on outstanding creditors'!$E80*100/107</f>
        <v>4392.523364</v>
      </c>
      <c r="P80" s="10">
        <f>'data on outstanding creditors'!$E80-'data on outstanding creditors'!$O80</f>
        <v>307.4766355</v>
      </c>
      <c r="Q80" s="7">
        <f>DAY('data on outstanding creditors'!$B80)</f>
        <v>1</v>
      </c>
      <c r="R80" s="7">
        <f>MONTH('data on outstanding creditors'!$B80)</f>
        <v>9</v>
      </c>
      <c r="S80" s="7">
        <f>YEAR('data on outstanding creditors'!$B80)</f>
        <v>2025</v>
      </c>
      <c r="T80" s="11" t="str">
        <f>'data on outstanding creditors'!$C80&amp;" "&amp;'data on outstanding creditors'!$D80&amp;" "&amp;TEXT('data on outstanding creditors'!$E80,"#,##0.00")</f>
        <v>บ.เฟอร์นิช สเปช IV-68090101 4,700.00</v>
      </c>
      <c r="U80" s="8"/>
    </row>
    <row r="81" ht="13.5" customHeight="1">
      <c r="A81" s="1" t="s">
        <v>185</v>
      </c>
      <c r="B81" s="2">
        <v>45905.0</v>
      </c>
      <c r="C81" s="9" t="s">
        <v>137</v>
      </c>
      <c r="D81" s="1" t="s">
        <v>186</v>
      </c>
      <c r="E81" s="4">
        <v>23200.0</v>
      </c>
      <c r="F81" s="4">
        <v>23200.0</v>
      </c>
      <c r="G81" s="4"/>
      <c r="H81" s="4">
        <f>'data on outstanding creditors'!$E81-'data on outstanding creditors'!$F81-'data on outstanding creditors'!$G81</f>
        <v>0</v>
      </c>
      <c r="I81" s="2">
        <v>45939.0</v>
      </c>
      <c r="J81" s="1"/>
      <c r="K81" s="2"/>
      <c r="L81" s="5"/>
      <c r="M81" s="9" t="s">
        <v>178</v>
      </c>
      <c r="N81" s="9" t="s">
        <v>49</v>
      </c>
      <c r="O81" s="10">
        <f>'data on outstanding creditors'!$E81*100/107</f>
        <v>21682.24299</v>
      </c>
      <c r="P81" s="10">
        <f>'data on outstanding creditors'!$E81-'data on outstanding creditors'!$O81</f>
        <v>1517.757009</v>
      </c>
      <c r="Q81" s="7">
        <f>DAY('data on outstanding creditors'!$B81)</f>
        <v>5</v>
      </c>
      <c r="R81" s="7">
        <f>MONTH('data on outstanding creditors'!$B81)</f>
        <v>9</v>
      </c>
      <c r="S81" s="7">
        <f>YEAR('data on outstanding creditors'!$B81)</f>
        <v>2025</v>
      </c>
      <c r="T81" s="11" t="str">
        <f>'data on outstanding creditors'!$C81&amp;" "&amp;'data on outstanding creditors'!$D81&amp;" "&amp;TEXT('data on outstanding creditors'!$E81,"#,##0.00")</f>
        <v>บ.เฟอร์นิช สเปช IV-68090501 23,200.00</v>
      </c>
      <c r="U81" s="8"/>
    </row>
    <row r="82" ht="13.5" customHeight="1">
      <c r="A82" s="1" t="s">
        <v>187</v>
      </c>
      <c r="B82" s="2">
        <v>45905.0</v>
      </c>
      <c r="C82" s="9" t="s">
        <v>149</v>
      </c>
      <c r="D82" s="1" t="s">
        <v>188</v>
      </c>
      <c r="E82" s="4">
        <v>4590.0</v>
      </c>
      <c r="F82" s="4">
        <v>4590.0</v>
      </c>
      <c r="G82" s="4"/>
      <c r="H82" s="4">
        <f>'data on outstanding creditors'!$E82-'data on outstanding creditors'!$F82-'data on outstanding creditors'!$G82</f>
        <v>0</v>
      </c>
      <c r="I82" s="2">
        <v>45939.0</v>
      </c>
      <c r="J82" s="1"/>
      <c r="K82" s="2"/>
      <c r="L82" s="5"/>
      <c r="M82" s="9" t="s">
        <v>178</v>
      </c>
      <c r="N82" s="9" t="s">
        <v>49</v>
      </c>
      <c r="O82" s="10">
        <f>'data on outstanding creditors'!$E82*100/107</f>
        <v>4289.719626</v>
      </c>
      <c r="P82" s="10">
        <f>'data on outstanding creditors'!$E82-'data on outstanding creditors'!$O82</f>
        <v>300.2803738</v>
      </c>
      <c r="Q82" s="7">
        <f>DAY('data on outstanding creditors'!$B82)</f>
        <v>5</v>
      </c>
      <c r="R82" s="7">
        <f>MONTH('data on outstanding creditors'!$B82)</f>
        <v>9</v>
      </c>
      <c r="S82" s="7">
        <f>YEAR('data on outstanding creditors'!$B82)</f>
        <v>2025</v>
      </c>
      <c r="T82" s="11" t="str">
        <f>'data on outstanding creditors'!$C82&amp;" "&amp;'data on outstanding creditors'!$D82&amp;" "&amp;TEXT('data on outstanding creditors'!$E82,"#,##0.00")</f>
        <v>หจก.บุรีรัมย์ซัพพลายอีเล็คโทรนิค I68/000568 4,590.00</v>
      </c>
      <c r="U82" s="8"/>
    </row>
    <row r="83" ht="13.5" customHeight="1">
      <c r="A83" s="1" t="s">
        <v>189</v>
      </c>
      <c r="B83" s="2">
        <v>45909.0</v>
      </c>
      <c r="C83" s="9" t="s">
        <v>137</v>
      </c>
      <c r="D83" s="1" t="s">
        <v>190</v>
      </c>
      <c r="E83" s="4">
        <v>2550.0</v>
      </c>
      <c r="F83" s="4">
        <v>2550.0</v>
      </c>
      <c r="G83" s="4"/>
      <c r="H83" s="4">
        <f>'data on outstanding creditors'!$E83-'data on outstanding creditors'!$F83-'data on outstanding creditors'!$G83</f>
        <v>0</v>
      </c>
      <c r="I83" s="2">
        <v>45939.0</v>
      </c>
      <c r="J83" s="1"/>
      <c r="K83" s="2"/>
      <c r="L83" s="5"/>
      <c r="M83" s="9" t="s">
        <v>178</v>
      </c>
      <c r="N83" s="9" t="s">
        <v>49</v>
      </c>
      <c r="O83" s="10">
        <f>'data on outstanding creditors'!$E83*100/107</f>
        <v>2383.17757</v>
      </c>
      <c r="P83" s="10">
        <f>'data on outstanding creditors'!$E83-'data on outstanding creditors'!$O83</f>
        <v>166.8224299</v>
      </c>
      <c r="Q83" s="7">
        <f>DAY('data on outstanding creditors'!$B83)</f>
        <v>9</v>
      </c>
      <c r="R83" s="7">
        <f>MONTH('data on outstanding creditors'!$B83)</f>
        <v>9</v>
      </c>
      <c r="S83" s="7">
        <f>YEAR('data on outstanding creditors'!$B83)</f>
        <v>2025</v>
      </c>
      <c r="T83" s="11" t="str">
        <f>'data on outstanding creditors'!$C83&amp;" "&amp;'data on outstanding creditors'!$D83&amp;" "&amp;TEXT('data on outstanding creditors'!$E83,"#,##0.00")</f>
        <v>บ.เฟอร์นิช สเปช IV-68090901 2,550.00</v>
      </c>
      <c r="U83" s="8"/>
    </row>
    <row r="84" ht="13.5" customHeight="1">
      <c r="A84" s="1" t="s">
        <v>191</v>
      </c>
      <c r="B84" s="2">
        <v>45912.0</v>
      </c>
      <c r="C84" s="9" t="s">
        <v>152</v>
      </c>
      <c r="D84" s="1" t="s">
        <v>192</v>
      </c>
      <c r="E84" s="4">
        <v>4800.0</v>
      </c>
      <c r="F84" s="4">
        <v>4800.0</v>
      </c>
      <c r="G84" s="4"/>
      <c r="H84" s="4">
        <f>'data on outstanding creditors'!$E84-'data on outstanding creditors'!$F84-'data on outstanding creditors'!$G84</f>
        <v>0</v>
      </c>
      <c r="I84" s="2">
        <v>45939.0</v>
      </c>
      <c r="J84" s="1"/>
      <c r="K84" s="2"/>
      <c r="L84" s="5"/>
      <c r="M84" s="9" t="s">
        <v>178</v>
      </c>
      <c r="N84" s="9" t="s">
        <v>49</v>
      </c>
      <c r="O84" s="10">
        <f>'data on outstanding creditors'!$E84*100/107</f>
        <v>4485.981308</v>
      </c>
      <c r="P84" s="10">
        <f>'data on outstanding creditors'!$E84-'data on outstanding creditors'!$O84</f>
        <v>314.0186916</v>
      </c>
      <c r="Q84" s="7">
        <f>DAY('data on outstanding creditors'!$B84)</f>
        <v>12</v>
      </c>
      <c r="R84" s="7">
        <f>MONTH('data on outstanding creditors'!$B84)</f>
        <v>9</v>
      </c>
      <c r="S84" s="7">
        <f>YEAR('data on outstanding creditors'!$B84)</f>
        <v>2025</v>
      </c>
      <c r="T84" s="11" t="str">
        <f>'data on outstanding creditors'!$C84&amp;" "&amp;'data on outstanding creditors'!$D84&amp;" "&amp;TEXT('data on outstanding creditors'!$E84,"#,##0.00")</f>
        <v>บ.มาเจริญ โฮม เฟอร์นิเจอร์ 188/9377 4,800.00</v>
      </c>
      <c r="U84" s="8"/>
    </row>
    <row r="85" ht="13.5" customHeight="1">
      <c r="A85" s="1" t="s">
        <v>193</v>
      </c>
      <c r="B85" s="2">
        <v>45916.0</v>
      </c>
      <c r="C85" s="9" t="s">
        <v>137</v>
      </c>
      <c r="D85" s="1" t="s">
        <v>194</v>
      </c>
      <c r="E85" s="4">
        <v>2200.0</v>
      </c>
      <c r="F85" s="4">
        <v>2200.0</v>
      </c>
      <c r="G85" s="4"/>
      <c r="H85" s="4">
        <f>'data on outstanding creditors'!$E85-'data on outstanding creditors'!$F85-'data on outstanding creditors'!$G85</f>
        <v>0</v>
      </c>
      <c r="I85" s="2">
        <v>45939.0</v>
      </c>
      <c r="J85" s="1"/>
      <c r="K85" s="2"/>
      <c r="L85" s="5"/>
      <c r="M85" s="9" t="s">
        <v>178</v>
      </c>
      <c r="N85" s="9" t="s">
        <v>49</v>
      </c>
      <c r="O85" s="10">
        <f>'data on outstanding creditors'!$E85*100/107</f>
        <v>2056.074766</v>
      </c>
      <c r="P85" s="10">
        <f>'data on outstanding creditors'!$E85-'data on outstanding creditors'!$O85</f>
        <v>143.9252336</v>
      </c>
      <c r="Q85" s="7">
        <f>DAY('data on outstanding creditors'!$B85)</f>
        <v>16</v>
      </c>
      <c r="R85" s="7">
        <f>MONTH('data on outstanding creditors'!$B85)</f>
        <v>9</v>
      </c>
      <c r="S85" s="7">
        <f>YEAR('data on outstanding creditors'!$B85)</f>
        <v>2025</v>
      </c>
      <c r="T85" s="11" t="str">
        <f>'data on outstanding creditors'!$C85&amp;" "&amp;'data on outstanding creditors'!$D85&amp;" "&amp;TEXT('data on outstanding creditors'!$E85,"#,##0.00")</f>
        <v>บ.เฟอร์นิช สเปช IV-68091601 2,200.00</v>
      </c>
      <c r="U85" s="8"/>
    </row>
    <row r="86" ht="13.5" customHeight="1">
      <c r="A86" s="1" t="s">
        <v>195</v>
      </c>
      <c r="B86" s="2">
        <v>45919.0</v>
      </c>
      <c r="C86" s="9" t="s">
        <v>149</v>
      </c>
      <c r="D86" s="1" t="s">
        <v>196</v>
      </c>
      <c r="E86" s="4">
        <v>3500.0</v>
      </c>
      <c r="F86" s="4">
        <v>3500.0</v>
      </c>
      <c r="G86" s="4"/>
      <c r="H86" s="4">
        <f>'data on outstanding creditors'!$E86-'data on outstanding creditors'!$F86-'data on outstanding creditors'!$G86</f>
        <v>0</v>
      </c>
      <c r="I86" s="2">
        <v>45939.0</v>
      </c>
      <c r="J86" s="1"/>
      <c r="K86" s="2"/>
      <c r="L86" s="5"/>
      <c r="M86" s="9" t="s">
        <v>178</v>
      </c>
      <c r="N86" s="9" t="s">
        <v>49</v>
      </c>
      <c r="O86" s="10">
        <f>'data on outstanding creditors'!$E86*100/107</f>
        <v>3271.028037</v>
      </c>
      <c r="P86" s="10">
        <f>'data on outstanding creditors'!$E86-'data on outstanding creditors'!$O86</f>
        <v>228.9719626</v>
      </c>
      <c r="Q86" s="7">
        <f>DAY('data on outstanding creditors'!$B86)</f>
        <v>19</v>
      </c>
      <c r="R86" s="7">
        <f>MONTH('data on outstanding creditors'!$B86)</f>
        <v>9</v>
      </c>
      <c r="S86" s="7">
        <f>YEAR('data on outstanding creditors'!$B86)</f>
        <v>2025</v>
      </c>
      <c r="T86" s="11" t="str">
        <f>'data on outstanding creditors'!$C86&amp;" "&amp;'data on outstanding creditors'!$D86&amp;" "&amp;TEXT('data on outstanding creditors'!$E86,"#,##0.00")</f>
        <v>หจก.บุรีรัมย์ซัพพลายอีเล็คโทรนิค I68/000605 3,500.00</v>
      </c>
      <c r="U86" s="8"/>
    </row>
    <row r="87" ht="13.5" customHeight="1">
      <c r="A87" s="1" t="s">
        <v>197</v>
      </c>
      <c r="B87" s="2">
        <v>45919.0</v>
      </c>
      <c r="C87" s="9" t="s">
        <v>137</v>
      </c>
      <c r="D87" s="1" t="s">
        <v>198</v>
      </c>
      <c r="E87" s="4">
        <v>6900.0</v>
      </c>
      <c r="F87" s="4">
        <v>6900.0</v>
      </c>
      <c r="G87" s="4"/>
      <c r="H87" s="4">
        <f>'data on outstanding creditors'!$E87-'data on outstanding creditors'!$F87-'data on outstanding creditors'!$G87</f>
        <v>0</v>
      </c>
      <c r="I87" s="2">
        <v>45939.0</v>
      </c>
      <c r="J87" s="1"/>
      <c r="K87" s="2"/>
      <c r="L87" s="5"/>
      <c r="M87" s="9" t="s">
        <v>178</v>
      </c>
      <c r="N87" s="9" t="s">
        <v>49</v>
      </c>
      <c r="O87" s="10">
        <f>'data on outstanding creditors'!$E87*100/107</f>
        <v>6448.598131</v>
      </c>
      <c r="P87" s="10">
        <f>'data on outstanding creditors'!$E87-'data on outstanding creditors'!$O87</f>
        <v>451.4018692</v>
      </c>
      <c r="Q87" s="7">
        <f>DAY('data on outstanding creditors'!$B87)</f>
        <v>19</v>
      </c>
      <c r="R87" s="7">
        <f>MONTH('data on outstanding creditors'!$B87)</f>
        <v>9</v>
      </c>
      <c r="S87" s="7">
        <f>YEAR('data on outstanding creditors'!$B87)</f>
        <v>2025</v>
      </c>
      <c r="T87" s="11" t="str">
        <f>'data on outstanding creditors'!$C87&amp;" "&amp;'data on outstanding creditors'!$D87&amp;" "&amp;TEXT('data on outstanding creditors'!$E87,"#,##0.00")</f>
        <v>บ.เฟอร์นิช สเปช IV-68091901 6,900.00</v>
      </c>
      <c r="U87" s="8"/>
    </row>
    <row r="88" ht="13.5" customHeight="1">
      <c r="A88" s="1" t="s">
        <v>199</v>
      </c>
      <c r="B88" s="2">
        <v>45859.0</v>
      </c>
      <c r="C88" s="9" t="s">
        <v>92</v>
      </c>
      <c r="D88" s="1" t="s">
        <v>200</v>
      </c>
      <c r="E88" s="4">
        <v>14000.0</v>
      </c>
      <c r="F88" s="4">
        <v>14000.0</v>
      </c>
      <c r="G88" s="4"/>
      <c r="H88" s="4">
        <f>'data on outstanding creditors'!$E88-'data on outstanding creditors'!$F88-'data on outstanding creditors'!$G88</f>
        <v>0</v>
      </c>
      <c r="I88" s="2">
        <v>45939.0</v>
      </c>
      <c r="J88" s="1"/>
      <c r="K88" s="2"/>
      <c r="L88" s="5"/>
      <c r="M88" s="9" t="s">
        <v>201</v>
      </c>
      <c r="N88" s="9" t="s">
        <v>49</v>
      </c>
      <c r="O88" s="10">
        <f>'data on outstanding creditors'!$E88*100/107</f>
        <v>13084.11215</v>
      </c>
      <c r="P88" s="10">
        <f>'data on outstanding creditors'!$E88-'data on outstanding creditors'!$O88</f>
        <v>915.8878505</v>
      </c>
      <c r="Q88" s="7">
        <f>DAY('data on outstanding creditors'!$B88)</f>
        <v>21</v>
      </c>
      <c r="R88" s="7">
        <f>MONTH('data on outstanding creditors'!$B88)</f>
        <v>7</v>
      </c>
      <c r="S88" s="7">
        <f>YEAR('data on outstanding creditors'!$B88)</f>
        <v>2025</v>
      </c>
      <c r="T88" s="11" t="str">
        <f>'data on outstanding creditors'!$C88&amp;" "&amp;'data on outstanding creditors'!$D88&amp;" "&amp;TEXT('data on outstanding creditors'!$E88,"#,##0.00")</f>
        <v>หจก.นางรองคอมพิวเตอร์ เซ็นเตอร์ IV6807-0099 14,000.00</v>
      </c>
      <c r="U88" s="8"/>
    </row>
    <row r="89" ht="13.5" customHeight="1">
      <c r="A89" s="1"/>
      <c r="B89" s="2">
        <v>45930.0</v>
      </c>
      <c r="C89" s="9" t="s">
        <v>202</v>
      </c>
      <c r="D89" s="1" t="s">
        <v>203</v>
      </c>
      <c r="E89" s="4">
        <v>6927.39</v>
      </c>
      <c r="F89" s="4">
        <v>6927.39</v>
      </c>
      <c r="G89" s="4"/>
      <c r="H89" s="4">
        <f>'data on outstanding creditors'!$E89-'data on outstanding creditors'!$F89-'data on outstanding creditors'!$G89</f>
        <v>0</v>
      </c>
      <c r="I89" s="2">
        <v>45939.0</v>
      </c>
      <c r="J89" s="1"/>
      <c r="K89" s="2"/>
      <c r="L89" s="5"/>
      <c r="M89" s="9" t="s">
        <v>204</v>
      </c>
      <c r="N89" s="9" t="s">
        <v>205</v>
      </c>
      <c r="O89" s="10">
        <f>'data on outstanding creditors'!$E89*100/107</f>
        <v>6474.196262</v>
      </c>
      <c r="P89" s="10">
        <f>'data on outstanding creditors'!$E89-'data on outstanding creditors'!$O89</f>
        <v>453.1937383</v>
      </c>
      <c r="Q89" s="7">
        <f>DAY('data on outstanding creditors'!$B89)</f>
        <v>30</v>
      </c>
      <c r="R89" s="7">
        <f>MONTH('data on outstanding creditors'!$B89)</f>
        <v>9</v>
      </c>
      <c r="S89" s="7">
        <f>YEAR('data on outstanding creditors'!$B89)</f>
        <v>2025</v>
      </c>
      <c r="T89" s="11" t="str">
        <f>'data on outstanding creditors'!$C89&amp;" "&amp;'data on outstanding creditors'!$D89&amp;" "&amp;TEXT('data on outstanding creditors'!$E89,"#,##0.00")</f>
        <v>การไฟฟ้าส่วนภูมิภาค PCC คลินิกหมอครอบครัวนางรอง อบต.นางรอง 885203693724 6,927.39</v>
      </c>
      <c r="U89" s="8"/>
    </row>
    <row r="90" ht="13.5" customHeight="1">
      <c r="A90" s="1"/>
      <c r="B90" s="2">
        <v>45930.0</v>
      </c>
      <c r="C90" s="9" t="s">
        <v>206</v>
      </c>
      <c r="D90" s="1" t="s">
        <v>207</v>
      </c>
      <c r="E90" s="4">
        <v>9134.96</v>
      </c>
      <c r="F90" s="4">
        <v>9134.96</v>
      </c>
      <c r="G90" s="4"/>
      <c r="H90" s="4">
        <f>'data on outstanding creditors'!$E90-'data on outstanding creditors'!$F90-'data on outstanding creditors'!$G90</f>
        <v>0</v>
      </c>
      <c r="I90" s="2">
        <v>45939.0</v>
      </c>
      <c r="J90" s="1"/>
      <c r="K90" s="2"/>
      <c r="L90" s="5"/>
      <c r="M90" s="9" t="s">
        <v>204</v>
      </c>
      <c r="N90" s="9" t="s">
        <v>205</v>
      </c>
      <c r="O90" s="10">
        <f>'data on outstanding creditors'!$E90*100/107</f>
        <v>8537.345794</v>
      </c>
      <c r="P90" s="10">
        <f>'data on outstanding creditors'!$E90-'data on outstanding creditors'!$O90</f>
        <v>597.6142056</v>
      </c>
      <c r="Q90" s="7">
        <f>DAY('data on outstanding creditors'!$B90)</f>
        <v>30</v>
      </c>
      <c r="R90" s="7">
        <f>MONTH('data on outstanding creditors'!$B90)</f>
        <v>9</v>
      </c>
      <c r="S90" s="7">
        <f>YEAR('data on outstanding creditors'!$B90)</f>
        <v>2025</v>
      </c>
      <c r="T90" s="11" t="str">
        <f>'data on outstanding creditors'!$C90&amp;" "&amp;'data on outstanding creditors'!$D90&amp;" "&amp;TEXT('data on outstanding creditors'!$E90,"#,##0.00")</f>
        <v>การไฟฟ้าส่วนภูมิภาค PCC หนองตาหมู่ 876003684026 9,134.96</v>
      </c>
      <c r="U90" s="8"/>
    </row>
    <row r="91" ht="13.5" customHeight="1">
      <c r="A91" s="1" t="s">
        <v>208</v>
      </c>
      <c r="B91" s="2">
        <v>45853.0</v>
      </c>
      <c r="C91" s="9" t="s">
        <v>209</v>
      </c>
      <c r="D91" s="1" t="s">
        <v>210</v>
      </c>
      <c r="E91" s="4">
        <v>5774.79</v>
      </c>
      <c r="F91" s="4">
        <v>5774.79</v>
      </c>
      <c r="G91" s="4"/>
      <c r="H91" s="4">
        <f>'data on outstanding creditors'!$E91-'data on outstanding creditors'!$F91-'data on outstanding creditors'!$G91</f>
        <v>0</v>
      </c>
      <c r="I91" s="2">
        <v>45939.0</v>
      </c>
      <c r="J91" s="1"/>
      <c r="K91" s="2"/>
      <c r="L91" s="5"/>
      <c r="M91" s="9" t="s">
        <v>211</v>
      </c>
      <c r="N91" s="9" t="s">
        <v>49</v>
      </c>
      <c r="O91" s="10">
        <f>'data on outstanding creditors'!$E91*100/107</f>
        <v>5397</v>
      </c>
      <c r="P91" s="10">
        <f>'data on outstanding creditors'!$E91-'data on outstanding creditors'!$O91</f>
        <v>377.79</v>
      </c>
      <c r="Q91" s="7">
        <f>DAY('data on outstanding creditors'!$B91)</f>
        <v>15</v>
      </c>
      <c r="R91" s="7">
        <f>MONTH('data on outstanding creditors'!$B91)</f>
        <v>7</v>
      </c>
      <c r="S91" s="7">
        <f>YEAR('data on outstanding creditors'!$B91)</f>
        <v>2025</v>
      </c>
      <c r="T91" s="11" t="str">
        <f>'data on outstanding creditors'!$C91&amp;" "&amp;'data on outstanding creditors'!$D91&amp;" "&amp;TEXT('data on outstanding creditors'!$E91,"#,##0.00")</f>
        <v>ค่าเน็ต AIS 32400052359265 W-IN-18-6807-2006501 5,774.79</v>
      </c>
      <c r="U91" s="8"/>
    </row>
    <row r="92" ht="13.5" customHeight="1">
      <c r="A92" s="1" t="s">
        <v>212</v>
      </c>
      <c r="B92" s="2">
        <v>45853.0</v>
      </c>
      <c r="C92" s="9" t="s">
        <v>213</v>
      </c>
      <c r="D92" s="1" t="s">
        <v>214</v>
      </c>
      <c r="E92" s="4">
        <v>23000.0</v>
      </c>
      <c r="F92" s="4">
        <v>23000.0</v>
      </c>
      <c r="G92" s="4"/>
      <c r="H92" s="4">
        <f>'data on outstanding creditors'!$E92-'data on outstanding creditors'!$F92-'data on outstanding creditors'!$G92</f>
        <v>0</v>
      </c>
      <c r="I92" s="2">
        <v>45939.0</v>
      </c>
      <c r="J92" s="1"/>
      <c r="K92" s="2"/>
      <c r="L92" s="5"/>
      <c r="M92" s="9" t="s">
        <v>211</v>
      </c>
      <c r="N92" s="9" t="s">
        <v>49</v>
      </c>
      <c r="O92" s="10">
        <f>'data on outstanding creditors'!$E92*100/107</f>
        <v>21495.3271</v>
      </c>
      <c r="P92" s="10">
        <f>'data on outstanding creditors'!$E92-'data on outstanding creditors'!$O92</f>
        <v>1504.672897</v>
      </c>
      <c r="Q92" s="7">
        <f>DAY('data on outstanding creditors'!$B92)</f>
        <v>15</v>
      </c>
      <c r="R92" s="7">
        <f>MONTH('data on outstanding creditors'!$B92)</f>
        <v>7</v>
      </c>
      <c r="S92" s="7">
        <f>YEAR('data on outstanding creditors'!$B92)</f>
        <v>2025</v>
      </c>
      <c r="T92" s="11" t="str">
        <f>'data on outstanding creditors'!$C92&amp;" "&amp;'data on outstanding creditors'!$D92&amp;" "&amp;TEXT('data on outstanding creditors'!$E92,"#,##0.00")</f>
        <v>ค่าเน็ต AIS 31600010113324 W-IN-18-6807-2007037 23,000.00</v>
      </c>
      <c r="U92" s="8"/>
    </row>
    <row r="93" ht="13.5" customHeight="1">
      <c r="A93" s="1" t="s">
        <v>215</v>
      </c>
      <c r="B93" s="2">
        <v>45862.0</v>
      </c>
      <c r="C93" s="9" t="s">
        <v>216</v>
      </c>
      <c r="D93" s="1" t="s">
        <v>217</v>
      </c>
      <c r="E93" s="4">
        <v>963.0</v>
      </c>
      <c r="F93" s="4">
        <v>963.0</v>
      </c>
      <c r="G93" s="4"/>
      <c r="H93" s="4">
        <f>'data on outstanding creditors'!$E93-'data on outstanding creditors'!$F93-'data on outstanding creditors'!$G93</f>
        <v>0</v>
      </c>
      <c r="I93" s="2">
        <v>45939.0</v>
      </c>
      <c r="J93" s="1"/>
      <c r="K93" s="2"/>
      <c r="L93" s="5"/>
      <c r="M93" s="9" t="s">
        <v>211</v>
      </c>
      <c r="N93" s="9" t="s">
        <v>49</v>
      </c>
      <c r="O93" s="10">
        <f>'data on outstanding creditors'!$E93*100/107</f>
        <v>900</v>
      </c>
      <c r="P93" s="10">
        <f>'data on outstanding creditors'!$E93-'data on outstanding creditors'!$O93</f>
        <v>63</v>
      </c>
      <c r="Q93" s="7">
        <f>DAY('data on outstanding creditors'!$B93)</f>
        <v>24</v>
      </c>
      <c r="R93" s="7">
        <f>MONTH('data on outstanding creditors'!$B93)</f>
        <v>7</v>
      </c>
      <c r="S93" s="7">
        <f>YEAR('data on outstanding creditors'!$B93)</f>
        <v>2025</v>
      </c>
      <c r="T93" s="11" t="str">
        <f>'data on outstanding creditors'!$C93&amp;" "&amp;'data on outstanding creditors'!$D93&amp;" "&amp;TEXT('data on outstanding creditors'!$E93,"#,##0.00")</f>
        <v>ค่าเน็ต TOT 4463J0033 0000908849495 963.00</v>
      </c>
      <c r="U93" s="8"/>
    </row>
    <row r="94" ht="13.5" customHeight="1">
      <c r="A94" s="1" t="s">
        <v>218</v>
      </c>
      <c r="B94" s="2">
        <v>45862.0</v>
      </c>
      <c r="C94" s="9" t="s">
        <v>219</v>
      </c>
      <c r="D94" s="1" t="s">
        <v>220</v>
      </c>
      <c r="E94" s="4">
        <v>963.0</v>
      </c>
      <c r="F94" s="4">
        <v>963.0</v>
      </c>
      <c r="G94" s="4"/>
      <c r="H94" s="4">
        <f>'data on outstanding creditors'!$E94-'data on outstanding creditors'!$F94-'data on outstanding creditors'!$G94</f>
        <v>0</v>
      </c>
      <c r="I94" s="2">
        <v>45939.0</v>
      </c>
      <c r="J94" s="1"/>
      <c r="K94" s="2"/>
      <c r="L94" s="5"/>
      <c r="M94" s="9" t="s">
        <v>211</v>
      </c>
      <c r="N94" s="9" t="s">
        <v>49</v>
      </c>
      <c r="O94" s="10">
        <f>'data on outstanding creditors'!$E94*100/107</f>
        <v>900</v>
      </c>
      <c r="P94" s="10">
        <f>'data on outstanding creditors'!$E94-'data on outstanding creditors'!$O94</f>
        <v>63</v>
      </c>
      <c r="Q94" s="7">
        <f>DAY('data on outstanding creditors'!$B94)</f>
        <v>24</v>
      </c>
      <c r="R94" s="7">
        <f>MONTH('data on outstanding creditors'!$B94)</f>
        <v>7</v>
      </c>
      <c r="S94" s="7">
        <f>YEAR('data on outstanding creditors'!$B94)</f>
        <v>2025</v>
      </c>
      <c r="T94" s="11" t="str">
        <f>'data on outstanding creditors'!$C94&amp;" "&amp;'data on outstanding creditors'!$D94&amp;" "&amp;TEXT('data on outstanding creditors'!$E94,"#,##0.00")</f>
        <v>ค่าโทร TOT 4464J1423 0000908693343 963.00</v>
      </c>
      <c r="U94" s="8"/>
    </row>
    <row r="95" ht="13.5" customHeight="1">
      <c r="A95" s="1" t="s">
        <v>221</v>
      </c>
      <c r="B95" s="2">
        <v>45884.0</v>
      </c>
      <c r="C95" s="9" t="s">
        <v>209</v>
      </c>
      <c r="D95" s="1" t="s">
        <v>222</v>
      </c>
      <c r="E95" s="4">
        <v>5774.79</v>
      </c>
      <c r="F95" s="4">
        <v>5774.79</v>
      </c>
      <c r="G95" s="4"/>
      <c r="H95" s="4">
        <f>'data on outstanding creditors'!$E95-'data on outstanding creditors'!$F95-'data on outstanding creditors'!$G95</f>
        <v>0</v>
      </c>
      <c r="I95" s="2">
        <v>45939.0</v>
      </c>
      <c r="J95" s="1"/>
      <c r="K95" s="2"/>
      <c r="L95" s="5"/>
      <c r="M95" s="9" t="s">
        <v>211</v>
      </c>
      <c r="N95" s="9" t="s">
        <v>49</v>
      </c>
      <c r="O95" s="10">
        <f>'data on outstanding creditors'!$E95*100/107</f>
        <v>5397</v>
      </c>
      <c r="P95" s="10">
        <f>'data on outstanding creditors'!$E95-'data on outstanding creditors'!$O95</f>
        <v>377.79</v>
      </c>
      <c r="Q95" s="7">
        <f>DAY('data on outstanding creditors'!$B95)</f>
        <v>15</v>
      </c>
      <c r="R95" s="7">
        <f>MONTH('data on outstanding creditors'!$B95)</f>
        <v>8</v>
      </c>
      <c r="S95" s="7">
        <f>YEAR('data on outstanding creditors'!$B95)</f>
        <v>2025</v>
      </c>
      <c r="T95" s="11" t="str">
        <f>'data on outstanding creditors'!$C95&amp;" "&amp;'data on outstanding creditors'!$D95&amp;" "&amp;TEXT('data on outstanding creditors'!$E95,"#,##0.00")</f>
        <v>ค่าเน็ต AIS 32400052359265 W-IN-18-6808-2008098 5,774.79</v>
      </c>
      <c r="U95" s="8"/>
    </row>
    <row r="96" ht="13.5" customHeight="1">
      <c r="A96" s="1" t="s">
        <v>223</v>
      </c>
      <c r="B96" s="2">
        <v>45888.0</v>
      </c>
      <c r="C96" s="9" t="s">
        <v>219</v>
      </c>
      <c r="D96" s="1" t="s">
        <v>224</v>
      </c>
      <c r="E96" s="4">
        <v>963.0</v>
      </c>
      <c r="F96" s="4">
        <v>963.0</v>
      </c>
      <c r="G96" s="4"/>
      <c r="H96" s="4">
        <f>'data on outstanding creditors'!$E96-'data on outstanding creditors'!$F96-'data on outstanding creditors'!$G96</f>
        <v>0</v>
      </c>
      <c r="I96" s="2">
        <v>45939.0</v>
      </c>
      <c r="J96" s="1"/>
      <c r="K96" s="2"/>
      <c r="L96" s="5"/>
      <c r="M96" s="9" t="s">
        <v>211</v>
      </c>
      <c r="N96" s="9" t="s">
        <v>49</v>
      </c>
      <c r="O96" s="10">
        <f>'data on outstanding creditors'!$E96*100/107</f>
        <v>900</v>
      </c>
      <c r="P96" s="10">
        <f>'data on outstanding creditors'!$E96-'data on outstanding creditors'!$O96</f>
        <v>63</v>
      </c>
      <c r="Q96" s="7">
        <f>DAY('data on outstanding creditors'!$B96)</f>
        <v>19</v>
      </c>
      <c r="R96" s="7">
        <f>MONTH('data on outstanding creditors'!$B96)</f>
        <v>8</v>
      </c>
      <c r="S96" s="7">
        <f>YEAR('data on outstanding creditors'!$B96)</f>
        <v>2025</v>
      </c>
      <c r="T96" s="11" t="str">
        <f>'data on outstanding creditors'!$C96&amp;" "&amp;'data on outstanding creditors'!$D96&amp;" "&amp;TEXT('data on outstanding creditors'!$E96,"#,##0.00")</f>
        <v>ค่าโทร TOT 4464J1423 0000911170688 963.00</v>
      </c>
      <c r="U96" s="8"/>
    </row>
    <row r="97" ht="13.5" customHeight="1">
      <c r="A97" s="1" t="s">
        <v>225</v>
      </c>
      <c r="B97" s="2">
        <v>45888.0</v>
      </c>
      <c r="C97" s="9" t="s">
        <v>226</v>
      </c>
      <c r="D97" s="1" t="s">
        <v>227</v>
      </c>
      <c r="E97" s="4">
        <v>1070.0</v>
      </c>
      <c r="F97" s="4">
        <v>1070.0</v>
      </c>
      <c r="G97" s="4"/>
      <c r="H97" s="4">
        <f>'data on outstanding creditors'!$E97-'data on outstanding creditors'!$F97-'data on outstanding creditors'!$G97</f>
        <v>0</v>
      </c>
      <c r="I97" s="2">
        <v>45939.0</v>
      </c>
      <c r="J97" s="1"/>
      <c r="K97" s="2"/>
      <c r="L97" s="5"/>
      <c r="M97" s="9" t="s">
        <v>211</v>
      </c>
      <c r="N97" s="9" t="s">
        <v>49</v>
      </c>
      <c r="O97" s="10">
        <f>'data on outstanding creditors'!$E97*100/107</f>
        <v>1000</v>
      </c>
      <c r="P97" s="10">
        <f>'data on outstanding creditors'!$E97-'data on outstanding creditors'!$O97</f>
        <v>70</v>
      </c>
      <c r="Q97" s="7">
        <f>DAY('data on outstanding creditors'!$B97)</f>
        <v>19</v>
      </c>
      <c r="R97" s="7">
        <f>MONTH('data on outstanding creditors'!$B97)</f>
        <v>8</v>
      </c>
      <c r="S97" s="7">
        <f>YEAR('data on outstanding creditors'!$B97)</f>
        <v>2025</v>
      </c>
      <c r="T97" s="11" t="str">
        <f>'data on outstanding creditors'!$C97&amp;" "&amp;'data on outstanding creditors'!$D97&amp;" "&amp;TEXT('data on outstanding creditors'!$E97,"#,##0.00")</f>
        <v>ค่าเน็ต TOT 044-666033 0000911061302 1,070.00</v>
      </c>
      <c r="U97" s="8"/>
    </row>
    <row r="98" ht="13.5" customHeight="1">
      <c r="A98" s="1" t="s">
        <v>228</v>
      </c>
      <c r="B98" s="2">
        <v>45888.0</v>
      </c>
      <c r="C98" s="9" t="s">
        <v>229</v>
      </c>
      <c r="D98" s="1" t="s">
        <v>230</v>
      </c>
      <c r="E98" s="4">
        <v>1070.0</v>
      </c>
      <c r="F98" s="4">
        <v>1070.0</v>
      </c>
      <c r="G98" s="4"/>
      <c r="H98" s="4">
        <f>'data on outstanding creditors'!$E98-'data on outstanding creditors'!$F98-'data on outstanding creditors'!$G98</f>
        <v>0</v>
      </c>
      <c r="I98" s="2">
        <v>45939.0</v>
      </c>
      <c r="J98" s="1"/>
      <c r="K98" s="2"/>
      <c r="L98" s="5"/>
      <c r="M98" s="9" t="s">
        <v>211</v>
      </c>
      <c r="N98" s="9" t="s">
        <v>49</v>
      </c>
      <c r="O98" s="10">
        <f>'data on outstanding creditors'!$E98*100/107</f>
        <v>1000</v>
      </c>
      <c r="P98" s="10">
        <f>'data on outstanding creditors'!$E98-'data on outstanding creditors'!$O98</f>
        <v>70</v>
      </c>
      <c r="Q98" s="7">
        <f>DAY('data on outstanding creditors'!$B98)</f>
        <v>19</v>
      </c>
      <c r="R98" s="7">
        <f>MONTH('data on outstanding creditors'!$B98)</f>
        <v>8</v>
      </c>
      <c r="S98" s="7">
        <f>YEAR('data on outstanding creditors'!$B98)</f>
        <v>2025</v>
      </c>
      <c r="T98" s="11" t="str">
        <f>'data on outstanding creditors'!$C98&amp;" "&amp;'data on outstanding creditors'!$D98&amp;" "&amp;TEXT('data on outstanding creditors'!$E98,"#,##0.00")</f>
        <v>ค่าเน็ต TOT 044-666049 0000911061301 1,070.00</v>
      </c>
      <c r="U98" s="8"/>
    </row>
    <row r="99" ht="13.5" customHeight="1">
      <c r="A99" s="1" t="s">
        <v>231</v>
      </c>
      <c r="B99" s="2">
        <v>45888.0</v>
      </c>
      <c r="C99" s="9" t="s">
        <v>232</v>
      </c>
      <c r="D99" s="1" t="s">
        <v>233</v>
      </c>
      <c r="E99" s="4">
        <v>3841.3</v>
      </c>
      <c r="F99" s="4">
        <v>3841.3</v>
      </c>
      <c r="G99" s="4"/>
      <c r="H99" s="4">
        <f>'data on outstanding creditors'!$E99-'data on outstanding creditors'!$F99-'data on outstanding creditors'!$G99</f>
        <v>0</v>
      </c>
      <c r="I99" s="2">
        <v>45939.0</v>
      </c>
      <c r="J99" s="1"/>
      <c r="K99" s="2"/>
      <c r="L99" s="5"/>
      <c r="M99" s="9" t="s">
        <v>211</v>
      </c>
      <c r="N99" s="9" t="s">
        <v>49</v>
      </c>
      <c r="O99" s="10">
        <f>'data on outstanding creditors'!$E99*100/107</f>
        <v>3590</v>
      </c>
      <c r="P99" s="10">
        <f>'data on outstanding creditors'!$E99-'data on outstanding creditors'!$O99</f>
        <v>251.3</v>
      </c>
      <c r="Q99" s="7">
        <f>DAY('data on outstanding creditors'!$B99)</f>
        <v>19</v>
      </c>
      <c r="R99" s="7">
        <f>MONTH('data on outstanding creditors'!$B99)</f>
        <v>8</v>
      </c>
      <c r="S99" s="7">
        <f>YEAR('data on outstanding creditors'!$B99)</f>
        <v>2025</v>
      </c>
      <c r="T99" s="11" t="str">
        <f>'data on outstanding creditors'!$C99&amp;" "&amp;'data on outstanding creditors'!$D99&amp;" "&amp;TEXT('data on outstanding creditors'!$E99,"#,##0.00")</f>
        <v>ค่าเน็ต TOT 4463J5093 0000911350953 3,841.30</v>
      </c>
      <c r="U99" s="8"/>
    </row>
    <row r="100" ht="13.5" customHeight="1">
      <c r="A100" s="1" t="s">
        <v>234</v>
      </c>
      <c r="B100" s="2">
        <v>45888.0</v>
      </c>
      <c r="C100" s="9" t="s">
        <v>216</v>
      </c>
      <c r="D100" s="1" t="s">
        <v>235</v>
      </c>
      <c r="E100" s="4">
        <v>963.0</v>
      </c>
      <c r="F100" s="4">
        <v>963.0</v>
      </c>
      <c r="G100" s="4"/>
      <c r="H100" s="4">
        <f>'data on outstanding creditors'!$E100-'data on outstanding creditors'!$F100-'data on outstanding creditors'!$G100</f>
        <v>0</v>
      </c>
      <c r="I100" s="2">
        <v>45939.0</v>
      </c>
      <c r="J100" s="1"/>
      <c r="K100" s="2"/>
      <c r="L100" s="5"/>
      <c r="M100" s="9" t="s">
        <v>211</v>
      </c>
      <c r="N100" s="9" t="s">
        <v>49</v>
      </c>
      <c r="O100" s="10">
        <f>'data on outstanding creditors'!$E100*100/107</f>
        <v>900</v>
      </c>
      <c r="P100" s="10">
        <f>'data on outstanding creditors'!$E100-'data on outstanding creditors'!$O100</f>
        <v>63</v>
      </c>
      <c r="Q100" s="7">
        <f>DAY('data on outstanding creditors'!$B100)</f>
        <v>19</v>
      </c>
      <c r="R100" s="7">
        <f>MONTH('data on outstanding creditors'!$B100)</f>
        <v>8</v>
      </c>
      <c r="S100" s="7">
        <f>YEAR('data on outstanding creditors'!$B100)</f>
        <v>2025</v>
      </c>
      <c r="T100" s="11" t="str">
        <f>'data on outstanding creditors'!$C100&amp;" "&amp;'data on outstanding creditors'!$D100&amp;" "&amp;TEXT('data on outstanding creditors'!$E100,"#,##0.00")</f>
        <v>ค่าเน็ต TOT 4463J0033 0000911346975 963.00</v>
      </c>
      <c r="U100" s="8"/>
    </row>
    <row r="101" ht="13.5" customHeight="1">
      <c r="A101" s="1" t="s">
        <v>236</v>
      </c>
      <c r="B101" s="2">
        <v>45888.0</v>
      </c>
      <c r="C101" s="9" t="s">
        <v>213</v>
      </c>
      <c r="D101" s="1" t="s">
        <v>237</v>
      </c>
      <c r="E101" s="4">
        <v>23000.0</v>
      </c>
      <c r="F101" s="4">
        <v>23000.0</v>
      </c>
      <c r="G101" s="4"/>
      <c r="H101" s="4">
        <f>'data on outstanding creditors'!$E101-'data on outstanding creditors'!$F101-'data on outstanding creditors'!$G101</f>
        <v>0</v>
      </c>
      <c r="I101" s="2">
        <v>45939.0</v>
      </c>
      <c r="J101" s="1"/>
      <c r="K101" s="2"/>
      <c r="L101" s="5"/>
      <c r="M101" s="9" t="s">
        <v>211</v>
      </c>
      <c r="N101" s="9" t="s">
        <v>49</v>
      </c>
      <c r="O101" s="10">
        <f>'data on outstanding creditors'!$E101*100/107</f>
        <v>21495.3271</v>
      </c>
      <c r="P101" s="10">
        <f>'data on outstanding creditors'!$E101-'data on outstanding creditors'!$O101</f>
        <v>1504.672897</v>
      </c>
      <c r="Q101" s="7">
        <f>DAY('data on outstanding creditors'!$B101)</f>
        <v>19</v>
      </c>
      <c r="R101" s="7">
        <f>MONTH('data on outstanding creditors'!$B101)</f>
        <v>8</v>
      </c>
      <c r="S101" s="7">
        <f>YEAR('data on outstanding creditors'!$B101)</f>
        <v>2025</v>
      </c>
      <c r="T101" s="11" t="str">
        <f>'data on outstanding creditors'!$C101&amp;" "&amp;'data on outstanding creditors'!$D101&amp;" "&amp;TEXT('data on outstanding creditors'!$E101,"#,##0.00")</f>
        <v>ค่าเน็ต AIS 31600010113324 W-IN-18-6808-2007215 23,000.00</v>
      </c>
      <c r="U101" s="8"/>
    </row>
    <row r="102" ht="13.5" customHeight="1">
      <c r="A102" s="1"/>
      <c r="B102" s="2">
        <v>45911.0</v>
      </c>
      <c r="C102" s="9" t="s">
        <v>238</v>
      </c>
      <c r="D102" s="1" t="s">
        <v>239</v>
      </c>
      <c r="E102" s="4">
        <v>1603.93</v>
      </c>
      <c r="F102" s="4">
        <v>1603.93</v>
      </c>
      <c r="G102" s="4"/>
      <c r="H102" s="4">
        <f>'data on outstanding creditors'!$E102-'data on outstanding creditors'!$F102-'data on outstanding creditors'!$G102</f>
        <v>0</v>
      </c>
      <c r="I102" s="2">
        <v>45939.0</v>
      </c>
      <c r="J102" s="1"/>
      <c r="K102" s="2"/>
      <c r="L102" s="5"/>
      <c r="M102" s="9" t="s">
        <v>240</v>
      </c>
      <c r="N102" s="9" t="s">
        <v>49</v>
      </c>
      <c r="O102" s="10">
        <f>'data on outstanding creditors'!$E102*100/107</f>
        <v>1499</v>
      </c>
      <c r="P102" s="10">
        <f>'data on outstanding creditors'!$E102-'data on outstanding creditors'!$O102</f>
        <v>104.93</v>
      </c>
      <c r="Q102" s="7">
        <f>DAY('data on outstanding creditors'!$B102)</f>
        <v>11</v>
      </c>
      <c r="R102" s="7">
        <f>MONTH('data on outstanding creditors'!$B102)</f>
        <v>9</v>
      </c>
      <c r="S102" s="7">
        <f>YEAR('data on outstanding creditors'!$B102)</f>
        <v>2025</v>
      </c>
      <c r="T102" s="11" t="str">
        <f>'data on outstanding creditors'!$C102&amp;" "&amp;'data on outstanding creditors'!$D102&amp;" "&amp;TEXT('data on outstanding creditors'!$E102,"#,##0.00")</f>
        <v>ค่าโทร AIS 0962266459 W-IN-18-6808-4024969 1,603.93</v>
      </c>
      <c r="U102" s="8"/>
    </row>
    <row r="103" ht="13.5" customHeight="1">
      <c r="A103" s="1" t="s">
        <v>241</v>
      </c>
      <c r="B103" s="2">
        <v>45919.0</v>
      </c>
      <c r="C103" s="9" t="s">
        <v>242</v>
      </c>
      <c r="D103" s="1" t="s">
        <v>243</v>
      </c>
      <c r="E103" s="4">
        <v>107.0</v>
      </c>
      <c r="F103" s="4">
        <v>107.0</v>
      </c>
      <c r="G103" s="4"/>
      <c r="H103" s="4">
        <f>'data on outstanding creditors'!$E103-'data on outstanding creditors'!$F103-'data on outstanding creditors'!$G103</f>
        <v>0</v>
      </c>
      <c r="I103" s="2">
        <v>45939.0</v>
      </c>
      <c r="J103" s="1"/>
      <c r="K103" s="2"/>
      <c r="L103" s="5"/>
      <c r="M103" s="9" t="s">
        <v>240</v>
      </c>
      <c r="N103" s="9" t="s">
        <v>49</v>
      </c>
      <c r="O103" s="10">
        <f>'data on outstanding creditors'!$E103*100/107</f>
        <v>100</v>
      </c>
      <c r="P103" s="10">
        <f>'data on outstanding creditors'!$E103-'data on outstanding creditors'!$O103</f>
        <v>7</v>
      </c>
      <c r="Q103" s="7">
        <f>DAY('data on outstanding creditors'!$B103)</f>
        <v>19</v>
      </c>
      <c r="R103" s="7">
        <f>MONTH('data on outstanding creditors'!$B103)</f>
        <v>9</v>
      </c>
      <c r="S103" s="7">
        <f>YEAR('data on outstanding creditors'!$B103)</f>
        <v>2025</v>
      </c>
      <c r="T103" s="11" t="str">
        <f>'data on outstanding creditors'!$C103&amp;" "&amp;'data on outstanding creditors'!$D103&amp;" "&amp;TEXT('data on outstanding creditors'!$E103,"#,##0.00")</f>
        <v>ค่าโทร TOT 044-631977 0000913658611 107.00</v>
      </c>
      <c r="U103" s="8"/>
    </row>
    <row r="104" ht="13.5" customHeight="1">
      <c r="A104" s="1" t="s">
        <v>244</v>
      </c>
      <c r="B104" s="2">
        <v>45919.0</v>
      </c>
      <c r="C104" s="9" t="s">
        <v>245</v>
      </c>
      <c r="D104" s="1" t="s">
        <v>246</v>
      </c>
      <c r="E104" s="4">
        <v>107.0</v>
      </c>
      <c r="F104" s="4">
        <v>107.0</v>
      </c>
      <c r="G104" s="4"/>
      <c r="H104" s="4">
        <f>'data on outstanding creditors'!$E104-'data on outstanding creditors'!$F104-'data on outstanding creditors'!$G104</f>
        <v>0</v>
      </c>
      <c r="I104" s="2">
        <v>45939.0</v>
      </c>
      <c r="J104" s="1"/>
      <c r="K104" s="2"/>
      <c r="L104" s="5"/>
      <c r="M104" s="9" t="s">
        <v>240</v>
      </c>
      <c r="N104" s="9" t="s">
        <v>49</v>
      </c>
      <c r="O104" s="10">
        <f>'data on outstanding creditors'!$E104*100/107</f>
        <v>100</v>
      </c>
      <c r="P104" s="10">
        <f>'data on outstanding creditors'!$E104-'data on outstanding creditors'!$O104</f>
        <v>7</v>
      </c>
      <c r="Q104" s="7">
        <f>DAY('data on outstanding creditors'!$B104)</f>
        <v>19</v>
      </c>
      <c r="R104" s="7">
        <f>MONTH('data on outstanding creditors'!$B104)</f>
        <v>9</v>
      </c>
      <c r="S104" s="7">
        <f>YEAR('data on outstanding creditors'!$B104)</f>
        <v>2025</v>
      </c>
      <c r="T104" s="11" t="str">
        <f>'data on outstanding creditors'!$C104&amp;" "&amp;'data on outstanding creditors'!$D104&amp;" "&amp;TEXT('data on outstanding creditors'!$E104,"#,##0.00")</f>
        <v>ค่าโทร TOT 044-631978 0000913658610 107.00</v>
      </c>
      <c r="U104" s="8"/>
    </row>
    <row r="105" ht="13.5" customHeight="1">
      <c r="A105" s="1" t="s">
        <v>247</v>
      </c>
      <c r="B105" s="2">
        <v>45916.0</v>
      </c>
      <c r="C105" s="9" t="s">
        <v>248</v>
      </c>
      <c r="D105" s="1" t="s">
        <v>249</v>
      </c>
      <c r="E105" s="4">
        <v>5765.16</v>
      </c>
      <c r="F105" s="4">
        <v>5765.16</v>
      </c>
      <c r="G105" s="4"/>
      <c r="H105" s="4">
        <f>'data on outstanding creditors'!$E105-'data on outstanding creditors'!$F105-'data on outstanding creditors'!$G105</f>
        <v>0</v>
      </c>
      <c r="I105" s="2">
        <v>45940.0</v>
      </c>
      <c r="J105" s="1"/>
      <c r="K105" s="2"/>
      <c r="L105" s="5"/>
      <c r="M105" s="9" t="s">
        <v>240</v>
      </c>
      <c r="N105" s="9" t="s">
        <v>49</v>
      </c>
      <c r="O105" s="10">
        <f>'data on outstanding creditors'!$E105*100/107</f>
        <v>5388</v>
      </c>
      <c r="P105" s="10">
        <f>'data on outstanding creditors'!$E105-'data on outstanding creditors'!$O105</f>
        <v>377.16</v>
      </c>
      <c r="Q105" s="7">
        <f>DAY('data on outstanding creditors'!$B105)</f>
        <v>16</v>
      </c>
      <c r="R105" s="7">
        <f>MONTH('data on outstanding creditors'!$B105)</f>
        <v>9</v>
      </c>
      <c r="S105" s="7">
        <f>YEAR('data on outstanding creditors'!$B105)</f>
        <v>2025</v>
      </c>
      <c r="T105" s="11" t="str">
        <f>'data on outstanding creditors'!$C105&amp;" "&amp;'data on outstanding creditors'!$D105&amp;" "&amp;TEXT('data on outstanding creditors'!$E105,"#,##0.00")</f>
        <v>ค่าโทร บ.ทรู มูฟ เอช ยูนิเวอร์แซล คอมมิวนิเคชั่น  225810/669 026 594 02/08/2568 - 01/09/2568 5,765.16</v>
      </c>
      <c r="U105" s="8"/>
    </row>
    <row r="106" ht="13.5" customHeight="1">
      <c r="A106" s="1"/>
      <c r="B106" s="2">
        <v>45672.0</v>
      </c>
      <c r="C106" s="9" t="s">
        <v>250</v>
      </c>
      <c r="D106" s="1" t="s">
        <v>251</v>
      </c>
      <c r="E106" s="4">
        <v>27820.0</v>
      </c>
      <c r="F106" s="4">
        <v>27820.0</v>
      </c>
      <c r="G106" s="4"/>
      <c r="H106" s="4">
        <f>'data on outstanding creditors'!$E106-'data on outstanding creditors'!$F106-'data on outstanding creditors'!$G106</f>
        <v>0</v>
      </c>
      <c r="I106" s="2">
        <v>45946.0</v>
      </c>
      <c r="J106" s="1"/>
      <c r="K106" s="2"/>
      <c r="L106" s="5"/>
      <c r="M106" s="9" t="s">
        <v>22</v>
      </c>
      <c r="N106" s="9" t="s">
        <v>23</v>
      </c>
      <c r="O106" s="10">
        <f>'data on outstanding creditors'!$E106*100/107</f>
        <v>26000</v>
      </c>
      <c r="P106" s="10">
        <f>'data on outstanding creditors'!$E106-'data on outstanding creditors'!$O106</f>
        <v>1820</v>
      </c>
      <c r="Q106" s="7">
        <f>DAY('data on outstanding creditors'!$B106)</f>
        <v>15</v>
      </c>
      <c r="R106" s="7">
        <f>MONTH('data on outstanding creditors'!$B106)</f>
        <v>1</v>
      </c>
      <c r="S106" s="7">
        <f>YEAR('data on outstanding creditors'!$B106)</f>
        <v>2025</v>
      </c>
      <c r="T106" s="11" t="str">
        <f>'data on outstanding creditors'!$C106&amp;" "&amp;'data on outstanding creditors'!$D106&amp;" "&amp;TEXT('data on outstanding creditors'!$E106,"#,##0.00")</f>
        <v>บ.เกร๊ทเตอร์มายบาซิน #01-GM-1-2-2-2025000360 27,820.00</v>
      </c>
      <c r="U106" s="8"/>
    </row>
    <row r="107" ht="13.5" customHeight="1">
      <c r="A107" s="1"/>
      <c r="B107" s="2">
        <v>45680.0</v>
      </c>
      <c r="C107" s="9" t="s">
        <v>252</v>
      </c>
      <c r="D107" s="1" t="s">
        <v>253</v>
      </c>
      <c r="E107" s="4">
        <v>16500.0</v>
      </c>
      <c r="F107" s="4">
        <v>16500.0</v>
      </c>
      <c r="G107" s="4"/>
      <c r="H107" s="4">
        <f>'data on outstanding creditors'!$E107-'data on outstanding creditors'!$F107-'data on outstanding creditors'!$G107</f>
        <v>0</v>
      </c>
      <c r="I107" s="2">
        <v>45946.0</v>
      </c>
      <c r="J107" s="1"/>
      <c r="K107" s="2"/>
      <c r="L107" s="5"/>
      <c r="M107" s="9" t="s">
        <v>22</v>
      </c>
      <c r="N107" s="9" t="s">
        <v>23</v>
      </c>
      <c r="O107" s="10">
        <f>'data on outstanding creditors'!$E107*100/107</f>
        <v>15420.56075</v>
      </c>
      <c r="P107" s="10">
        <f>'data on outstanding creditors'!$E107-'data on outstanding creditors'!$O107</f>
        <v>1079.439252</v>
      </c>
      <c r="Q107" s="7">
        <f>DAY('data on outstanding creditors'!$B107)</f>
        <v>23</v>
      </c>
      <c r="R107" s="7">
        <f>MONTH('data on outstanding creditors'!$B107)</f>
        <v>1</v>
      </c>
      <c r="S107" s="7">
        <f>YEAR('data on outstanding creditors'!$B107)</f>
        <v>2025</v>
      </c>
      <c r="T107" s="11" t="str">
        <f>'data on outstanding creditors'!$C107&amp;" "&amp;'data on outstanding creditors'!$D107&amp;" "&amp;TEXT('data on outstanding creditors'!$E107,"#,##0.00")</f>
        <v>บ.ฟาร์มาฮอฟ IV250127157 16,500.00</v>
      </c>
      <c r="U107" s="8"/>
    </row>
    <row r="108" ht="13.5" customHeight="1">
      <c r="A108" s="1"/>
      <c r="B108" s="2">
        <v>45687.0</v>
      </c>
      <c r="C108" s="9" t="s">
        <v>254</v>
      </c>
      <c r="D108" s="1" t="s">
        <v>255</v>
      </c>
      <c r="E108" s="4">
        <v>33852.0</v>
      </c>
      <c r="F108" s="4">
        <v>33852.0</v>
      </c>
      <c r="G108" s="4"/>
      <c r="H108" s="4">
        <f>'data on outstanding creditors'!$E108-'data on outstanding creditors'!$F108-'data on outstanding creditors'!$G108</f>
        <v>0</v>
      </c>
      <c r="I108" s="2">
        <v>45946.0</v>
      </c>
      <c r="J108" s="1"/>
      <c r="K108" s="2"/>
      <c r="L108" s="5"/>
      <c r="M108" s="9" t="s">
        <v>22</v>
      </c>
      <c r="N108" s="9" t="s">
        <v>23</v>
      </c>
      <c r="O108" s="10">
        <f>'data on outstanding creditors'!$E108*100/107</f>
        <v>31637.38318</v>
      </c>
      <c r="P108" s="10">
        <f>'data on outstanding creditors'!$E108-'data on outstanding creditors'!$O108</f>
        <v>2214.616822</v>
      </c>
      <c r="Q108" s="7">
        <f>DAY('data on outstanding creditors'!$B108)</f>
        <v>30</v>
      </c>
      <c r="R108" s="7">
        <f>MONTH('data on outstanding creditors'!$B108)</f>
        <v>1</v>
      </c>
      <c r="S108" s="7">
        <f>YEAR('data on outstanding creditors'!$B108)</f>
        <v>2025</v>
      </c>
      <c r="T108" s="11" t="str">
        <f>'data on outstanding creditors'!$C108&amp;" "&amp;'data on outstanding creditors'!$D108&amp;" "&amp;TEXT('data on outstanding creditors'!$E108,"#,##0.00")</f>
        <v>บ.แม็กซิม อินเตอร์คอร์ปอร์เรชั่น IV250010774 33,852.00</v>
      </c>
      <c r="U108" s="8"/>
    </row>
    <row r="109" ht="13.5" customHeight="1">
      <c r="A109" s="1"/>
      <c r="B109" s="2">
        <v>45692.0</v>
      </c>
      <c r="C109" s="9" t="s">
        <v>256</v>
      </c>
      <c r="D109" s="1" t="s">
        <v>257</v>
      </c>
      <c r="E109" s="4">
        <v>7500.0</v>
      </c>
      <c r="F109" s="4">
        <v>7500.0</v>
      </c>
      <c r="G109" s="4"/>
      <c r="H109" s="4">
        <f>'data on outstanding creditors'!$E109-'data on outstanding creditors'!$F109-'data on outstanding creditors'!$G109</f>
        <v>0</v>
      </c>
      <c r="I109" s="2">
        <v>45946.0</v>
      </c>
      <c r="J109" s="1"/>
      <c r="K109" s="2"/>
      <c r="L109" s="5"/>
      <c r="M109" s="9" t="s">
        <v>22</v>
      </c>
      <c r="N109" s="9" t="s">
        <v>23</v>
      </c>
      <c r="O109" s="10">
        <f>'data on outstanding creditors'!$E109*100/107</f>
        <v>7009.345794</v>
      </c>
      <c r="P109" s="10">
        <f>'data on outstanding creditors'!$E109-'data on outstanding creditors'!$O109</f>
        <v>490.6542056</v>
      </c>
      <c r="Q109" s="7">
        <f>DAY('data on outstanding creditors'!$B109)</f>
        <v>4</v>
      </c>
      <c r="R109" s="7">
        <f>MONTH('data on outstanding creditors'!$B109)</f>
        <v>2</v>
      </c>
      <c r="S109" s="7">
        <f>YEAR('data on outstanding creditors'!$B109)</f>
        <v>2025</v>
      </c>
      <c r="T109" s="11" t="str">
        <f>'data on outstanding creditors'!$C109&amp;" "&amp;'data on outstanding creditors'!$D109&amp;" "&amp;TEXT('data on outstanding creditors'!$E109,"#,##0.00")</f>
        <v>บ.พาตาร์แลบ(2517) INV125013053 7,500.00</v>
      </c>
      <c r="U109" s="8"/>
    </row>
    <row r="110" ht="13.5" customHeight="1">
      <c r="A110" s="1"/>
      <c r="B110" s="2">
        <v>45692.0</v>
      </c>
      <c r="C110" s="9" t="s">
        <v>254</v>
      </c>
      <c r="D110" s="1" t="s">
        <v>258</v>
      </c>
      <c r="E110" s="4">
        <v>27600.0</v>
      </c>
      <c r="F110" s="4">
        <v>27600.0</v>
      </c>
      <c r="G110" s="4"/>
      <c r="H110" s="4">
        <f>'data on outstanding creditors'!$E110-'data on outstanding creditors'!$F110-'data on outstanding creditors'!$G110</f>
        <v>0</v>
      </c>
      <c r="I110" s="2">
        <v>45946.0</v>
      </c>
      <c r="J110" s="1"/>
      <c r="K110" s="2"/>
      <c r="L110" s="5"/>
      <c r="M110" s="9" t="s">
        <v>22</v>
      </c>
      <c r="N110" s="9" t="s">
        <v>23</v>
      </c>
      <c r="O110" s="10">
        <f>'data on outstanding creditors'!$E110*100/107</f>
        <v>25794.39252</v>
      </c>
      <c r="P110" s="10">
        <f>'data on outstanding creditors'!$E110-'data on outstanding creditors'!$O110</f>
        <v>1805.607477</v>
      </c>
      <c r="Q110" s="7">
        <f>DAY('data on outstanding creditors'!$B110)</f>
        <v>4</v>
      </c>
      <c r="R110" s="7">
        <f>MONTH('data on outstanding creditors'!$B110)</f>
        <v>2</v>
      </c>
      <c r="S110" s="7">
        <f>YEAR('data on outstanding creditors'!$B110)</f>
        <v>2025</v>
      </c>
      <c r="T110" s="11" t="str">
        <f>'data on outstanding creditors'!$C110&amp;" "&amp;'data on outstanding creditors'!$D110&amp;" "&amp;TEXT('data on outstanding creditors'!$E110,"#,##0.00")</f>
        <v>บ.แม็กซิม อินเตอร์คอร์ปอร์เรชั่น IV25010993 27,600.00</v>
      </c>
      <c r="U110" s="8"/>
    </row>
    <row r="111" ht="13.5" customHeight="1">
      <c r="A111" s="1"/>
      <c r="B111" s="2">
        <v>45693.0</v>
      </c>
      <c r="C111" s="9" t="s">
        <v>259</v>
      </c>
      <c r="D111" s="1" t="s">
        <v>260</v>
      </c>
      <c r="E111" s="4">
        <v>38400.0</v>
      </c>
      <c r="F111" s="4">
        <v>38400.0</v>
      </c>
      <c r="G111" s="4"/>
      <c r="H111" s="4">
        <f>'data on outstanding creditors'!$E111-'data on outstanding creditors'!$F111-'data on outstanding creditors'!$G111</f>
        <v>0</v>
      </c>
      <c r="I111" s="2">
        <v>45946.0</v>
      </c>
      <c r="J111" s="1"/>
      <c r="K111" s="2"/>
      <c r="L111" s="5"/>
      <c r="M111" s="9" t="s">
        <v>22</v>
      </c>
      <c r="N111" s="9" t="s">
        <v>23</v>
      </c>
      <c r="O111" s="10">
        <f>'data on outstanding creditors'!$E111*100/107</f>
        <v>35887.85047</v>
      </c>
      <c r="P111" s="10">
        <f>'data on outstanding creditors'!$E111-'data on outstanding creditors'!$O111</f>
        <v>2512.149533</v>
      </c>
      <c r="Q111" s="7">
        <f>DAY('data on outstanding creditors'!$B111)</f>
        <v>5</v>
      </c>
      <c r="R111" s="7">
        <f>MONTH('data on outstanding creditors'!$B111)</f>
        <v>2</v>
      </c>
      <c r="S111" s="7">
        <f>YEAR('data on outstanding creditors'!$B111)</f>
        <v>2025</v>
      </c>
      <c r="T111" s="11" t="str">
        <f>'data on outstanding creditors'!$C111&amp;" "&amp;'data on outstanding creditors'!$D111&amp;" "&amp;TEXT('data on outstanding creditors'!$E111,"#,##0.00")</f>
        <v>บ.ที.โอ.เคมีคอลส์(1979) T6801/20493 38,400.00</v>
      </c>
      <c r="U111" s="8"/>
    </row>
    <row r="112" ht="13.5" customHeight="1">
      <c r="A112" s="1"/>
      <c r="B112" s="2">
        <v>45701.0</v>
      </c>
      <c r="C112" s="9" t="s">
        <v>250</v>
      </c>
      <c r="D112" s="1" t="s">
        <v>261</v>
      </c>
      <c r="E112" s="4">
        <v>21988.5</v>
      </c>
      <c r="F112" s="4">
        <v>21988.5</v>
      </c>
      <c r="G112" s="4"/>
      <c r="H112" s="4">
        <f>'data on outstanding creditors'!$E112-'data on outstanding creditors'!$F112-'data on outstanding creditors'!$G112</f>
        <v>0</v>
      </c>
      <c r="I112" s="2">
        <v>45946.0</v>
      </c>
      <c r="J112" s="1"/>
      <c r="K112" s="2"/>
      <c r="L112" s="5"/>
      <c r="M112" s="9" t="s">
        <v>22</v>
      </c>
      <c r="N112" s="9" t="s">
        <v>23</v>
      </c>
      <c r="O112" s="10">
        <f>'data on outstanding creditors'!$E112*100/107</f>
        <v>20550</v>
      </c>
      <c r="P112" s="10">
        <f>'data on outstanding creditors'!$E112-'data on outstanding creditors'!$O112</f>
        <v>1438.5</v>
      </c>
      <c r="Q112" s="7">
        <f>DAY('data on outstanding creditors'!$B112)</f>
        <v>13</v>
      </c>
      <c r="R112" s="7">
        <f>MONTH('data on outstanding creditors'!$B112)</f>
        <v>2</v>
      </c>
      <c r="S112" s="7">
        <f>YEAR('data on outstanding creditors'!$B112)</f>
        <v>2025</v>
      </c>
      <c r="T112" s="11" t="str">
        <f>'data on outstanding creditors'!$C112&amp;" "&amp;'data on outstanding creditors'!$D112&amp;" "&amp;TEXT('data on outstanding creditors'!$E112,"#,##0.00")</f>
        <v>บ.เกร๊ทเตอร์มายบาซิน #01-GM-1-2-2-2025002202 21,988.50</v>
      </c>
      <c r="U112" s="8"/>
    </row>
    <row r="113" ht="13.5" customHeight="1">
      <c r="A113" s="1"/>
      <c r="B113" s="2">
        <v>45701.0</v>
      </c>
      <c r="C113" s="9" t="s">
        <v>254</v>
      </c>
      <c r="D113" s="1" t="s">
        <v>262</v>
      </c>
      <c r="E113" s="4">
        <v>3852.0</v>
      </c>
      <c r="F113" s="4">
        <v>3852.0</v>
      </c>
      <c r="G113" s="4"/>
      <c r="H113" s="4">
        <f>'data on outstanding creditors'!$E113-'data on outstanding creditors'!$F113-'data on outstanding creditors'!$G113</f>
        <v>0</v>
      </c>
      <c r="I113" s="2">
        <v>45946.0</v>
      </c>
      <c r="J113" s="1"/>
      <c r="K113" s="2"/>
      <c r="L113" s="5"/>
      <c r="M113" s="9" t="s">
        <v>22</v>
      </c>
      <c r="N113" s="9" t="s">
        <v>23</v>
      </c>
      <c r="O113" s="10">
        <f>'data on outstanding creditors'!$E113*100/107</f>
        <v>3600</v>
      </c>
      <c r="P113" s="10">
        <f>'data on outstanding creditors'!$E113-'data on outstanding creditors'!$O113</f>
        <v>252</v>
      </c>
      <c r="Q113" s="7">
        <f>DAY('data on outstanding creditors'!$B113)</f>
        <v>13</v>
      </c>
      <c r="R113" s="7">
        <f>MONTH('data on outstanding creditors'!$B113)</f>
        <v>2</v>
      </c>
      <c r="S113" s="7">
        <f>YEAR('data on outstanding creditors'!$B113)</f>
        <v>2025</v>
      </c>
      <c r="T113" s="11" t="str">
        <f>'data on outstanding creditors'!$C113&amp;" "&amp;'data on outstanding creditors'!$D113&amp;" "&amp;TEXT('data on outstanding creditors'!$E113,"#,##0.00")</f>
        <v>บ.แม็กซิม อินเตอร์คอร์ปอร์เรชั่น IV25020382 3,852.00</v>
      </c>
      <c r="U113" s="8"/>
    </row>
    <row r="114" ht="13.5" customHeight="1">
      <c r="A114" s="1"/>
      <c r="B114" s="2">
        <v>45708.0</v>
      </c>
      <c r="C114" s="9" t="s">
        <v>263</v>
      </c>
      <c r="D114" s="1" t="s">
        <v>264</v>
      </c>
      <c r="E114" s="4">
        <v>50000.0</v>
      </c>
      <c r="F114" s="4">
        <v>50000.0</v>
      </c>
      <c r="G114" s="4"/>
      <c r="H114" s="4">
        <f>'data on outstanding creditors'!$E114-'data on outstanding creditors'!$F114-'data on outstanding creditors'!$G114</f>
        <v>0</v>
      </c>
      <c r="I114" s="2">
        <v>45946.0</v>
      </c>
      <c r="J114" s="1"/>
      <c r="K114" s="2"/>
      <c r="L114" s="5"/>
      <c r="M114" s="9" t="s">
        <v>22</v>
      </c>
      <c r="N114" s="9" t="s">
        <v>23</v>
      </c>
      <c r="O114" s="10">
        <f>'data on outstanding creditors'!$E114*100/107</f>
        <v>46728.97196</v>
      </c>
      <c r="P114" s="10">
        <f>'data on outstanding creditors'!$E114-'data on outstanding creditors'!$O114</f>
        <v>3271.028037</v>
      </c>
      <c r="Q114" s="7">
        <f>DAY('data on outstanding creditors'!$B114)</f>
        <v>20</v>
      </c>
      <c r="R114" s="7">
        <f>MONTH('data on outstanding creditors'!$B114)</f>
        <v>2</v>
      </c>
      <c r="S114" s="7">
        <f>YEAR('data on outstanding creditors'!$B114)</f>
        <v>2025</v>
      </c>
      <c r="T114" s="11" t="str">
        <f>'data on outstanding creditors'!$C114&amp;" "&amp;'data on outstanding creditors'!$D114&amp;" "&amp;TEXT('data on outstanding creditors'!$E114,"#,##0.00")</f>
        <v>บ.เอเบิ้ล เมดิคอล M2502/0080 50,000.00</v>
      </c>
      <c r="U114" s="8"/>
    </row>
    <row r="115" ht="13.5" customHeight="1">
      <c r="A115" s="1"/>
      <c r="B115" s="2">
        <v>45708.0</v>
      </c>
      <c r="C115" s="9" t="s">
        <v>263</v>
      </c>
      <c r="D115" s="1" t="s">
        <v>265</v>
      </c>
      <c r="E115" s="4">
        <v>4950.0</v>
      </c>
      <c r="F115" s="4">
        <v>4950.0</v>
      </c>
      <c r="G115" s="4"/>
      <c r="H115" s="4">
        <f>'data on outstanding creditors'!$E115-'data on outstanding creditors'!$F115-'data on outstanding creditors'!$G115</f>
        <v>0</v>
      </c>
      <c r="I115" s="2">
        <v>45946.0</v>
      </c>
      <c r="J115" s="1"/>
      <c r="K115" s="2"/>
      <c r="L115" s="5"/>
      <c r="M115" s="9" t="s">
        <v>22</v>
      </c>
      <c r="N115" s="9" t="s">
        <v>23</v>
      </c>
      <c r="O115" s="10">
        <f>'data on outstanding creditors'!$E115*100/107</f>
        <v>4626.168224</v>
      </c>
      <c r="P115" s="10">
        <f>'data on outstanding creditors'!$E115-'data on outstanding creditors'!$O115</f>
        <v>323.8317757</v>
      </c>
      <c r="Q115" s="7">
        <f>DAY('data on outstanding creditors'!$B115)</f>
        <v>20</v>
      </c>
      <c r="R115" s="7">
        <f>MONTH('data on outstanding creditors'!$B115)</f>
        <v>2</v>
      </c>
      <c r="S115" s="7">
        <f>YEAR('data on outstanding creditors'!$B115)</f>
        <v>2025</v>
      </c>
      <c r="T115" s="11" t="str">
        <f>'data on outstanding creditors'!$C115&amp;" "&amp;'data on outstanding creditors'!$D115&amp;" "&amp;TEXT('data on outstanding creditors'!$E115,"#,##0.00")</f>
        <v>บ.เอเบิ้ล เมดิคอล M2502/0290 4,950.00</v>
      </c>
      <c r="U115" s="8"/>
    </row>
    <row r="116" ht="13.5" customHeight="1">
      <c r="A116" s="1"/>
      <c r="B116" s="2">
        <v>45728.0</v>
      </c>
      <c r="C116" s="9" t="s">
        <v>254</v>
      </c>
      <c r="D116" s="1" t="s">
        <v>266</v>
      </c>
      <c r="E116" s="4">
        <v>27600.0</v>
      </c>
      <c r="F116" s="4">
        <v>27600.0</v>
      </c>
      <c r="G116" s="4"/>
      <c r="H116" s="4">
        <f>'data on outstanding creditors'!$E116-'data on outstanding creditors'!$F116-'data on outstanding creditors'!$G116</f>
        <v>0</v>
      </c>
      <c r="I116" s="2">
        <v>45946.0</v>
      </c>
      <c r="J116" s="1"/>
      <c r="K116" s="2"/>
      <c r="L116" s="5"/>
      <c r="M116" s="9" t="s">
        <v>22</v>
      </c>
      <c r="N116" s="9" t="s">
        <v>23</v>
      </c>
      <c r="O116" s="10">
        <f>'data on outstanding creditors'!$E116*100/107</f>
        <v>25794.39252</v>
      </c>
      <c r="P116" s="10">
        <f>'data on outstanding creditors'!$E116-'data on outstanding creditors'!$O116</f>
        <v>1805.607477</v>
      </c>
      <c r="Q116" s="7">
        <f>DAY('data on outstanding creditors'!$B116)</f>
        <v>12</v>
      </c>
      <c r="R116" s="7">
        <f>MONTH('data on outstanding creditors'!$B116)</f>
        <v>3</v>
      </c>
      <c r="S116" s="7">
        <f>YEAR('data on outstanding creditors'!$B116)</f>
        <v>2025</v>
      </c>
      <c r="T116" s="11" t="str">
        <f>'data on outstanding creditors'!$C116&amp;" "&amp;'data on outstanding creditors'!$D116&amp;" "&amp;TEXT('data on outstanding creditors'!$E116,"#,##0.00")</f>
        <v>บ.แม็กซิม อินเตอร์คอร์ปอร์เรชั่น IV25030384 27,600.00</v>
      </c>
      <c r="U116" s="8"/>
    </row>
    <row r="117" ht="13.5" customHeight="1">
      <c r="A117" s="1"/>
      <c r="B117" s="2">
        <v>45729.0</v>
      </c>
      <c r="C117" s="9" t="s">
        <v>259</v>
      </c>
      <c r="D117" s="1" t="s">
        <v>267</v>
      </c>
      <c r="E117" s="4">
        <v>3490.0</v>
      </c>
      <c r="F117" s="4">
        <v>3490.0</v>
      </c>
      <c r="G117" s="4"/>
      <c r="H117" s="4">
        <f>'data on outstanding creditors'!$E117-'data on outstanding creditors'!$F117-'data on outstanding creditors'!$G117</f>
        <v>0</v>
      </c>
      <c r="I117" s="2">
        <v>45946.0</v>
      </c>
      <c r="J117" s="1"/>
      <c r="K117" s="2"/>
      <c r="L117" s="5"/>
      <c r="M117" s="9" t="s">
        <v>22</v>
      </c>
      <c r="N117" s="9" t="s">
        <v>23</v>
      </c>
      <c r="O117" s="10">
        <f>'data on outstanding creditors'!$E117*100/107</f>
        <v>3261.682243</v>
      </c>
      <c r="P117" s="10">
        <f>'data on outstanding creditors'!$E117-'data on outstanding creditors'!$O117</f>
        <v>228.317757</v>
      </c>
      <c r="Q117" s="7">
        <f>DAY('data on outstanding creditors'!$B117)</f>
        <v>13</v>
      </c>
      <c r="R117" s="7">
        <f>MONTH('data on outstanding creditors'!$B117)</f>
        <v>3</v>
      </c>
      <c r="S117" s="7">
        <f>YEAR('data on outstanding creditors'!$B117)</f>
        <v>2025</v>
      </c>
      <c r="T117" s="11" t="str">
        <f>'data on outstanding creditors'!$C117&amp;" "&amp;'data on outstanding creditors'!$D117&amp;" "&amp;TEXT('data on outstanding creditors'!$E117,"#,##0.00")</f>
        <v>บ.ที.โอ.เคมีคอลส์(1979) T6803/10677 3,490.00</v>
      </c>
      <c r="U117" s="8"/>
    </row>
    <row r="118" ht="13.5" customHeight="1">
      <c r="A118" s="1"/>
      <c r="B118" s="2">
        <v>45729.0</v>
      </c>
      <c r="C118" s="9" t="s">
        <v>259</v>
      </c>
      <c r="D118" s="1" t="s">
        <v>268</v>
      </c>
      <c r="E118" s="4">
        <v>38400.0</v>
      </c>
      <c r="F118" s="4">
        <v>38400.0</v>
      </c>
      <c r="G118" s="4"/>
      <c r="H118" s="4">
        <f>'data on outstanding creditors'!$E118-'data on outstanding creditors'!$F118-'data on outstanding creditors'!$G118</f>
        <v>0</v>
      </c>
      <c r="I118" s="2">
        <v>45946.0</v>
      </c>
      <c r="J118" s="1"/>
      <c r="K118" s="2"/>
      <c r="L118" s="5"/>
      <c r="M118" s="9" t="s">
        <v>22</v>
      </c>
      <c r="N118" s="9" t="s">
        <v>23</v>
      </c>
      <c r="O118" s="10">
        <f>'data on outstanding creditors'!$E118*100/107</f>
        <v>35887.85047</v>
      </c>
      <c r="P118" s="10">
        <f>'data on outstanding creditors'!$E118-'data on outstanding creditors'!$O118</f>
        <v>2512.149533</v>
      </c>
      <c r="Q118" s="7">
        <f>DAY('data on outstanding creditors'!$B118)</f>
        <v>13</v>
      </c>
      <c r="R118" s="7">
        <f>MONTH('data on outstanding creditors'!$B118)</f>
        <v>3</v>
      </c>
      <c r="S118" s="7">
        <f>YEAR('data on outstanding creditors'!$B118)</f>
        <v>2025</v>
      </c>
      <c r="T118" s="11" t="str">
        <f>'data on outstanding creditors'!$C118&amp;" "&amp;'data on outstanding creditors'!$D118&amp;" "&amp;TEXT('data on outstanding creditors'!$E118,"#,##0.00")</f>
        <v>บ.ที.โอ.เคมีคอลส์(1979) T6803/20125 38,400.00</v>
      </c>
      <c r="U118" s="8"/>
    </row>
    <row r="119" ht="13.5" customHeight="1">
      <c r="A119" s="1"/>
      <c r="B119" s="2">
        <v>45735.0</v>
      </c>
      <c r="C119" s="9" t="s">
        <v>256</v>
      </c>
      <c r="D119" s="1" t="s">
        <v>269</v>
      </c>
      <c r="E119" s="4">
        <v>80540.0</v>
      </c>
      <c r="F119" s="4">
        <v>80540.0</v>
      </c>
      <c r="G119" s="4"/>
      <c r="H119" s="4">
        <f>'data on outstanding creditors'!$E119-'data on outstanding creditors'!$F119-'data on outstanding creditors'!$G119</f>
        <v>0</v>
      </c>
      <c r="I119" s="2">
        <v>45946.0</v>
      </c>
      <c r="J119" s="1"/>
      <c r="K119" s="2"/>
      <c r="L119" s="5"/>
      <c r="M119" s="9" t="s">
        <v>22</v>
      </c>
      <c r="N119" s="9" t="s">
        <v>23</v>
      </c>
      <c r="O119" s="10">
        <f>'data on outstanding creditors'!$E119*100/107</f>
        <v>75271.02804</v>
      </c>
      <c r="P119" s="10">
        <f>'data on outstanding creditors'!$E119-'data on outstanding creditors'!$O119</f>
        <v>5268.971963</v>
      </c>
      <c r="Q119" s="7">
        <f>DAY('data on outstanding creditors'!$B119)</f>
        <v>19</v>
      </c>
      <c r="R119" s="7">
        <f>MONTH('data on outstanding creditors'!$B119)</f>
        <v>3</v>
      </c>
      <c r="S119" s="7">
        <f>YEAR('data on outstanding creditors'!$B119)</f>
        <v>2025</v>
      </c>
      <c r="T119" s="11" t="str">
        <f>'data on outstanding creditors'!$C119&amp;" "&amp;'data on outstanding creditors'!$D119&amp;" "&amp;TEXT('data on outstanding creditors'!$E119,"#,##0.00")</f>
        <v>บ.พาตาร์แลบ(2517) INV125030943 80,540.00</v>
      </c>
      <c r="U119" s="8"/>
    </row>
    <row r="120" ht="13.5" customHeight="1">
      <c r="A120" s="1"/>
      <c r="B120" s="2">
        <v>45741.0</v>
      </c>
      <c r="C120" s="9" t="s">
        <v>256</v>
      </c>
      <c r="D120" s="1" t="s">
        <v>270</v>
      </c>
      <c r="E120" s="4">
        <v>20000.0</v>
      </c>
      <c r="F120" s="4">
        <v>20000.0</v>
      </c>
      <c r="G120" s="4"/>
      <c r="H120" s="4">
        <f>'data on outstanding creditors'!$E120-'data on outstanding creditors'!$F120-'data on outstanding creditors'!$G120</f>
        <v>0</v>
      </c>
      <c r="I120" s="2">
        <v>45946.0</v>
      </c>
      <c r="J120" s="1"/>
      <c r="K120" s="2"/>
      <c r="L120" s="5"/>
      <c r="M120" s="9" t="s">
        <v>22</v>
      </c>
      <c r="N120" s="9" t="s">
        <v>23</v>
      </c>
      <c r="O120" s="10">
        <f>'data on outstanding creditors'!$E120*100/107</f>
        <v>18691.58879</v>
      </c>
      <c r="P120" s="10">
        <f>'data on outstanding creditors'!$E120-'data on outstanding creditors'!$O120</f>
        <v>1308.411215</v>
      </c>
      <c r="Q120" s="7">
        <f>DAY('data on outstanding creditors'!$B120)</f>
        <v>25</v>
      </c>
      <c r="R120" s="7">
        <f>MONTH('data on outstanding creditors'!$B120)</f>
        <v>3</v>
      </c>
      <c r="S120" s="7">
        <f>YEAR('data on outstanding creditors'!$B120)</f>
        <v>2025</v>
      </c>
      <c r="T120" s="11" t="str">
        <f>'data on outstanding creditors'!$C120&amp;" "&amp;'data on outstanding creditors'!$D120&amp;" "&amp;TEXT('data on outstanding creditors'!$E120,"#,##0.00")</f>
        <v>บ.พาตาร์แลบ(2517) INV125031752 20,000.00</v>
      </c>
      <c r="U120" s="8"/>
    </row>
    <row r="121" ht="13.5" customHeight="1">
      <c r="A121" s="1"/>
      <c r="B121" s="2">
        <v>45742.0</v>
      </c>
      <c r="C121" s="9" t="s">
        <v>256</v>
      </c>
      <c r="D121" s="1" t="s">
        <v>271</v>
      </c>
      <c r="E121" s="4">
        <v>7500.0</v>
      </c>
      <c r="F121" s="4">
        <v>7500.0</v>
      </c>
      <c r="G121" s="4"/>
      <c r="H121" s="4">
        <f>'data on outstanding creditors'!$E121-'data on outstanding creditors'!$F121-'data on outstanding creditors'!$G121</f>
        <v>0</v>
      </c>
      <c r="I121" s="2">
        <v>45946.0</v>
      </c>
      <c r="J121" s="1"/>
      <c r="K121" s="2"/>
      <c r="L121" s="5"/>
      <c r="M121" s="9" t="s">
        <v>22</v>
      </c>
      <c r="N121" s="9" t="s">
        <v>23</v>
      </c>
      <c r="O121" s="10">
        <f>'data on outstanding creditors'!$E121*100/107</f>
        <v>7009.345794</v>
      </c>
      <c r="P121" s="10">
        <f>'data on outstanding creditors'!$E121-'data on outstanding creditors'!$O121</f>
        <v>490.6542056</v>
      </c>
      <c r="Q121" s="7">
        <f>DAY('data on outstanding creditors'!$B121)</f>
        <v>26</v>
      </c>
      <c r="R121" s="7">
        <f>MONTH('data on outstanding creditors'!$B121)</f>
        <v>3</v>
      </c>
      <c r="S121" s="7">
        <f>YEAR('data on outstanding creditors'!$B121)</f>
        <v>2025</v>
      </c>
      <c r="T121" s="11" t="str">
        <f>'data on outstanding creditors'!$C121&amp;" "&amp;'data on outstanding creditors'!$D121&amp;" "&amp;TEXT('data on outstanding creditors'!$E121,"#,##0.00")</f>
        <v>บ.พาตาร์แลบ(2517) INV125032048 7,500.00</v>
      </c>
      <c r="U121" s="8"/>
    </row>
    <row r="122" ht="13.5" customHeight="1">
      <c r="A122" s="1"/>
      <c r="B122" s="2">
        <v>45744.0</v>
      </c>
      <c r="C122" s="9" t="s">
        <v>256</v>
      </c>
      <c r="D122" s="1" t="s">
        <v>272</v>
      </c>
      <c r="E122" s="4">
        <v>6000.0</v>
      </c>
      <c r="F122" s="4">
        <v>6000.0</v>
      </c>
      <c r="G122" s="4"/>
      <c r="H122" s="4">
        <f>'data on outstanding creditors'!$E122-'data on outstanding creditors'!$F122-'data on outstanding creditors'!$G122</f>
        <v>0</v>
      </c>
      <c r="I122" s="2">
        <v>45946.0</v>
      </c>
      <c r="J122" s="1"/>
      <c r="K122" s="2"/>
      <c r="L122" s="5"/>
      <c r="M122" s="9" t="s">
        <v>22</v>
      </c>
      <c r="N122" s="9" t="s">
        <v>23</v>
      </c>
      <c r="O122" s="10">
        <f>'data on outstanding creditors'!$E122*100/107</f>
        <v>5607.476636</v>
      </c>
      <c r="P122" s="10">
        <f>'data on outstanding creditors'!$E122-'data on outstanding creditors'!$O122</f>
        <v>392.5233645</v>
      </c>
      <c r="Q122" s="7">
        <f>DAY('data on outstanding creditors'!$B122)</f>
        <v>28</v>
      </c>
      <c r="R122" s="7">
        <f>MONTH('data on outstanding creditors'!$B122)</f>
        <v>3</v>
      </c>
      <c r="S122" s="7">
        <f>YEAR('data on outstanding creditors'!$B122)</f>
        <v>2025</v>
      </c>
      <c r="T122" s="11" t="str">
        <f>'data on outstanding creditors'!$C122&amp;" "&amp;'data on outstanding creditors'!$D122&amp;" "&amp;TEXT('data on outstanding creditors'!$E122,"#,##0.00")</f>
        <v>บ.พาตาร์แลบ(2517) INV125032245 6,000.00</v>
      </c>
      <c r="U122" s="8"/>
    </row>
    <row r="123" ht="13.5" customHeight="1">
      <c r="A123" s="1"/>
      <c r="B123" s="2">
        <v>45751.0</v>
      </c>
      <c r="C123" s="9" t="s">
        <v>254</v>
      </c>
      <c r="D123" s="1" t="s">
        <v>273</v>
      </c>
      <c r="E123" s="4">
        <v>25200.0</v>
      </c>
      <c r="F123" s="4">
        <v>25200.0</v>
      </c>
      <c r="G123" s="4"/>
      <c r="H123" s="4">
        <f>'data on outstanding creditors'!$E123-'data on outstanding creditors'!$F123-'data on outstanding creditors'!$G123</f>
        <v>0</v>
      </c>
      <c r="I123" s="2">
        <v>45946.0</v>
      </c>
      <c r="J123" s="1"/>
      <c r="K123" s="2"/>
      <c r="L123" s="5"/>
      <c r="M123" s="9" t="s">
        <v>22</v>
      </c>
      <c r="N123" s="9" t="s">
        <v>23</v>
      </c>
      <c r="O123" s="10">
        <f>'data on outstanding creditors'!$E123*100/107</f>
        <v>23551.40187</v>
      </c>
      <c r="P123" s="10">
        <f>'data on outstanding creditors'!$E123-'data on outstanding creditors'!$O123</f>
        <v>1648.598131</v>
      </c>
      <c r="Q123" s="7">
        <f>DAY('data on outstanding creditors'!$B123)</f>
        <v>4</v>
      </c>
      <c r="R123" s="7">
        <f>MONTH('data on outstanding creditors'!$B123)</f>
        <v>4</v>
      </c>
      <c r="S123" s="7">
        <f>YEAR('data on outstanding creditors'!$B123)</f>
        <v>2025</v>
      </c>
      <c r="T123" s="11" t="str">
        <f>'data on outstanding creditors'!$C123&amp;" "&amp;'data on outstanding creditors'!$D123&amp;" "&amp;TEXT('data on outstanding creditors'!$E123,"#,##0.00")</f>
        <v>บ.แม็กซิม อินเตอร์คอร์ปอร์เรชั่น IV25031609 25,200.00</v>
      </c>
      <c r="U123" s="8"/>
    </row>
    <row r="124" ht="13.5" customHeight="1">
      <c r="A124" s="1"/>
      <c r="B124" s="2">
        <v>45764.0</v>
      </c>
      <c r="C124" s="9" t="s">
        <v>259</v>
      </c>
      <c r="D124" s="1" t="s">
        <v>274</v>
      </c>
      <c r="E124" s="4">
        <v>5580.0</v>
      </c>
      <c r="F124" s="4">
        <v>5580.0</v>
      </c>
      <c r="G124" s="4"/>
      <c r="H124" s="4">
        <f>'data on outstanding creditors'!$E124-'data on outstanding creditors'!$F124-'data on outstanding creditors'!$G124</f>
        <v>0</v>
      </c>
      <c r="I124" s="2">
        <v>45946.0</v>
      </c>
      <c r="J124" s="1"/>
      <c r="K124" s="2"/>
      <c r="L124" s="5"/>
      <c r="M124" s="9" t="s">
        <v>22</v>
      </c>
      <c r="N124" s="9" t="s">
        <v>23</v>
      </c>
      <c r="O124" s="10">
        <f>'data on outstanding creditors'!$E124*100/107</f>
        <v>5214.953271</v>
      </c>
      <c r="P124" s="10">
        <f>'data on outstanding creditors'!$E124-'data on outstanding creditors'!$O124</f>
        <v>365.046729</v>
      </c>
      <c r="Q124" s="7">
        <f>DAY('data on outstanding creditors'!$B124)</f>
        <v>17</v>
      </c>
      <c r="R124" s="7">
        <f>MONTH('data on outstanding creditors'!$B124)</f>
        <v>4</v>
      </c>
      <c r="S124" s="7">
        <f>YEAR('data on outstanding creditors'!$B124)</f>
        <v>2025</v>
      </c>
      <c r="T124" s="11" t="str">
        <f>'data on outstanding creditors'!$C124&amp;" "&amp;'data on outstanding creditors'!$D124&amp;" "&amp;TEXT('data on outstanding creditors'!$E124,"#,##0.00")</f>
        <v>บ.ที.โอ.เคมีคอลส์(1979) T6804/10659 5,580.00</v>
      </c>
      <c r="U124" s="8"/>
    </row>
    <row r="125" ht="13.5" customHeight="1">
      <c r="A125" s="1"/>
      <c r="B125" s="2">
        <v>45765.0</v>
      </c>
      <c r="C125" s="9" t="s">
        <v>259</v>
      </c>
      <c r="D125" s="1" t="s">
        <v>275</v>
      </c>
      <c r="E125" s="4">
        <v>38400.0</v>
      </c>
      <c r="F125" s="4">
        <v>38400.0</v>
      </c>
      <c r="G125" s="4"/>
      <c r="H125" s="4">
        <f>'data on outstanding creditors'!$E125-'data on outstanding creditors'!$F125-'data on outstanding creditors'!$G125</f>
        <v>0</v>
      </c>
      <c r="I125" s="2">
        <v>45946.0</v>
      </c>
      <c r="J125" s="1"/>
      <c r="K125" s="2"/>
      <c r="L125" s="5"/>
      <c r="M125" s="9" t="s">
        <v>22</v>
      </c>
      <c r="N125" s="9" t="s">
        <v>23</v>
      </c>
      <c r="O125" s="10">
        <f>'data on outstanding creditors'!$E125*100/107</f>
        <v>35887.85047</v>
      </c>
      <c r="P125" s="10">
        <f>'data on outstanding creditors'!$E125-'data on outstanding creditors'!$O125</f>
        <v>2512.149533</v>
      </c>
      <c r="Q125" s="7">
        <f>DAY('data on outstanding creditors'!$B125)</f>
        <v>18</v>
      </c>
      <c r="R125" s="7">
        <f>MONTH('data on outstanding creditors'!$B125)</f>
        <v>4</v>
      </c>
      <c r="S125" s="7">
        <f>YEAR('data on outstanding creditors'!$B125)</f>
        <v>2025</v>
      </c>
      <c r="T125" s="11" t="str">
        <f>'data on outstanding creditors'!$C125&amp;" "&amp;'data on outstanding creditors'!$D125&amp;" "&amp;TEXT('data on outstanding creditors'!$E125,"#,##0.00")</f>
        <v>บ.ที.โอ.เคมีคอลส์(1979) T6804/20146 38,400.00</v>
      </c>
      <c r="U125" s="8"/>
    </row>
    <row r="126" ht="13.5" customHeight="1">
      <c r="A126" s="1"/>
      <c r="B126" s="2">
        <v>45769.0</v>
      </c>
      <c r="C126" s="9" t="s">
        <v>254</v>
      </c>
      <c r="D126" s="1" t="s">
        <v>276</v>
      </c>
      <c r="E126" s="4">
        <v>33852.0</v>
      </c>
      <c r="F126" s="4">
        <v>33852.0</v>
      </c>
      <c r="G126" s="4"/>
      <c r="H126" s="4">
        <f>'data on outstanding creditors'!$E126-'data on outstanding creditors'!$F126-'data on outstanding creditors'!$G126</f>
        <v>0</v>
      </c>
      <c r="I126" s="2">
        <v>45946.0</v>
      </c>
      <c r="J126" s="1"/>
      <c r="K126" s="2"/>
      <c r="L126" s="5"/>
      <c r="M126" s="9" t="s">
        <v>22</v>
      </c>
      <c r="N126" s="9" t="s">
        <v>23</v>
      </c>
      <c r="O126" s="10">
        <f>'data on outstanding creditors'!$E126*100/107</f>
        <v>31637.38318</v>
      </c>
      <c r="P126" s="10">
        <f>'data on outstanding creditors'!$E126-'data on outstanding creditors'!$O126</f>
        <v>2214.616822</v>
      </c>
      <c r="Q126" s="7">
        <f>DAY('data on outstanding creditors'!$B126)</f>
        <v>22</v>
      </c>
      <c r="R126" s="7">
        <f>MONTH('data on outstanding creditors'!$B126)</f>
        <v>4</v>
      </c>
      <c r="S126" s="7">
        <f>YEAR('data on outstanding creditors'!$B126)</f>
        <v>2025</v>
      </c>
      <c r="T126" s="11" t="str">
        <f>'data on outstanding creditors'!$C126&amp;" "&amp;'data on outstanding creditors'!$D126&amp;" "&amp;TEXT('data on outstanding creditors'!$E126,"#,##0.00")</f>
        <v>บ.แม็กซิม อินเตอร์คอร์ปอร์เรชั่น IV25040351 33,852.00</v>
      </c>
      <c r="U126" s="8"/>
    </row>
    <row r="127" ht="13.5" customHeight="1">
      <c r="A127" s="1"/>
      <c r="B127" s="2">
        <v>45806.0</v>
      </c>
      <c r="C127" s="9" t="s">
        <v>254</v>
      </c>
      <c r="D127" s="1" t="s">
        <v>277</v>
      </c>
      <c r="E127" s="4">
        <v>27600.0</v>
      </c>
      <c r="F127" s="4">
        <v>27600.0</v>
      </c>
      <c r="G127" s="4"/>
      <c r="H127" s="4">
        <f>'data on outstanding creditors'!$E127-'data on outstanding creditors'!$F127-'data on outstanding creditors'!$G127</f>
        <v>0</v>
      </c>
      <c r="I127" s="2">
        <v>45946.0</v>
      </c>
      <c r="J127" s="1"/>
      <c r="K127" s="2"/>
      <c r="L127" s="5"/>
      <c r="M127" s="9" t="s">
        <v>22</v>
      </c>
      <c r="N127" s="9" t="s">
        <v>23</v>
      </c>
      <c r="O127" s="10">
        <f>'data on outstanding creditors'!$E127*100/107</f>
        <v>25794.39252</v>
      </c>
      <c r="P127" s="10">
        <f>'data on outstanding creditors'!$E127-'data on outstanding creditors'!$O127</f>
        <v>1805.607477</v>
      </c>
      <c r="Q127" s="7">
        <f>DAY('data on outstanding creditors'!$B127)</f>
        <v>29</v>
      </c>
      <c r="R127" s="7">
        <f>MONTH('data on outstanding creditors'!$B127)</f>
        <v>5</v>
      </c>
      <c r="S127" s="7">
        <f>YEAR('data on outstanding creditors'!$B127)</f>
        <v>2025</v>
      </c>
      <c r="T127" s="11" t="str">
        <f>'data on outstanding creditors'!$C127&amp;" "&amp;'data on outstanding creditors'!$D127&amp;" "&amp;TEXT('data on outstanding creditors'!$E127,"#,##0.00")</f>
        <v>บ.แม็กซิม อินเตอร์คอร์ปอร์เรชั่น IV25051185 27,600.00</v>
      </c>
      <c r="U127" s="8"/>
    </row>
    <row r="128" ht="13.5" customHeight="1">
      <c r="A128" s="1"/>
      <c r="B128" s="2">
        <v>45832.0</v>
      </c>
      <c r="C128" s="9" t="s">
        <v>254</v>
      </c>
      <c r="D128" s="1" t="s">
        <v>278</v>
      </c>
      <c r="E128" s="4">
        <v>5136.0</v>
      </c>
      <c r="F128" s="4">
        <v>5136.0</v>
      </c>
      <c r="G128" s="4"/>
      <c r="H128" s="4">
        <f>'data on outstanding creditors'!$E128-'data on outstanding creditors'!$F128-'data on outstanding creditors'!$G128</f>
        <v>0</v>
      </c>
      <c r="I128" s="2">
        <v>45946.0</v>
      </c>
      <c r="J128" s="1"/>
      <c r="K128" s="2"/>
      <c r="L128" s="5"/>
      <c r="M128" s="9" t="s">
        <v>22</v>
      </c>
      <c r="N128" s="9" t="s">
        <v>23</v>
      </c>
      <c r="O128" s="10">
        <f>'data on outstanding creditors'!$E128*100/107</f>
        <v>4800</v>
      </c>
      <c r="P128" s="10">
        <f>'data on outstanding creditors'!$E128-'data on outstanding creditors'!$O128</f>
        <v>336</v>
      </c>
      <c r="Q128" s="7">
        <f>DAY('data on outstanding creditors'!$B128)</f>
        <v>24</v>
      </c>
      <c r="R128" s="7">
        <f>MONTH('data on outstanding creditors'!$B128)</f>
        <v>6</v>
      </c>
      <c r="S128" s="7">
        <f>YEAR('data on outstanding creditors'!$B128)</f>
        <v>2025</v>
      </c>
      <c r="T128" s="11" t="str">
        <f>'data on outstanding creditors'!$C128&amp;" "&amp;'data on outstanding creditors'!$D128&amp;" "&amp;TEXT('data on outstanding creditors'!$E128,"#,##0.00")</f>
        <v>บ.แม็กซิม อินเตอร์คอร์ปอร์เรชั่น IV25060733 5,136.00</v>
      </c>
      <c r="U128" s="8"/>
    </row>
    <row r="129" ht="13.5" customHeight="1">
      <c r="A129" s="1"/>
      <c r="B129" s="2">
        <v>45527.0</v>
      </c>
      <c r="C129" s="9" t="s">
        <v>279</v>
      </c>
      <c r="D129" s="1" t="s">
        <v>280</v>
      </c>
      <c r="E129" s="4">
        <v>4500.0</v>
      </c>
      <c r="F129" s="4">
        <v>4500.0</v>
      </c>
      <c r="G129" s="4"/>
      <c r="H129" s="4">
        <f>'data on outstanding creditors'!$E129-'data on outstanding creditors'!$F129-'data on outstanding creditors'!$G129</f>
        <v>0</v>
      </c>
      <c r="I129" s="2">
        <v>45946.0</v>
      </c>
      <c r="J129" s="1"/>
      <c r="K129" s="2"/>
      <c r="L129" s="5"/>
      <c r="M129" s="9" t="s">
        <v>43</v>
      </c>
      <c r="N129" s="9" t="s">
        <v>49</v>
      </c>
      <c r="O129" s="10">
        <f>'data on outstanding creditors'!$E129*100/107</f>
        <v>4205.607477</v>
      </c>
      <c r="P129" s="10">
        <f>'data on outstanding creditors'!$E129-'data on outstanding creditors'!$O129</f>
        <v>294.3925234</v>
      </c>
      <c r="Q129" s="7">
        <f>DAY('data on outstanding creditors'!$B129)</f>
        <v>23</v>
      </c>
      <c r="R129" s="7">
        <f>MONTH('data on outstanding creditors'!$B129)</f>
        <v>8</v>
      </c>
      <c r="S129" s="7">
        <f>YEAR('data on outstanding creditors'!$B129)</f>
        <v>2024</v>
      </c>
      <c r="T129" s="11" t="str">
        <f>'data on outstanding creditors'!$C129&amp;" "&amp;'data on outstanding creditors'!$D129&amp;" "&amp;TEXT('data on outstanding creditors'!$E129,"#,##0.00")</f>
        <v>บ.เอราวัณ ไฮเทค 243/2567 4,500.00</v>
      </c>
      <c r="U129" s="8"/>
    </row>
    <row r="130" ht="13.5" customHeight="1">
      <c r="A130" s="1"/>
      <c r="B130" s="2">
        <v>45637.0</v>
      </c>
      <c r="C130" s="9" t="s">
        <v>281</v>
      </c>
      <c r="D130" s="1" t="s">
        <v>282</v>
      </c>
      <c r="E130" s="4">
        <v>5100.0</v>
      </c>
      <c r="F130" s="4">
        <v>5100.0</v>
      </c>
      <c r="G130" s="4"/>
      <c r="H130" s="4">
        <f>'data on outstanding creditors'!$E130-'data on outstanding creditors'!$F130-'data on outstanding creditors'!$G130</f>
        <v>0</v>
      </c>
      <c r="I130" s="2">
        <v>45946.0</v>
      </c>
      <c r="J130" s="1"/>
      <c r="K130" s="2"/>
      <c r="L130" s="5"/>
      <c r="M130" s="9" t="s">
        <v>43</v>
      </c>
      <c r="N130" s="9" t="s">
        <v>49</v>
      </c>
      <c r="O130" s="10">
        <f>'data on outstanding creditors'!$E130*100/107</f>
        <v>4766.35514</v>
      </c>
      <c r="P130" s="10">
        <f>'data on outstanding creditors'!$E130-'data on outstanding creditors'!$O130</f>
        <v>333.6448598</v>
      </c>
      <c r="Q130" s="7">
        <f>DAY('data on outstanding creditors'!$B130)</f>
        <v>11</v>
      </c>
      <c r="R130" s="7">
        <f>MONTH('data on outstanding creditors'!$B130)</f>
        <v>12</v>
      </c>
      <c r="S130" s="7">
        <f>YEAR('data on outstanding creditors'!$B130)</f>
        <v>2024</v>
      </c>
      <c r="T130" s="11" t="str">
        <f>'data on outstanding creditors'!$C130&amp;" "&amp;'data on outstanding creditors'!$D130&amp;" "&amp;TEXT('data on outstanding creditors'!$E130,"#,##0.00")</f>
        <v>บ.เมดิทอป 1541158 5,100.00</v>
      </c>
      <c r="U130" s="8"/>
    </row>
    <row r="131" ht="13.5" customHeight="1">
      <c r="A131" s="1"/>
      <c r="B131" s="2">
        <v>45644.0</v>
      </c>
      <c r="C131" s="9" t="s">
        <v>283</v>
      </c>
      <c r="D131" s="1" t="s">
        <v>284</v>
      </c>
      <c r="E131" s="4">
        <v>6000.0</v>
      </c>
      <c r="F131" s="4">
        <v>6000.0</v>
      </c>
      <c r="G131" s="4"/>
      <c r="H131" s="4">
        <f>'data on outstanding creditors'!$E131-'data on outstanding creditors'!$F131-'data on outstanding creditors'!$G131</f>
        <v>0</v>
      </c>
      <c r="I131" s="2">
        <v>45946.0</v>
      </c>
      <c r="J131" s="1"/>
      <c r="K131" s="2"/>
      <c r="L131" s="5"/>
      <c r="M131" s="9" t="s">
        <v>43</v>
      </c>
      <c r="N131" s="9" t="s">
        <v>49</v>
      </c>
      <c r="O131" s="10">
        <f>'data on outstanding creditors'!$E131*100/107</f>
        <v>5607.476636</v>
      </c>
      <c r="P131" s="10">
        <f>'data on outstanding creditors'!$E131-'data on outstanding creditors'!$O131</f>
        <v>392.5233645</v>
      </c>
      <c r="Q131" s="7">
        <f>DAY('data on outstanding creditors'!$B131)</f>
        <v>18</v>
      </c>
      <c r="R131" s="7">
        <f>MONTH('data on outstanding creditors'!$B131)</f>
        <v>12</v>
      </c>
      <c r="S131" s="7">
        <f>YEAR('data on outstanding creditors'!$B131)</f>
        <v>2024</v>
      </c>
      <c r="T131" s="11" t="str">
        <f>'data on outstanding creditors'!$C131&amp;" "&amp;'data on outstanding creditors'!$D131&amp;" "&amp;TEXT('data on outstanding creditors'!$E131,"#,##0.00")</f>
        <v>ร้าน เฟิร์สท เทรดดิ้ง 670473 6,000.00</v>
      </c>
      <c r="U131" s="8"/>
    </row>
    <row r="132" ht="13.5" customHeight="1">
      <c r="A132" s="1" t="s">
        <v>285</v>
      </c>
      <c r="B132" s="2">
        <v>45649.0</v>
      </c>
      <c r="C132" s="9" t="s">
        <v>286</v>
      </c>
      <c r="D132" s="1" t="s">
        <v>287</v>
      </c>
      <c r="E132" s="4">
        <v>35000.0</v>
      </c>
      <c r="F132" s="4">
        <v>35000.0</v>
      </c>
      <c r="G132" s="4"/>
      <c r="H132" s="4">
        <f>'data on outstanding creditors'!$E132-'data on outstanding creditors'!$F132-'data on outstanding creditors'!$G132</f>
        <v>0</v>
      </c>
      <c r="I132" s="2">
        <v>45946.0</v>
      </c>
      <c r="J132" s="1"/>
      <c r="K132" s="2"/>
      <c r="L132" s="5"/>
      <c r="M132" s="9" t="s">
        <v>43</v>
      </c>
      <c r="N132" s="9" t="s">
        <v>49</v>
      </c>
      <c r="O132" s="10">
        <f>'data on outstanding creditors'!$E132*100/107</f>
        <v>32710.28037</v>
      </c>
      <c r="P132" s="10">
        <f>'data on outstanding creditors'!$E132-'data on outstanding creditors'!$O132</f>
        <v>2289.719626</v>
      </c>
      <c r="Q132" s="7">
        <f>DAY('data on outstanding creditors'!$B132)</f>
        <v>23</v>
      </c>
      <c r="R132" s="7">
        <f>MONTH('data on outstanding creditors'!$B132)</f>
        <v>12</v>
      </c>
      <c r="S132" s="7">
        <f>YEAR('data on outstanding creditors'!$B132)</f>
        <v>2024</v>
      </c>
      <c r="T132" s="11" t="str">
        <f>'data on outstanding creditors'!$C132&amp;" "&amp;'data on outstanding creditors'!$D132&amp;" "&amp;TEXT('data on outstanding creditors'!$E132,"#,##0.00")</f>
        <v>บ.เอ็ม ดี ซี (ประเทศไทย) 6712645 35,000.00</v>
      </c>
      <c r="U132" s="8"/>
    </row>
    <row r="133" ht="13.5" customHeight="1">
      <c r="A133" s="1" t="s">
        <v>288</v>
      </c>
      <c r="B133" s="2">
        <v>45664.0</v>
      </c>
      <c r="C133" s="9" t="s">
        <v>286</v>
      </c>
      <c r="D133" s="1" t="s">
        <v>289</v>
      </c>
      <c r="E133" s="4">
        <v>20000.0</v>
      </c>
      <c r="F133" s="4">
        <v>20000.0</v>
      </c>
      <c r="G133" s="4"/>
      <c r="H133" s="4">
        <f>'data on outstanding creditors'!$E133-'data on outstanding creditors'!$F133-'data on outstanding creditors'!$G133</f>
        <v>0</v>
      </c>
      <c r="I133" s="2">
        <v>45946.0</v>
      </c>
      <c r="J133" s="1"/>
      <c r="K133" s="2"/>
      <c r="L133" s="5"/>
      <c r="M133" s="9" t="s">
        <v>43</v>
      </c>
      <c r="N133" s="9" t="s">
        <v>49</v>
      </c>
      <c r="O133" s="10">
        <f>'data on outstanding creditors'!$E133*100/107</f>
        <v>18691.58879</v>
      </c>
      <c r="P133" s="10">
        <f>'data on outstanding creditors'!$E133-'data on outstanding creditors'!$O133</f>
        <v>1308.411215</v>
      </c>
      <c r="Q133" s="7">
        <f>DAY('data on outstanding creditors'!$B133)</f>
        <v>7</v>
      </c>
      <c r="R133" s="7">
        <f>MONTH('data on outstanding creditors'!$B133)</f>
        <v>1</v>
      </c>
      <c r="S133" s="7">
        <f>YEAR('data on outstanding creditors'!$B133)</f>
        <v>2025</v>
      </c>
      <c r="T133" s="11" t="str">
        <f>'data on outstanding creditors'!$C133&amp;" "&amp;'data on outstanding creditors'!$D133&amp;" "&amp;TEXT('data on outstanding creditors'!$E133,"#,##0.00")</f>
        <v>บ.เอ็ม ดี ซี (ประเทศไทย) 6800249 20,000.00</v>
      </c>
      <c r="U133" s="8"/>
    </row>
    <row r="134" ht="13.5" customHeight="1">
      <c r="A134" s="1"/>
      <c r="B134" s="2">
        <v>45666.0</v>
      </c>
      <c r="C134" s="9" t="s">
        <v>290</v>
      </c>
      <c r="D134" s="1" t="s">
        <v>291</v>
      </c>
      <c r="E134" s="4">
        <v>2161.4</v>
      </c>
      <c r="F134" s="4">
        <v>2161.4</v>
      </c>
      <c r="G134" s="4"/>
      <c r="H134" s="4">
        <f>'data on outstanding creditors'!$E134-'data on outstanding creditors'!$F134-'data on outstanding creditors'!$G134</f>
        <v>0</v>
      </c>
      <c r="I134" s="2">
        <v>45946.0</v>
      </c>
      <c r="J134" s="1"/>
      <c r="K134" s="2"/>
      <c r="L134" s="5"/>
      <c r="M134" s="9" t="s">
        <v>43</v>
      </c>
      <c r="N134" s="9" t="s">
        <v>49</v>
      </c>
      <c r="O134" s="10">
        <f>'data on outstanding creditors'!$E134*100/107</f>
        <v>2020</v>
      </c>
      <c r="P134" s="10">
        <f>'data on outstanding creditors'!$E134-'data on outstanding creditors'!$O134</f>
        <v>141.4</v>
      </c>
      <c r="Q134" s="7">
        <f>DAY('data on outstanding creditors'!$B134)</f>
        <v>9</v>
      </c>
      <c r="R134" s="7">
        <f>MONTH('data on outstanding creditors'!$B134)</f>
        <v>1</v>
      </c>
      <c r="S134" s="7">
        <f>YEAR('data on outstanding creditors'!$B134)</f>
        <v>2025</v>
      </c>
      <c r="T134" s="11" t="str">
        <f>'data on outstanding creditors'!$C134&amp;" "&amp;'data on outstanding creditors'!$D134&amp;" "&amp;TEXT('data on outstanding creditors'!$E134,"#,##0.00")</f>
        <v>บ.สหแพทย์เภสัช 8080179017 2,161.40</v>
      </c>
      <c r="U134" s="8"/>
    </row>
    <row r="135" ht="13.5" customHeight="1">
      <c r="A135" s="1" t="s">
        <v>292</v>
      </c>
      <c r="B135" s="2">
        <v>45666.0</v>
      </c>
      <c r="C135" s="9" t="s">
        <v>283</v>
      </c>
      <c r="D135" s="1" t="s">
        <v>293</v>
      </c>
      <c r="E135" s="4">
        <v>25000.0</v>
      </c>
      <c r="F135" s="4">
        <v>25000.0</v>
      </c>
      <c r="G135" s="4"/>
      <c r="H135" s="4">
        <f>'data on outstanding creditors'!$E135-'data on outstanding creditors'!$F135-'data on outstanding creditors'!$G135</f>
        <v>0</v>
      </c>
      <c r="I135" s="2">
        <v>45946.0</v>
      </c>
      <c r="J135" s="1"/>
      <c r="K135" s="2"/>
      <c r="L135" s="5"/>
      <c r="M135" s="9" t="s">
        <v>43</v>
      </c>
      <c r="N135" s="9" t="s">
        <v>49</v>
      </c>
      <c r="O135" s="10">
        <f>'data on outstanding creditors'!$E135*100/107</f>
        <v>23364.48598</v>
      </c>
      <c r="P135" s="10">
        <f>'data on outstanding creditors'!$E135-'data on outstanding creditors'!$O135</f>
        <v>1635.514019</v>
      </c>
      <c r="Q135" s="7">
        <f>DAY('data on outstanding creditors'!$B135)</f>
        <v>9</v>
      </c>
      <c r="R135" s="7">
        <f>MONTH('data on outstanding creditors'!$B135)</f>
        <v>1</v>
      </c>
      <c r="S135" s="7">
        <f>YEAR('data on outstanding creditors'!$B135)</f>
        <v>2025</v>
      </c>
      <c r="T135" s="11" t="str">
        <f>'data on outstanding creditors'!$C135&amp;" "&amp;'data on outstanding creditors'!$D135&amp;" "&amp;TEXT('data on outstanding creditors'!$E135,"#,##0.00")</f>
        <v>ร้าน เฟิร์สท เทรดดิ้ง 680003 25,000.00</v>
      </c>
      <c r="U135" s="8"/>
    </row>
    <row r="136" ht="13.5" customHeight="1">
      <c r="A136" s="1" t="s">
        <v>294</v>
      </c>
      <c r="B136" s="2">
        <v>45681.0</v>
      </c>
      <c r="C136" s="9" t="s">
        <v>295</v>
      </c>
      <c r="D136" s="1" t="s">
        <v>296</v>
      </c>
      <c r="E136" s="4">
        <v>22500.0</v>
      </c>
      <c r="F136" s="4">
        <v>22500.0</v>
      </c>
      <c r="G136" s="4"/>
      <c r="H136" s="4">
        <f>'data on outstanding creditors'!$E136-'data on outstanding creditors'!$F136-'data on outstanding creditors'!$G136</f>
        <v>0</v>
      </c>
      <c r="I136" s="2">
        <v>45946.0</v>
      </c>
      <c r="J136" s="1"/>
      <c r="K136" s="2"/>
      <c r="L136" s="5"/>
      <c r="M136" s="9" t="s">
        <v>43</v>
      </c>
      <c r="N136" s="9" t="s">
        <v>49</v>
      </c>
      <c r="O136" s="10">
        <f>'data on outstanding creditors'!$E136*100/107</f>
        <v>21028.03738</v>
      </c>
      <c r="P136" s="10">
        <f>'data on outstanding creditors'!$E136-'data on outstanding creditors'!$O136</f>
        <v>1471.962617</v>
      </c>
      <c r="Q136" s="7">
        <f>DAY('data on outstanding creditors'!$B136)</f>
        <v>24</v>
      </c>
      <c r="R136" s="7">
        <f>MONTH('data on outstanding creditors'!$B136)</f>
        <v>1</v>
      </c>
      <c r="S136" s="7">
        <f>YEAR('data on outstanding creditors'!$B136)</f>
        <v>2025</v>
      </c>
      <c r="T136" s="11" t="str">
        <f>'data on outstanding creditors'!$C136&amp;" "&amp;'data on outstanding creditors'!$D136&amp;" "&amp;TEXT('data on outstanding creditors'!$E136,"#,##0.00")</f>
        <v>บ.โกร๊ธ ซัพพลาย เมดิคอล IV6800397 22,500.00</v>
      </c>
      <c r="U136" s="8"/>
    </row>
    <row r="137" ht="13.5" customHeight="1">
      <c r="A137" s="1" t="s">
        <v>297</v>
      </c>
      <c r="B137" s="2">
        <v>45681.0</v>
      </c>
      <c r="C137" s="9" t="s">
        <v>286</v>
      </c>
      <c r="D137" s="1" t="s">
        <v>298</v>
      </c>
      <c r="E137" s="4">
        <v>20000.0</v>
      </c>
      <c r="F137" s="4">
        <v>20000.0</v>
      </c>
      <c r="G137" s="4"/>
      <c r="H137" s="4">
        <f>'data on outstanding creditors'!$E137-'data on outstanding creditors'!$F137-'data on outstanding creditors'!$G137</f>
        <v>0</v>
      </c>
      <c r="I137" s="2">
        <v>45946.0</v>
      </c>
      <c r="J137" s="1"/>
      <c r="K137" s="2"/>
      <c r="L137" s="5"/>
      <c r="M137" s="9" t="s">
        <v>43</v>
      </c>
      <c r="N137" s="9" t="s">
        <v>49</v>
      </c>
      <c r="O137" s="10">
        <f>'data on outstanding creditors'!$E137*100/107</f>
        <v>18691.58879</v>
      </c>
      <c r="P137" s="10">
        <f>'data on outstanding creditors'!$E137-'data on outstanding creditors'!$O137</f>
        <v>1308.411215</v>
      </c>
      <c r="Q137" s="7">
        <f>DAY('data on outstanding creditors'!$B137)</f>
        <v>24</v>
      </c>
      <c r="R137" s="7">
        <f>MONTH('data on outstanding creditors'!$B137)</f>
        <v>1</v>
      </c>
      <c r="S137" s="7">
        <f>YEAR('data on outstanding creditors'!$B137)</f>
        <v>2025</v>
      </c>
      <c r="T137" s="11" t="str">
        <f>'data on outstanding creditors'!$C137&amp;" "&amp;'data on outstanding creditors'!$D137&amp;" "&amp;TEXT('data on outstanding creditors'!$E137,"#,##0.00")</f>
        <v>บ.เอ็ม ดี ซี (ประเทศไทย) 6800793 20,000.00</v>
      </c>
      <c r="U137" s="8"/>
    </row>
    <row r="138" ht="13.5" customHeight="1">
      <c r="A138" s="1"/>
      <c r="B138" s="2">
        <v>45687.0</v>
      </c>
      <c r="C138" s="9" t="s">
        <v>286</v>
      </c>
      <c r="D138" s="1" t="s">
        <v>299</v>
      </c>
      <c r="E138" s="4">
        <v>51650.0</v>
      </c>
      <c r="F138" s="4">
        <v>51650.0</v>
      </c>
      <c r="G138" s="4"/>
      <c r="H138" s="4">
        <f>'data on outstanding creditors'!$E138-'data on outstanding creditors'!$F138-'data on outstanding creditors'!$G138</f>
        <v>0</v>
      </c>
      <c r="I138" s="2">
        <v>45946.0</v>
      </c>
      <c r="J138" s="1"/>
      <c r="K138" s="2"/>
      <c r="L138" s="5"/>
      <c r="M138" s="9" t="s">
        <v>43</v>
      </c>
      <c r="N138" s="9" t="s">
        <v>49</v>
      </c>
      <c r="O138" s="10">
        <f>'data on outstanding creditors'!$E138*100/107</f>
        <v>48271.02804</v>
      </c>
      <c r="P138" s="10">
        <f>'data on outstanding creditors'!$E138-'data on outstanding creditors'!$O138</f>
        <v>3378.971963</v>
      </c>
      <c r="Q138" s="7">
        <f>DAY('data on outstanding creditors'!$B138)</f>
        <v>30</v>
      </c>
      <c r="R138" s="7">
        <f>MONTH('data on outstanding creditors'!$B138)</f>
        <v>1</v>
      </c>
      <c r="S138" s="7">
        <f>YEAR('data on outstanding creditors'!$B138)</f>
        <v>2025</v>
      </c>
      <c r="T138" s="11" t="str">
        <f>'data on outstanding creditors'!$C138&amp;" "&amp;'data on outstanding creditors'!$D138&amp;" "&amp;TEXT('data on outstanding creditors'!$E138,"#,##0.00")</f>
        <v>บ.เอ็ม ดี ซี (ประเทศไทย) 6712159 51,650.00</v>
      </c>
      <c r="U138" s="8"/>
    </row>
    <row r="139" ht="13.5" customHeight="1">
      <c r="A139" s="1" t="s">
        <v>300</v>
      </c>
      <c r="B139" s="2">
        <v>45692.0</v>
      </c>
      <c r="C139" s="9" t="s">
        <v>283</v>
      </c>
      <c r="D139" s="1" t="s">
        <v>301</v>
      </c>
      <c r="E139" s="4">
        <v>6400.0</v>
      </c>
      <c r="F139" s="4">
        <v>6400.0</v>
      </c>
      <c r="G139" s="4"/>
      <c r="H139" s="4">
        <f>'data on outstanding creditors'!$E139-'data on outstanding creditors'!$F139-'data on outstanding creditors'!$G139</f>
        <v>0</v>
      </c>
      <c r="I139" s="2">
        <v>45946.0</v>
      </c>
      <c r="J139" s="1"/>
      <c r="K139" s="2"/>
      <c r="L139" s="5"/>
      <c r="M139" s="9" t="s">
        <v>43</v>
      </c>
      <c r="N139" s="9" t="s">
        <v>49</v>
      </c>
      <c r="O139" s="10">
        <f>'data on outstanding creditors'!$E139*100/107</f>
        <v>5981.308411</v>
      </c>
      <c r="P139" s="10">
        <f>'data on outstanding creditors'!$E139-'data on outstanding creditors'!$O139</f>
        <v>418.6915888</v>
      </c>
      <c r="Q139" s="7">
        <f>DAY('data on outstanding creditors'!$B139)</f>
        <v>4</v>
      </c>
      <c r="R139" s="7">
        <f>MONTH('data on outstanding creditors'!$B139)</f>
        <v>2</v>
      </c>
      <c r="S139" s="7">
        <f>YEAR('data on outstanding creditors'!$B139)</f>
        <v>2025</v>
      </c>
      <c r="T139" s="11" t="str">
        <f>'data on outstanding creditors'!$C139&amp;" "&amp;'data on outstanding creditors'!$D139&amp;" "&amp;TEXT('data on outstanding creditors'!$E139,"#,##0.00")</f>
        <v>ร้าน เฟิร์สท เทรดดิ้ง 680064 6,400.00</v>
      </c>
      <c r="U139" s="8"/>
    </row>
    <row r="140" ht="13.5" customHeight="1">
      <c r="A140" s="1"/>
      <c r="B140" s="2">
        <v>45702.0</v>
      </c>
      <c r="C140" s="9" t="s">
        <v>281</v>
      </c>
      <c r="D140" s="1" t="s">
        <v>302</v>
      </c>
      <c r="E140" s="4">
        <v>36000.0</v>
      </c>
      <c r="F140" s="4">
        <v>36000.0</v>
      </c>
      <c r="G140" s="4"/>
      <c r="H140" s="4">
        <f>'data on outstanding creditors'!$E140-'data on outstanding creditors'!$F140-'data on outstanding creditors'!$G140</f>
        <v>0</v>
      </c>
      <c r="I140" s="2">
        <v>45946.0</v>
      </c>
      <c r="J140" s="1"/>
      <c r="K140" s="2"/>
      <c r="L140" s="5"/>
      <c r="M140" s="9" t="s">
        <v>43</v>
      </c>
      <c r="N140" s="9" t="s">
        <v>23</v>
      </c>
      <c r="O140" s="10">
        <f>'data on outstanding creditors'!$E140*100/107</f>
        <v>33644.85981</v>
      </c>
      <c r="P140" s="10">
        <f>'data on outstanding creditors'!$E140-'data on outstanding creditors'!$O140</f>
        <v>2355.140187</v>
      </c>
      <c r="Q140" s="7">
        <f>DAY('data on outstanding creditors'!$B140)</f>
        <v>14</v>
      </c>
      <c r="R140" s="7">
        <f>MONTH('data on outstanding creditors'!$B140)</f>
        <v>2</v>
      </c>
      <c r="S140" s="7">
        <f>YEAR('data on outstanding creditors'!$B140)</f>
        <v>2025</v>
      </c>
      <c r="T140" s="11" t="str">
        <f>'data on outstanding creditors'!$C140&amp;" "&amp;'data on outstanding creditors'!$D140&amp;" "&amp;TEXT('data on outstanding creditors'!$E140,"#,##0.00")</f>
        <v>บ.เมดิทอป 1547478 36,000.00</v>
      </c>
      <c r="U140" s="8"/>
    </row>
    <row r="141" ht="13.5" customHeight="1">
      <c r="A141" s="1" t="s">
        <v>303</v>
      </c>
      <c r="B141" s="2">
        <v>45705.0</v>
      </c>
      <c r="C141" s="9" t="s">
        <v>304</v>
      </c>
      <c r="D141" s="1" t="s">
        <v>305</v>
      </c>
      <c r="E141" s="4">
        <v>50000.0</v>
      </c>
      <c r="F141" s="4">
        <v>50000.0</v>
      </c>
      <c r="G141" s="4"/>
      <c r="H141" s="4">
        <f>'data on outstanding creditors'!$E141-'data on outstanding creditors'!$F141-'data on outstanding creditors'!$G141</f>
        <v>0</v>
      </c>
      <c r="I141" s="2">
        <v>45946.0</v>
      </c>
      <c r="J141" s="1"/>
      <c r="K141" s="2"/>
      <c r="L141" s="5"/>
      <c r="M141" s="9" t="s">
        <v>43</v>
      </c>
      <c r="N141" s="9" t="s">
        <v>49</v>
      </c>
      <c r="O141" s="10">
        <f>'data on outstanding creditors'!$E141*100/107</f>
        <v>46728.97196</v>
      </c>
      <c r="P141" s="10">
        <f>'data on outstanding creditors'!$E141-'data on outstanding creditors'!$O141</f>
        <v>3271.028037</v>
      </c>
      <c r="Q141" s="7">
        <f>DAY('data on outstanding creditors'!$B141)</f>
        <v>17</v>
      </c>
      <c r="R141" s="7">
        <f>MONTH('data on outstanding creditors'!$B141)</f>
        <v>2</v>
      </c>
      <c r="S141" s="7">
        <f>YEAR('data on outstanding creditors'!$B141)</f>
        <v>2025</v>
      </c>
      <c r="T141" s="11" t="str">
        <f>'data on outstanding creditors'!$C141&amp;" "&amp;'data on outstanding creditors'!$D141&amp;" "&amp;TEXT('data on outstanding creditors'!$E141,"#,##0.00")</f>
        <v>บ.แนชเชอเริล มีเดีย 680/0349 50,000.00</v>
      </c>
      <c r="U141" s="8"/>
    </row>
    <row r="142" ht="13.5" customHeight="1">
      <c r="A142" s="1" t="s">
        <v>306</v>
      </c>
      <c r="B142" s="2">
        <v>45712.0</v>
      </c>
      <c r="C142" s="9" t="s">
        <v>286</v>
      </c>
      <c r="D142" s="1" t="s">
        <v>307</v>
      </c>
      <c r="E142" s="4">
        <v>20000.0</v>
      </c>
      <c r="F142" s="4">
        <v>20000.0</v>
      </c>
      <c r="G142" s="4"/>
      <c r="H142" s="4">
        <f>'data on outstanding creditors'!$E142-'data on outstanding creditors'!$F142-'data on outstanding creditors'!$G142</f>
        <v>0</v>
      </c>
      <c r="I142" s="2">
        <v>45946.0</v>
      </c>
      <c r="J142" s="1"/>
      <c r="K142" s="2"/>
      <c r="L142" s="5"/>
      <c r="M142" s="9" t="s">
        <v>43</v>
      </c>
      <c r="N142" s="9" t="s">
        <v>49</v>
      </c>
      <c r="O142" s="10">
        <f>'data on outstanding creditors'!$E142*100/107</f>
        <v>18691.58879</v>
      </c>
      <c r="P142" s="10">
        <f>'data on outstanding creditors'!$E142-'data on outstanding creditors'!$O142</f>
        <v>1308.411215</v>
      </c>
      <c r="Q142" s="7">
        <f>DAY('data on outstanding creditors'!$B142)</f>
        <v>24</v>
      </c>
      <c r="R142" s="7">
        <f>MONTH('data on outstanding creditors'!$B142)</f>
        <v>2</v>
      </c>
      <c r="S142" s="7">
        <f>YEAR('data on outstanding creditors'!$B142)</f>
        <v>2025</v>
      </c>
      <c r="T142" s="11" t="str">
        <f>'data on outstanding creditors'!$C142&amp;" "&amp;'data on outstanding creditors'!$D142&amp;" "&amp;TEXT('data on outstanding creditors'!$E142,"#,##0.00")</f>
        <v>บ.เอ็ม ดี ซี (ประเทศไทย) 6801850 20,000.00</v>
      </c>
      <c r="U142" s="8"/>
    </row>
    <row r="143" ht="13.5" customHeight="1">
      <c r="A143" s="1" t="s">
        <v>308</v>
      </c>
      <c r="B143" s="2">
        <v>45714.0</v>
      </c>
      <c r="C143" s="9" t="s">
        <v>286</v>
      </c>
      <c r="D143" s="1" t="s">
        <v>309</v>
      </c>
      <c r="E143" s="4">
        <v>20000.0</v>
      </c>
      <c r="F143" s="4">
        <v>20000.0</v>
      </c>
      <c r="G143" s="4"/>
      <c r="H143" s="4">
        <f>'data on outstanding creditors'!$E143-'data on outstanding creditors'!$F143-'data on outstanding creditors'!$G143</f>
        <v>0</v>
      </c>
      <c r="I143" s="2">
        <v>45946.0</v>
      </c>
      <c r="J143" s="1"/>
      <c r="K143" s="2"/>
      <c r="L143" s="5"/>
      <c r="M143" s="9" t="s">
        <v>43</v>
      </c>
      <c r="N143" s="9" t="s">
        <v>49</v>
      </c>
      <c r="O143" s="10">
        <f>'data on outstanding creditors'!$E143*100/107</f>
        <v>18691.58879</v>
      </c>
      <c r="P143" s="10">
        <f>'data on outstanding creditors'!$E143-'data on outstanding creditors'!$O143</f>
        <v>1308.411215</v>
      </c>
      <c r="Q143" s="7">
        <f>DAY('data on outstanding creditors'!$B143)</f>
        <v>26</v>
      </c>
      <c r="R143" s="7">
        <f>MONTH('data on outstanding creditors'!$B143)</f>
        <v>2</v>
      </c>
      <c r="S143" s="7">
        <f>YEAR('data on outstanding creditors'!$B143)</f>
        <v>2025</v>
      </c>
      <c r="T143" s="11" t="str">
        <f>'data on outstanding creditors'!$C143&amp;" "&amp;'data on outstanding creditors'!$D143&amp;" "&amp;TEXT('data on outstanding creditors'!$E143,"#,##0.00")</f>
        <v>บ.เอ็ม ดี ซี (ประเทศไทย) IV25030031 20,000.00</v>
      </c>
      <c r="U143" s="8"/>
    </row>
    <row r="144" ht="13.5" customHeight="1">
      <c r="A144" s="1"/>
      <c r="B144" s="2">
        <v>45726.0</v>
      </c>
      <c r="C144" s="9" t="s">
        <v>310</v>
      </c>
      <c r="D144" s="1" t="s">
        <v>311</v>
      </c>
      <c r="E144" s="4">
        <v>6000.0</v>
      </c>
      <c r="F144" s="4">
        <v>6000.0</v>
      </c>
      <c r="G144" s="4"/>
      <c r="H144" s="4">
        <f>'data on outstanding creditors'!$E144-'data on outstanding creditors'!$F144-'data on outstanding creditors'!$G144</f>
        <v>0</v>
      </c>
      <c r="I144" s="2">
        <v>45946.0</v>
      </c>
      <c r="J144" s="1"/>
      <c r="K144" s="2"/>
      <c r="L144" s="5"/>
      <c r="M144" s="9" t="s">
        <v>43</v>
      </c>
      <c r="N144" s="9" t="s">
        <v>23</v>
      </c>
      <c r="O144" s="10">
        <f>'data on outstanding creditors'!$E144*100/107</f>
        <v>5607.476636</v>
      </c>
      <c r="P144" s="10">
        <f>'data on outstanding creditors'!$E144-'data on outstanding creditors'!$O144</f>
        <v>392.5233645</v>
      </c>
      <c r="Q144" s="7">
        <f>DAY('data on outstanding creditors'!$B144)</f>
        <v>10</v>
      </c>
      <c r="R144" s="7">
        <f>MONTH('data on outstanding creditors'!$B144)</f>
        <v>3</v>
      </c>
      <c r="S144" s="7">
        <f>YEAR('data on outstanding creditors'!$B144)</f>
        <v>2025</v>
      </c>
      <c r="T144" s="11" t="str">
        <f>'data on outstanding creditors'!$C144&amp;" "&amp;'data on outstanding creditors'!$D144&amp;" "&amp;TEXT('data on outstanding creditors'!$E144,"#,##0.00")</f>
        <v>หสม.สุวิดา เทรดดิ้ง 6800755 6,000.00</v>
      </c>
      <c r="U144" s="8"/>
    </row>
    <row r="145" ht="13.5" customHeight="1">
      <c r="A145" s="1" t="s">
        <v>312</v>
      </c>
      <c r="B145" s="2">
        <v>45726.0</v>
      </c>
      <c r="C145" s="9" t="s">
        <v>286</v>
      </c>
      <c r="D145" s="1" t="s">
        <v>313</v>
      </c>
      <c r="E145" s="4">
        <v>31300.0</v>
      </c>
      <c r="F145" s="4">
        <v>31300.0</v>
      </c>
      <c r="G145" s="4"/>
      <c r="H145" s="4">
        <f>'data on outstanding creditors'!$E145-'data on outstanding creditors'!$F145-'data on outstanding creditors'!$G145</f>
        <v>0</v>
      </c>
      <c r="I145" s="2">
        <v>45946.0</v>
      </c>
      <c r="J145" s="1"/>
      <c r="K145" s="2"/>
      <c r="L145" s="5"/>
      <c r="M145" s="9" t="s">
        <v>43</v>
      </c>
      <c r="N145" s="9" t="s">
        <v>49</v>
      </c>
      <c r="O145" s="10">
        <f>'data on outstanding creditors'!$E145*100/107</f>
        <v>29252.33645</v>
      </c>
      <c r="P145" s="10">
        <f>'data on outstanding creditors'!$E145-'data on outstanding creditors'!$O145</f>
        <v>2047.663551</v>
      </c>
      <c r="Q145" s="7">
        <f>DAY('data on outstanding creditors'!$B145)</f>
        <v>10</v>
      </c>
      <c r="R145" s="7">
        <f>MONTH('data on outstanding creditors'!$B145)</f>
        <v>3</v>
      </c>
      <c r="S145" s="7">
        <f>YEAR('data on outstanding creditors'!$B145)</f>
        <v>2025</v>
      </c>
      <c r="T145" s="11" t="str">
        <f>'data on outstanding creditors'!$C145&amp;" "&amp;'data on outstanding creditors'!$D145&amp;" "&amp;TEXT('data on outstanding creditors'!$E145,"#,##0.00")</f>
        <v>บ.เอ็ม ดี ซี (ประเทศไทย) 6712426 31,300.00</v>
      </c>
      <c r="U145" s="8"/>
    </row>
    <row r="146" ht="13.5" customHeight="1">
      <c r="A146" s="1" t="s">
        <v>314</v>
      </c>
      <c r="B146" s="2">
        <v>45733.0</v>
      </c>
      <c r="C146" s="9" t="s">
        <v>286</v>
      </c>
      <c r="D146" s="1" t="s">
        <v>315</v>
      </c>
      <c r="E146" s="4">
        <v>7800.0</v>
      </c>
      <c r="F146" s="4">
        <v>7800.0</v>
      </c>
      <c r="G146" s="4"/>
      <c r="H146" s="4">
        <f>'data on outstanding creditors'!$E146-'data on outstanding creditors'!$F146-'data on outstanding creditors'!$G146</f>
        <v>0</v>
      </c>
      <c r="I146" s="2">
        <v>45946.0</v>
      </c>
      <c r="J146" s="1"/>
      <c r="K146" s="2"/>
      <c r="L146" s="5"/>
      <c r="M146" s="9" t="s">
        <v>43</v>
      </c>
      <c r="N146" s="9" t="s">
        <v>49</v>
      </c>
      <c r="O146" s="10">
        <f>'data on outstanding creditors'!$E146*100/107</f>
        <v>7289.719626</v>
      </c>
      <c r="P146" s="10">
        <f>'data on outstanding creditors'!$E146-'data on outstanding creditors'!$O146</f>
        <v>510.2803738</v>
      </c>
      <c r="Q146" s="7">
        <f>DAY('data on outstanding creditors'!$B146)</f>
        <v>17</v>
      </c>
      <c r="R146" s="7">
        <f>MONTH('data on outstanding creditors'!$B146)</f>
        <v>3</v>
      </c>
      <c r="S146" s="7">
        <f>YEAR('data on outstanding creditors'!$B146)</f>
        <v>2025</v>
      </c>
      <c r="T146" s="11" t="str">
        <f>'data on outstanding creditors'!$C146&amp;" "&amp;'data on outstanding creditors'!$D146&amp;" "&amp;TEXT('data on outstanding creditors'!$E146,"#,##0.00")</f>
        <v>บ.เอ็ม ดี ซี (ประเทศไทย) IV25030151 7,800.00</v>
      </c>
      <c r="U146" s="8"/>
    </row>
    <row r="147" ht="13.5" customHeight="1">
      <c r="A147" s="1" t="s">
        <v>316</v>
      </c>
      <c r="B147" s="2">
        <v>45733.0</v>
      </c>
      <c r="C147" s="9" t="s">
        <v>286</v>
      </c>
      <c r="D147" s="1" t="s">
        <v>317</v>
      </c>
      <c r="E147" s="4">
        <v>20000.0</v>
      </c>
      <c r="F147" s="4">
        <v>20000.0</v>
      </c>
      <c r="G147" s="4"/>
      <c r="H147" s="4">
        <f>'data on outstanding creditors'!$E147-'data on outstanding creditors'!$F147-'data on outstanding creditors'!$G147</f>
        <v>0</v>
      </c>
      <c r="I147" s="2">
        <v>45946.0</v>
      </c>
      <c r="J147" s="1"/>
      <c r="K147" s="2"/>
      <c r="L147" s="5"/>
      <c r="M147" s="9" t="s">
        <v>43</v>
      </c>
      <c r="N147" s="9" t="s">
        <v>49</v>
      </c>
      <c r="O147" s="10">
        <f>'data on outstanding creditors'!$E147*100/107</f>
        <v>18691.58879</v>
      </c>
      <c r="P147" s="10">
        <f>'data on outstanding creditors'!$E147-'data on outstanding creditors'!$O147</f>
        <v>1308.411215</v>
      </c>
      <c r="Q147" s="7">
        <f>DAY('data on outstanding creditors'!$B147)</f>
        <v>17</v>
      </c>
      <c r="R147" s="7">
        <f>MONTH('data on outstanding creditors'!$B147)</f>
        <v>3</v>
      </c>
      <c r="S147" s="7">
        <f>YEAR('data on outstanding creditors'!$B147)</f>
        <v>2025</v>
      </c>
      <c r="T147" s="11" t="str">
        <f>'data on outstanding creditors'!$C147&amp;" "&amp;'data on outstanding creditors'!$D147&amp;" "&amp;TEXT('data on outstanding creditors'!$E147,"#,##0.00")</f>
        <v>บ.เอ็ม ดี ซี (ประเทศไทย) IV25030342 20,000.00</v>
      </c>
      <c r="U147" s="8"/>
    </row>
    <row r="148" ht="13.5" customHeight="1">
      <c r="A148" s="1" t="s">
        <v>318</v>
      </c>
      <c r="B148" s="2">
        <v>45734.0</v>
      </c>
      <c r="C148" s="9" t="s">
        <v>286</v>
      </c>
      <c r="D148" s="1" t="s">
        <v>319</v>
      </c>
      <c r="E148" s="4">
        <v>20000.0</v>
      </c>
      <c r="F148" s="4">
        <v>20000.0</v>
      </c>
      <c r="G148" s="4"/>
      <c r="H148" s="4">
        <f>'data on outstanding creditors'!$E148-'data on outstanding creditors'!$F148-'data on outstanding creditors'!$G148</f>
        <v>0</v>
      </c>
      <c r="I148" s="2">
        <v>45946.0</v>
      </c>
      <c r="J148" s="1"/>
      <c r="K148" s="2"/>
      <c r="L148" s="5"/>
      <c r="M148" s="9" t="s">
        <v>43</v>
      </c>
      <c r="N148" s="9" t="s">
        <v>49</v>
      </c>
      <c r="O148" s="10">
        <f>'data on outstanding creditors'!$E148*100/107</f>
        <v>18691.58879</v>
      </c>
      <c r="P148" s="10">
        <f>'data on outstanding creditors'!$E148-'data on outstanding creditors'!$O148</f>
        <v>1308.411215</v>
      </c>
      <c r="Q148" s="7">
        <f>DAY('data on outstanding creditors'!$B148)</f>
        <v>18</v>
      </c>
      <c r="R148" s="7">
        <f>MONTH('data on outstanding creditors'!$B148)</f>
        <v>3</v>
      </c>
      <c r="S148" s="7">
        <f>YEAR('data on outstanding creditors'!$B148)</f>
        <v>2025</v>
      </c>
      <c r="T148" s="11" t="str">
        <f>'data on outstanding creditors'!$C148&amp;" "&amp;'data on outstanding creditors'!$D148&amp;" "&amp;TEXT('data on outstanding creditors'!$E148,"#,##0.00")</f>
        <v>บ.เอ็ม ดี ซี (ประเทศไทย) IV25030420 20,000.00</v>
      </c>
      <c r="U148" s="8"/>
    </row>
    <row r="149" ht="13.5" customHeight="1">
      <c r="A149" s="1" t="s">
        <v>320</v>
      </c>
      <c r="B149" s="2">
        <v>45736.0</v>
      </c>
      <c r="C149" s="9" t="s">
        <v>321</v>
      </c>
      <c r="D149" s="1" t="s">
        <v>322</v>
      </c>
      <c r="E149" s="4">
        <v>14000.0</v>
      </c>
      <c r="F149" s="4">
        <v>14000.0</v>
      </c>
      <c r="G149" s="4"/>
      <c r="H149" s="4">
        <f>'data on outstanding creditors'!$E149-'data on outstanding creditors'!$F149-'data on outstanding creditors'!$G149</f>
        <v>0</v>
      </c>
      <c r="I149" s="2">
        <v>45946.0</v>
      </c>
      <c r="J149" s="1"/>
      <c r="K149" s="2"/>
      <c r="L149" s="5"/>
      <c r="M149" s="9" t="s">
        <v>43</v>
      </c>
      <c r="N149" s="9" t="s">
        <v>49</v>
      </c>
      <c r="O149" s="10">
        <f>'data on outstanding creditors'!$E149*100/107</f>
        <v>13084.11215</v>
      </c>
      <c r="P149" s="10">
        <f>'data on outstanding creditors'!$E149-'data on outstanding creditors'!$O149</f>
        <v>915.8878505</v>
      </c>
      <c r="Q149" s="7">
        <f>DAY('data on outstanding creditors'!$B149)</f>
        <v>20</v>
      </c>
      <c r="R149" s="7">
        <f>MONTH('data on outstanding creditors'!$B149)</f>
        <v>3</v>
      </c>
      <c r="S149" s="7">
        <f>YEAR('data on outstanding creditors'!$B149)</f>
        <v>2025</v>
      </c>
      <c r="T149" s="11" t="str">
        <f>'data on outstanding creditors'!$C149&amp;" "&amp;'data on outstanding creditors'!$D149&amp;" "&amp;TEXT('data on outstanding creditors'!$E149,"#,##0.00")</f>
        <v>ร้าน พีเอ็มเอส มาร์เกตติ้ง 7424 14,000.00</v>
      </c>
      <c r="U149" s="8"/>
    </row>
    <row r="150" ht="13.5" customHeight="1">
      <c r="A150" s="1" t="s">
        <v>323</v>
      </c>
      <c r="B150" s="2">
        <v>45736.0</v>
      </c>
      <c r="C150" s="9" t="s">
        <v>295</v>
      </c>
      <c r="D150" s="1" t="s">
        <v>324</v>
      </c>
      <c r="E150" s="4">
        <v>22500.0</v>
      </c>
      <c r="F150" s="4">
        <v>22500.0</v>
      </c>
      <c r="G150" s="4"/>
      <c r="H150" s="4">
        <f>'data on outstanding creditors'!$E150-'data on outstanding creditors'!$F150-'data on outstanding creditors'!$G150</f>
        <v>0</v>
      </c>
      <c r="I150" s="2">
        <v>45946.0</v>
      </c>
      <c r="J150" s="1"/>
      <c r="K150" s="2"/>
      <c r="L150" s="5"/>
      <c r="M150" s="9" t="s">
        <v>43</v>
      </c>
      <c r="N150" s="9" t="s">
        <v>49</v>
      </c>
      <c r="O150" s="10">
        <f>'data on outstanding creditors'!$E150*100/107</f>
        <v>21028.03738</v>
      </c>
      <c r="P150" s="10">
        <f>'data on outstanding creditors'!$E150-'data on outstanding creditors'!$O150</f>
        <v>1471.962617</v>
      </c>
      <c r="Q150" s="7">
        <f>DAY('data on outstanding creditors'!$B150)</f>
        <v>20</v>
      </c>
      <c r="R150" s="7">
        <f>MONTH('data on outstanding creditors'!$B150)</f>
        <v>3</v>
      </c>
      <c r="S150" s="7">
        <f>YEAR('data on outstanding creditors'!$B150)</f>
        <v>2025</v>
      </c>
      <c r="T150" s="11" t="str">
        <f>'data on outstanding creditors'!$C150&amp;" "&amp;'data on outstanding creditors'!$D150&amp;" "&amp;TEXT('data on outstanding creditors'!$E150,"#,##0.00")</f>
        <v>บ.โกร๊ธ ซัพพลาย เมดิคอล IV6801442 22,500.00</v>
      </c>
      <c r="U150" s="8"/>
    </row>
    <row r="151" ht="13.5" customHeight="1">
      <c r="A151" s="1" t="s">
        <v>325</v>
      </c>
      <c r="B151" s="2">
        <v>45736.0</v>
      </c>
      <c r="C151" s="9" t="s">
        <v>286</v>
      </c>
      <c r="D151" s="1" t="s">
        <v>326</v>
      </c>
      <c r="E151" s="4">
        <v>5600.0</v>
      </c>
      <c r="F151" s="4">
        <v>5600.0</v>
      </c>
      <c r="G151" s="4"/>
      <c r="H151" s="4">
        <f>'data on outstanding creditors'!$E151-'data on outstanding creditors'!$F151-'data on outstanding creditors'!$G151</f>
        <v>0</v>
      </c>
      <c r="I151" s="2">
        <v>45946.0</v>
      </c>
      <c r="J151" s="1"/>
      <c r="K151" s="2"/>
      <c r="L151" s="5"/>
      <c r="M151" s="9" t="s">
        <v>43</v>
      </c>
      <c r="N151" s="9" t="s">
        <v>49</v>
      </c>
      <c r="O151" s="10">
        <f>'data on outstanding creditors'!$E151*100/107</f>
        <v>5233.64486</v>
      </c>
      <c r="P151" s="10">
        <f>'data on outstanding creditors'!$E151-'data on outstanding creditors'!$O151</f>
        <v>366.3551402</v>
      </c>
      <c r="Q151" s="7">
        <f>DAY('data on outstanding creditors'!$B151)</f>
        <v>20</v>
      </c>
      <c r="R151" s="7">
        <f>MONTH('data on outstanding creditors'!$B151)</f>
        <v>3</v>
      </c>
      <c r="S151" s="7">
        <f>YEAR('data on outstanding creditors'!$B151)</f>
        <v>2025</v>
      </c>
      <c r="T151" s="11" t="str">
        <f>'data on outstanding creditors'!$C151&amp;" "&amp;'data on outstanding creditors'!$D151&amp;" "&amp;TEXT('data on outstanding creditors'!$E151,"#,##0.00")</f>
        <v>บ.เอ็ม ดี ซี (ประเทศไทย) IV25030702 5,600.00</v>
      </c>
      <c r="U151" s="8"/>
    </row>
    <row r="152" ht="13.5" customHeight="1">
      <c r="A152" s="1" t="s">
        <v>327</v>
      </c>
      <c r="B152" s="2">
        <v>45737.0</v>
      </c>
      <c r="C152" s="9" t="s">
        <v>286</v>
      </c>
      <c r="D152" s="1" t="s">
        <v>328</v>
      </c>
      <c r="E152" s="4">
        <v>20000.0</v>
      </c>
      <c r="F152" s="4">
        <v>20000.0</v>
      </c>
      <c r="G152" s="4"/>
      <c r="H152" s="4">
        <f>'data on outstanding creditors'!$E152-'data on outstanding creditors'!$F152-'data on outstanding creditors'!$G152</f>
        <v>0</v>
      </c>
      <c r="I152" s="2">
        <v>45946.0</v>
      </c>
      <c r="J152" s="1"/>
      <c r="K152" s="2"/>
      <c r="L152" s="5"/>
      <c r="M152" s="9" t="s">
        <v>43</v>
      </c>
      <c r="N152" s="9" t="s">
        <v>49</v>
      </c>
      <c r="O152" s="10">
        <f>'data on outstanding creditors'!$E152*100/107</f>
        <v>18691.58879</v>
      </c>
      <c r="P152" s="10">
        <f>'data on outstanding creditors'!$E152-'data on outstanding creditors'!$O152</f>
        <v>1308.411215</v>
      </c>
      <c r="Q152" s="7">
        <f>DAY('data on outstanding creditors'!$B152)</f>
        <v>21</v>
      </c>
      <c r="R152" s="7">
        <f>MONTH('data on outstanding creditors'!$B152)</f>
        <v>3</v>
      </c>
      <c r="S152" s="7">
        <f>YEAR('data on outstanding creditors'!$B152)</f>
        <v>2025</v>
      </c>
      <c r="T152" s="11" t="str">
        <f>'data on outstanding creditors'!$C152&amp;" "&amp;'data on outstanding creditors'!$D152&amp;" "&amp;TEXT('data on outstanding creditors'!$E152,"#,##0.00")</f>
        <v>บ.เอ็ม ดี ซี (ประเทศไทย) IV25030552 20,000.00</v>
      </c>
      <c r="U152" s="8"/>
    </row>
    <row r="153" ht="13.5" customHeight="1">
      <c r="A153" s="1" t="s">
        <v>329</v>
      </c>
      <c r="B153" s="2">
        <v>45744.0</v>
      </c>
      <c r="C153" s="9" t="s">
        <v>286</v>
      </c>
      <c r="D153" s="1" t="s">
        <v>330</v>
      </c>
      <c r="E153" s="4">
        <v>5600.0</v>
      </c>
      <c r="F153" s="4">
        <v>5600.0</v>
      </c>
      <c r="G153" s="4"/>
      <c r="H153" s="4">
        <f>'data on outstanding creditors'!$E153-'data on outstanding creditors'!$F153-'data on outstanding creditors'!$G153</f>
        <v>0</v>
      </c>
      <c r="I153" s="2">
        <v>45946.0</v>
      </c>
      <c r="J153" s="1"/>
      <c r="K153" s="2"/>
      <c r="L153" s="5"/>
      <c r="M153" s="9" t="s">
        <v>43</v>
      </c>
      <c r="N153" s="9" t="s">
        <v>49</v>
      </c>
      <c r="O153" s="10">
        <f>'data on outstanding creditors'!$E153*100/107</f>
        <v>5233.64486</v>
      </c>
      <c r="P153" s="10">
        <f>'data on outstanding creditors'!$E153-'data on outstanding creditors'!$O153</f>
        <v>366.3551402</v>
      </c>
      <c r="Q153" s="7">
        <f>DAY('data on outstanding creditors'!$B153)</f>
        <v>28</v>
      </c>
      <c r="R153" s="7">
        <f>MONTH('data on outstanding creditors'!$B153)</f>
        <v>3</v>
      </c>
      <c r="S153" s="7">
        <f>YEAR('data on outstanding creditors'!$B153)</f>
        <v>2025</v>
      </c>
      <c r="T153" s="11" t="str">
        <f>'data on outstanding creditors'!$C153&amp;" "&amp;'data on outstanding creditors'!$D153&amp;" "&amp;TEXT('data on outstanding creditors'!$E153,"#,##0.00")</f>
        <v>บ.เอ็ม ดี ซี (ประเทศไทย) IV25030791 5,600.00</v>
      </c>
      <c r="U153" s="8"/>
    </row>
    <row r="154" ht="13.5" customHeight="1">
      <c r="A154" s="1" t="s">
        <v>331</v>
      </c>
      <c r="B154" s="2">
        <v>45764.0</v>
      </c>
      <c r="C154" s="9" t="s">
        <v>286</v>
      </c>
      <c r="D154" s="1" t="s">
        <v>332</v>
      </c>
      <c r="E154" s="4">
        <v>75000.0</v>
      </c>
      <c r="F154" s="4">
        <v>75000.0</v>
      </c>
      <c r="G154" s="4"/>
      <c r="H154" s="4">
        <f>'data on outstanding creditors'!$E154-'data on outstanding creditors'!$F154-'data on outstanding creditors'!$G154</f>
        <v>0</v>
      </c>
      <c r="I154" s="2">
        <v>45946.0</v>
      </c>
      <c r="J154" s="1"/>
      <c r="K154" s="2"/>
      <c r="L154" s="5"/>
      <c r="M154" s="9" t="s">
        <v>43</v>
      </c>
      <c r="N154" s="9" t="s">
        <v>49</v>
      </c>
      <c r="O154" s="10">
        <f>'data on outstanding creditors'!$E154*100/107</f>
        <v>70093.45794</v>
      </c>
      <c r="P154" s="10">
        <f>'data on outstanding creditors'!$E154-'data on outstanding creditors'!$O154</f>
        <v>4906.542056</v>
      </c>
      <c r="Q154" s="7">
        <f>DAY('data on outstanding creditors'!$B154)</f>
        <v>17</v>
      </c>
      <c r="R154" s="7">
        <f>MONTH('data on outstanding creditors'!$B154)</f>
        <v>4</v>
      </c>
      <c r="S154" s="7">
        <f>YEAR('data on outstanding creditors'!$B154)</f>
        <v>2025</v>
      </c>
      <c r="T154" s="11" t="str">
        <f>'data on outstanding creditors'!$C154&amp;" "&amp;'data on outstanding creditors'!$D154&amp;" "&amp;TEXT('data on outstanding creditors'!$E154,"#,##0.00")</f>
        <v>บ.เอ็ม ดี ซี (ประเทศไทย) IV25040311 75,000.00</v>
      </c>
      <c r="U154" s="8"/>
    </row>
    <row r="155" ht="13.5" customHeight="1">
      <c r="A155" s="1" t="s">
        <v>333</v>
      </c>
      <c r="B155" s="2">
        <v>45779.0</v>
      </c>
      <c r="C155" s="9" t="s">
        <v>286</v>
      </c>
      <c r="D155" s="1" t="s">
        <v>334</v>
      </c>
      <c r="E155" s="4">
        <v>4000.0</v>
      </c>
      <c r="F155" s="4">
        <v>4000.0</v>
      </c>
      <c r="G155" s="4"/>
      <c r="H155" s="4">
        <f>'data on outstanding creditors'!$E155-'data on outstanding creditors'!$F155-'data on outstanding creditors'!$G155</f>
        <v>0</v>
      </c>
      <c r="I155" s="2">
        <v>45946.0</v>
      </c>
      <c r="J155" s="1"/>
      <c r="K155" s="2"/>
      <c r="L155" s="5"/>
      <c r="M155" s="9" t="s">
        <v>43</v>
      </c>
      <c r="N155" s="9" t="s">
        <v>49</v>
      </c>
      <c r="O155" s="10">
        <f>'data on outstanding creditors'!$E155*100/107</f>
        <v>3738.317757</v>
      </c>
      <c r="P155" s="10">
        <f>'data on outstanding creditors'!$E155-'data on outstanding creditors'!$O155</f>
        <v>261.682243</v>
      </c>
      <c r="Q155" s="7">
        <f>DAY('data on outstanding creditors'!$B155)</f>
        <v>2</v>
      </c>
      <c r="R155" s="7">
        <f>MONTH('data on outstanding creditors'!$B155)</f>
        <v>5</v>
      </c>
      <c r="S155" s="7">
        <f>YEAR('data on outstanding creditors'!$B155)</f>
        <v>2025</v>
      </c>
      <c r="T155" s="11" t="str">
        <f>'data on outstanding creditors'!$C155&amp;" "&amp;'data on outstanding creditors'!$D155&amp;" "&amp;TEXT('data on outstanding creditors'!$E155,"#,##0.00")</f>
        <v>บ.เอ็ม ดี ซี (ประเทศไทย) IV25040780 4,000.00</v>
      </c>
      <c r="U155" s="8"/>
    </row>
    <row r="156" ht="13.5" customHeight="1">
      <c r="A156" s="1" t="s">
        <v>335</v>
      </c>
      <c r="B156" s="2">
        <v>45800.0</v>
      </c>
      <c r="C156" s="9" t="s">
        <v>286</v>
      </c>
      <c r="D156" s="1" t="s">
        <v>336</v>
      </c>
      <c r="E156" s="4">
        <v>16000.0</v>
      </c>
      <c r="F156" s="4">
        <v>16000.0</v>
      </c>
      <c r="G156" s="4"/>
      <c r="H156" s="4">
        <f>'data on outstanding creditors'!$E156-'data on outstanding creditors'!$F156-'data on outstanding creditors'!$G156</f>
        <v>0</v>
      </c>
      <c r="I156" s="2">
        <v>45946.0</v>
      </c>
      <c r="J156" s="1"/>
      <c r="K156" s="2"/>
      <c r="L156" s="5"/>
      <c r="M156" s="9" t="s">
        <v>43</v>
      </c>
      <c r="N156" s="9" t="s">
        <v>49</v>
      </c>
      <c r="O156" s="10">
        <f>'data on outstanding creditors'!$E156*100/107</f>
        <v>14953.27103</v>
      </c>
      <c r="P156" s="10">
        <f>'data on outstanding creditors'!$E156-'data on outstanding creditors'!$O156</f>
        <v>1046.728972</v>
      </c>
      <c r="Q156" s="7">
        <f>DAY('data on outstanding creditors'!$B156)</f>
        <v>23</v>
      </c>
      <c r="R156" s="7">
        <f>MONTH('data on outstanding creditors'!$B156)</f>
        <v>5</v>
      </c>
      <c r="S156" s="7">
        <f>YEAR('data on outstanding creditors'!$B156)</f>
        <v>2025</v>
      </c>
      <c r="T156" s="11" t="str">
        <f>'data on outstanding creditors'!$C156&amp;" "&amp;'data on outstanding creditors'!$D156&amp;" "&amp;TEXT('data on outstanding creditors'!$E156,"#,##0.00")</f>
        <v>บ.เอ็ม ดี ซี (ประเทศไทย) IV25050504 16,000.00</v>
      </c>
      <c r="U156" s="8"/>
    </row>
    <row r="157" ht="13.5" customHeight="1">
      <c r="A157" s="1"/>
      <c r="B157" s="2">
        <v>45707.0</v>
      </c>
      <c r="C157" s="9" t="s">
        <v>337</v>
      </c>
      <c r="D157" s="1" t="s">
        <v>338</v>
      </c>
      <c r="E157" s="4">
        <v>118235.0</v>
      </c>
      <c r="F157" s="4">
        <v>118235.0</v>
      </c>
      <c r="G157" s="4"/>
      <c r="H157" s="4">
        <f>'data on outstanding creditors'!$E157-'data on outstanding creditors'!$F157-'data on outstanding creditors'!$G157</f>
        <v>0</v>
      </c>
      <c r="I157" s="2">
        <v>45946.0</v>
      </c>
      <c r="J157" s="1"/>
      <c r="K157" s="2"/>
      <c r="L157" s="5"/>
      <c r="M157" s="9" t="s">
        <v>339</v>
      </c>
      <c r="N157" s="9" t="s">
        <v>49</v>
      </c>
      <c r="O157" s="10">
        <f>'data on outstanding creditors'!$E157*100/107</f>
        <v>110500</v>
      </c>
      <c r="P157" s="10">
        <f>'data on outstanding creditors'!$E157-'data on outstanding creditors'!$O157</f>
        <v>7735</v>
      </c>
      <c r="Q157" s="7">
        <f>DAY('data on outstanding creditors'!$B157)</f>
        <v>19</v>
      </c>
      <c r="R157" s="7">
        <f>MONTH('data on outstanding creditors'!$B157)</f>
        <v>2</v>
      </c>
      <c r="S157" s="7">
        <f>YEAR('data on outstanding creditors'!$B157)</f>
        <v>2025</v>
      </c>
      <c r="T157" s="11" t="str">
        <f>'data on outstanding creditors'!$C157&amp;" "&amp;'data on outstanding creditors'!$D157&amp;" "&amp;TEXT('data on outstanding creditors'!$E157,"#,##0.00")</f>
        <v>บ.เมด-วัน I25020328 118,235.00</v>
      </c>
      <c r="U157" s="8"/>
    </row>
    <row r="158" ht="13.5" customHeight="1">
      <c r="A158" s="1" t="s">
        <v>340</v>
      </c>
      <c r="B158" s="2">
        <v>45755.0</v>
      </c>
      <c r="C158" s="9" t="s">
        <v>341</v>
      </c>
      <c r="D158" s="1" t="s">
        <v>342</v>
      </c>
      <c r="E158" s="4">
        <v>74300.0</v>
      </c>
      <c r="F158" s="4">
        <v>74300.0</v>
      </c>
      <c r="G158" s="4"/>
      <c r="H158" s="4">
        <f>'data on outstanding creditors'!$E158-'data on outstanding creditors'!$F158-'data on outstanding creditors'!$G158</f>
        <v>0</v>
      </c>
      <c r="I158" s="2">
        <v>45946.0</v>
      </c>
      <c r="J158" s="1"/>
      <c r="K158" s="2"/>
      <c r="L158" s="5"/>
      <c r="M158" s="9" t="s">
        <v>125</v>
      </c>
      <c r="N158" s="9" t="s">
        <v>49</v>
      </c>
      <c r="O158" s="10">
        <f>'data on outstanding creditors'!$E158*100/107</f>
        <v>69439.25234</v>
      </c>
      <c r="P158" s="10">
        <f>'data on outstanding creditors'!$E158-'data on outstanding creditors'!$O158</f>
        <v>4860.747664</v>
      </c>
      <c r="Q158" s="7">
        <f>DAY('data on outstanding creditors'!$B158)</f>
        <v>8</v>
      </c>
      <c r="R158" s="7">
        <f>MONTH('data on outstanding creditors'!$B158)</f>
        <v>4</v>
      </c>
      <c r="S158" s="7">
        <f>YEAR('data on outstanding creditors'!$B158)</f>
        <v>2025</v>
      </c>
      <c r="T158" s="11" t="str">
        <f>'data on outstanding creditors'!$C158&amp;" "&amp;'data on outstanding creditors'!$D158&amp;" "&amp;TEXT('data on outstanding creditors'!$E158,"#,##0.00")</f>
        <v>บ.เพียว ออร์กา คอร์ปอเรชั่น IVT-20250400005 74,300.00</v>
      </c>
      <c r="U158" s="8"/>
    </row>
    <row r="159" ht="13.5" customHeight="1">
      <c r="A159" s="1"/>
      <c r="B159" s="2">
        <v>45581.0</v>
      </c>
      <c r="C159" s="9" t="s">
        <v>343</v>
      </c>
      <c r="D159" s="1" t="s">
        <v>344</v>
      </c>
      <c r="E159" s="4">
        <v>11900.0</v>
      </c>
      <c r="F159" s="4">
        <v>11900.0</v>
      </c>
      <c r="G159" s="4"/>
      <c r="H159" s="4">
        <f>'data on outstanding creditors'!$E159-'data on outstanding creditors'!$F159-'data on outstanding creditors'!$G159</f>
        <v>0</v>
      </c>
      <c r="I159" s="2">
        <v>45946.0</v>
      </c>
      <c r="J159" s="1"/>
      <c r="K159" s="2"/>
      <c r="L159" s="5"/>
      <c r="M159" s="9" t="s">
        <v>151</v>
      </c>
      <c r="N159" s="9" t="s">
        <v>49</v>
      </c>
      <c r="O159" s="10">
        <f>'data on outstanding creditors'!$E159*100/107</f>
        <v>11121.49533</v>
      </c>
      <c r="P159" s="10">
        <f>'data on outstanding creditors'!$E159-'data on outstanding creditors'!$O159</f>
        <v>778.5046729</v>
      </c>
      <c r="Q159" s="7">
        <f>DAY('data on outstanding creditors'!$B159)</f>
        <v>16</v>
      </c>
      <c r="R159" s="7">
        <f>MONTH('data on outstanding creditors'!$B159)</f>
        <v>10</v>
      </c>
      <c r="S159" s="7">
        <f>YEAR('data on outstanding creditors'!$B159)</f>
        <v>2024</v>
      </c>
      <c r="T159" s="11" t="str">
        <f>'data on outstanding creditors'!$C159&amp;" "&amp;'data on outstanding creditors'!$D159&amp;" "&amp;TEXT('data on outstanding creditors'!$E159,"#,##0.00")</f>
        <v>ร้าน ก๊อต ครีเอทีฟ 82/45 11,900.00</v>
      </c>
      <c r="U159" s="8"/>
    </row>
    <row r="160" ht="13.5" customHeight="1">
      <c r="A160" s="1"/>
      <c r="B160" s="2">
        <v>45616.0</v>
      </c>
      <c r="C160" s="9" t="s">
        <v>345</v>
      </c>
      <c r="D160" s="1" t="s">
        <v>346</v>
      </c>
      <c r="E160" s="4">
        <v>10030.0</v>
      </c>
      <c r="F160" s="4">
        <v>10030.0</v>
      </c>
      <c r="G160" s="4"/>
      <c r="H160" s="4">
        <f>'data on outstanding creditors'!$E160-'data on outstanding creditors'!$F160-'data on outstanding creditors'!$G160</f>
        <v>0</v>
      </c>
      <c r="I160" s="2">
        <v>45946.0</v>
      </c>
      <c r="J160" s="1"/>
      <c r="K160" s="2"/>
      <c r="L160" s="5"/>
      <c r="M160" s="9" t="s">
        <v>347</v>
      </c>
      <c r="N160" s="9" t="s">
        <v>49</v>
      </c>
      <c r="O160" s="10">
        <f>'data on outstanding creditors'!$E160*100/107</f>
        <v>9373.831776</v>
      </c>
      <c r="P160" s="10">
        <f>'data on outstanding creditors'!$E160-'data on outstanding creditors'!$O160</f>
        <v>656.1682243</v>
      </c>
      <c r="Q160" s="7">
        <f>DAY('data on outstanding creditors'!$B160)</f>
        <v>20</v>
      </c>
      <c r="R160" s="7">
        <f>MONTH('data on outstanding creditors'!$B160)</f>
        <v>11</v>
      </c>
      <c r="S160" s="7">
        <f>YEAR('data on outstanding creditors'!$B160)</f>
        <v>2024</v>
      </c>
      <c r="T160" s="11" t="str">
        <f>'data on outstanding creditors'!$C160&amp;" "&amp;'data on outstanding creditors'!$D160&amp;" "&amp;TEXT('data on outstanding creditors'!$E160,"#,##0.00")</f>
        <v>บ.แอคคอร์ด คอร์ปอเรชั่น IV2411100595 10,030.00</v>
      </c>
      <c r="U160" s="8"/>
    </row>
    <row r="161" ht="13.5" customHeight="1">
      <c r="A161" s="1" t="s">
        <v>348</v>
      </c>
      <c r="B161" s="2">
        <v>45716.0</v>
      </c>
      <c r="C161" s="9" t="s">
        <v>345</v>
      </c>
      <c r="D161" s="1" t="s">
        <v>349</v>
      </c>
      <c r="E161" s="4">
        <v>8000.0</v>
      </c>
      <c r="F161" s="4">
        <v>8000.0</v>
      </c>
      <c r="G161" s="4"/>
      <c r="H161" s="4">
        <f>'data on outstanding creditors'!$E161-'data on outstanding creditors'!$F161-'data on outstanding creditors'!$G161</f>
        <v>0</v>
      </c>
      <c r="I161" s="2">
        <v>45946.0</v>
      </c>
      <c r="J161" s="1"/>
      <c r="K161" s="2"/>
      <c r="L161" s="5"/>
      <c r="M161" s="9" t="s">
        <v>347</v>
      </c>
      <c r="N161" s="9" t="s">
        <v>49</v>
      </c>
      <c r="O161" s="10">
        <f>'data on outstanding creditors'!$E161*100/107</f>
        <v>7476.635514</v>
      </c>
      <c r="P161" s="10">
        <f>'data on outstanding creditors'!$E161-'data on outstanding creditors'!$O161</f>
        <v>523.364486</v>
      </c>
      <c r="Q161" s="7">
        <f>DAY('data on outstanding creditors'!$B161)</f>
        <v>28</v>
      </c>
      <c r="R161" s="7">
        <f>MONTH('data on outstanding creditors'!$B161)</f>
        <v>2</v>
      </c>
      <c r="S161" s="7">
        <f>YEAR('data on outstanding creditors'!$B161)</f>
        <v>2025</v>
      </c>
      <c r="T161" s="11" t="str">
        <f>'data on outstanding creditors'!$C161&amp;" "&amp;'data on outstanding creditors'!$D161&amp;" "&amp;TEXT('data on outstanding creditors'!$E161,"#,##0.00")</f>
        <v>บ.แอคคอร์ด คอร์ปอเรชั่น IV2501102888 8,000.00</v>
      </c>
      <c r="U161" s="8"/>
    </row>
    <row r="162" ht="13.5" customHeight="1">
      <c r="A162" s="1" t="s">
        <v>350</v>
      </c>
      <c r="B162" s="2">
        <v>45716.0</v>
      </c>
      <c r="C162" s="9" t="s">
        <v>345</v>
      </c>
      <c r="D162" s="1" t="s">
        <v>351</v>
      </c>
      <c r="E162" s="4">
        <v>4500.0</v>
      </c>
      <c r="F162" s="4">
        <v>4500.0</v>
      </c>
      <c r="G162" s="4"/>
      <c r="H162" s="4">
        <f>'data on outstanding creditors'!$E162-'data on outstanding creditors'!$F162-'data on outstanding creditors'!$G162</f>
        <v>0</v>
      </c>
      <c r="I162" s="2">
        <v>45946.0</v>
      </c>
      <c r="J162" s="1"/>
      <c r="K162" s="2"/>
      <c r="L162" s="5"/>
      <c r="M162" s="9" t="s">
        <v>347</v>
      </c>
      <c r="N162" s="9" t="s">
        <v>49</v>
      </c>
      <c r="O162" s="10">
        <f>'data on outstanding creditors'!$E162*100/107</f>
        <v>4205.607477</v>
      </c>
      <c r="P162" s="10">
        <f>'data on outstanding creditors'!$E162-'data on outstanding creditors'!$O162</f>
        <v>294.3925234</v>
      </c>
      <c r="Q162" s="7">
        <f>DAY('data on outstanding creditors'!$B162)</f>
        <v>28</v>
      </c>
      <c r="R162" s="7">
        <f>MONTH('data on outstanding creditors'!$B162)</f>
        <v>2</v>
      </c>
      <c r="S162" s="7">
        <f>YEAR('data on outstanding creditors'!$B162)</f>
        <v>2025</v>
      </c>
      <c r="T162" s="11" t="str">
        <f>'data on outstanding creditors'!$C162&amp;" "&amp;'data on outstanding creditors'!$D162&amp;" "&amp;TEXT('data on outstanding creditors'!$E162,"#,##0.00")</f>
        <v>บ.แอคคอร์ด คอร์ปอเรชั่น IV2501101225 4,500.00</v>
      </c>
      <c r="U162" s="8"/>
    </row>
    <row r="163" ht="13.5" customHeight="1">
      <c r="A163" s="1" t="s">
        <v>352</v>
      </c>
      <c r="B163" s="2">
        <v>45747.0</v>
      </c>
      <c r="C163" s="9" t="s">
        <v>345</v>
      </c>
      <c r="D163" s="1" t="s">
        <v>353</v>
      </c>
      <c r="E163" s="4">
        <v>6400.0</v>
      </c>
      <c r="F163" s="4">
        <v>6400.0</v>
      </c>
      <c r="G163" s="4"/>
      <c r="H163" s="4">
        <f>'data on outstanding creditors'!$E163-'data on outstanding creditors'!$F163-'data on outstanding creditors'!$G163</f>
        <v>0</v>
      </c>
      <c r="I163" s="2">
        <v>45946.0</v>
      </c>
      <c r="J163" s="1"/>
      <c r="K163" s="2"/>
      <c r="L163" s="5"/>
      <c r="M163" s="9" t="s">
        <v>347</v>
      </c>
      <c r="N163" s="9" t="s">
        <v>49</v>
      </c>
      <c r="O163" s="10">
        <f>'data on outstanding creditors'!$E163*100/107</f>
        <v>5981.308411</v>
      </c>
      <c r="P163" s="10">
        <f>'data on outstanding creditors'!$E163-'data on outstanding creditors'!$O163</f>
        <v>418.6915888</v>
      </c>
      <c r="Q163" s="7">
        <f>DAY('data on outstanding creditors'!$B163)</f>
        <v>31</v>
      </c>
      <c r="R163" s="7">
        <f>MONTH('data on outstanding creditors'!$B163)</f>
        <v>3</v>
      </c>
      <c r="S163" s="7">
        <f>YEAR('data on outstanding creditors'!$B163)</f>
        <v>2025</v>
      </c>
      <c r="T163" s="11" t="str">
        <f>'data on outstanding creditors'!$C163&amp;" "&amp;'data on outstanding creditors'!$D163&amp;" "&amp;TEXT('data on outstanding creditors'!$E163,"#,##0.00")</f>
        <v>บ.แอคคอร์ด คอร์ปอเรชั่น IV2502102727 6,400.00</v>
      </c>
      <c r="U163" s="8"/>
    </row>
    <row r="164" ht="13.5" customHeight="1">
      <c r="A164" s="1"/>
      <c r="B164" s="2">
        <v>45719.0</v>
      </c>
      <c r="C164" s="9" t="s">
        <v>354</v>
      </c>
      <c r="D164" s="1" t="s">
        <v>355</v>
      </c>
      <c r="E164" s="4">
        <v>3745.0</v>
      </c>
      <c r="F164" s="4">
        <v>3745.0</v>
      </c>
      <c r="G164" s="4"/>
      <c r="H164" s="4">
        <f>'data on outstanding creditors'!$E164-'data on outstanding creditors'!$F164-'data on outstanding creditors'!$G164</f>
        <v>0</v>
      </c>
      <c r="I164" s="2">
        <v>45946.0</v>
      </c>
      <c r="J164" s="1"/>
      <c r="K164" s="2"/>
      <c r="L164" s="5"/>
      <c r="M164" s="9" t="s">
        <v>170</v>
      </c>
      <c r="N164" s="9" t="s">
        <v>49</v>
      </c>
      <c r="O164" s="10">
        <f>'data on outstanding creditors'!$E164*100/107</f>
        <v>3500</v>
      </c>
      <c r="P164" s="10">
        <f>'data on outstanding creditors'!$E164-'data on outstanding creditors'!$O164</f>
        <v>245</v>
      </c>
      <c r="Q164" s="7">
        <f>DAY('data on outstanding creditors'!$B164)</f>
        <v>3</v>
      </c>
      <c r="R164" s="7">
        <f>MONTH('data on outstanding creditors'!$B164)</f>
        <v>3</v>
      </c>
      <c r="S164" s="7">
        <f>YEAR('data on outstanding creditors'!$B164)</f>
        <v>2025</v>
      </c>
      <c r="T164" s="11" t="str">
        <f>'data on outstanding creditors'!$C164&amp;" "&amp;'data on outstanding creditors'!$D164&amp;" "&amp;TEXT('data on outstanding creditors'!$E164,"#,##0.00")</f>
        <v>บ. แม็กเทค เอลลิเวเตอร์ แอรด์ เซอร์วิส MT2568-0095 3,745.00</v>
      </c>
      <c r="U164" s="8"/>
    </row>
    <row r="165" ht="13.5" customHeight="1">
      <c r="A165" s="1" t="s">
        <v>356</v>
      </c>
      <c r="B165" s="2">
        <v>45916.0</v>
      </c>
      <c r="C165" s="9" t="s">
        <v>354</v>
      </c>
      <c r="D165" s="1" t="s">
        <v>357</v>
      </c>
      <c r="E165" s="4">
        <v>3745.0</v>
      </c>
      <c r="F165" s="4">
        <v>3745.0</v>
      </c>
      <c r="G165" s="4"/>
      <c r="H165" s="4">
        <f>'data on outstanding creditors'!$E165-'data on outstanding creditors'!$F165-'data on outstanding creditors'!$G165</f>
        <v>0</v>
      </c>
      <c r="I165" s="2">
        <v>45946.0</v>
      </c>
      <c r="J165" s="1"/>
      <c r="K165" s="2"/>
      <c r="L165" s="5"/>
      <c r="M165" s="9" t="s">
        <v>170</v>
      </c>
      <c r="N165" s="9" t="s">
        <v>49</v>
      </c>
      <c r="O165" s="10">
        <f>'data on outstanding creditors'!$E165*100/107</f>
        <v>3500</v>
      </c>
      <c r="P165" s="10">
        <f>'data on outstanding creditors'!$E165-'data on outstanding creditors'!$O165</f>
        <v>245</v>
      </c>
      <c r="Q165" s="7">
        <f>DAY('data on outstanding creditors'!$B165)</f>
        <v>16</v>
      </c>
      <c r="R165" s="7">
        <f>MONTH('data on outstanding creditors'!$B165)</f>
        <v>9</v>
      </c>
      <c r="S165" s="7">
        <f>YEAR('data on outstanding creditors'!$B165)</f>
        <v>2025</v>
      </c>
      <c r="T165" s="11" t="str">
        <f>'data on outstanding creditors'!$C165&amp;" "&amp;'data on outstanding creditors'!$D165&amp;" "&amp;TEXT('data on outstanding creditors'!$E165,"#,##0.00")</f>
        <v>บ. แม็กเทค เอลลิเวเตอร์ แอรด์ เซอร์วิส MT2568-0301 3,745.00</v>
      </c>
      <c r="U165" s="8"/>
    </row>
    <row r="166" ht="13.5" customHeight="1">
      <c r="A166" s="1" t="s">
        <v>358</v>
      </c>
      <c r="B166" s="2">
        <v>45916.0</v>
      </c>
      <c r="C166" s="9" t="s">
        <v>354</v>
      </c>
      <c r="D166" s="1" t="s">
        <v>359</v>
      </c>
      <c r="E166" s="4">
        <v>3745.0</v>
      </c>
      <c r="F166" s="4">
        <v>3745.0</v>
      </c>
      <c r="G166" s="4"/>
      <c r="H166" s="4">
        <f>'data on outstanding creditors'!$E166-'data on outstanding creditors'!$F166-'data on outstanding creditors'!$G166</f>
        <v>0</v>
      </c>
      <c r="I166" s="2">
        <v>45946.0</v>
      </c>
      <c r="J166" s="1"/>
      <c r="K166" s="2"/>
      <c r="L166" s="5"/>
      <c r="M166" s="9" t="s">
        <v>170</v>
      </c>
      <c r="N166" s="9" t="s">
        <v>49</v>
      </c>
      <c r="O166" s="10">
        <f>'data on outstanding creditors'!$E166*100/107</f>
        <v>3500</v>
      </c>
      <c r="P166" s="10">
        <f>'data on outstanding creditors'!$E166-'data on outstanding creditors'!$O166</f>
        <v>245</v>
      </c>
      <c r="Q166" s="7">
        <f>DAY('data on outstanding creditors'!$B166)</f>
        <v>16</v>
      </c>
      <c r="R166" s="7">
        <f>MONTH('data on outstanding creditors'!$B166)</f>
        <v>9</v>
      </c>
      <c r="S166" s="7">
        <f>YEAR('data on outstanding creditors'!$B166)</f>
        <v>2025</v>
      </c>
      <c r="T166" s="11" t="str">
        <f>'data on outstanding creditors'!$C166&amp;" "&amp;'data on outstanding creditors'!$D166&amp;" "&amp;TEXT('data on outstanding creditors'!$E166,"#,##0.00")</f>
        <v>บ. แม็กเทค เอลลิเวเตอร์ แอรด์ เซอร์วิส MT2568-0300 3,745.00</v>
      </c>
      <c r="U166" s="8"/>
    </row>
    <row r="167" ht="13.5" customHeight="1">
      <c r="A167" s="1"/>
      <c r="B167" s="2">
        <v>45638.0</v>
      </c>
      <c r="C167" s="9" t="s">
        <v>360</v>
      </c>
      <c r="D167" s="1" t="s">
        <v>361</v>
      </c>
      <c r="E167" s="4">
        <v>10250.0</v>
      </c>
      <c r="F167" s="4">
        <v>10250.0</v>
      </c>
      <c r="G167" s="4"/>
      <c r="H167" s="4">
        <f>'data on outstanding creditors'!$E167-'data on outstanding creditors'!$F167-'data on outstanding creditors'!$G167</f>
        <v>0</v>
      </c>
      <c r="I167" s="2">
        <v>45946.0</v>
      </c>
      <c r="J167" s="1"/>
      <c r="K167" s="2"/>
      <c r="L167" s="5"/>
      <c r="M167" s="9" t="s">
        <v>362</v>
      </c>
      <c r="N167" s="9" t="s">
        <v>49</v>
      </c>
      <c r="O167" s="10">
        <f>'data on outstanding creditors'!$E167*100/107</f>
        <v>9579.439252</v>
      </c>
      <c r="P167" s="10">
        <f>'data on outstanding creditors'!$E167-'data on outstanding creditors'!$O167</f>
        <v>670.5607477</v>
      </c>
      <c r="Q167" s="7">
        <f>DAY('data on outstanding creditors'!$B167)</f>
        <v>12</v>
      </c>
      <c r="R167" s="7">
        <f>MONTH('data on outstanding creditors'!$B167)</f>
        <v>12</v>
      </c>
      <c r="S167" s="7">
        <f>YEAR('data on outstanding creditors'!$B167)</f>
        <v>2024</v>
      </c>
      <c r="T167" s="11" t="str">
        <f>'data on outstanding creditors'!$C167&amp;" "&amp;'data on outstanding creditors'!$D167&amp;" "&amp;TEXT('data on outstanding creditors'!$E167,"#,##0.00")</f>
        <v>บ.สยามเดนท์ TSD IV24110241 10,250.00</v>
      </c>
      <c r="U167" s="8"/>
    </row>
    <row r="168" ht="13.5" customHeight="1">
      <c r="A168" s="1"/>
      <c r="B168" s="2">
        <v>45638.0</v>
      </c>
      <c r="C168" s="9" t="s">
        <v>360</v>
      </c>
      <c r="D168" s="1" t="s">
        <v>363</v>
      </c>
      <c r="E168" s="4">
        <v>14500.0</v>
      </c>
      <c r="F168" s="4">
        <v>14500.0</v>
      </c>
      <c r="G168" s="4"/>
      <c r="H168" s="4">
        <f>'data on outstanding creditors'!$E168-'data on outstanding creditors'!$F168-'data on outstanding creditors'!$G168</f>
        <v>0</v>
      </c>
      <c r="I168" s="2">
        <v>45946.0</v>
      </c>
      <c r="J168" s="1"/>
      <c r="K168" s="2"/>
      <c r="L168" s="5"/>
      <c r="M168" s="9" t="s">
        <v>362</v>
      </c>
      <c r="N168" s="9" t="s">
        <v>49</v>
      </c>
      <c r="O168" s="10">
        <f>'data on outstanding creditors'!$E168*100/107</f>
        <v>13551.40187</v>
      </c>
      <c r="P168" s="10">
        <f>'data on outstanding creditors'!$E168-'data on outstanding creditors'!$O168</f>
        <v>948.5981308</v>
      </c>
      <c r="Q168" s="7">
        <f>DAY('data on outstanding creditors'!$B168)</f>
        <v>12</v>
      </c>
      <c r="R168" s="7">
        <f>MONTH('data on outstanding creditors'!$B168)</f>
        <v>12</v>
      </c>
      <c r="S168" s="7">
        <f>YEAR('data on outstanding creditors'!$B168)</f>
        <v>2024</v>
      </c>
      <c r="T168" s="11" t="str">
        <f>'data on outstanding creditors'!$C168&amp;" "&amp;'data on outstanding creditors'!$D168&amp;" "&amp;TEXT('data on outstanding creditors'!$E168,"#,##0.00")</f>
        <v>บ.สยามเดนท์ TSD IV24110242 14,500.00</v>
      </c>
      <c r="U168" s="8"/>
    </row>
    <row r="169" ht="13.5" customHeight="1">
      <c r="A169" s="1"/>
      <c r="B169" s="2">
        <v>45638.0</v>
      </c>
      <c r="C169" s="9" t="s">
        <v>360</v>
      </c>
      <c r="D169" s="1" t="s">
        <v>364</v>
      </c>
      <c r="E169" s="4">
        <v>3000.0</v>
      </c>
      <c r="F169" s="4">
        <v>3000.0</v>
      </c>
      <c r="G169" s="4"/>
      <c r="H169" s="4">
        <f>'data on outstanding creditors'!$E169-'data on outstanding creditors'!$F169-'data on outstanding creditors'!$G169</f>
        <v>0</v>
      </c>
      <c r="I169" s="2">
        <v>45946.0</v>
      </c>
      <c r="J169" s="1"/>
      <c r="K169" s="2"/>
      <c r="L169" s="5"/>
      <c r="M169" s="9" t="s">
        <v>362</v>
      </c>
      <c r="N169" s="9" t="s">
        <v>49</v>
      </c>
      <c r="O169" s="10">
        <f>'data on outstanding creditors'!$E169*100/107</f>
        <v>2803.738318</v>
      </c>
      <c r="P169" s="10">
        <f>'data on outstanding creditors'!$E169-'data on outstanding creditors'!$O169</f>
        <v>196.2616822</v>
      </c>
      <c r="Q169" s="7">
        <f>DAY('data on outstanding creditors'!$B169)</f>
        <v>12</v>
      </c>
      <c r="R169" s="7">
        <f>MONTH('data on outstanding creditors'!$B169)</f>
        <v>12</v>
      </c>
      <c r="S169" s="7">
        <f>YEAR('data on outstanding creditors'!$B169)</f>
        <v>2024</v>
      </c>
      <c r="T169" s="11" t="str">
        <f>'data on outstanding creditors'!$C169&amp;" "&amp;'data on outstanding creditors'!$D169&amp;" "&amp;TEXT('data on outstanding creditors'!$E169,"#,##0.00")</f>
        <v>บ.สยามเดนท์ TSD IV24110243 3,000.00</v>
      </c>
      <c r="U169" s="8"/>
    </row>
    <row r="170" ht="13.5" customHeight="1">
      <c r="A170" s="1" t="s">
        <v>365</v>
      </c>
      <c r="B170" s="2">
        <v>45812.0</v>
      </c>
      <c r="C170" s="9" t="s">
        <v>366</v>
      </c>
      <c r="D170" s="1" t="s">
        <v>367</v>
      </c>
      <c r="E170" s="4">
        <v>125100.0</v>
      </c>
      <c r="F170" s="4">
        <v>125100.0</v>
      </c>
      <c r="G170" s="4"/>
      <c r="H170" s="4">
        <f>'data on outstanding creditors'!$E170-'data on outstanding creditors'!$F170-'data on outstanding creditors'!$G170</f>
        <v>0</v>
      </c>
      <c r="I170" s="2">
        <v>45946.0</v>
      </c>
      <c r="J170" s="1"/>
      <c r="K170" s="2"/>
      <c r="L170" s="5"/>
      <c r="M170" s="9" t="s">
        <v>368</v>
      </c>
      <c r="N170" s="9" t="s">
        <v>49</v>
      </c>
      <c r="O170" s="10">
        <f>'data on outstanding creditors'!$E170*100/107</f>
        <v>116915.8879</v>
      </c>
      <c r="P170" s="10">
        <f>'data on outstanding creditors'!$E170-'data on outstanding creditors'!$O170</f>
        <v>8184.11215</v>
      </c>
      <c r="Q170" s="7">
        <f>DAY('data on outstanding creditors'!$B170)</f>
        <v>4</v>
      </c>
      <c r="R170" s="7">
        <f>MONTH('data on outstanding creditors'!$B170)</f>
        <v>6</v>
      </c>
      <c r="S170" s="7">
        <f>YEAR('data on outstanding creditors'!$B170)</f>
        <v>2025</v>
      </c>
      <c r="T170" s="11" t="str">
        <f>'data on outstanding creditors'!$C170&amp;" "&amp;'data on outstanding creditors'!$D170&amp;" "&amp;TEXT('data on outstanding creditors'!$E170,"#,##0.00")</f>
        <v>บ.สยามยูเนี่ยนเคมีคอล SOCL6805041 125,100.00</v>
      </c>
      <c r="U170" s="8"/>
    </row>
    <row r="171" ht="13.5" customHeight="1">
      <c r="A171" s="1" t="s">
        <v>369</v>
      </c>
      <c r="B171" s="2">
        <v>45812.0</v>
      </c>
      <c r="C171" s="9" t="s">
        <v>366</v>
      </c>
      <c r="D171" s="1" t="s">
        <v>370</v>
      </c>
      <c r="E171" s="4">
        <v>805716.73</v>
      </c>
      <c r="F171" s="4">
        <v>805716.73</v>
      </c>
      <c r="G171" s="4"/>
      <c r="H171" s="4">
        <f>'data on outstanding creditors'!$E171-'data on outstanding creditors'!$F171-'data on outstanding creditors'!$G171</f>
        <v>0</v>
      </c>
      <c r="I171" s="2">
        <v>45946.0</v>
      </c>
      <c r="J171" s="1"/>
      <c r="K171" s="2"/>
      <c r="L171" s="5"/>
      <c r="M171" s="9" t="s">
        <v>368</v>
      </c>
      <c r="N171" s="9" t="s">
        <v>49</v>
      </c>
      <c r="O171" s="10">
        <f>'data on outstanding creditors'!$E171*100/107</f>
        <v>753006.2897</v>
      </c>
      <c r="P171" s="10">
        <f>'data on outstanding creditors'!$E171-'data on outstanding creditors'!$O171</f>
        <v>52710.44028</v>
      </c>
      <c r="Q171" s="7">
        <f>DAY('data on outstanding creditors'!$B171)</f>
        <v>4</v>
      </c>
      <c r="R171" s="7">
        <f>MONTH('data on outstanding creditors'!$B171)</f>
        <v>6</v>
      </c>
      <c r="S171" s="7">
        <f>YEAR('data on outstanding creditors'!$B171)</f>
        <v>2025</v>
      </c>
      <c r="T171" s="11" t="str">
        <f>'data on outstanding creditors'!$C171&amp;" "&amp;'data on outstanding creditors'!$D171&amp;" "&amp;TEXT('data on outstanding creditors'!$E171,"#,##0.00")</f>
        <v>บ.สยามยูเนี่ยนเคมีคอล SOCL6805040 805,716.73</v>
      </c>
      <c r="U171" s="8"/>
    </row>
    <row r="172" ht="13.5" customHeight="1">
      <c r="A172" s="1"/>
      <c r="B172" s="2">
        <v>45688.0</v>
      </c>
      <c r="C172" s="9" t="s">
        <v>281</v>
      </c>
      <c r="D172" s="1" t="s">
        <v>371</v>
      </c>
      <c r="E172" s="4">
        <v>6420.0</v>
      </c>
      <c r="F172" s="4">
        <v>6420.0</v>
      </c>
      <c r="G172" s="4"/>
      <c r="H172" s="4">
        <f>'data on outstanding creditors'!$E172-'data on outstanding creditors'!$F172-'data on outstanding creditors'!$G172</f>
        <v>0</v>
      </c>
      <c r="I172" s="2">
        <v>45946.0</v>
      </c>
      <c r="J172" s="1"/>
      <c r="K172" s="2"/>
      <c r="L172" s="5"/>
      <c r="M172" s="9" t="s">
        <v>54</v>
      </c>
      <c r="N172" s="9" t="s">
        <v>49</v>
      </c>
      <c r="O172" s="10">
        <f>'data on outstanding creditors'!$E172*100/107</f>
        <v>6000</v>
      </c>
      <c r="P172" s="10">
        <f>'data on outstanding creditors'!$E172-'data on outstanding creditors'!$O172</f>
        <v>420</v>
      </c>
      <c r="Q172" s="7">
        <f>DAY('data on outstanding creditors'!$B172)</f>
        <v>31</v>
      </c>
      <c r="R172" s="7">
        <f>MONTH('data on outstanding creditors'!$B172)</f>
        <v>1</v>
      </c>
      <c r="S172" s="7">
        <f>YEAR('data on outstanding creditors'!$B172)</f>
        <v>2025</v>
      </c>
      <c r="T172" s="11" t="str">
        <f>'data on outstanding creditors'!$C172&amp;" "&amp;'data on outstanding creditors'!$D172&amp;" "&amp;TEXT('data on outstanding creditors'!$E172,"#,##0.00")</f>
        <v>บ.เมดิทอป 1538843 6,420.00</v>
      </c>
      <c r="U172" s="8"/>
    </row>
    <row r="173" ht="13.5" customHeight="1">
      <c r="A173" s="1"/>
      <c r="B173" s="2">
        <v>45659.0</v>
      </c>
      <c r="C173" s="9" t="s">
        <v>281</v>
      </c>
      <c r="D173" s="1" t="s">
        <v>372</v>
      </c>
      <c r="E173" s="4">
        <v>6741.0</v>
      </c>
      <c r="F173" s="4">
        <v>6741.0</v>
      </c>
      <c r="G173" s="4"/>
      <c r="H173" s="4">
        <f>'data on outstanding creditors'!$E173-'data on outstanding creditors'!$F173-'data on outstanding creditors'!$G173</f>
        <v>0</v>
      </c>
      <c r="I173" s="2">
        <v>45946.0</v>
      </c>
      <c r="J173" s="1"/>
      <c r="K173" s="2"/>
      <c r="L173" s="5"/>
      <c r="M173" s="9" t="s">
        <v>373</v>
      </c>
      <c r="N173" s="9" t="s">
        <v>49</v>
      </c>
      <c r="O173" s="10">
        <f>'data on outstanding creditors'!$E173*100/107</f>
        <v>6300</v>
      </c>
      <c r="P173" s="10">
        <f>'data on outstanding creditors'!$E173-'data on outstanding creditors'!$O173</f>
        <v>441</v>
      </c>
      <c r="Q173" s="7">
        <f>DAY('data on outstanding creditors'!$B173)</f>
        <v>2</v>
      </c>
      <c r="R173" s="7">
        <f>MONTH('data on outstanding creditors'!$B173)</f>
        <v>1</v>
      </c>
      <c r="S173" s="7">
        <f>YEAR('data on outstanding creditors'!$B173)</f>
        <v>2025</v>
      </c>
      <c r="T173" s="11" t="str">
        <f>'data on outstanding creditors'!$C173&amp;" "&amp;'data on outstanding creditors'!$D173&amp;" "&amp;TEXT('data on outstanding creditors'!$E173,"#,##0.00")</f>
        <v>บ.เมดิทอป 1541902 6,741.00</v>
      </c>
      <c r="U173" s="8"/>
    </row>
    <row r="174" ht="13.5" customHeight="1">
      <c r="A174" s="1"/>
      <c r="B174" s="2">
        <v>45659.0</v>
      </c>
      <c r="C174" s="9" t="s">
        <v>281</v>
      </c>
      <c r="D174" s="1" t="s">
        <v>374</v>
      </c>
      <c r="E174" s="4">
        <v>8000.0</v>
      </c>
      <c r="F174" s="4">
        <v>8000.0</v>
      </c>
      <c r="G174" s="4"/>
      <c r="H174" s="4">
        <f>'data on outstanding creditors'!$E174-'data on outstanding creditors'!$F174-'data on outstanding creditors'!$G174</f>
        <v>0</v>
      </c>
      <c r="I174" s="2">
        <v>45946.0</v>
      </c>
      <c r="J174" s="1"/>
      <c r="K174" s="2"/>
      <c r="L174" s="5"/>
      <c r="M174" s="9" t="s">
        <v>373</v>
      </c>
      <c r="N174" s="9" t="s">
        <v>49</v>
      </c>
      <c r="O174" s="10">
        <f>'data on outstanding creditors'!$E174*100/107</f>
        <v>7476.635514</v>
      </c>
      <c r="P174" s="10">
        <f>'data on outstanding creditors'!$E174-'data on outstanding creditors'!$O174</f>
        <v>523.364486</v>
      </c>
      <c r="Q174" s="7">
        <f>DAY('data on outstanding creditors'!$B174)</f>
        <v>2</v>
      </c>
      <c r="R174" s="7">
        <f>MONTH('data on outstanding creditors'!$B174)</f>
        <v>1</v>
      </c>
      <c r="S174" s="7">
        <f>YEAR('data on outstanding creditors'!$B174)</f>
        <v>2025</v>
      </c>
      <c r="T174" s="11" t="str">
        <f>'data on outstanding creditors'!$C174&amp;" "&amp;'data on outstanding creditors'!$D174&amp;" "&amp;TEXT('data on outstanding creditors'!$E174,"#,##0.00")</f>
        <v>บ.เมดิทอป 1541903 8,000.00</v>
      </c>
      <c r="U174" s="8"/>
    </row>
    <row r="175" ht="13.5" customHeight="1">
      <c r="A175" s="1"/>
      <c r="B175" s="2">
        <v>45572.0</v>
      </c>
      <c r="C175" s="9" t="s">
        <v>375</v>
      </c>
      <c r="D175" s="1" t="s">
        <v>376</v>
      </c>
      <c r="E175" s="4">
        <v>271600.0</v>
      </c>
      <c r="F175" s="4">
        <v>271600.0</v>
      </c>
      <c r="G175" s="4"/>
      <c r="H175" s="4">
        <f>'data on outstanding creditors'!$E175-'data on outstanding creditors'!$F175-'data on outstanding creditors'!$G175</f>
        <v>0</v>
      </c>
      <c r="I175" s="2">
        <v>45946.0</v>
      </c>
      <c r="J175" s="1"/>
      <c r="K175" s="2"/>
      <c r="L175" s="5"/>
      <c r="M175" s="9" t="s">
        <v>377</v>
      </c>
      <c r="N175" s="9" t="s">
        <v>49</v>
      </c>
      <c r="O175" s="10">
        <f>'data on outstanding creditors'!$E175*100/107</f>
        <v>253831.7757</v>
      </c>
      <c r="P175" s="10">
        <f>'data on outstanding creditors'!$E175-'data on outstanding creditors'!$O175</f>
        <v>17768.2243</v>
      </c>
      <c r="Q175" s="7">
        <f>DAY('data on outstanding creditors'!$B175)</f>
        <v>7</v>
      </c>
      <c r="R175" s="7">
        <f>MONTH('data on outstanding creditors'!$B175)</f>
        <v>10</v>
      </c>
      <c r="S175" s="7">
        <f>YEAR('data on outstanding creditors'!$B175)</f>
        <v>2024</v>
      </c>
      <c r="T175" s="11" t="str">
        <f>'data on outstanding creditors'!$C175&amp;" "&amp;'data on outstanding creditors'!$D175&amp;" "&amp;TEXT('data on outstanding creditors'!$E175,"#,##0.00")</f>
        <v>บ.บุรีวัตร  สิทธิ จ่ายตรง 006/095 08/67 271,600.00</v>
      </c>
      <c r="U175" s="8"/>
    </row>
    <row r="176" ht="13.5" customHeight="1">
      <c r="A176" s="1"/>
      <c r="B176" s="2">
        <v>45572.0</v>
      </c>
      <c r="C176" s="9" t="s">
        <v>375</v>
      </c>
      <c r="D176" s="1" t="s">
        <v>378</v>
      </c>
      <c r="E176" s="4">
        <v>295400.0</v>
      </c>
      <c r="F176" s="4">
        <v>295400.0</v>
      </c>
      <c r="G176" s="4"/>
      <c r="H176" s="4">
        <f>'data on outstanding creditors'!$E176-'data on outstanding creditors'!$F176-'data on outstanding creditors'!$G176</f>
        <v>0</v>
      </c>
      <c r="I176" s="2">
        <v>45946.0</v>
      </c>
      <c r="J176" s="1"/>
      <c r="K176" s="2"/>
      <c r="L176" s="5"/>
      <c r="M176" s="9" t="s">
        <v>377</v>
      </c>
      <c r="N176" s="9" t="s">
        <v>49</v>
      </c>
      <c r="O176" s="10">
        <f>'data on outstanding creditors'!$E176*100/107</f>
        <v>276074.7664</v>
      </c>
      <c r="P176" s="10">
        <f>'data on outstanding creditors'!$E176-'data on outstanding creditors'!$O176</f>
        <v>19325.23364</v>
      </c>
      <c r="Q176" s="7">
        <f>DAY('data on outstanding creditors'!$B176)</f>
        <v>7</v>
      </c>
      <c r="R176" s="7">
        <f>MONTH('data on outstanding creditors'!$B176)</f>
        <v>10</v>
      </c>
      <c r="S176" s="7">
        <f>YEAR('data on outstanding creditors'!$B176)</f>
        <v>2024</v>
      </c>
      <c r="T176" s="11" t="str">
        <f>'data on outstanding creditors'!$C176&amp;" "&amp;'data on outstanding creditors'!$D176&amp;" "&amp;TEXT('data on outstanding creditors'!$E176,"#,##0.00")</f>
        <v>บ.บุรีวัตร  สิทธิ จ่ายตรง 006/096 08/67 295,400.00</v>
      </c>
      <c r="U176" s="8"/>
    </row>
    <row r="177" ht="13.5" customHeight="1">
      <c r="A177" s="1"/>
      <c r="B177" s="2">
        <v>45572.0</v>
      </c>
      <c r="C177" s="9" t="s">
        <v>379</v>
      </c>
      <c r="D177" s="1" t="s">
        <v>380</v>
      </c>
      <c r="E177" s="4">
        <v>480200.0</v>
      </c>
      <c r="F177" s="4">
        <v>480200.0</v>
      </c>
      <c r="G177" s="4"/>
      <c r="H177" s="4">
        <f>'data on outstanding creditors'!$E177-'data on outstanding creditors'!$F177-'data on outstanding creditors'!$G177</f>
        <v>0</v>
      </c>
      <c r="I177" s="2">
        <v>45946.0</v>
      </c>
      <c r="J177" s="1"/>
      <c r="K177" s="2"/>
      <c r="L177" s="5"/>
      <c r="M177" s="9" t="s">
        <v>377</v>
      </c>
      <c r="N177" s="9" t="s">
        <v>49</v>
      </c>
      <c r="O177" s="10">
        <f>'data on outstanding creditors'!$E177*100/107</f>
        <v>448785.0467</v>
      </c>
      <c r="P177" s="10">
        <f>'data on outstanding creditors'!$E177-'data on outstanding creditors'!$O177</f>
        <v>31414.95327</v>
      </c>
      <c r="Q177" s="7">
        <f>DAY('data on outstanding creditors'!$B177)</f>
        <v>7</v>
      </c>
      <c r="R177" s="7">
        <f>MONTH('data on outstanding creditors'!$B177)</f>
        <v>10</v>
      </c>
      <c r="S177" s="7">
        <f>YEAR('data on outstanding creditors'!$B177)</f>
        <v>2024</v>
      </c>
      <c r="T177" s="11" t="str">
        <f>'data on outstanding creditors'!$C177&amp;" "&amp;'data on outstanding creditors'!$D177&amp;" "&amp;TEXT('data on outstanding creditors'!$E177,"#,##0.00")</f>
        <v>บ.บุรีวัตร  สิทธิ สปสช 006/097 08/67 480,200.00</v>
      </c>
      <c r="U177" s="8"/>
    </row>
    <row r="178" ht="13.5" customHeight="1">
      <c r="A178" s="1"/>
      <c r="B178" s="2">
        <v>45572.0</v>
      </c>
      <c r="C178" s="9" t="s">
        <v>379</v>
      </c>
      <c r="D178" s="1" t="s">
        <v>381</v>
      </c>
      <c r="E178" s="4">
        <v>432600.0</v>
      </c>
      <c r="F178" s="4">
        <v>432600.0</v>
      </c>
      <c r="G178" s="4"/>
      <c r="H178" s="4">
        <f>'data on outstanding creditors'!$E178-'data on outstanding creditors'!$F178-'data on outstanding creditors'!$G178</f>
        <v>0</v>
      </c>
      <c r="I178" s="2">
        <v>45946.0</v>
      </c>
      <c r="J178" s="1"/>
      <c r="K178" s="2"/>
      <c r="L178" s="5"/>
      <c r="M178" s="9" t="s">
        <v>377</v>
      </c>
      <c r="N178" s="9" t="s">
        <v>49</v>
      </c>
      <c r="O178" s="10">
        <f>'data on outstanding creditors'!$E178*100/107</f>
        <v>404299.0654</v>
      </c>
      <c r="P178" s="10">
        <f>'data on outstanding creditors'!$E178-'data on outstanding creditors'!$O178</f>
        <v>28300.93458</v>
      </c>
      <c r="Q178" s="7">
        <f>DAY('data on outstanding creditors'!$B178)</f>
        <v>7</v>
      </c>
      <c r="R178" s="7">
        <f>MONTH('data on outstanding creditors'!$B178)</f>
        <v>10</v>
      </c>
      <c r="S178" s="7">
        <f>YEAR('data on outstanding creditors'!$B178)</f>
        <v>2024</v>
      </c>
      <c r="T178" s="11" t="str">
        <f>'data on outstanding creditors'!$C178&amp;" "&amp;'data on outstanding creditors'!$D178&amp;" "&amp;TEXT('data on outstanding creditors'!$E178,"#,##0.00")</f>
        <v>บ.บุรีวัตร  สิทธิ สปสช 006/098 08/67 432,600.00</v>
      </c>
      <c r="U178" s="8"/>
    </row>
    <row r="179" ht="13.5" customHeight="1">
      <c r="A179" s="1"/>
      <c r="B179" s="2">
        <v>45575.0</v>
      </c>
      <c r="C179" s="9" t="s">
        <v>379</v>
      </c>
      <c r="D179" s="1" t="s">
        <v>382</v>
      </c>
      <c r="E179" s="4">
        <v>490000.0</v>
      </c>
      <c r="F179" s="4">
        <v>490000.0</v>
      </c>
      <c r="G179" s="4"/>
      <c r="H179" s="4">
        <f>'data on outstanding creditors'!$E179-'data on outstanding creditors'!$F179-'data on outstanding creditors'!$G179</f>
        <v>0</v>
      </c>
      <c r="I179" s="2">
        <v>45946.0</v>
      </c>
      <c r="J179" s="1"/>
      <c r="K179" s="2"/>
      <c r="L179" s="5"/>
      <c r="M179" s="9" t="s">
        <v>377</v>
      </c>
      <c r="N179" s="9" t="s">
        <v>49</v>
      </c>
      <c r="O179" s="10">
        <f>'data on outstanding creditors'!$E179*100/107</f>
        <v>457943.9252</v>
      </c>
      <c r="P179" s="10">
        <f>'data on outstanding creditors'!$E179-'data on outstanding creditors'!$O179</f>
        <v>32056.07477</v>
      </c>
      <c r="Q179" s="7">
        <f>DAY('data on outstanding creditors'!$B179)</f>
        <v>10</v>
      </c>
      <c r="R179" s="7">
        <f>MONTH('data on outstanding creditors'!$B179)</f>
        <v>10</v>
      </c>
      <c r="S179" s="7">
        <f>YEAR('data on outstanding creditors'!$B179)</f>
        <v>2024</v>
      </c>
      <c r="T179" s="11" t="str">
        <f>'data on outstanding creditors'!$C179&amp;" "&amp;'data on outstanding creditors'!$D179&amp;" "&amp;TEXT('data on outstanding creditors'!$E179,"#,##0.00")</f>
        <v>บ.บุรีวัตร  สิทธิ สปสช 006/099 08/67 490,000.00</v>
      </c>
      <c r="U179" s="8"/>
    </row>
    <row r="180" ht="13.5" customHeight="1">
      <c r="A180" s="1"/>
      <c r="B180" s="2">
        <v>45575.0</v>
      </c>
      <c r="C180" s="9" t="s">
        <v>379</v>
      </c>
      <c r="D180" s="1" t="s">
        <v>383</v>
      </c>
      <c r="E180" s="4">
        <v>233800.0</v>
      </c>
      <c r="F180" s="4">
        <v>233800.0</v>
      </c>
      <c r="G180" s="4"/>
      <c r="H180" s="4">
        <f>'data on outstanding creditors'!$E180-'data on outstanding creditors'!$F180-'data on outstanding creditors'!$G180</f>
        <v>0</v>
      </c>
      <c r="I180" s="2">
        <v>45946.0</v>
      </c>
      <c r="J180" s="1"/>
      <c r="K180" s="2"/>
      <c r="L180" s="5"/>
      <c r="M180" s="9" t="s">
        <v>377</v>
      </c>
      <c r="N180" s="9" t="s">
        <v>49</v>
      </c>
      <c r="O180" s="10">
        <f>'data on outstanding creditors'!$E180*100/107</f>
        <v>218504.6729</v>
      </c>
      <c r="P180" s="10">
        <f>'data on outstanding creditors'!$E180-'data on outstanding creditors'!$O180</f>
        <v>15295.3271</v>
      </c>
      <c r="Q180" s="7">
        <f>DAY('data on outstanding creditors'!$B180)</f>
        <v>10</v>
      </c>
      <c r="R180" s="7">
        <f>MONTH('data on outstanding creditors'!$B180)</f>
        <v>10</v>
      </c>
      <c r="S180" s="7">
        <f>YEAR('data on outstanding creditors'!$B180)</f>
        <v>2024</v>
      </c>
      <c r="T180" s="11" t="str">
        <f>'data on outstanding creditors'!$C180&amp;" "&amp;'data on outstanding creditors'!$D180&amp;" "&amp;TEXT('data on outstanding creditors'!$E180,"#,##0.00")</f>
        <v>บ.บุรีวัตร  สิทธิ สปสช 006/100 08/67 233,800.00</v>
      </c>
      <c r="U180" s="8"/>
    </row>
    <row r="181" ht="13.5" customHeight="1">
      <c r="A181" s="1"/>
      <c r="B181" s="2">
        <v>45666.0</v>
      </c>
      <c r="C181" s="9" t="s">
        <v>379</v>
      </c>
      <c r="D181" s="1" t="s">
        <v>384</v>
      </c>
      <c r="E181" s="4">
        <v>375200.0</v>
      </c>
      <c r="F181" s="4">
        <v>375200.0</v>
      </c>
      <c r="G181" s="4"/>
      <c r="H181" s="4">
        <f>'data on outstanding creditors'!$E181-'data on outstanding creditors'!$F181-'data on outstanding creditors'!$G181</f>
        <v>0</v>
      </c>
      <c r="I181" s="2">
        <v>45946.0</v>
      </c>
      <c r="J181" s="1"/>
      <c r="K181" s="2"/>
      <c r="L181" s="5"/>
      <c r="M181" s="9" t="s">
        <v>377</v>
      </c>
      <c r="N181" s="9" t="s">
        <v>49</v>
      </c>
      <c r="O181" s="10">
        <f>'data on outstanding creditors'!$E181*100/107</f>
        <v>350654.2056</v>
      </c>
      <c r="P181" s="10">
        <f>'data on outstanding creditors'!$E181-'data on outstanding creditors'!$O181</f>
        <v>24545.79439</v>
      </c>
      <c r="Q181" s="7">
        <f>DAY('data on outstanding creditors'!$B181)</f>
        <v>9</v>
      </c>
      <c r="R181" s="7">
        <f>MONTH('data on outstanding creditors'!$B181)</f>
        <v>1</v>
      </c>
      <c r="S181" s="7">
        <f>YEAR('data on outstanding creditors'!$B181)</f>
        <v>2025</v>
      </c>
      <c r="T181" s="11" t="str">
        <f>'data on outstanding creditors'!$C181&amp;" "&amp;'data on outstanding creditors'!$D181&amp;" "&amp;TEXT('data on outstanding creditors'!$E181,"#,##0.00")</f>
        <v>บ.บุรีวัตร  สิทธิ สปสช 007/004 09/67 375,200.00</v>
      </c>
      <c r="U181" s="8"/>
    </row>
    <row r="182" ht="13.5" customHeight="1">
      <c r="A182" s="1"/>
      <c r="B182" s="2">
        <v>45666.0</v>
      </c>
      <c r="C182" s="9" t="s">
        <v>379</v>
      </c>
      <c r="D182" s="1" t="s">
        <v>385</v>
      </c>
      <c r="E182" s="4">
        <v>427000.0</v>
      </c>
      <c r="F182" s="4">
        <v>427000.0</v>
      </c>
      <c r="G182" s="4"/>
      <c r="H182" s="4">
        <f>'data on outstanding creditors'!$E182-'data on outstanding creditors'!$F182-'data on outstanding creditors'!$G182</f>
        <v>0</v>
      </c>
      <c r="I182" s="2">
        <v>45946.0</v>
      </c>
      <c r="J182" s="1"/>
      <c r="K182" s="2"/>
      <c r="L182" s="5"/>
      <c r="M182" s="9" t="s">
        <v>377</v>
      </c>
      <c r="N182" s="9" t="s">
        <v>49</v>
      </c>
      <c r="O182" s="10">
        <f>'data on outstanding creditors'!$E182*100/107</f>
        <v>399065.4206</v>
      </c>
      <c r="P182" s="10">
        <f>'data on outstanding creditors'!$E182-'data on outstanding creditors'!$O182</f>
        <v>27934.57944</v>
      </c>
      <c r="Q182" s="7">
        <f>DAY('data on outstanding creditors'!$B182)</f>
        <v>9</v>
      </c>
      <c r="R182" s="7">
        <f>MONTH('data on outstanding creditors'!$B182)</f>
        <v>1</v>
      </c>
      <c r="S182" s="7">
        <f>YEAR('data on outstanding creditors'!$B182)</f>
        <v>2025</v>
      </c>
      <c r="T182" s="11" t="str">
        <f>'data on outstanding creditors'!$C182&amp;" "&amp;'data on outstanding creditors'!$D182&amp;" "&amp;TEXT('data on outstanding creditors'!$E182,"#,##0.00")</f>
        <v>บ.บุรีวัตร  สิทธิ สปสช 007/003 09/67 427,000.00</v>
      </c>
      <c r="U182" s="8"/>
    </row>
    <row r="183" ht="13.5" customHeight="1">
      <c r="A183" s="1" t="s">
        <v>386</v>
      </c>
      <c r="B183" s="2">
        <v>45737.0</v>
      </c>
      <c r="C183" s="9" t="s">
        <v>387</v>
      </c>
      <c r="D183" s="1" t="s">
        <v>388</v>
      </c>
      <c r="E183" s="4">
        <v>317950.0</v>
      </c>
      <c r="F183" s="4">
        <v>317950.0</v>
      </c>
      <c r="G183" s="4"/>
      <c r="H183" s="4">
        <f>'data on outstanding creditors'!$E183-'data on outstanding creditors'!$F183-'data on outstanding creditors'!$G183</f>
        <v>0</v>
      </c>
      <c r="I183" s="2">
        <v>45946.0</v>
      </c>
      <c r="J183" s="1"/>
      <c r="K183" s="2"/>
      <c r="L183" s="5"/>
      <c r="M183" s="9" t="s">
        <v>58</v>
      </c>
      <c r="N183" s="9" t="s">
        <v>49</v>
      </c>
      <c r="O183" s="10">
        <f>'data on outstanding creditors'!$E183*100/107</f>
        <v>297149.5327</v>
      </c>
      <c r="P183" s="10">
        <f>'data on outstanding creditors'!$E183-'data on outstanding creditors'!$O183</f>
        <v>20800.46729</v>
      </c>
      <c r="Q183" s="7">
        <f>DAY('data on outstanding creditors'!$B183)</f>
        <v>21</v>
      </c>
      <c r="R183" s="7">
        <f>MONTH('data on outstanding creditors'!$B183)</f>
        <v>3</v>
      </c>
      <c r="S183" s="7">
        <f>YEAR('data on outstanding creditors'!$B183)</f>
        <v>2025</v>
      </c>
      <c r="T183" s="11" t="str">
        <f>'data on outstanding creditors'!$C183&amp;" "&amp;'data on outstanding creditors'!$D183&amp;" "&amp;TEXT('data on outstanding creditors'!$E183,"#,##0.00")</f>
        <v>บ.อินโนเทค ลาบอราทอรี่ เซอร์วิส SV001/68020191 317,950.00</v>
      </c>
      <c r="U183" s="8"/>
    </row>
    <row r="184" ht="13.5" customHeight="1">
      <c r="A184" s="1" t="s">
        <v>389</v>
      </c>
      <c r="B184" s="2">
        <v>45764.0</v>
      </c>
      <c r="C184" s="9" t="s">
        <v>387</v>
      </c>
      <c r="D184" s="1" t="s">
        <v>390</v>
      </c>
      <c r="E184" s="4">
        <v>376500.0</v>
      </c>
      <c r="F184" s="4">
        <v>376500.0</v>
      </c>
      <c r="G184" s="4"/>
      <c r="H184" s="4">
        <f>'data on outstanding creditors'!$E184-'data on outstanding creditors'!$F184-'data on outstanding creditors'!$G184</f>
        <v>0</v>
      </c>
      <c r="I184" s="2">
        <v>45946.0</v>
      </c>
      <c r="J184" s="1"/>
      <c r="K184" s="2"/>
      <c r="L184" s="5"/>
      <c r="M184" s="9" t="s">
        <v>58</v>
      </c>
      <c r="N184" s="9" t="s">
        <v>49</v>
      </c>
      <c r="O184" s="10">
        <f>'data on outstanding creditors'!$E184*100/107</f>
        <v>351869.1589</v>
      </c>
      <c r="P184" s="10">
        <f>'data on outstanding creditors'!$E184-'data on outstanding creditors'!$O184</f>
        <v>24630.84112</v>
      </c>
      <c r="Q184" s="7">
        <f>DAY('data on outstanding creditors'!$B184)</f>
        <v>17</v>
      </c>
      <c r="R184" s="7">
        <f>MONTH('data on outstanding creditors'!$B184)</f>
        <v>4</v>
      </c>
      <c r="S184" s="7">
        <f>YEAR('data on outstanding creditors'!$B184)</f>
        <v>2025</v>
      </c>
      <c r="T184" s="11" t="str">
        <f>'data on outstanding creditors'!$C184&amp;" "&amp;'data on outstanding creditors'!$D184&amp;" "&amp;TEXT('data on outstanding creditors'!$E184,"#,##0.00")</f>
        <v>บ.อินโนเทค ลาบอราทอรี่ เซอร์วิส SV001/68030159 376,500.00</v>
      </c>
      <c r="U184" s="8"/>
    </row>
    <row r="185" ht="13.5" customHeight="1">
      <c r="A185" s="1" t="s">
        <v>391</v>
      </c>
      <c r="B185" s="2">
        <v>45677.0</v>
      </c>
      <c r="C185" s="9" t="s">
        <v>283</v>
      </c>
      <c r="D185" s="1" t="s">
        <v>392</v>
      </c>
      <c r="E185" s="4">
        <v>25000.0</v>
      </c>
      <c r="F185" s="4">
        <v>25000.0</v>
      </c>
      <c r="G185" s="4"/>
      <c r="H185" s="4">
        <f>'data on outstanding creditors'!$E185-'data on outstanding creditors'!$F185-'data on outstanding creditors'!$G185</f>
        <v>0</v>
      </c>
      <c r="I185" s="2">
        <v>45946.0</v>
      </c>
      <c r="J185" s="1"/>
      <c r="K185" s="2"/>
      <c r="L185" s="5"/>
      <c r="M185" s="9" t="s">
        <v>90</v>
      </c>
      <c r="N185" s="9" t="s">
        <v>49</v>
      </c>
      <c r="O185" s="10">
        <f>'data on outstanding creditors'!$E185*100/107</f>
        <v>23364.48598</v>
      </c>
      <c r="P185" s="10">
        <f>'data on outstanding creditors'!$E185-'data on outstanding creditors'!$O185</f>
        <v>1635.514019</v>
      </c>
      <c r="Q185" s="7">
        <f>DAY('data on outstanding creditors'!$B185)</f>
        <v>20</v>
      </c>
      <c r="R185" s="7">
        <f>MONTH('data on outstanding creditors'!$B185)</f>
        <v>1</v>
      </c>
      <c r="S185" s="7">
        <f>YEAR('data on outstanding creditors'!$B185)</f>
        <v>2025</v>
      </c>
      <c r="T185" s="11" t="str">
        <f>'data on outstanding creditors'!$C185&amp;" "&amp;'data on outstanding creditors'!$D185&amp;" "&amp;TEXT('data on outstanding creditors'!$E185,"#,##0.00")</f>
        <v>ร้าน เฟิร์สท เทรดดิ้ง 680040 25,000.00</v>
      </c>
      <c r="U185" s="8"/>
    </row>
    <row r="186" ht="13.5" customHeight="1">
      <c r="A186" s="1" t="s">
        <v>393</v>
      </c>
      <c r="B186" s="2">
        <v>45769.0</v>
      </c>
      <c r="C186" s="9" t="s">
        <v>283</v>
      </c>
      <c r="D186" s="1" t="s">
        <v>394</v>
      </c>
      <c r="E186" s="4">
        <v>50000.0</v>
      </c>
      <c r="F186" s="4">
        <v>50000.0</v>
      </c>
      <c r="G186" s="4"/>
      <c r="H186" s="4">
        <f>'data on outstanding creditors'!$E186-'data on outstanding creditors'!$F186-'data on outstanding creditors'!$G186</f>
        <v>0</v>
      </c>
      <c r="I186" s="2">
        <v>45946.0</v>
      </c>
      <c r="J186" s="1"/>
      <c r="K186" s="2"/>
      <c r="L186" s="5"/>
      <c r="M186" s="9" t="s">
        <v>90</v>
      </c>
      <c r="N186" s="9" t="s">
        <v>49</v>
      </c>
      <c r="O186" s="10">
        <f>'data on outstanding creditors'!$E186*100/107</f>
        <v>46728.97196</v>
      </c>
      <c r="P186" s="10">
        <f>'data on outstanding creditors'!$E186-'data on outstanding creditors'!$O186</f>
        <v>3271.028037</v>
      </c>
      <c r="Q186" s="7">
        <f>DAY('data on outstanding creditors'!$B186)</f>
        <v>22</v>
      </c>
      <c r="R186" s="7">
        <f>MONTH('data on outstanding creditors'!$B186)</f>
        <v>4</v>
      </c>
      <c r="S186" s="7">
        <f>YEAR('data on outstanding creditors'!$B186)</f>
        <v>2025</v>
      </c>
      <c r="T186" s="11" t="str">
        <f>'data on outstanding creditors'!$C186&amp;" "&amp;'data on outstanding creditors'!$D186&amp;" "&amp;TEXT('data on outstanding creditors'!$E186,"#,##0.00")</f>
        <v>ร้าน เฟิร์สท เทรดดิ้ง 680157 50,000.00</v>
      </c>
      <c r="U186" s="8"/>
    </row>
    <row r="187" ht="13.5" customHeight="1">
      <c r="A187" s="1" t="s">
        <v>395</v>
      </c>
      <c r="B187" s="2">
        <v>45838.0</v>
      </c>
      <c r="C187" s="9" t="s">
        <v>396</v>
      </c>
      <c r="D187" s="1" t="s">
        <v>397</v>
      </c>
      <c r="E187" s="4">
        <v>300000.0</v>
      </c>
      <c r="F187" s="4">
        <v>300000.0</v>
      </c>
      <c r="G187" s="4"/>
      <c r="H187" s="4">
        <f>'data on outstanding creditors'!$E187-'data on outstanding creditors'!$F187-'data on outstanding creditors'!$G187</f>
        <v>0</v>
      </c>
      <c r="I187" s="2">
        <v>45947.0</v>
      </c>
      <c r="J187" s="1"/>
      <c r="K187" s="2"/>
      <c r="L187" s="5"/>
      <c r="M187" s="9" t="s">
        <v>54</v>
      </c>
      <c r="N187" s="9" t="s">
        <v>49</v>
      </c>
      <c r="O187" s="10">
        <f>'data on outstanding creditors'!$E187*100/107</f>
        <v>280373.8318</v>
      </c>
      <c r="P187" s="10">
        <f>'data on outstanding creditors'!$E187-'data on outstanding creditors'!$O187</f>
        <v>19626.16822</v>
      </c>
      <c r="Q187" s="7">
        <f>DAY('data on outstanding creditors'!$B187)</f>
        <v>30</v>
      </c>
      <c r="R187" s="7">
        <f>MONTH('data on outstanding creditors'!$B187)</f>
        <v>6</v>
      </c>
      <c r="S187" s="7">
        <f>YEAR('data on outstanding creditors'!$B187)</f>
        <v>2025</v>
      </c>
      <c r="T187" s="11" t="str">
        <f>'data on outstanding creditors'!$C187&amp;" "&amp;'data on outstanding creditors'!$D187&amp;" "&amp;TEXT('data on outstanding creditors'!$E187,"#,##0.00")</f>
        <v>บ.เยเนอรัล ฮอสปิตัล โปรดัคส์ 25IS00060009 300,000.00</v>
      </c>
      <c r="U187" s="8"/>
    </row>
    <row r="188" ht="13.5" customHeight="1">
      <c r="A188" s="1" t="s">
        <v>398</v>
      </c>
      <c r="B188" s="2">
        <v>45905.0</v>
      </c>
      <c r="C188" s="9" t="s">
        <v>399</v>
      </c>
      <c r="D188" s="1" t="s">
        <v>400</v>
      </c>
      <c r="E188" s="4">
        <v>1780000.0</v>
      </c>
      <c r="F188" s="4">
        <v>1780000.0</v>
      </c>
      <c r="G188" s="4"/>
      <c r="H188" s="4">
        <f>'data on outstanding creditors'!$E188-'data on outstanding creditors'!$F188-'data on outstanding creditors'!$G188</f>
        <v>0</v>
      </c>
      <c r="I188" s="2">
        <v>45947.0</v>
      </c>
      <c r="J188" s="1"/>
      <c r="K188" s="2"/>
      <c r="L188" s="5"/>
      <c r="M188" s="9" t="s">
        <v>90</v>
      </c>
      <c r="N188" s="9" t="s">
        <v>49</v>
      </c>
      <c r="O188" s="10">
        <f>'data on outstanding creditors'!$E188*100/107</f>
        <v>1663551.402</v>
      </c>
      <c r="P188" s="10">
        <f>'data on outstanding creditors'!$E188-'data on outstanding creditors'!$O188</f>
        <v>116448.5981</v>
      </c>
      <c r="Q188" s="7">
        <f>DAY('data on outstanding creditors'!$B188)</f>
        <v>5</v>
      </c>
      <c r="R188" s="7">
        <f>MONTH('data on outstanding creditors'!$B188)</f>
        <v>9</v>
      </c>
      <c r="S188" s="7">
        <f>YEAR('data on outstanding creditors'!$B188)</f>
        <v>2025</v>
      </c>
      <c r="T188" s="11" t="str">
        <f>'data on outstanding creditors'!$C188&amp;" "&amp;'data on outstanding creditors'!$D188&amp;" "&amp;TEXT('data on outstanding creditors'!$E188,"#,##0.00")</f>
        <v>บ.ดีเคเอสเอช(ประเทศไทย) 5344388775 1,780,000.00</v>
      </c>
      <c r="U188" s="8"/>
    </row>
    <row r="189" ht="13.5" customHeight="1">
      <c r="A189" s="1"/>
      <c r="B189" s="2">
        <v>45743.0</v>
      </c>
      <c r="C189" s="9" t="s">
        <v>401</v>
      </c>
      <c r="D189" s="1" t="s">
        <v>402</v>
      </c>
      <c r="E189" s="4">
        <v>17660.0</v>
      </c>
      <c r="F189" s="4">
        <v>17660.0</v>
      </c>
      <c r="G189" s="4"/>
      <c r="H189" s="4">
        <f>'data on outstanding creditors'!$E189-'data on outstanding creditors'!$F189-'data on outstanding creditors'!$G189</f>
        <v>0</v>
      </c>
      <c r="I189" s="2">
        <v>45950.0</v>
      </c>
      <c r="J189" s="1"/>
      <c r="K189" s="2"/>
      <c r="L189" s="5"/>
      <c r="M189" s="9" t="s">
        <v>403</v>
      </c>
      <c r="N189" s="9" t="s">
        <v>23</v>
      </c>
      <c r="O189" s="10">
        <f>'data on outstanding creditors'!$E189*100/107</f>
        <v>16504.6729</v>
      </c>
      <c r="P189" s="10">
        <f>'data on outstanding creditors'!$E189-'data on outstanding creditors'!$O189</f>
        <v>1155.327103</v>
      </c>
      <c r="Q189" s="7">
        <f>DAY('data on outstanding creditors'!$B189)</f>
        <v>27</v>
      </c>
      <c r="R189" s="7">
        <f>MONTH('data on outstanding creditors'!$B189)</f>
        <v>3</v>
      </c>
      <c r="S189" s="7">
        <f>YEAR('data on outstanding creditors'!$B189)</f>
        <v>2025</v>
      </c>
      <c r="T189" s="11" t="str">
        <f>'data on outstanding creditors'!$C189&amp;" "&amp;'data on outstanding creditors'!$D189&amp;" "&amp;TEXT('data on outstanding creditors'!$E189,"#,##0.00")</f>
        <v>องค์การเภสัชกรรม 3000978289 17,660.00</v>
      </c>
      <c r="U189" s="8"/>
    </row>
    <row r="190" ht="13.5" customHeight="1">
      <c r="A190" s="1"/>
      <c r="B190" s="2">
        <v>45743.0</v>
      </c>
      <c r="C190" s="9" t="s">
        <v>401</v>
      </c>
      <c r="D190" s="1" t="s">
        <v>404</v>
      </c>
      <c r="E190" s="4">
        <v>20433.0</v>
      </c>
      <c r="F190" s="4">
        <v>20433.0</v>
      </c>
      <c r="G190" s="4"/>
      <c r="H190" s="4">
        <f>'data on outstanding creditors'!$E190-'data on outstanding creditors'!$F190-'data on outstanding creditors'!$G190</f>
        <v>0</v>
      </c>
      <c r="I190" s="2">
        <v>45950.0</v>
      </c>
      <c r="J190" s="1"/>
      <c r="K190" s="2"/>
      <c r="L190" s="5"/>
      <c r="M190" s="9" t="s">
        <v>403</v>
      </c>
      <c r="N190" s="9" t="s">
        <v>23</v>
      </c>
      <c r="O190" s="10">
        <f>'data on outstanding creditors'!$E190*100/107</f>
        <v>19096.26168</v>
      </c>
      <c r="P190" s="10">
        <f>'data on outstanding creditors'!$E190-'data on outstanding creditors'!$O190</f>
        <v>1336.738318</v>
      </c>
      <c r="Q190" s="7">
        <f>DAY('data on outstanding creditors'!$B190)</f>
        <v>27</v>
      </c>
      <c r="R190" s="7">
        <f>MONTH('data on outstanding creditors'!$B190)</f>
        <v>3</v>
      </c>
      <c r="S190" s="7">
        <f>YEAR('data on outstanding creditors'!$B190)</f>
        <v>2025</v>
      </c>
      <c r="T190" s="11" t="str">
        <f>'data on outstanding creditors'!$C190&amp;" "&amp;'data on outstanding creditors'!$D190&amp;" "&amp;TEXT('data on outstanding creditors'!$E190,"#,##0.00")</f>
        <v>องค์การเภสัชกรรม 3000979469 20,433.00</v>
      </c>
      <c r="U190" s="8"/>
    </row>
    <row r="191" ht="13.5" customHeight="1">
      <c r="A191" s="1"/>
      <c r="B191" s="2">
        <v>45743.0</v>
      </c>
      <c r="C191" s="9" t="s">
        <v>401</v>
      </c>
      <c r="D191" s="1" t="s">
        <v>405</v>
      </c>
      <c r="E191" s="4">
        <v>4500.0</v>
      </c>
      <c r="F191" s="4">
        <v>4500.0</v>
      </c>
      <c r="G191" s="4"/>
      <c r="H191" s="4">
        <f>'data on outstanding creditors'!$E191-'data on outstanding creditors'!$F191-'data on outstanding creditors'!$G191</f>
        <v>0</v>
      </c>
      <c r="I191" s="2">
        <v>45950.0</v>
      </c>
      <c r="J191" s="1"/>
      <c r="K191" s="2"/>
      <c r="L191" s="5"/>
      <c r="M191" s="9" t="s">
        <v>403</v>
      </c>
      <c r="N191" s="9" t="s">
        <v>23</v>
      </c>
      <c r="O191" s="10">
        <f>'data on outstanding creditors'!$E191*100/107</f>
        <v>4205.607477</v>
      </c>
      <c r="P191" s="10">
        <f>'data on outstanding creditors'!$E191-'data on outstanding creditors'!$O191</f>
        <v>294.3925234</v>
      </c>
      <c r="Q191" s="7">
        <f>DAY('data on outstanding creditors'!$B191)</f>
        <v>27</v>
      </c>
      <c r="R191" s="7">
        <f>MONTH('data on outstanding creditors'!$B191)</f>
        <v>3</v>
      </c>
      <c r="S191" s="7">
        <f>YEAR('data on outstanding creditors'!$B191)</f>
        <v>2025</v>
      </c>
      <c r="T191" s="11" t="str">
        <f>'data on outstanding creditors'!$C191&amp;" "&amp;'data on outstanding creditors'!$D191&amp;" "&amp;TEXT('data on outstanding creditors'!$E191,"#,##0.00")</f>
        <v>องค์การเภสัชกรรม 3000979281 4,500.00</v>
      </c>
      <c r="U191" s="8"/>
    </row>
    <row r="192" ht="13.5" customHeight="1">
      <c r="A192" s="1"/>
      <c r="B192" s="2">
        <v>45743.0</v>
      </c>
      <c r="C192" s="9" t="s">
        <v>401</v>
      </c>
      <c r="D192" s="1" t="s">
        <v>406</v>
      </c>
      <c r="E192" s="4">
        <v>7909.44</v>
      </c>
      <c r="F192" s="4">
        <v>7909.44</v>
      </c>
      <c r="G192" s="4"/>
      <c r="H192" s="4">
        <f>'data on outstanding creditors'!$E192-'data on outstanding creditors'!$F192-'data on outstanding creditors'!$G192</f>
        <v>0</v>
      </c>
      <c r="I192" s="2">
        <v>45950.0</v>
      </c>
      <c r="J192" s="1"/>
      <c r="K192" s="2"/>
      <c r="L192" s="5"/>
      <c r="M192" s="9" t="s">
        <v>403</v>
      </c>
      <c r="N192" s="9" t="s">
        <v>23</v>
      </c>
      <c r="O192" s="10">
        <f>'data on outstanding creditors'!$E192*100/107</f>
        <v>7392</v>
      </c>
      <c r="P192" s="10">
        <f>'data on outstanding creditors'!$E192-'data on outstanding creditors'!$O192</f>
        <v>517.44</v>
      </c>
      <c r="Q192" s="7">
        <f>DAY('data on outstanding creditors'!$B192)</f>
        <v>27</v>
      </c>
      <c r="R192" s="7">
        <f>MONTH('data on outstanding creditors'!$B192)</f>
        <v>3</v>
      </c>
      <c r="S192" s="7">
        <f>YEAR('data on outstanding creditors'!$B192)</f>
        <v>2025</v>
      </c>
      <c r="T192" s="11" t="str">
        <f>'data on outstanding creditors'!$C192&amp;" "&amp;'data on outstanding creditors'!$D192&amp;" "&amp;TEXT('data on outstanding creditors'!$E192,"#,##0.00")</f>
        <v>องค์การเภสัชกรรม 3000979434 7,909.44</v>
      </c>
      <c r="U192" s="8"/>
    </row>
    <row r="193" ht="13.5" customHeight="1">
      <c r="A193" s="1"/>
      <c r="B193" s="2">
        <v>45743.0</v>
      </c>
      <c r="C193" s="9" t="s">
        <v>401</v>
      </c>
      <c r="D193" s="1" t="s">
        <v>407</v>
      </c>
      <c r="E193" s="4">
        <v>128400.0</v>
      </c>
      <c r="F193" s="4">
        <v>128400.0</v>
      </c>
      <c r="G193" s="4"/>
      <c r="H193" s="4">
        <f>'data on outstanding creditors'!$E193-'data on outstanding creditors'!$F193-'data on outstanding creditors'!$G193</f>
        <v>0</v>
      </c>
      <c r="I193" s="2">
        <v>45950.0</v>
      </c>
      <c r="J193" s="1"/>
      <c r="K193" s="2"/>
      <c r="L193" s="5"/>
      <c r="M193" s="9" t="s">
        <v>403</v>
      </c>
      <c r="N193" s="9" t="s">
        <v>23</v>
      </c>
      <c r="O193" s="10">
        <f>'data on outstanding creditors'!$E193*100/107</f>
        <v>120000</v>
      </c>
      <c r="P193" s="10">
        <f>'data on outstanding creditors'!$E193-'data on outstanding creditors'!$O193</f>
        <v>8400</v>
      </c>
      <c r="Q193" s="7">
        <f>DAY('data on outstanding creditors'!$B193)</f>
        <v>27</v>
      </c>
      <c r="R193" s="7">
        <f>MONTH('data on outstanding creditors'!$B193)</f>
        <v>3</v>
      </c>
      <c r="S193" s="7">
        <f>YEAR('data on outstanding creditors'!$B193)</f>
        <v>2025</v>
      </c>
      <c r="T193" s="11" t="str">
        <f>'data on outstanding creditors'!$C193&amp;" "&amp;'data on outstanding creditors'!$D193&amp;" "&amp;TEXT('data on outstanding creditors'!$E193,"#,##0.00")</f>
        <v>องค์การเภสัชกรรม 3000981568 128,400.00</v>
      </c>
      <c r="U193" s="8"/>
    </row>
    <row r="194" ht="13.5" customHeight="1">
      <c r="A194" s="1"/>
      <c r="B194" s="2">
        <v>45743.0</v>
      </c>
      <c r="C194" s="9" t="s">
        <v>401</v>
      </c>
      <c r="D194" s="1" t="s">
        <v>408</v>
      </c>
      <c r="E194" s="4">
        <v>13011.2</v>
      </c>
      <c r="F194" s="4">
        <v>13011.2</v>
      </c>
      <c r="G194" s="4"/>
      <c r="H194" s="4">
        <f>'data on outstanding creditors'!$E194-'data on outstanding creditors'!$F194-'data on outstanding creditors'!$G194</f>
        <v>0</v>
      </c>
      <c r="I194" s="2">
        <v>45950.0</v>
      </c>
      <c r="J194" s="1"/>
      <c r="K194" s="2"/>
      <c r="L194" s="5"/>
      <c r="M194" s="9" t="s">
        <v>403</v>
      </c>
      <c r="N194" s="9" t="s">
        <v>23</v>
      </c>
      <c r="O194" s="10">
        <f>'data on outstanding creditors'!$E194*100/107</f>
        <v>12160</v>
      </c>
      <c r="P194" s="10">
        <f>'data on outstanding creditors'!$E194-'data on outstanding creditors'!$O194</f>
        <v>851.2</v>
      </c>
      <c r="Q194" s="7">
        <f>DAY('data on outstanding creditors'!$B194)</f>
        <v>27</v>
      </c>
      <c r="R194" s="7">
        <f>MONTH('data on outstanding creditors'!$B194)</f>
        <v>3</v>
      </c>
      <c r="S194" s="7">
        <f>YEAR('data on outstanding creditors'!$B194)</f>
        <v>2025</v>
      </c>
      <c r="T194" s="11" t="str">
        <f>'data on outstanding creditors'!$C194&amp;" "&amp;'data on outstanding creditors'!$D194&amp;" "&amp;TEXT('data on outstanding creditors'!$E194,"#,##0.00")</f>
        <v>องค์การเภสัชกรรม 3000981585 13,011.20</v>
      </c>
      <c r="U194" s="8"/>
    </row>
    <row r="195" ht="13.5" customHeight="1">
      <c r="A195" s="1"/>
      <c r="B195" s="2">
        <v>45743.0</v>
      </c>
      <c r="C195" s="9" t="s">
        <v>401</v>
      </c>
      <c r="D195" s="1" t="s">
        <v>409</v>
      </c>
      <c r="E195" s="4">
        <v>50675.2</v>
      </c>
      <c r="F195" s="4">
        <v>50675.2</v>
      </c>
      <c r="G195" s="4"/>
      <c r="H195" s="4">
        <f>'data on outstanding creditors'!$E195-'data on outstanding creditors'!$F195-'data on outstanding creditors'!$G195</f>
        <v>0</v>
      </c>
      <c r="I195" s="2">
        <v>45950.0</v>
      </c>
      <c r="J195" s="1"/>
      <c r="K195" s="2"/>
      <c r="L195" s="5"/>
      <c r="M195" s="9" t="s">
        <v>403</v>
      </c>
      <c r="N195" s="9" t="s">
        <v>23</v>
      </c>
      <c r="O195" s="10">
        <f>'data on outstanding creditors'!$E195*100/107</f>
        <v>47360</v>
      </c>
      <c r="P195" s="10">
        <f>'data on outstanding creditors'!$E195-'data on outstanding creditors'!$O195</f>
        <v>3315.2</v>
      </c>
      <c r="Q195" s="7">
        <f>DAY('data on outstanding creditors'!$B195)</f>
        <v>27</v>
      </c>
      <c r="R195" s="7">
        <f>MONTH('data on outstanding creditors'!$B195)</f>
        <v>3</v>
      </c>
      <c r="S195" s="7">
        <f>YEAR('data on outstanding creditors'!$B195)</f>
        <v>2025</v>
      </c>
      <c r="T195" s="11" t="str">
        <f>'data on outstanding creditors'!$C195&amp;" "&amp;'data on outstanding creditors'!$D195&amp;" "&amp;TEXT('data on outstanding creditors'!$E195,"#,##0.00")</f>
        <v>องค์การเภสัชกรรม 3000981570 50,675.20</v>
      </c>
      <c r="U195" s="8"/>
    </row>
    <row r="196" ht="13.5" customHeight="1">
      <c r="A196" s="1"/>
      <c r="B196" s="2">
        <v>45743.0</v>
      </c>
      <c r="C196" s="9" t="s">
        <v>401</v>
      </c>
      <c r="D196" s="1" t="s">
        <v>410</v>
      </c>
      <c r="E196" s="4">
        <v>33016.8</v>
      </c>
      <c r="F196" s="4">
        <v>33016.8</v>
      </c>
      <c r="G196" s="4"/>
      <c r="H196" s="4">
        <f>'data on outstanding creditors'!$E196-'data on outstanding creditors'!$F196-'data on outstanding creditors'!$G196</f>
        <v>0</v>
      </c>
      <c r="I196" s="2">
        <v>45950.0</v>
      </c>
      <c r="J196" s="1"/>
      <c r="K196" s="2"/>
      <c r="L196" s="5"/>
      <c r="M196" s="9" t="s">
        <v>403</v>
      </c>
      <c r="N196" s="9" t="s">
        <v>23</v>
      </c>
      <c r="O196" s="10">
        <f>'data on outstanding creditors'!$E196*100/107</f>
        <v>30856.82243</v>
      </c>
      <c r="P196" s="10">
        <f>'data on outstanding creditors'!$E196-'data on outstanding creditors'!$O196</f>
        <v>2159.97757</v>
      </c>
      <c r="Q196" s="7">
        <f>DAY('data on outstanding creditors'!$B196)</f>
        <v>27</v>
      </c>
      <c r="R196" s="7">
        <f>MONTH('data on outstanding creditors'!$B196)</f>
        <v>3</v>
      </c>
      <c r="S196" s="7">
        <f>YEAR('data on outstanding creditors'!$B196)</f>
        <v>2025</v>
      </c>
      <c r="T196" s="11" t="str">
        <f>'data on outstanding creditors'!$C196&amp;" "&amp;'data on outstanding creditors'!$D196&amp;" "&amp;TEXT('data on outstanding creditors'!$E196,"#,##0.00")</f>
        <v>องค์การเภสัชกรรม 3000981569 33,016.80</v>
      </c>
      <c r="U196" s="8"/>
    </row>
    <row r="197" ht="13.5" customHeight="1">
      <c r="A197" s="1"/>
      <c r="B197" s="2">
        <v>45743.0</v>
      </c>
      <c r="C197" s="9" t="s">
        <v>401</v>
      </c>
      <c r="D197" s="1" t="s">
        <v>411</v>
      </c>
      <c r="E197" s="4">
        <v>62500.0</v>
      </c>
      <c r="F197" s="4">
        <v>62500.0</v>
      </c>
      <c r="G197" s="4"/>
      <c r="H197" s="4">
        <f>'data on outstanding creditors'!$E197-'data on outstanding creditors'!$F197-'data on outstanding creditors'!$G197</f>
        <v>0</v>
      </c>
      <c r="I197" s="2">
        <v>45950.0</v>
      </c>
      <c r="J197" s="1"/>
      <c r="K197" s="2"/>
      <c r="L197" s="5"/>
      <c r="M197" s="9" t="s">
        <v>403</v>
      </c>
      <c r="N197" s="9" t="s">
        <v>23</v>
      </c>
      <c r="O197" s="10">
        <f>'data on outstanding creditors'!$E197*100/107</f>
        <v>58411.21495</v>
      </c>
      <c r="P197" s="10">
        <f>'data on outstanding creditors'!$E197-'data on outstanding creditors'!$O197</f>
        <v>4088.785047</v>
      </c>
      <c r="Q197" s="7">
        <f>DAY('data on outstanding creditors'!$B197)</f>
        <v>27</v>
      </c>
      <c r="R197" s="7">
        <f>MONTH('data on outstanding creditors'!$B197)</f>
        <v>3</v>
      </c>
      <c r="S197" s="7">
        <f>YEAR('data on outstanding creditors'!$B197)</f>
        <v>2025</v>
      </c>
      <c r="T197" s="11" t="str">
        <f>'data on outstanding creditors'!$C197&amp;" "&amp;'data on outstanding creditors'!$D197&amp;" "&amp;TEXT('data on outstanding creditors'!$E197,"#,##0.00")</f>
        <v>องค์การเภสัชกรรม 3000981627 62,500.00</v>
      </c>
      <c r="U197" s="8"/>
    </row>
    <row r="198" ht="13.5" customHeight="1">
      <c r="A198" s="1"/>
      <c r="B198" s="2">
        <v>45743.0</v>
      </c>
      <c r="C198" s="9" t="s">
        <v>401</v>
      </c>
      <c r="D198" s="1" t="s">
        <v>412</v>
      </c>
      <c r="E198" s="4">
        <v>16906.0</v>
      </c>
      <c r="F198" s="4">
        <v>16906.0</v>
      </c>
      <c r="G198" s="4"/>
      <c r="H198" s="4">
        <f>'data on outstanding creditors'!$E198-'data on outstanding creditors'!$F198-'data on outstanding creditors'!$G198</f>
        <v>0</v>
      </c>
      <c r="I198" s="2">
        <v>45950.0</v>
      </c>
      <c r="J198" s="1"/>
      <c r="K198" s="2"/>
      <c r="L198" s="5"/>
      <c r="M198" s="9" t="s">
        <v>403</v>
      </c>
      <c r="N198" s="9" t="s">
        <v>23</v>
      </c>
      <c r="O198" s="10">
        <f>'data on outstanding creditors'!$E198*100/107</f>
        <v>15800</v>
      </c>
      <c r="P198" s="10">
        <f>'data on outstanding creditors'!$E198-'data on outstanding creditors'!$O198</f>
        <v>1106</v>
      </c>
      <c r="Q198" s="7">
        <f>DAY('data on outstanding creditors'!$B198)</f>
        <v>27</v>
      </c>
      <c r="R198" s="7">
        <f>MONTH('data on outstanding creditors'!$B198)</f>
        <v>3</v>
      </c>
      <c r="S198" s="7">
        <f>YEAR('data on outstanding creditors'!$B198)</f>
        <v>2025</v>
      </c>
      <c r="T198" s="11" t="str">
        <f>'data on outstanding creditors'!$C198&amp;" "&amp;'data on outstanding creditors'!$D198&amp;" "&amp;TEXT('data on outstanding creditors'!$E198,"#,##0.00")</f>
        <v>องค์การเภสัชกรรม 3000981572 16,906.00</v>
      </c>
      <c r="U198" s="8"/>
    </row>
    <row r="199" ht="13.5" customHeight="1">
      <c r="A199" s="1"/>
      <c r="B199" s="2">
        <v>45877.0</v>
      </c>
      <c r="C199" s="9" t="s">
        <v>413</v>
      </c>
      <c r="D199" s="1" t="s">
        <v>414</v>
      </c>
      <c r="E199" s="4">
        <v>180000.0</v>
      </c>
      <c r="F199" s="4">
        <v>180000.0</v>
      </c>
      <c r="G199" s="4"/>
      <c r="H199" s="4">
        <f>'data on outstanding creditors'!$E199-'data on outstanding creditors'!$F199-'data on outstanding creditors'!$G199</f>
        <v>0</v>
      </c>
      <c r="I199" s="2">
        <v>45950.0</v>
      </c>
      <c r="J199" s="1"/>
      <c r="K199" s="2"/>
      <c r="L199" s="5"/>
      <c r="M199" s="9" t="s">
        <v>403</v>
      </c>
      <c r="N199" s="9" t="s">
        <v>23</v>
      </c>
      <c r="O199" s="10">
        <f>'data on outstanding creditors'!$E199*100/107</f>
        <v>168224.2991</v>
      </c>
      <c r="P199" s="10">
        <f>'data on outstanding creditors'!$E199-'data on outstanding creditors'!$O199</f>
        <v>11775.70093</v>
      </c>
      <c r="Q199" s="7">
        <f>DAY('data on outstanding creditors'!$B199)</f>
        <v>8</v>
      </c>
      <c r="R199" s="7">
        <f>MONTH('data on outstanding creditors'!$B199)</f>
        <v>8</v>
      </c>
      <c r="S199" s="7">
        <f>YEAR('data on outstanding creditors'!$B199)</f>
        <v>2025</v>
      </c>
      <c r="T199" s="11" t="str">
        <f>'data on outstanding creditors'!$C199&amp;" "&amp;'data on outstanding creditors'!$D199&amp;" "&amp;TEXT('data on outstanding creditors'!$E199,"#,##0.00")</f>
        <v>ศูนย์บริการโลหิตแห่งชาติ สภากาชาดไทย 0039/003871 180,000.00</v>
      </c>
      <c r="U199" s="8"/>
    </row>
    <row r="200" ht="13.5" customHeight="1">
      <c r="A200" s="1" t="s">
        <v>415</v>
      </c>
      <c r="B200" s="2">
        <v>45876.0</v>
      </c>
      <c r="C200" s="9" t="s">
        <v>100</v>
      </c>
      <c r="D200" s="1" t="s">
        <v>416</v>
      </c>
      <c r="E200" s="4">
        <v>13780.0</v>
      </c>
      <c r="F200" s="4">
        <v>13780.0</v>
      </c>
      <c r="G200" s="4"/>
      <c r="H200" s="4">
        <f>'data on outstanding creditors'!$E200-'data on outstanding creditors'!$F200-'data on outstanding creditors'!$G200</f>
        <v>0</v>
      </c>
      <c r="I200" s="2">
        <v>45950.0</v>
      </c>
      <c r="J200" s="1"/>
      <c r="K200" s="2"/>
      <c r="L200" s="5"/>
      <c r="M200" s="9" t="s">
        <v>417</v>
      </c>
      <c r="N200" s="9" t="s">
        <v>49</v>
      </c>
      <c r="O200" s="10">
        <f>'data on outstanding creditors'!$E200*100/107</f>
        <v>12878.50467</v>
      </c>
      <c r="P200" s="10">
        <f>'data on outstanding creditors'!$E200-'data on outstanding creditors'!$O200</f>
        <v>901.4953271</v>
      </c>
      <c r="Q200" s="7">
        <f>DAY('data on outstanding creditors'!$B200)</f>
        <v>7</v>
      </c>
      <c r="R200" s="7">
        <f>MONTH('data on outstanding creditors'!$B200)</f>
        <v>8</v>
      </c>
      <c r="S200" s="7">
        <f>YEAR('data on outstanding creditors'!$B200)</f>
        <v>2025</v>
      </c>
      <c r="T200" s="11" t="str">
        <f>'data on outstanding creditors'!$C200&amp;" "&amp;'data on outstanding creditors'!$D200&amp;" "&amp;TEXT('data on outstanding creditors'!$E200,"#,##0.00")</f>
        <v>หจก.ทวีศักดิ์การไฟฟ้า 2018 TN00002917 13,780.00</v>
      </c>
      <c r="U200" s="8"/>
    </row>
    <row r="201" ht="13.5" customHeight="1">
      <c r="A201" s="1" t="s">
        <v>418</v>
      </c>
      <c r="B201" s="2">
        <v>45876.0</v>
      </c>
      <c r="C201" s="9" t="s">
        <v>100</v>
      </c>
      <c r="D201" s="1" t="s">
        <v>419</v>
      </c>
      <c r="E201" s="4">
        <v>29850.0</v>
      </c>
      <c r="F201" s="4">
        <v>29850.0</v>
      </c>
      <c r="G201" s="4"/>
      <c r="H201" s="4">
        <f>'data on outstanding creditors'!$E201-'data on outstanding creditors'!$F201-'data on outstanding creditors'!$G201</f>
        <v>0</v>
      </c>
      <c r="I201" s="2">
        <v>45950.0</v>
      </c>
      <c r="J201" s="1"/>
      <c r="K201" s="2"/>
      <c r="L201" s="5"/>
      <c r="M201" s="9" t="s">
        <v>417</v>
      </c>
      <c r="N201" s="9" t="s">
        <v>49</v>
      </c>
      <c r="O201" s="10">
        <f>'data on outstanding creditors'!$E201*100/107</f>
        <v>27897.19626</v>
      </c>
      <c r="P201" s="10">
        <f>'data on outstanding creditors'!$E201-'data on outstanding creditors'!$O201</f>
        <v>1952.803738</v>
      </c>
      <c r="Q201" s="7">
        <f>DAY('data on outstanding creditors'!$B201)</f>
        <v>7</v>
      </c>
      <c r="R201" s="7">
        <f>MONTH('data on outstanding creditors'!$B201)</f>
        <v>8</v>
      </c>
      <c r="S201" s="7">
        <f>YEAR('data on outstanding creditors'!$B201)</f>
        <v>2025</v>
      </c>
      <c r="T201" s="11" t="str">
        <f>'data on outstanding creditors'!$C201&amp;" "&amp;'data on outstanding creditors'!$D201&amp;" "&amp;TEXT('data on outstanding creditors'!$E201,"#,##0.00")</f>
        <v>หจก.ทวีศักดิ์การไฟฟ้า 2018 TN00002916 29,850.00</v>
      </c>
      <c r="U201" s="8"/>
    </row>
    <row r="202" ht="13.5" customHeight="1">
      <c r="A202" s="1" t="s">
        <v>420</v>
      </c>
      <c r="B202" s="2">
        <v>45884.0</v>
      </c>
      <c r="C202" s="9" t="s">
        <v>421</v>
      </c>
      <c r="D202" s="1" t="s">
        <v>422</v>
      </c>
      <c r="E202" s="4">
        <v>71501.68</v>
      </c>
      <c r="F202" s="4">
        <v>71501.68</v>
      </c>
      <c r="G202" s="4"/>
      <c r="H202" s="4">
        <f>'data on outstanding creditors'!$E202-'data on outstanding creditors'!$F202-'data on outstanding creditors'!$G202</f>
        <v>0</v>
      </c>
      <c r="I202" s="2">
        <v>45950.0</v>
      </c>
      <c r="J202" s="1"/>
      <c r="K202" s="2"/>
      <c r="L202" s="5"/>
      <c r="M202" s="9" t="s">
        <v>423</v>
      </c>
      <c r="N202" s="9" t="s">
        <v>49</v>
      </c>
      <c r="O202" s="10">
        <f>'data on outstanding creditors'!$E202*100/107</f>
        <v>66824</v>
      </c>
      <c r="P202" s="10">
        <f>'data on outstanding creditors'!$E202-'data on outstanding creditors'!$O202</f>
        <v>4677.68</v>
      </c>
      <c r="Q202" s="7">
        <f>DAY('data on outstanding creditors'!$B202)</f>
        <v>15</v>
      </c>
      <c r="R202" s="7">
        <f>MONTH('data on outstanding creditors'!$B202)</f>
        <v>8</v>
      </c>
      <c r="S202" s="7">
        <f>YEAR('data on outstanding creditors'!$B202)</f>
        <v>2025</v>
      </c>
      <c r="T202" s="11" t="str">
        <f>'data on outstanding creditors'!$C202&amp;" "&amp;'data on outstanding creditors'!$D202&amp;" "&amp;TEXT('data on outstanding creditors'!$E202,"#,##0.00")</f>
        <v>บ.นางรองเคหะภัณฑ์ IV680815-016 71,501.68</v>
      </c>
      <c r="U202" s="8"/>
    </row>
    <row r="203" ht="13.5" customHeight="1">
      <c r="A203" s="1" t="s">
        <v>424</v>
      </c>
      <c r="B203" s="2">
        <v>45923.0</v>
      </c>
      <c r="C203" s="9" t="s">
        <v>354</v>
      </c>
      <c r="D203" s="1" t="s">
        <v>425</v>
      </c>
      <c r="E203" s="4">
        <v>92234.0</v>
      </c>
      <c r="F203" s="4">
        <v>92234.0</v>
      </c>
      <c r="G203" s="4"/>
      <c r="H203" s="4">
        <f>'data on outstanding creditors'!$E203-'data on outstanding creditors'!$F203-'data on outstanding creditors'!$G203</f>
        <v>0</v>
      </c>
      <c r="I203" s="2">
        <v>45950.0</v>
      </c>
      <c r="J203" s="1"/>
      <c r="K203" s="2"/>
      <c r="L203" s="5"/>
      <c r="M203" s="9" t="s">
        <v>426</v>
      </c>
      <c r="N203" s="9" t="s">
        <v>49</v>
      </c>
      <c r="O203" s="10">
        <f>'data on outstanding creditors'!$E203*100/107</f>
        <v>86200</v>
      </c>
      <c r="P203" s="10">
        <f>'data on outstanding creditors'!$E203-'data on outstanding creditors'!$O203</f>
        <v>6034</v>
      </c>
      <c r="Q203" s="7">
        <f>DAY('data on outstanding creditors'!$B203)</f>
        <v>23</v>
      </c>
      <c r="R203" s="7">
        <f>MONTH('data on outstanding creditors'!$B203)</f>
        <v>9</v>
      </c>
      <c r="S203" s="7">
        <f>YEAR('data on outstanding creditors'!$B203)</f>
        <v>2025</v>
      </c>
      <c r="T203" s="11" t="str">
        <f>'data on outstanding creditors'!$C203&amp;" "&amp;'data on outstanding creditors'!$D203&amp;" "&amp;TEXT('data on outstanding creditors'!$E203,"#,##0.00")</f>
        <v>บ. แม็กเทค เอลลิเวเตอร์ แอรด์ เซอร์วิส MT2568-0334 92,234.00</v>
      </c>
      <c r="U203" s="8"/>
    </row>
    <row r="204" ht="13.5" customHeight="1">
      <c r="A204" s="1"/>
      <c r="B204" s="2">
        <v>45915.0</v>
      </c>
      <c r="C204" s="9" t="s">
        <v>427</v>
      </c>
      <c r="D204" s="1" t="s">
        <v>428</v>
      </c>
      <c r="E204" s="4">
        <v>97790.0</v>
      </c>
      <c r="F204" s="4">
        <v>97790.0</v>
      </c>
      <c r="G204" s="4"/>
      <c r="H204" s="4">
        <f>'data on outstanding creditors'!$E204-'data on outstanding creditors'!$F204-'data on outstanding creditors'!$G204</f>
        <v>0</v>
      </c>
      <c r="I204" s="2">
        <v>45950.0</v>
      </c>
      <c r="J204" s="1"/>
      <c r="K204" s="2"/>
      <c r="L204" s="5"/>
      <c r="M204" s="9" t="s">
        <v>429</v>
      </c>
      <c r="N204" s="9" t="s">
        <v>23</v>
      </c>
      <c r="O204" s="10">
        <f>'data on outstanding creditors'!$E204*100/107</f>
        <v>91392.52336</v>
      </c>
      <c r="P204" s="10">
        <f>'data on outstanding creditors'!$E204-'data on outstanding creditors'!$O204</f>
        <v>6397.476636</v>
      </c>
      <c r="Q204" s="7">
        <f>DAY('data on outstanding creditors'!$B204)</f>
        <v>15</v>
      </c>
      <c r="R204" s="7">
        <f>MONTH('data on outstanding creditors'!$B204)</f>
        <v>9</v>
      </c>
      <c r="S204" s="7">
        <f>YEAR('data on outstanding creditors'!$B204)</f>
        <v>2025</v>
      </c>
      <c r="T204" s="11" t="str">
        <f>'data on outstanding creditors'!$C204&amp;" "&amp;'data on outstanding creditors'!$D204&amp;" "&amp;TEXT('data on outstanding creditors'!$E204,"#,##0.00")</f>
        <v>โรงพยาบาลคูเมือง คม.255/2568 97,790.00</v>
      </c>
      <c r="U204" s="8"/>
    </row>
    <row r="205" ht="13.5" customHeight="1">
      <c r="A205" s="1"/>
      <c r="B205" s="2">
        <v>45915.0</v>
      </c>
      <c r="C205" s="9" t="s">
        <v>427</v>
      </c>
      <c r="D205" s="1" t="s">
        <v>430</v>
      </c>
      <c r="E205" s="4">
        <v>46100.0</v>
      </c>
      <c r="F205" s="4">
        <v>46100.0</v>
      </c>
      <c r="G205" s="4"/>
      <c r="H205" s="4">
        <f>'data on outstanding creditors'!$E205-'data on outstanding creditors'!$F205-'data on outstanding creditors'!$G205</f>
        <v>0</v>
      </c>
      <c r="I205" s="2">
        <v>45950.0</v>
      </c>
      <c r="J205" s="1"/>
      <c r="K205" s="2"/>
      <c r="L205" s="5"/>
      <c r="M205" s="9" t="s">
        <v>429</v>
      </c>
      <c r="N205" s="9" t="s">
        <v>23</v>
      </c>
      <c r="O205" s="10">
        <f>'data on outstanding creditors'!$E205*100/107</f>
        <v>43084.11215</v>
      </c>
      <c r="P205" s="10">
        <f>'data on outstanding creditors'!$E205-'data on outstanding creditors'!$O205</f>
        <v>3015.88785</v>
      </c>
      <c r="Q205" s="7">
        <f>DAY('data on outstanding creditors'!$B205)</f>
        <v>15</v>
      </c>
      <c r="R205" s="7">
        <f>MONTH('data on outstanding creditors'!$B205)</f>
        <v>9</v>
      </c>
      <c r="S205" s="7">
        <f>YEAR('data on outstanding creditors'!$B205)</f>
        <v>2025</v>
      </c>
      <c r="T205" s="11" t="str">
        <f>'data on outstanding creditors'!$C205&amp;" "&amp;'data on outstanding creditors'!$D205&amp;" "&amp;TEXT('data on outstanding creditors'!$E205,"#,##0.00")</f>
        <v>โรงพยาบาลคูเมือง คม.274/2568 46,100.00</v>
      </c>
      <c r="U205" s="8"/>
    </row>
    <row r="206" ht="13.5" customHeight="1">
      <c r="A206" s="1"/>
      <c r="B206" s="2">
        <v>45916.0</v>
      </c>
      <c r="C206" s="9" t="s">
        <v>431</v>
      </c>
      <c r="D206" s="1" t="s">
        <v>432</v>
      </c>
      <c r="E206" s="4">
        <v>300000.0</v>
      </c>
      <c r="F206" s="4">
        <v>300000.0</v>
      </c>
      <c r="G206" s="4"/>
      <c r="H206" s="4">
        <f>'data on outstanding creditors'!$E206-'data on outstanding creditors'!$F206-'data on outstanding creditors'!$G206</f>
        <v>0</v>
      </c>
      <c r="I206" s="2">
        <v>45950.0</v>
      </c>
      <c r="J206" s="1"/>
      <c r="K206" s="2"/>
      <c r="L206" s="5"/>
      <c r="M206" s="9" t="s">
        <v>433</v>
      </c>
      <c r="N206" s="9" t="s">
        <v>49</v>
      </c>
      <c r="O206" s="10">
        <f>'data on outstanding creditors'!$E206*100/107</f>
        <v>280373.8318</v>
      </c>
      <c r="P206" s="10">
        <f>'data on outstanding creditors'!$E206-'data on outstanding creditors'!$O206</f>
        <v>19626.16822</v>
      </c>
      <c r="Q206" s="7">
        <f>DAY('data on outstanding creditors'!$B206)</f>
        <v>16</v>
      </c>
      <c r="R206" s="7">
        <f>MONTH('data on outstanding creditors'!$B206)</f>
        <v>9</v>
      </c>
      <c r="S206" s="7">
        <f>YEAR('data on outstanding creditors'!$B206)</f>
        <v>2025</v>
      </c>
      <c r="T206" s="11" t="str">
        <f>'data on outstanding creditors'!$C206&amp;" "&amp;'data on outstanding creditors'!$D206&amp;" "&amp;TEXT('data on outstanding creditors'!$E206,"#,##0.00")</f>
        <v>บ.เอ็ก เฮลท์ INV2025090007 300,000.00</v>
      </c>
      <c r="U206" s="8"/>
    </row>
    <row r="207" ht="13.5" customHeight="1">
      <c r="A207" s="1"/>
      <c r="B207" s="2">
        <v>45930.0</v>
      </c>
      <c r="C207" s="9" t="s">
        <v>434</v>
      </c>
      <c r="D207" s="1" t="s">
        <v>435</v>
      </c>
      <c r="E207" s="4">
        <v>289344.91</v>
      </c>
      <c r="F207" s="4">
        <v>289344.91</v>
      </c>
      <c r="G207" s="4"/>
      <c r="H207" s="4">
        <f>'data on outstanding creditors'!$E207-'data on outstanding creditors'!$F207-'data on outstanding creditors'!$G207</f>
        <v>0</v>
      </c>
      <c r="I207" s="2">
        <v>45950.0</v>
      </c>
      <c r="J207" s="1"/>
      <c r="K207" s="2"/>
      <c r="L207" s="5"/>
      <c r="M207" s="9" t="s">
        <v>436</v>
      </c>
      <c r="N207" s="9" t="s">
        <v>205</v>
      </c>
      <c r="O207" s="10">
        <f>'data on outstanding creditors'!$E207*100/107</f>
        <v>270415.8037</v>
      </c>
      <c r="P207" s="10">
        <f>'data on outstanding creditors'!$E207-'data on outstanding creditors'!$O207</f>
        <v>18929.10626</v>
      </c>
      <c r="Q207" s="7">
        <f>DAY('data on outstanding creditors'!$B207)</f>
        <v>30</v>
      </c>
      <c r="R207" s="7">
        <f>MONTH('data on outstanding creditors'!$B207)</f>
        <v>9</v>
      </c>
      <c r="S207" s="7">
        <f>YEAR('data on outstanding creditors'!$B207)</f>
        <v>2025</v>
      </c>
      <c r="T207" s="11" t="str">
        <f>'data on outstanding creditors'!$C207&amp;" "&amp;'data on outstanding creditors'!$D207&amp;" "&amp;TEXT('data on outstanding creditors'!$E207,"#,##0.00")</f>
        <v>การประปาส่วนภูมิภาค 1139680108557 289,344.91</v>
      </c>
      <c r="U207" s="8"/>
    </row>
    <row r="208" ht="13.5" customHeight="1">
      <c r="A208" s="1"/>
      <c r="B208" s="2">
        <v>45930.0</v>
      </c>
      <c r="C208" s="9" t="s">
        <v>437</v>
      </c>
      <c r="D208" s="1" t="s">
        <v>438</v>
      </c>
      <c r="E208" s="4">
        <v>1227972.42</v>
      </c>
      <c r="F208" s="4">
        <v>1227972.42</v>
      </c>
      <c r="G208" s="4"/>
      <c r="H208" s="4">
        <f>'data on outstanding creditors'!$E208-'data on outstanding creditors'!$F208-'data on outstanding creditors'!$G208</f>
        <v>0</v>
      </c>
      <c r="I208" s="2">
        <v>45950.0</v>
      </c>
      <c r="J208" s="1"/>
      <c r="K208" s="2"/>
      <c r="L208" s="5"/>
      <c r="M208" s="9" t="s">
        <v>204</v>
      </c>
      <c r="N208" s="9" t="s">
        <v>205</v>
      </c>
      <c r="O208" s="10">
        <f>'data on outstanding creditors'!$E208*100/107</f>
        <v>1147637.776</v>
      </c>
      <c r="P208" s="10">
        <f>'data on outstanding creditors'!$E208-'data on outstanding creditors'!$O208</f>
        <v>80334.6443</v>
      </c>
      <c r="Q208" s="7">
        <f>DAY('data on outstanding creditors'!$B208)</f>
        <v>30</v>
      </c>
      <c r="R208" s="7">
        <f>MONTH('data on outstanding creditors'!$B208)</f>
        <v>9</v>
      </c>
      <c r="S208" s="7">
        <f>YEAR('data on outstanding creditors'!$B208)</f>
        <v>2025</v>
      </c>
      <c r="T208" s="11" t="str">
        <f>'data on outstanding creditors'!$C208&amp;" "&amp;'data on outstanding creditors'!$D208&amp;" "&amp;TEXT('data on outstanding creditors'!$E208,"#,##0.00")</f>
        <v>การไฟฟ้าส่วนภูมิภาค 846810470981 1,227,972.42</v>
      </c>
      <c r="U208" s="8"/>
    </row>
    <row r="209" ht="13.5" customHeight="1">
      <c r="A209" s="1" t="s">
        <v>439</v>
      </c>
      <c r="B209" s="2">
        <v>45776.0</v>
      </c>
      <c r="C209" s="9" t="s">
        <v>440</v>
      </c>
      <c r="D209" s="1" t="s">
        <v>441</v>
      </c>
      <c r="E209" s="4">
        <v>92900.0</v>
      </c>
      <c r="F209" s="4">
        <v>92900.0</v>
      </c>
      <c r="G209" s="4"/>
      <c r="H209" s="4">
        <f>'data on outstanding creditors'!$E209-'data on outstanding creditors'!$F209-'data on outstanding creditors'!$G209</f>
        <v>0</v>
      </c>
      <c r="I209" s="2">
        <v>45951.0</v>
      </c>
      <c r="J209" s="1"/>
      <c r="K209" s="2"/>
      <c r="L209" s="5"/>
      <c r="M209" s="9" t="s">
        <v>94</v>
      </c>
      <c r="N209" s="9" t="s">
        <v>49</v>
      </c>
      <c r="O209" s="10">
        <f>'data on outstanding creditors'!$E209*100/107</f>
        <v>86822.42991</v>
      </c>
      <c r="P209" s="10">
        <f>'data on outstanding creditors'!$E209-'data on outstanding creditors'!$O209</f>
        <v>6077.570093</v>
      </c>
      <c r="Q209" s="7">
        <f>DAY('data on outstanding creditors'!$B209)</f>
        <v>29</v>
      </c>
      <c r="R209" s="7">
        <f>MONTH('data on outstanding creditors'!$B209)</f>
        <v>4</v>
      </c>
      <c r="S209" s="7">
        <f>YEAR('data on outstanding creditors'!$B209)</f>
        <v>2025</v>
      </c>
      <c r="T209" s="11" t="str">
        <f>'data on outstanding creditors'!$C209&amp;" "&amp;'data on outstanding creditors'!$D209&amp;" "&amp;TEXT('data on outstanding creditors'!$E209,"#,##0.00")</f>
        <v>บ.อินเตอร์ คอมพิวเตอร์ เซอร์วิส แอนด์ เทคโนโลยี IV-20250400194 92,900.00</v>
      </c>
      <c r="U209" s="8"/>
    </row>
    <row r="210" ht="13.5" customHeight="1">
      <c r="A210" s="1" t="s">
        <v>442</v>
      </c>
      <c r="B210" s="2">
        <v>45898.0</v>
      </c>
      <c r="C210" s="9" t="s">
        <v>152</v>
      </c>
      <c r="D210" s="1" t="s">
        <v>443</v>
      </c>
      <c r="E210" s="4">
        <v>3600.0</v>
      </c>
      <c r="F210" s="4">
        <v>3600.0</v>
      </c>
      <c r="G210" s="4"/>
      <c r="H210" s="4">
        <f>'data on outstanding creditors'!$E210-'data on outstanding creditors'!$F210-'data on outstanding creditors'!$G210</f>
        <v>0</v>
      </c>
      <c r="I210" s="2">
        <v>45951.0</v>
      </c>
      <c r="J210" s="1"/>
      <c r="K210" s="2"/>
      <c r="L210" s="5"/>
      <c r="M210" s="9" t="s">
        <v>125</v>
      </c>
      <c r="N210" s="9" t="s">
        <v>49</v>
      </c>
      <c r="O210" s="10">
        <f>'data on outstanding creditors'!$E210*100/107</f>
        <v>3364.485981</v>
      </c>
      <c r="P210" s="10">
        <f>'data on outstanding creditors'!$E210-'data on outstanding creditors'!$O210</f>
        <v>235.5140187</v>
      </c>
      <c r="Q210" s="7">
        <f>DAY('data on outstanding creditors'!$B210)</f>
        <v>29</v>
      </c>
      <c r="R210" s="7">
        <f>MONTH('data on outstanding creditors'!$B210)</f>
        <v>8</v>
      </c>
      <c r="S210" s="7">
        <f>YEAR('data on outstanding creditors'!$B210)</f>
        <v>2025</v>
      </c>
      <c r="T210" s="11" t="str">
        <f>'data on outstanding creditors'!$C210&amp;" "&amp;'data on outstanding creditors'!$D210&amp;" "&amp;TEXT('data on outstanding creditors'!$E210,"#,##0.00")</f>
        <v>บ.มาเจริญ โฮม เฟอร์นิเจอร์ 187/9302 3,600.00</v>
      </c>
      <c r="U210" s="8"/>
    </row>
    <row r="211" ht="13.5" customHeight="1">
      <c r="A211" s="1" t="s">
        <v>444</v>
      </c>
      <c r="B211" s="2">
        <v>45855.0</v>
      </c>
      <c r="C211" s="9" t="s">
        <v>100</v>
      </c>
      <c r="D211" s="1" t="s">
        <v>445</v>
      </c>
      <c r="E211" s="4">
        <v>9600.0</v>
      </c>
      <c r="F211" s="4">
        <v>9600.0</v>
      </c>
      <c r="G211" s="4"/>
      <c r="H211" s="4">
        <f>'data on outstanding creditors'!$E211-'data on outstanding creditors'!$F211-'data on outstanding creditors'!$G211</f>
        <v>0</v>
      </c>
      <c r="I211" s="2">
        <v>45951.0</v>
      </c>
      <c r="J211" s="1"/>
      <c r="K211" s="2"/>
      <c r="L211" s="5"/>
      <c r="M211" s="9" t="s">
        <v>141</v>
      </c>
      <c r="N211" s="9" t="s">
        <v>49</v>
      </c>
      <c r="O211" s="10">
        <f>'data on outstanding creditors'!$E211*100/107</f>
        <v>8971.962617</v>
      </c>
      <c r="P211" s="10">
        <f>'data on outstanding creditors'!$E211-'data on outstanding creditors'!$O211</f>
        <v>628.0373832</v>
      </c>
      <c r="Q211" s="7">
        <f>DAY('data on outstanding creditors'!$B211)</f>
        <v>17</v>
      </c>
      <c r="R211" s="7">
        <f>MONTH('data on outstanding creditors'!$B211)</f>
        <v>7</v>
      </c>
      <c r="S211" s="7">
        <f>YEAR('data on outstanding creditors'!$B211)</f>
        <v>2025</v>
      </c>
      <c r="T211" s="11" t="str">
        <f>'data on outstanding creditors'!$C211&amp;" "&amp;'data on outstanding creditors'!$D211&amp;" "&amp;TEXT('data on outstanding creditors'!$E211,"#,##0.00")</f>
        <v>หจก.ทวีศักดิ์การไฟฟ้า 2018 TN00002885 9,600.00</v>
      </c>
      <c r="U211" s="8"/>
    </row>
    <row r="212" ht="13.5" customHeight="1">
      <c r="A212" s="1" t="s">
        <v>446</v>
      </c>
      <c r="B212" s="2">
        <v>45887.0</v>
      </c>
      <c r="C212" s="9" t="s">
        <v>100</v>
      </c>
      <c r="D212" s="1" t="s">
        <v>447</v>
      </c>
      <c r="E212" s="4">
        <v>8970.0</v>
      </c>
      <c r="F212" s="4">
        <v>8970.0</v>
      </c>
      <c r="G212" s="4"/>
      <c r="H212" s="4">
        <f>'data on outstanding creditors'!$E212-'data on outstanding creditors'!$F212-'data on outstanding creditors'!$G212</f>
        <v>0</v>
      </c>
      <c r="I212" s="2">
        <v>45951.0</v>
      </c>
      <c r="J212" s="1"/>
      <c r="K212" s="2"/>
      <c r="L212" s="5"/>
      <c r="M212" s="9" t="s">
        <v>141</v>
      </c>
      <c r="N212" s="9" t="s">
        <v>49</v>
      </c>
      <c r="O212" s="10">
        <f>'data on outstanding creditors'!$E212*100/107</f>
        <v>8383.17757</v>
      </c>
      <c r="P212" s="10">
        <f>'data on outstanding creditors'!$E212-'data on outstanding creditors'!$O212</f>
        <v>586.8224299</v>
      </c>
      <c r="Q212" s="7">
        <f>DAY('data on outstanding creditors'!$B212)</f>
        <v>18</v>
      </c>
      <c r="R212" s="7">
        <f>MONTH('data on outstanding creditors'!$B212)</f>
        <v>8</v>
      </c>
      <c r="S212" s="7">
        <f>YEAR('data on outstanding creditors'!$B212)</f>
        <v>2025</v>
      </c>
      <c r="T212" s="11" t="str">
        <f>'data on outstanding creditors'!$C212&amp;" "&amp;'data on outstanding creditors'!$D212&amp;" "&amp;TEXT('data on outstanding creditors'!$E212,"#,##0.00")</f>
        <v>หจก.ทวีศักดิ์การไฟฟ้า 2018 TN00002935 8,970.00</v>
      </c>
      <c r="U212" s="8"/>
    </row>
    <row r="213" ht="13.5" customHeight="1">
      <c r="A213" s="1" t="s">
        <v>448</v>
      </c>
      <c r="B213" s="2">
        <v>45887.0</v>
      </c>
      <c r="C213" s="9" t="s">
        <v>100</v>
      </c>
      <c r="D213" s="1" t="s">
        <v>449</v>
      </c>
      <c r="E213" s="4">
        <v>2800.0</v>
      </c>
      <c r="F213" s="4">
        <v>2800.0</v>
      </c>
      <c r="G213" s="4"/>
      <c r="H213" s="4">
        <f>'data on outstanding creditors'!$E213-'data on outstanding creditors'!$F213-'data on outstanding creditors'!$G213</f>
        <v>0</v>
      </c>
      <c r="I213" s="2">
        <v>45951.0</v>
      </c>
      <c r="J213" s="1"/>
      <c r="K213" s="2"/>
      <c r="L213" s="5"/>
      <c r="M213" s="9" t="s">
        <v>141</v>
      </c>
      <c r="N213" s="9" t="s">
        <v>49</v>
      </c>
      <c r="O213" s="10">
        <f>'data on outstanding creditors'!$E213*100/107</f>
        <v>2616.82243</v>
      </c>
      <c r="P213" s="10">
        <f>'data on outstanding creditors'!$E213-'data on outstanding creditors'!$O213</f>
        <v>183.1775701</v>
      </c>
      <c r="Q213" s="7">
        <f>DAY('data on outstanding creditors'!$B213)</f>
        <v>18</v>
      </c>
      <c r="R213" s="7">
        <f>MONTH('data on outstanding creditors'!$B213)</f>
        <v>8</v>
      </c>
      <c r="S213" s="7">
        <f>YEAR('data on outstanding creditors'!$B213)</f>
        <v>2025</v>
      </c>
      <c r="T213" s="11" t="str">
        <f>'data on outstanding creditors'!$C213&amp;" "&amp;'data on outstanding creditors'!$D213&amp;" "&amp;TEXT('data on outstanding creditors'!$E213,"#,##0.00")</f>
        <v>หจก.ทวีศักดิ์การไฟฟ้า 2018 TN00002937 2,800.00</v>
      </c>
      <c r="U213" s="8"/>
    </row>
    <row r="214" ht="13.5" customHeight="1">
      <c r="A214" s="1" t="s">
        <v>450</v>
      </c>
      <c r="B214" s="2">
        <v>45887.0</v>
      </c>
      <c r="C214" s="9" t="s">
        <v>100</v>
      </c>
      <c r="D214" s="1" t="s">
        <v>451</v>
      </c>
      <c r="E214" s="4">
        <v>2800.0</v>
      </c>
      <c r="F214" s="4">
        <v>2800.0</v>
      </c>
      <c r="G214" s="4"/>
      <c r="H214" s="4">
        <f>'data on outstanding creditors'!$E214-'data on outstanding creditors'!$F214-'data on outstanding creditors'!$G214</f>
        <v>0</v>
      </c>
      <c r="I214" s="2">
        <v>45951.0</v>
      </c>
      <c r="J214" s="1"/>
      <c r="K214" s="2"/>
      <c r="L214" s="5"/>
      <c r="M214" s="9" t="s">
        <v>141</v>
      </c>
      <c r="N214" s="9" t="s">
        <v>49</v>
      </c>
      <c r="O214" s="10">
        <f>'data on outstanding creditors'!$E214*100/107</f>
        <v>2616.82243</v>
      </c>
      <c r="P214" s="10">
        <f>'data on outstanding creditors'!$E214-'data on outstanding creditors'!$O214</f>
        <v>183.1775701</v>
      </c>
      <c r="Q214" s="7">
        <f>DAY('data on outstanding creditors'!$B214)</f>
        <v>18</v>
      </c>
      <c r="R214" s="7">
        <f>MONTH('data on outstanding creditors'!$B214)</f>
        <v>8</v>
      </c>
      <c r="S214" s="7">
        <f>YEAR('data on outstanding creditors'!$B214)</f>
        <v>2025</v>
      </c>
      <c r="T214" s="11" t="str">
        <f>'data on outstanding creditors'!$C214&amp;" "&amp;'data on outstanding creditors'!$D214&amp;" "&amp;TEXT('data on outstanding creditors'!$E214,"#,##0.00")</f>
        <v>หจก.ทวีศักดิ์การไฟฟ้า 2018 TN00002934 2,800.00</v>
      </c>
      <c r="U214" s="8"/>
    </row>
    <row r="215" ht="13.5" customHeight="1">
      <c r="A215" s="1" t="s">
        <v>452</v>
      </c>
      <c r="B215" s="2">
        <v>45888.0</v>
      </c>
      <c r="C215" s="9" t="s">
        <v>100</v>
      </c>
      <c r="D215" s="1" t="s">
        <v>453</v>
      </c>
      <c r="E215" s="4">
        <v>7200.0</v>
      </c>
      <c r="F215" s="4">
        <v>7200.0</v>
      </c>
      <c r="G215" s="4"/>
      <c r="H215" s="4">
        <f>'data on outstanding creditors'!$E215-'data on outstanding creditors'!$F215-'data on outstanding creditors'!$G215</f>
        <v>0</v>
      </c>
      <c r="I215" s="2">
        <v>45951.0</v>
      </c>
      <c r="J215" s="1"/>
      <c r="K215" s="2"/>
      <c r="L215" s="5"/>
      <c r="M215" s="9" t="s">
        <v>141</v>
      </c>
      <c r="N215" s="9" t="s">
        <v>49</v>
      </c>
      <c r="O215" s="10">
        <f>'data on outstanding creditors'!$E215*100/107</f>
        <v>6728.971963</v>
      </c>
      <c r="P215" s="10">
        <f>'data on outstanding creditors'!$E215-'data on outstanding creditors'!$O215</f>
        <v>471.0280374</v>
      </c>
      <c r="Q215" s="7">
        <f>DAY('data on outstanding creditors'!$B215)</f>
        <v>19</v>
      </c>
      <c r="R215" s="7">
        <f>MONTH('data on outstanding creditors'!$B215)</f>
        <v>8</v>
      </c>
      <c r="S215" s="7">
        <f>YEAR('data on outstanding creditors'!$B215)</f>
        <v>2025</v>
      </c>
      <c r="T215" s="11" t="str">
        <f>'data on outstanding creditors'!$C215&amp;" "&amp;'data on outstanding creditors'!$D215&amp;" "&amp;TEXT('data on outstanding creditors'!$E215,"#,##0.00")</f>
        <v>หจก.ทวีศักดิ์การไฟฟ้า 2018 TN00002941 7,200.00</v>
      </c>
      <c r="U215" s="8"/>
    </row>
    <row r="216" ht="13.5" customHeight="1">
      <c r="A216" s="1" t="s">
        <v>454</v>
      </c>
      <c r="B216" s="2">
        <v>45891.0</v>
      </c>
      <c r="C216" s="9" t="s">
        <v>100</v>
      </c>
      <c r="D216" s="1" t="s">
        <v>455</v>
      </c>
      <c r="E216" s="4">
        <v>1780.0</v>
      </c>
      <c r="F216" s="4">
        <v>1780.0</v>
      </c>
      <c r="G216" s="4"/>
      <c r="H216" s="4">
        <f>'data on outstanding creditors'!$E216-'data on outstanding creditors'!$F216-'data on outstanding creditors'!$G216</f>
        <v>0</v>
      </c>
      <c r="I216" s="2">
        <v>45951.0</v>
      </c>
      <c r="J216" s="1"/>
      <c r="K216" s="2"/>
      <c r="L216" s="5"/>
      <c r="M216" s="9" t="s">
        <v>141</v>
      </c>
      <c r="N216" s="9" t="s">
        <v>49</v>
      </c>
      <c r="O216" s="10">
        <f>'data on outstanding creditors'!$E216*100/107</f>
        <v>1663.551402</v>
      </c>
      <c r="P216" s="10">
        <f>'data on outstanding creditors'!$E216-'data on outstanding creditors'!$O216</f>
        <v>116.4485981</v>
      </c>
      <c r="Q216" s="7">
        <f>DAY('data on outstanding creditors'!$B216)</f>
        <v>22</v>
      </c>
      <c r="R216" s="7">
        <f>MONTH('data on outstanding creditors'!$B216)</f>
        <v>8</v>
      </c>
      <c r="S216" s="7">
        <f>YEAR('data on outstanding creditors'!$B216)</f>
        <v>2025</v>
      </c>
      <c r="T216" s="11" t="str">
        <f>'data on outstanding creditors'!$C216&amp;" "&amp;'data on outstanding creditors'!$D216&amp;" "&amp;TEXT('data on outstanding creditors'!$E216,"#,##0.00")</f>
        <v>หจก.ทวีศักดิ์การไฟฟ้า 2018 TN00002953 1,780.00</v>
      </c>
      <c r="U216" s="8"/>
    </row>
    <row r="217" ht="13.5" customHeight="1">
      <c r="A217" s="1" t="s">
        <v>456</v>
      </c>
      <c r="B217" s="2">
        <v>45910.0</v>
      </c>
      <c r="C217" s="9" t="s">
        <v>100</v>
      </c>
      <c r="D217" s="1" t="s">
        <v>457</v>
      </c>
      <c r="E217" s="4">
        <v>1050.0</v>
      </c>
      <c r="F217" s="4">
        <v>1050.0</v>
      </c>
      <c r="G217" s="4"/>
      <c r="H217" s="4">
        <f>'data on outstanding creditors'!$E217-'data on outstanding creditors'!$F217-'data on outstanding creditors'!$G217</f>
        <v>0</v>
      </c>
      <c r="I217" s="2">
        <v>45951.0</v>
      </c>
      <c r="J217" s="1"/>
      <c r="K217" s="2"/>
      <c r="L217" s="5"/>
      <c r="M217" s="9" t="s">
        <v>141</v>
      </c>
      <c r="N217" s="9" t="s">
        <v>49</v>
      </c>
      <c r="O217" s="10">
        <f>'data on outstanding creditors'!$E217*100/107</f>
        <v>981.3084112</v>
      </c>
      <c r="P217" s="10">
        <f>'data on outstanding creditors'!$E217-'data on outstanding creditors'!$O217</f>
        <v>68.69158879</v>
      </c>
      <c r="Q217" s="7">
        <f>DAY('data on outstanding creditors'!$B217)</f>
        <v>10</v>
      </c>
      <c r="R217" s="7">
        <f>MONTH('data on outstanding creditors'!$B217)</f>
        <v>9</v>
      </c>
      <c r="S217" s="7">
        <f>YEAR('data on outstanding creditors'!$B217)</f>
        <v>2025</v>
      </c>
      <c r="T217" s="11" t="str">
        <f>'data on outstanding creditors'!$C217&amp;" "&amp;'data on outstanding creditors'!$D217&amp;" "&amp;TEXT('data on outstanding creditors'!$E217,"#,##0.00")</f>
        <v>หจก.ทวีศักดิ์การไฟฟ้า 2018 TN00002974 1,050.00</v>
      </c>
      <c r="U217" s="8"/>
    </row>
    <row r="218" ht="13.5" customHeight="1">
      <c r="A218" s="1" t="s">
        <v>458</v>
      </c>
      <c r="B218" s="2">
        <v>45911.0</v>
      </c>
      <c r="C218" s="9" t="s">
        <v>100</v>
      </c>
      <c r="D218" s="1" t="s">
        <v>459</v>
      </c>
      <c r="E218" s="4">
        <v>3000.0</v>
      </c>
      <c r="F218" s="4">
        <v>3000.0</v>
      </c>
      <c r="G218" s="4"/>
      <c r="H218" s="4">
        <f>'data on outstanding creditors'!$E218-'data on outstanding creditors'!$F218-'data on outstanding creditors'!$G218</f>
        <v>0</v>
      </c>
      <c r="I218" s="2">
        <v>45951.0</v>
      </c>
      <c r="J218" s="1"/>
      <c r="K218" s="2"/>
      <c r="L218" s="5"/>
      <c r="M218" s="9" t="s">
        <v>141</v>
      </c>
      <c r="N218" s="9" t="s">
        <v>49</v>
      </c>
      <c r="O218" s="10">
        <f>'data on outstanding creditors'!$E218*100/107</f>
        <v>2803.738318</v>
      </c>
      <c r="P218" s="10">
        <f>'data on outstanding creditors'!$E218-'data on outstanding creditors'!$O218</f>
        <v>196.2616822</v>
      </c>
      <c r="Q218" s="7">
        <f>DAY('data on outstanding creditors'!$B218)</f>
        <v>11</v>
      </c>
      <c r="R218" s="7">
        <f>MONTH('data on outstanding creditors'!$B218)</f>
        <v>9</v>
      </c>
      <c r="S218" s="7">
        <f>YEAR('data on outstanding creditors'!$B218)</f>
        <v>2025</v>
      </c>
      <c r="T218" s="11" t="str">
        <f>'data on outstanding creditors'!$C218&amp;" "&amp;'data on outstanding creditors'!$D218&amp;" "&amp;TEXT('data on outstanding creditors'!$E218,"#,##0.00")</f>
        <v>หจก.ทวีศักดิ์การไฟฟ้า 2018 TN00002976 3,000.00</v>
      </c>
      <c r="U218" s="8"/>
    </row>
    <row r="219" ht="13.5" customHeight="1">
      <c r="A219" s="1" t="s">
        <v>460</v>
      </c>
      <c r="B219" s="2">
        <v>45911.0</v>
      </c>
      <c r="C219" s="9" t="s">
        <v>100</v>
      </c>
      <c r="D219" s="1" t="s">
        <v>461</v>
      </c>
      <c r="E219" s="4">
        <v>3390.0</v>
      </c>
      <c r="F219" s="4">
        <v>3390.0</v>
      </c>
      <c r="G219" s="4"/>
      <c r="H219" s="4">
        <f>'data on outstanding creditors'!$E219-'data on outstanding creditors'!$F219-'data on outstanding creditors'!$G219</f>
        <v>0</v>
      </c>
      <c r="I219" s="2">
        <v>45951.0</v>
      </c>
      <c r="J219" s="1"/>
      <c r="K219" s="2"/>
      <c r="L219" s="5"/>
      <c r="M219" s="9" t="s">
        <v>141</v>
      </c>
      <c r="N219" s="9" t="s">
        <v>49</v>
      </c>
      <c r="O219" s="10">
        <f>'data on outstanding creditors'!$E219*100/107</f>
        <v>3168.224299</v>
      </c>
      <c r="P219" s="10">
        <f>'data on outstanding creditors'!$E219-'data on outstanding creditors'!$O219</f>
        <v>221.7757009</v>
      </c>
      <c r="Q219" s="7">
        <f>DAY('data on outstanding creditors'!$B219)</f>
        <v>11</v>
      </c>
      <c r="R219" s="7">
        <f>MONTH('data on outstanding creditors'!$B219)</f>
        <v>9</v>
      </c>
      <c r="S219" s="7">
        <f>YEAR('data on outstanding creditors'!$B219)</f>
        <v>2025</v>
      </c>
      <c r="T219" s="11" t="str">
        <f>'data on outstanding creditors'!$C219&amp;" "&amp;'data on outstanding creditors'!$D219&amp;" "&amp;TEXT('data on outstanding creditors'!$E219,"#,##0.00")</f>
        <v>หจก.ทวีศักดิ์การไฟฟ้า 2018 TN00002975 3,390.00</v>
      </c>
      <c r="U219" s="8"/>
    </row>
    <row r="220" ht="13.5" customHeight="1">
      <c r="A220" s="1" t="s">
        <v>462</v>
      </c>
      <c r="B220" s="2">
        <v>45854.0</v>
      </c>
      <c r="C220" s="9" t="s">
        <v>421</v>
      </c>
      <c r="D220" s="1" t="s">
        <v>463</v>
      </c>
      <c r="E220" s="4">
        <v>8099.9</v>
      </c>
      <c r="F220" s="4">
        <v>8099.9</v>
      </c>
      <c r="G220" s="4"/>
      <c r="H220" s="4">
        <f>'data on outstanding creditors'!$E220-'data on outstanding creditors'!$F220-'data on outstanding creditors'!$G220</f>
        <v>0</v>
      </c>
      <c r="I220" s="2">
        <v>45951.0</v>
      </c>
      <c r="J220" s="1"/>
      <c r="K220" s="2"/>
      <c r="L220" s="5"/>
      <c r="M220" s="9" t="s">
        <v>464</v>
      </c>
      <c r="N220" s="9" t="s">
        <v>49</v>
      </c>
      <c r="O220" s="10">
        <f>'data on outstanding creditors'!$E220*100/107</f>
        <v>7570</v>
      </c>
      <c r="P220" s="10">
        <f>'data on outstanding creditors'!$E220-'data on outstanding creditors'!$O220</f>
        <v>529.9</v>
      </c>
      <c r="Q220" s="7">
        <f>DAY('data on outstanding creditors'!$B220)</f>
        <v>16</v>
      </c>
      <c r="R220" s="7">
        <f>MONTH('data on outstanding creditors'!$B220)</f>
        <v>7</v>
      </c>
      <c r="S220" s="7">
        <f>YEAR('data on outstanding creditors'!$B220)</f>
        <v>2025</v>
      </c>
      <c r="T220" s="11" t="str">
        <f>'data on outstanding creditors'!$C220&amp;" "&amp;'data on outstanding creditors'!$D220&amp;" "&amp;TEXT('data on outstanding creditors'!$E220,"#,##0.00")</f>
        <v>บ.นางรองเคหะภัณฑ์ IV680716-014 8,099.90</v>
      </c>
      <c r="U220" s="8"/>
    </row>
    <row r="221" ht="13.5" customHeight="1">
      <c r="A221" s="1" t="s">
        <v>465</v>
      </c>
      <c r="B221" s="2">
        <v>45868.0</v>
      </c>
      <c r="C221" s="9" t="s">
        <v>421</v>
      </c>
      <c r="D221" s="1" t="s">
        <v>466</v>
      </c>
      <c r="E221" s="4">
        <v>1498.0</v>
      </c>
      <c r="F221" s="4">
        <v>1498.0</v>
      </c>
      <c r="G221" s="4"/>
      <c r="H221" s="4">
        <f>'data on outstanding creditors'!$E221-'data on outstanding creditors'!$F221-'data on outstanding creditors'!$G221</f>
        <v>0</v>
      </c>
      <c r="I221" s="2">
        <v>45951.0</v>
      </c>
      <c r="J221" s="1"/>
      <c r="K221" s="2"/>
      <c r="L221" s="5"/>
      <c r="M221" s="9" t="s">
        <v>464</v>
      </c>
      <c r="N221" s="9" t="s">
        <v>49</v>
      </c>
      <c r="O221" s="10">
        <f>'data on outstanding creditors'!$E221*100/107</f>
        <v>1400</v>
      </c>
      <c r="P221" s="10">
        <f>'data on outstanding creditors'!$E221-'data on outstanding creditors'!$O221</f>
        <v>98</v>
      </c>
      <c r="Q221" s="7">
        <f>DAY('data on outstanding creditors'!$B221)</f>
        <v>30</v>
      </c>
      <c r="R221" s="7">
        <f>MONTH('data on outstanding creditors'!$B221)</f>
        <v>7</v>
      </c>
      <c r="S221" s="7">
        <f>YEAR('data on outstanding creditors'!$B221)</f>
        <v>2025</v>
      </c>
      <c r="T221" s="11" t="str">
        <f>'data on outstanding creditors'!$C221&amp;" "&amp;'data on outstanding creditors'!$D221&amp;" "&amp;TEXT('data on outstanding creditors'!$E221,"#,##0.00")</f>
        <v>บ.นางรองเคหะภัณฑ์ IV680730-006 1,498.00</v>
      </c>
      <c r="U221" s="8"/>
    </row>
    <row r="222" ht="13.5" customHeight="1">
      <c r="A222" s="1" t="s">
        <v>467</v>
      </c>
      <c r="B222" s="2">
        <v>45868.0</v>
      </c>
      <c r="C222" s="9" t="s">
        <v>421</v>
      </c>
      <c r="D222" s="1" t="s">
        <v>468</v>
      </c>
      <c r="E222" s="4">
        <v>2482.4</v>
      </c>
      <c r="F222" s="4">
        <v>2482.4</v>
      </c>
      <c r="G222" s="4"/>
      <c r="H222" s="4">
        <f>'data on outstanding creditors'!$E222-'data on outstanding creditors'!$F222-'data on outstanding creditors'!$G222</f>
        <v>0</v>
      </c>
      <c r="I222" s="2">
        <v>45951.0</v>
      </c>
      <c r="J222" s="1"/>
      <c r="K222" s="2"/>
      <c r="L222" s="5"/>
      <c r="M222" s="9" t="s">
        <v>464</v>
      </c>
      <c r="N222" s="9" t="s">
        <v>49</v>
      </c>
      <c r="O222" s="10">
        <f>'data on outstanding creditors'!$E222*100/107</f>
        <v>2320</v>
      </c>
      <c r="P222" s="10">
        <f>'data on outstanding creditors'!$E222-'data on outstanding creditors'!$O222</f>
        <v>162.4</v>
      </c>
      <c r="Q222" s="7">
        <f>DAY('data on outstanding creditors'!$B222)</f>
        <v>30</v>
      </c>
      <c r="R222" s="7">
        <f>MONTH('data on outstanding creditors'!$B222)</f>
        <v>7</v>
      </c>
      <c r="S222" s="7">
        <f>YEAR('data on outstanding creditors'!$B222)</f>
        <v>2025</v>
      </c>
      <c r="T222" s="11" t="str">
        <f>'data on outstanding creditors'!$C222&amp;" "&amp;'data on outstanding creditors'!$D222&amp;" "&amp;TEXT('data on outstanding creditors'!$E222,"#,##0.00")</f>
        <v>บ.นางรองเคหะภัณฑ์ IV680730-005 2,482.40</v>
      </c>
      <c r="U222" s="8"/>
    </row>
    <row r="223" ht="13.5" customHeight="1">
      <c r="A223" s="1" t="s">
        <v>469</v>
      </c>
      <c r="B223" s="2">
        <v>45876.0</v>
      </c>
      <c r="C223" s="9" t="s">
        <v>421</v>
      </c>
      <c r="D223" s="1" t="s">
        <v>470</v>
      </c>
      <c r="E223" s="4">
        <v>1498.0</v>
      </c>
      <c r="F223" s="4">
        <v>1498.0</v>
      </c>
      <c r="G223" s="4"/>
      <c r="H223" s="4">
        <f>'data on outstanding creditors'!$E223-'data on outstanding creditors'!$F223-'data on outstanding creditors'!$G223</f>
        <v>0</v>
      </c>
      <c r="I223" s="2">
        <v>45951.0</v>
      </c>
      <c r="J223" s="1"/>
      <c r="K223" s="2"/>
      <c r="L223" s="5"/>
      <c r="M223" s="9" t="s">
        <v>464</v>
      </c>
      <c r="N223" s="9" t="s">
        <v>49</v>
      </c>
      <c r="O223" s="10">
        <f>'data on outstanding creditors'!$E223*100/107</f>
        <v>1400</v>
      </c>
      <c r="P223" s="10">
        <f>'data on outstanding creditors'!$E223-'data on outstanding creditors'!$O223</f>
        <v>98</v>
      </c>
      <c r="Q223" s="7">
        <f>DAY('data on outstanding creditors'!$B223)</f>
        <v>7</v>
      </c>
      <c r="R223" s="7">
        <f>MONTH('data on outstanding creditors'!$B223)</f>
        <v>8</v>
      </c>
      <c r="S223" s="7">
        <f>YEAR('data on outstanding creditors'!$B223)</f>
        <v>2025</v>
      </c>
      <c r="T223" s="11" t="str">
        <f>'data on outstanding creditors'!$C223&amp;" "&amp;'data on outstanding creditors'!$D223&amp;" "&amp;TEXT('data on outstanding creditors'!$E223,"#,##0.00")</f>
        <v>บ.นางรองเคหะภัณฑ์ IV680807-032 1,498.00</v>
      </c>
      <c r="U223" s="8"/>
    </row>
    <row r="224" ht="13.5" customHeight="1">
      <c r="A224" s="1" t="s">
        <v>471</v>
      </c>
      <c r="B224" s="2">
        <v>45877.0</v>
      </c>
      <c r="C224" s="9" t="s">
        <v>421</v>
      </c>
      <c r="D224" s="1" t="s">
        <v>472</v>
      </c>
      <c r="E224" s="4">
        <v>524.3</v>
      </c>
      <c r="F224" s="4">
        <v>524.3</v>
      </c>
      <c r="G224" s="4"/>
      <c r="H224" s="4">
        <f>'data on outstanding creditors'!$E224-'data on outstanding creditors'!$F224-'data on outstanding creditors'!$G224</f>
        <v>0</v>
      </c>
      <c r="I224" s="2">
        <v>45951.0</v>
      </c>
      <c r="J224" s="1"/>
      <c r="K224" s="2"/>
      <c r="L224" s="5"/>
      <c r="M224" s="9" t="s">
        <v>464</v>
      </c>
      <c r="N224" s="9" t="s">
        <v>49</v>
      </c>
      <c r="O224" s="10">
        <f>'data on outstanding creditors'!$E224*100/107</f>
        <v>490</v>
      </c>
      <c r="P224" s="10">
        <f>'data on outstanding creditors'!$E224-'data on outstanding creditors'!$O224</f>
        <v>34.3</v>
      </c>
      <c r="Q224" s="7">
        <f>DAY('data on outstanding creditors'!$B224)</f>
        <v>8</v>
      </c>
      <c r="R224" s="7">
        <f>MONTH('data on outstanding creditors'!$B224)</f>
        <v>8</v>
      </c>
      <c r="S224" s="7">
        <f>YEAR('data on outstanding creditors'!$B224)</f>
        <v>2025</v>
      </c>
      <c r="T224" s="11" t="str">
        <f>'data on outstanding creditors'!$C224&amp;" "&amp;'data on outstanding creditors'!$D224&amp;" "&amp;TEXT('data on outstanding creditors'!$E224,"#,##0.00")</f>
        <v>บ.นางรองเคหะภัณฑ์ IV680808-018 524.30</v>
      </c>
      <c r="U224" s="8"/>
    </row>
    <row r="225" ht="13.5" customHeight="1">
      <c r="A225" s="1" t="s">
        <v>473</v>
      </c>
      <c r="B225" s="2">
        <v>45883.0</v>
      </c>
      <c r="C225" s="9" t="s">
        <v>421</v>
      </c>
      <c r="D225" s="1" t="s">
        <v>474</v>
      </c>
      <c r="E225" s="4">
        <v>288.9</v>
      </c>
      <c r="F225" s="4">
        <v>288.9</v>
      </c>
      <c r="G225" s="4"/>
      <c r="H225" s="4">
        <f>'data on outstanding creditors'!$E225-'data on outstanding creditors'!$F225-'data on outstanding creditors'!$G225</f>
        <v>0</v>
      </c>
      <c r="I225" s="2">
        <v>45951.0</v>
      </c>
      <c r="J225" s="1"/>
      <c r="K225" s="2"/>
      <c r="L225" s="5"/>
      <c r="M225" s="9" t="s">
        <v>464</v>
      </c>
      <c r="N225" s="9" t="s">
        <v>49</v>
      </c>
      <c r="O225" s="10">
        <f>'data on outstanding creditors'!$E225*100/107</f>
        <v>270</v>
      </c>
      <c r="P225" s="10">
        <f>'data on outstanding creditors'!$E225-'data on outstanding creditors'!$O225</f>
        <v>18.9</v>
      </c>
      <c r="Q225" s="7">
        <f>DAY('data on outstanding creditors'!$B225)</f>
        <v>14</v>
      </c>
      <c r="R225" s="7">
        <f>MONTH('data on outstanding creditors'!$B225)</f>
        <v>8</v>
      </c>
      <c r="S225" s="7">
        <f>YEAR('data on outstanding creditors'!$B225)</f>
        <v>2025</v>
      </c>
      <c r="T225" s="11" t="str">
        <f>'data on outstanding creditors'!$C225&amp;" "&amp;'data on outstanding creditors'!$D225&amp;" "&amp;TEXT('data on outstanding creditors'!$E225,"#,##0.00")</f>
        <v>บ.นางรองเคหะภัณฑ์ IV680814-019 288.90</v>
      </c>
      <c r="U225" s="8"/>
    </row>
    <row r="226" ht="13.5" customHeight="1">
      <c r="A226" s="1" t="s">
        <v>475</v>
      </c>
      <c r="B226" s="2">
        <v>45884.0</v>
      </c>
      <c r="C226" s="9" t="s">
        <v>421</v>
      </c>
      <c r="D226" s="1" t="s">
        <v>476</v>
      </c>
      <c r="E226" s="4">
        <v>2305.85</v>
      </c>
      <c r="F226" s="4">
        <v>2305.85</v>
      </c>
      <c r="G226" s="4"/>
      <c r="H226" s="4">
        <f>'data on outstanding creditors'!$E226-'data on outstanding creditors'!$F226-'data on outstanding creditors'!$G226</f>
        <v>0</v>
      </c>
      <c r="I226" s="2">
        <v>45951.0</v>
      </c>
      <c r="J226" s="1"/>
      <c r="K226" s="2"/>
      <c r="L226" s="5"/>
      <c r="M226" s="9" t="s">
        <v>464</v>
      </c>
      <c r="N226" s="9" t="s">
        <v>49</v>
      </c>
      <c r="O226" s="10">
        <f>'data on outstanding creditors'!$E226*100/107</f>
        <v>2155</v>
      </c>
      <c r="P226" s="10">
        <f>'data on outstanding creditors'!$E226-'data on outstanding creditors'!$O226</f>
        <v>150.85</v>
      </c>
      <c r="Q226" s="7">
        <f>DAY('data on outstanding creditors'!$B226)</f>
        <v>15</v>
      </c>
      <c r="R226" s="7">
        <f>MONTH('data on outstanding creditors'!$B226)</f>
        <v>8</v>
      </c>
      <c r="S226" s="7">
        <f>YEAR('data on outstanding creditors'!$B226)</f>
        <v>2025</v>
      </c>
      <c r="T226" s="11" t="str">
        <f>'data on outstanding creditors'!$C226&amp;" "&amp;'data on outstanding creditors'!$D226&amp;" "&amp;TEXT('data on outstanding creditors'!$E226,"#,##0.00")</f>
        <v>บ.นางรองเคหะภัณฑ์ IV680815-004 2,305.85</v>
      </c>
      <c r="U226" s="8"/>
    </row>
    <row r="227" ht="13.5" customHeight="1">
      <c r="A227" s="1" t="s">
        <v>477</v>
      </c>
      <c r="B227" s="2">
        <v>45887.0</v>
      </c>
      <c r="C227" s="9" t="s">
        <v>421</v>
      </c>
      <c r="D227" s="1" t="s">
        <v>478</v>
      </c>
      <c r="E227" s="4">
        <v>941.6</v>
      </c>
      <c r="F227" s="4">
        <v>941.6</v>
      </c>
      <c r="G227" s="4"/>
      <c r="H227" s="4">
        <f>'data on outstanding creditors'!$E227-'data on outstanding creditors'!$F227-'data on outstanding creditors'!$G227</f>
        <v>0</v>
      </c>
      <c r="I227" s="2">
        <v>45951.0</v>
      </c>
      <c r="J227" s="1"/>
      <c r="K227" s="2"/>
      <c r="L227" s="5"/>
      <c r="M227" s="9" t="s">
        <v>464</v>
      </c>
      <c r="N227" s="9" t="s">
        <v>49</v>
      </c>
      <c r="O227" s="10">
        <f>'data on outstanding creditors'!$E227*100/107</f>
        <v>880</v>
      </c>
      <c r="P227" s="10">
        <f>'data on outstanding creditors'!$E227-'data on outstanding creditors'!$O227</f>
        <v>61.6</v>
      </c>
      <c r="Q227" s="7">
        <f>DAY('data on outstanding creditors'!$B227)</f>
        <v>18</v>
      </c>
      <c r="R227" s="7">
        <f>MONTH('data on outstanding creditors'!$B227)</f>
        <v>8</v>
      </c>
      <c r="S227" s="7">
        <f>YEAR('data on outstanding creditors'!$B227)</f>
        <v>2025</v>
      </c>
      <c r="T227" s="11" t="str">
        <f>'data on outstanding creditors'!$C227&amp;" "&amp;'data on outstanding creditors'!$D227&amp;" "&amp;TEXT('data on outstanding creditors'!$E227,"#,##0.00")</f>
        <v>บ.นางรองเคหะภัณฑ์ IV680818-009 941.60</v>
      </c>
      <c r="U227" s="8"/>
    </row>
    <row r="228" ht="13.5" customHeight="1">
      <c r="A228" s="1" t="s">
        <v>479</v>
      </c>
      <c r="B228" s="2">
        <v>45887.0</v>
      </c>
      <c r="C228" s="9" t="s">
        <v>421</v>
      </c>
      <c r="D228" s="1" t="s">
        <v>480</v>
      </c>
      <c r="E228" s="4">
        <v>2696.4</v>
      </c>
      <c r="F228" s="4">
        <v>2696.4</v>
      </c>
      <c r="G228" s="4"/>
      <c r="H228" s="4">
        <f>'data on outstanding creditors'!$E228-'data on outstanding creditors'!$F228-'data on outstanding creditors'!$G228</f>
        <v>0</v>
      </c>
      <c r="I228" s="2">
        <v>45951.0</v>
      </c>
      <c r="J228" s="1"/>
      <c r="K228" s="2"/>
      <c r="L228" s="5"/>
      <c r="M228" s="9" t="s">
        <v>464</v>
      </c>
      <c r="N228" s="9" t="s">
        <v>49</v>
      </c>
      <c r="O228" s="10">
        <f>'data on outstanding creditors'!$E228*100/107</f>
        <v>2520</v>
      </c>
      <c r="P228" s="10">
        <f>'data on outstanding creditors'!$E228-'data on outstanding creditors'!$O228</f>
        <v>176.4</v>
      </c>
      <c r="Q228" s="7">
        <f>DAY('data on outstanding creditors'!$B228)</f>
        <v>18</v>
      </c>
      <c r="R228" s="7">
        <f>MONTH('data on outstanding creditors'!$B228)</f>
        <v>8</v>
      </c>
      <c r="S228" s="7">
        <f>YEAR('data on outstanding creditors'!$B228)</f>
        <v>2025</v>
      </c>
      <c r="T228" s="11" t="str">
        <f>'data on outstanding creditors'!$C228&amp;" "&amp;'data on outstanding creditors'!$D228&amp;" "&amp;TEXT('data on outstanding creditors'!$E228,"#,##0.00")</f>
        <v>บ.นางรองเคหะภัณฑ์ IV680818-012 2,696.40</v>
      </c>
      <c r="U228" s="8"/>
    </row>
    <row r="229" ht="13.5" customHeight="1">
      <c r="A229" s="1" t="s">
        <v>481</v>
      </c>
      <c r="B229" s="2">
        <v>45887.0</v>
      </c>
      <c r="C229" s="9" t="s">
        <v>421</v>
      </c>
      <c r="D229" s="1" t="s">
        <v>482</v>
      </c>
      <c r="E229" s="4">
        <v>428.0</v>
      </c>
      <c r="F229" s="4">
        <v>428.0</v>
      </c>
      <c r="G229" s="4"/>
      <c r="H229" s="4">
        <f>'data on outstanding creditors'!$E229-'data on outstanding creditors'!$F229-'data on outstanding creditors'!$G229</f>
        <v>0</v>
      </c>
      <c r="I229" s="2">
        <v>45951.0</v>
      </c>
      <c r="J229" s="1"/>
      <c r="K229" s="2"/>
      <c r="L229" s="5"/>
      <c r="M229" s="9" t="s">
        <v>464</v>
      </c>
      <c r="N229" s="9" t="s">
        <v>49</v>
      </c>
      <c r="O229" s="10">
        <f>'data on outstanding creditors'!$E229*100/107</f>
        <v>400</v>
      </c>
      <c r="P229" s="10">
        <f>'data on outstanding creditors'!$E229-'data on outstanding creditors'!$O229</f>
        <v>28</v>
      </c>
      <c r="Q229" s="7">
        <f>DAY('data on outstanding creditors'!$B229)</f>
        <v>18</v>
      </c>
      <c r="R229" s="7">
        <f>MONTH('data on outstanding creditors'!$B229)</f>
        <v>8</v>
      </c>
      <c r="S229" s="7">
        <f>YEAR('data on outstanding creditors'!$B229)</f>
        <v>2025</v>
      </c>
      <c r="T229" s="11" t="str">
        <f>'data on outstanding creditors'!$C229&amp;" "&amp;'data on outstanding creditors'!$D229&amp;" "&amp;TEXT('data on outstanding creditors'!$E229,"#,##0.00")</f>
        <v>บ.นางรองเคหะภัณฑ์ IV680818-010 428.00</v>
      </c>
      <c r="U229" s="8"/>
    </row>
    <row r="230" ht="13.5" customHeight="1">
      <c r="A230" s="1" t="s">
        <v>483</v>
      </c>
      <c r="B230" s="2">
        <v>45891.0</v>
      </c>
      <c r="C230" s="9" t="s">
        <v>421</v>
      </c>
      <c r="D230" s="1" t="s">
        <v>484</v>
      </c>
      <c r="E230" s="4">
        <v>3231.4</v>
      </c>
      <c r="F230" s="4">
        <v>3231.4</v>
      </c>
      <c r="G230" s="4"/>
      <c r="H230" s="4">
        <f>'data on outstanding creditors'!$E230-'data on outstanding creditors'!$F230-'data on outstanding creditors'!$G230</f>
        <v>0</v>
      </c>
      <c r="I230" s="2">
        <v>45951.0</v>
      </c>
      <c r="J230" s="1"/>
      <c r="K230" s="2"/>
      <c r="L230" s="5"/>
      <c r="M230" s="9" t="s">
        <v>464</v>
      </c>
      <c r="N230" s="9" t="s">
        <v>49</v>
      </c>
      <c r="O230" s="10">
        <f>'data on outstanding creditors'!$E230*100/107</f>
        <v>3020</v>
      </c>
      <c r="P230" s="10">
        <f>'data on outstanding creditors'!$E230-'data on outstanding creditors'!$O230</f>
        <v>211.4</v>
      </c>
      <c r="Q230" s="7">
        <f>DAY('data on outstanding creditors'!$B230)</f>
        <v>22</v>
      </c>
      <c r="R230" s="7">
        <f>MONTH('data on outstanding creditors'!$B230)</f>
        <v>8</v>
      </c>
      <c r="S230" s="7">
        <f>YEAR('data on outstanding creditors'!$B230)</f>
        <v>2025</v>
      </c>
      <c r="T230" s="11" t="str">
        <f>'data on outstanding creditors'!$C230&amp;" "&amp;'data on outstanding creditors'!$D230&amp;" "&amp;TEXT('data on outstanding creditors'!$E230,"#,##0.00")</f>
        <v>บ.นางรองเคหะภัณฑ์ IV680822-006 3,231.40</v>
      </c>
      <c r="U230" s="8"/>
    </row>
    <row r="231" ht="13.5" customHeight="1">
      <c r="A231" s="1" t="s">
        <v>485</v>
      </c>
      <c r="B231" s="2">
        <v>45897.0</v>
      </c>
      <c r="C231" s="9" t="s">
        <v>421</v>
      </c>
      <c r="D231" s="1" t="s">
        <v>486</v>
      </c>
      <c r="E231" s="4">
        <v>438.7</v>
      </c>
      <c r="F231" s="4">
        <v>438.7</v>
      </c>
      <c r="G231" s="4"/>
      <c r="H231" s="4">
        <f>'data on outstanding creditors'!$E231-'data on outstanding creditors'!$F231-'data on outstanding creditors'!$G231</f>
        <v>0</v>
      </c>
      <c r="I231" s="2">
        <v>45951.0</v>
      </c>
      <c r="J231" s="1"/>
      <c r="K231" s="2"/>
      <c r="L231" s="5"/>
      <c r="M231" s="9" t="s">
        <v>464</v>
      </c>
      <c r="N231" s="9" t="s">
        <v>49</v>
      </c>
      <c r="O231" s="10">
        <f>'data on outstanding creditors'!$E231*100/107</f>
        <v>410</v>
      </c>
      <c r="P231" s="10">
        <f>'data on outstanding creditors'!$E231-'data on outstanding creditors'!$O231</f>
        <v>28.7</v>
      </c>
      <c r="Q231" s="7">
        <f>DAY('data on outstanding creditors'!$B231)</f>
        <v>28</v>
      </c>
      <c r="R231" s="7">
        <f>MONTH('data on outstanding creditors'!$B231)</f>
        <v>8</v>
      </c>
      <c r="S231" s="7">
        <f>YEAR('data on outstanding creditors'!$B231)</f>
        <v>2025</v>
      </c>
      <c r="T231" s="11" t="str">
        <f>'data on outstanding creditors'!$C231&amp;" "&amp;'data on outstanding creditors'!$D231&amp;" "&amp;TEXT('data on outstanding creditors'!$E231,"#,##0.00")</f>
        <v>บ.นางรองเคหะภัณฑ์ IV680828-025 438.70</v>
      </c>
      <c r="U231" s="8"/>
    </row>
    <row r="232" ht="13.5" customHeight="1">
      <c r="A232" s="1" t="s">
        <v>487</v>
      </c>
      <c r="B232" s="2">
        <v>45897.0</v>
      </c>
      <c r="C232" s="9" t="s">
        <v>421</v>
      </c>
      <c r="D232" s="1" t="s">
        <v>488</v>
      </c>
      <c r="E232" s="4">
        <v>2140.0</v>
      </c>
      <c r="F232" s="4">
        <v>2140.0</v>
      </c>
      <c r="G232" s="4"/>
      <c r="H232" s="4">
        <f>'data on outstanding creditors'!$E232-'data on outstanding creditors'!$F232-'data on outstanding creditors'!$G232</f>
        <v>0</v>
      </c>
      <c r="I232" s="2">
        <v>45951.0</v>
      </c>
      <c r="J232" s="1"/>
      <c r="K232" s="2"/>
      <c r="L232" s="5"/>
      <c r="M232" s="9" t="s">
        <v>464</v>
      </c>
      <c r="N232" s="9" t="s">
        <v>49</v>
      </c>
      <c r="O232" s="10">
        <f>'data on outstanding creditors'!$E232*100/107</f>
        <v>2000</v>
      </c>
      <c r="P232" s="10">
        <f>'data on outstanding creditors'!$E232-'data on outstanding creditors'!$O232</f>
        <v>140</v>
      </c>
      <c r="Q232" s="7">
        <f>DAY('data on outstanding creditors'!$B232)</f>
        <v>28</v>
      </c>
      <c r="R232" s="7">
        <f>MONTH('data on outstanding creditors'!$B232)</f>
        <v>8</v>
      </c>
      <c r="S232" s="7">
        <f>YEAR('data on outstanding creditors'!$B232)</f>
        <v>2025</v>
      </c>
      <c r="T232" s="11" t="str">
        <f>'data on outstanding creditors'!$C232&amp;" "&amp;'data on outstanding creditors'!$D232&amp;" "&amp;TEXT('data on outstanding creditors'!$E232,"#,##0.00")</f>
        <v>บ.นางรองเคหะภัณฑ์ IV680828-016 2,140.00</v>
      </c>
      <c r="U232" s="8"/>
    </row>
    <row r="233" ht="13.5" customHeight="1">
      <c r="A233" s="1" t="s">
        <v>489</v>
      </c>
      <c r="B233" s="2">
        <v>45897.0</v>
      </c>
      <c r="C233" s="9" t="s">
        <v>421</v>
      </c>
      <c r="D233" s="1" t="s">
        <v>490</v>
      </c>
      <c r="E233" s="4">
        <v>3103.0</v>
      </c>
      <c r="F233" s="4">
        <v>3103.0</v>
      </c>
      <c r="G233" s="4"/>
      <c r="H233" s="4">
        <f>'data on outstanding creditors'!$E233-'data on outstanding creditors'!$F233-'data on outstanding creditors'!$G233</f>
        <v>0</v>
      </c>
      <c r="I233" s="2">
        <v>45951.0</v>
      </c>
      <c r="J233" s="1"/>
      <c r="K233" s="2"/>
      <c r="L233" s="5"/>
      <c r="M233" s="9" t="s">
        <v>464</v>
      </c>
      <c r="N233" s="9" t="s">
        <v>49</v>
      </c>
      <c r="O233" s="10">
        <f>'data on outstanding creditors'!$E233*100/107</f>
        <v>2900</v>
      </c>
      <c r="P233" s="10">
        <f>'data on outstanding creditors'!$E233-'data on outstanding creditors'!$O233</f>
        <v>203</v>
      </c>
      <c r="Q233" s="7">
        <f>DAY('data on outstanding creditors'!$B233)</f>
        <v>28</v>
      </c>
      <c r="R233" s="7">
        <f>MONTH('data on outstanding creditors'!$B233)</f>
        <v>8</v>
      </c>
      <c r="S233" s="7">
        <f>YEAR('data on outstanding creditors'!$B233)</f>
        <v>2025</v>
      </c>
      <c r="T233" s="11" t="str">
        <f>'data on outstanding creditors'!$C233&amp;" "&amp;'data on outstanding creditors'!$D233&amp;" "&amp;TEXT('data on outstanding creditors'!$E233,"#,##0.00")</f>
        <v>บ.นางรองเคหะภัณฑ์ IV680828-017 3,103.00</v>
      </c>
      <c r="U233" s="8"/>
    </row>
    <row r="234" ht="13.5" customHeight="1">
      <c r="A234" s="1" t="s">
        <v>491</v>
      </c>
      <c r="B234" s="2">
        <v>45897.0</v>
      </c>
      <c r="C234" s="9" t="s">
        <v>421</v>
      </c>
      <c r="D234" s="1" t="s">
        <v>492</v>
      </c>
      <c r="E234" s="4">
        <v>2140.0</v>
      </c>
      <c r="F234" s="4">
        <v>2140.0</v>
      </c>
      <c r="G234" s="4"/>
      <c r="H234" s="4">
        <f>'data on outstanding creditors'!$E234-'data on outstanding creditors'!$F234-'data on outstanding creditors'!$G234</f>
        <v>0</v>
      </c>
      <c r="I234" s="2">
        <v>45951.0</v>
      </c>
      <c r="J234" s="1"/>
      <c r="K234" s="2"/>
      <c r="L234" s="5"/>
      <c r="M234" s="9" t="s">
        <v>464</v>
      </c>
      <c r="N234" s="9" t="s">
        <v>49</v>
      </c>
      <c r="O234" s="10">
        <f>'data on outstanding creditors'!$E234*100/107</f>
        <v>2000</v>
      </c>
      <c r="P234" s="10">
        <f>'data on outstanding creditors'!$E234-'data on outstanding creditors'!$O234</f>
        <v>140</v>
      </c>
      <c r="Q234" s="7">
        <f>DAY('data on outstanding creditors'!$B234)</f>
        <v>28</v>
      </c>
      <c r="R234" s="7">
        <f>MONTH('data on outstanding creditors'!$B234)</f>
        <v>8</v>
      </c>
      <c r="S234" s="7">
        <f>YEAR('data on outstanding creditors'!$B234)</f>
        <v>2025</v>
      </c>
      <c r="T234" s="11" t="str">
        <f>'data on outstanding creditors'!$C234&amp;" "&amp;'data on outstanding creditors'!$D234&amp;" "&amp;TEXT('data on outstanding creditors'!$E234,"#,##0.00")</f>
        <v>บ.นางรองเคหะภัณฑ์ IV680828-015 2,140.00</v>
      </c>
      <c r="U234" s="8"/>
    </row>
    <row r="235" ht="13.5" customHeight="1">
      <c r="A235" s="1" t="s">
        <v>493</v>
      </c>
      <c r="B235" s="2">
        <v>45897.0</v>
      </c>
      <c r="C235" s="9" t="s">
        <v>421</v>
      </c>
      <c r="D235" s="1" t="s">
        <v>494</v>
      </c>
      <c r="E235" s="4">
        <v>856.0</v>
      </c>
      <c r="F235" s="4">
        <v>856.0</v>
      </c>
      <c r="G235" s="4"/>
      <c r="H235" s="4">
        <f>'data on outstanding creditors'!$E235-'data on outstanding creditors'!$F235-'data on outstanding creditors'!$G235</f>
        <v>0</v>
      </c>
      <c r="I235" s="2">
        <v>45951.0</v>
      </c>
      <c r="J235" s="1"/>
      <c r="K235" s="2"/>
      <c r="L235" s="5"/>
      <c r="M235" s="9" t="s">
        <v>464</v>
      </c>
      <c r="N235" s="9" t="s">
        <v>49</v>
      </c>
      <c r="O235" s="10">
        <f>'data on outstanding creditors'!$E235*100/107</f>
        <v>800</v>
      </c>
      <c r="P235" s="10">
        <f>'data on outstanding creditors'!$E235-'data on outstanding creditors'!$O235</f>
        <v>56</v>
      </c>
      <c r="Q235" s="7">
        <f>DAY('data on outstanding creditors'!$B235)</f>
        <v>28</v>
      </c>
      <c r="R235" s="7">
        <f>MONTH('data on outstanding creditors'!$B235)</f>
        <v>8</v>
      </c>
      <c r="S235" s="7">
        <f>YEAR('data on outstanding creditors'!$B235)</f>
        <v>2025</v>
      </c>
      <c r="T235" s="11" t="str">
        <f>'data on outstanding creditors'!$C235&amp;" "&amp;'data on outstanding creditors'!$D235&amp;" "&amp;TEXT('data on outstanding creditors'!$E235,"#,##0.00")</f>
        <v>บ.นางรองเคหะภัณฑ์ IV680828-014 856.00</v>
      </c>
      <c r="U235" s="8"/>
    </row>
    <row r="236" ht="13.5" customHeight="1">
      <c r="A236" s="1" t="s">
        <v>495</v>
      </c>
      <c r="B236" s="2">
        <v>45897.0</v>
      </c>
      <c r="C236" s="9" t="s">
        <v>421</v>
      </c>
      <c r="D236" s="1" t="s">
        <v>496</v>
      </c>
      <c r="E236" s="4">
        <v>1712.0</v>
      </c>
      <c r="F236" s="4">
        <v>1712.0</v>
      </c>
      <c r="G236" s="4"/>
      <c r="H236" s="4">
        <f>'data on outstanding creditors'!$E236-'data on outstanding creditors'!$F236-'data on outstanding creditors'!$G236</f>
        <v>0</v>
      </c>
      <c r="I236" s="2">
        <v>45951.0</v>
      </c>
      <c r="J236" s="1"/>
      <c r="K236" s="2"/>
      <c r="L236" s="5"/>
      <c r="M236" s="9" t="s">
        <v>464</v>
      </c>
      <c r="N236" s="9" t="s">
        <v>49</v>
      </c>
      <c r="O236" s="10">
        <f>'data on outstanding creditors'!$E236*100/107</f>
        <v>1600</v>
      </c>
      <c r="P236" s="10">
        <f>'data on outstanding creditors'!$E236-'data on outstanding creditors'!$O236</f>
        <v>112</v>
      </c>
      <c r="Q236" s="7">
        <f>DAY('data on outstanding creditors'!$B236)</f>
        <v>28</v>
      </c>
      <c r="R236" s="7">
        <f>MONTH('data on outstanding creditors'!$B236)</f>
        <v>8</v>
      </c>
      <c r="S236" s="7">
        <f>YEAR('data on outstanding creditors'!$B236)</f>
        <v>2025</v>
      </c>
      <c r="T236" s="11" t="str">
        <f>'data on outstanding creditors'!$C236&amp;" "&amp;'data on outstanding creditors'!$D236&amp;" "&amp;TEXT('data on outstanding creditors'!$E236,"#,##0.00")</f>
        <v>บ.นางรองเคหะภัณฑ์ IV680828-013 1,712.00</v>
      </c>
      <c r="U236" s="8"/>
    </row>
    <row r="237" ht="13.5" customHeight="1">
      <c r="A237" s="1" t="s">
        <v>497</v>
      </c>
      <c r="B237" s="2">
        <v>45897.0</v>
      </c>
      <c r="C237" s="9" t="s">
        <v>421</v>
      </c>
      <c r="D237" s="1" t="s">
        <v>498</v>
      </c>
      <c r="E237" s="4">
        <v>1498.0</v>
      </c>
      <c r="F237" s="4">
        <v>1498.0</v>
      </c>
      <c r="G237" s="4"/>
      <c r="H237" s="4">
        <f>'data on outstanding creditors'!$E237-'data on outstanding creditors'!$F237-'data on outstanding creditors'!$G237</f>
        <v>0</v>
      </c>
      <c r="I237" s="2">
        <v>45951.0</v>
      </c>
      <c r="J237" s="1"/>
      <c r="K237" s="2"/>
      <c r="L237" s="5"/>
      <c r="M237" s="9" t="s">
        <v>464</v>
      </c>
      <c r="N237" s="9" t="s">
        <v>49</v>
      </c>
      <c r="O237" s="10">
        <f>'data on outstanding creditors'!$E237*100/107</f>
        <v>1400</v>
      </c>
      <c r="P237" s="10">
        <f>'data on outstanding creditors'!$E237-'data on outstanding creditors'!$O237</f>
        <v>98</v>
      </c>
      <c r="Q237" s="7">
        <f>DAY('data on outstanding creditors'!$B237)</f>
        <v>28</v>
      </c>
      <c r="R237" s="7">
        <f>MONTH('data on outstanding creditors'!$B237)</f>
        <v>8</v>
      </c>
      <c r="S237" s="7">
        <f>YEAR('data on outstanding creditors'!$B237)</f>
        <v>2025</v>
      </c>
      <c r="T237" s="11" t="str">
        <f>'data on outstanding creditors'!$C237&amp;" "&amp;'data on outstanding creditors'!$D237&amp;" "&amp;TEXT('data on outstanding creditors'!$E237,"#,##0.00")</f>
        <v>บ.นางรองเคหะภัณฑ์ IV680828-011 1,498.00</v>
      </c>
      <c r="U237" s="8"/>
    </row>
    <row r="238" ht="13.5" customHeight="1">
      <c r="A238" s="1" t="s">
        <v>499</v>
      </c>
      <c r="B238" s="2">
        <v>45897.0</v>
      </c>
      <c r="C238" s="9" t="s">
        <v>421</v>
      </c>
      <c r="D238" s="1" t="s">
        <v>500</v>
      </c>
      <c r="E238" s="4">
        <v>2482.4</v>
      </c>
      <c r="F238" s="4">
        <v>2482.4</v>
      </c>
      <c r="G238" s="4"/>
      <c r="H238" s="4">
        <f>'data on outstanding creditors'!$E238-'data on outstanding creditors'!$F238-'data on outstanding creditors'!$G238</f>
        <v>0</v>
      </c>
      <c r="I238" s="2">
        <v>45951.0</v>
      </c>
      <c r="J238" s="1"/>
      <c r="K238" s="2"/>
      <c r="L238" s="5"/>
      <c r="M238" s="9" t="s">
        <v>464</v>
      </c>
      <c r="N238" s="9" t="s">
        <v>49</v>
      </c>
      <c r="O238" s="10">
        <f>'data on outstanding creditors'!$E238*100/107</f>
        <v>2320</v>
      </c>
      <c r="P238" s="10">
        <f>'data on outstanding creditors'!$E238-'data on outstanding creditors'!$O238</f>
        <v>162.4</v>
      </c>
      <c r="Q238" s="7">
        <f>DAY('data on outstanding creditors'!$B238)</f>
        <v>28</v>
      </c>
      <c r="R238" s="7">
        <f>MONTH('data on outstanding creditors'!$B238)</f>
        <v>8</v>
      </c>
      <c r="S238" s="7">
        <f>YEAR('data on outstanding creditors'!$B238)</f>
        <v>2025</v>
      </c>
      <c r="T238" s="11" t="str">
        <f>'data on outstanding creditors'!$C238&amp;" "&amp;'data on outstanding creditors'!$D238&amp;" "&amp;TEXT('data on outstanding creditors'!$E238,"#,##0.00")</f>
        <v>บ.นางรองเคหะภัณฑ์ IV680828-012 2,482.40</v>
      </c>
      <c r="U238" s="8"/>
    </row>
    <row r="239" ht="13.5" customHeight="1">
      <c r="A239" s="1" t="s">
        <v>501</v>
      </c>
      <c r="B239" s="2">
        <v>45901.0</v>
      </c>
      <c r="C239" s="9" t="s">
        <v>421</v>
      </c>
      <c r="D239" s="1" t="s">
        <v>502</v>
      </c>
      <c r="E239" s="4">
        <v>3017.4</v>
      </c>
      <c r="F239" s="4">
        <v>3017.4</v>
      </c>
      <c r="G239" s="4"/>
      <c r="H239" s="4">
        <f>'data on outstanding creditors'!$E239-'data on outstanding creditors'!$F239-'data on outstanding creditors'!$G239</f>
        <v>0</v>
      </c>
      <c r="I239" s="2">
        <v>45951.0</v>
      </c>
      <c r="J239" s="1"/>
      <c r="K239" s="2"/>
      <c r="L239" s="5"/>
      <c r="M239" s="9" t="s">
        <v>464</v>
      </c>
      <c r="N239" s="9" t="s">
        <v>49</v>
      </c>
      <c r="O239" s="10">
        <f>'data on outstanding creditors'!$E239*100/107</f>
        <v>2820</v>
      </c>
      <c r="P239" s="10">
        <f>'data on outstanding creditors'!$E239-'data on outstanding creditors'!$O239</f>
        <v>197.4</v>
      </c>
      <c r="Q239" s="7">
        <f>DAY('data on outstanding creditors'!$B239)</f>
        <v>1</v>
      </c>
      <c r="R239" s="7">
        <f>MONTH('data on outstanding creditors'!$B239)</f>
        <v>9</v>
      </c>
      <c r="S239" s="7">
        <f>YEAR('data on outstanding creditors'!$B239)</f>
        <v>2025</v>
      </c>
      <c r="T239" s="11" t="str">
        <f>'data on outstanding creditors'!$C239&amp;" "&amp;'data on outstanding creditors'!$D239&amp;" "&amp;TEXT('data on outstanding creditors'!$E239,"#,##0.00")</f>
        <v>บ.นางรองเคหะภัณฑ์ IV680901-014 3,017.40</v>
      </c>
      <c r="U239" s="8"/>
    </row>
    <row r="240" ht="13.5" customHeight="1">
      <c r="A240" s="1" t="s">
        <v>503</v>
      </c>
      <c r="B240" s="2">
        <v>45915.0</v>
      </c>
      <c r="C240" s="9" t="s">
        <v>421</v>
      </c>
      <c r="D240" s="1" t="s">
        <v>504</v>
      </c>
      <c r="E240" s="4">
        <v>3317.0</v>
      </c>
      <c r="F240" s="4">
        <v>3317.0</v>
      </c>
      <c r="G240" s="4"/>
      <c r="H240" s="4">
        <f>'data on outstanding creditors'!$E240-'data on outstanding creditors'!$F240-'data on outstanding creditors'!$G240</f>
        <v>0</v>
      </c>
      <c r="I240" s="2">
        <v>45951.0</v>
      </c>
      <c r="J240" s="1"/>
      <c r="K240" s="2"/>
      <c r="L240" s="5"/>
      <c r="M240" s="9" t="s">
        <v>464</v>
      </c>
      <c r="N240" s="9" t="s">
        <v>49</v>
      </c>
      <c r="O240" s="10">
        <f>'data on outstanding creditors'!$E240*100/107</f>
        <v>3100</v>
      </c>
      <c r="P240" s="10">
        <f>'data on outstanding creditors'!$E240-'data on outstanding creditors'!$O240</f>
        <v>217</v>
      </c>
      <c r="Q240" s="7">
        <f>DAY('data on outstanding creditors'!$B240)</f>
        <v>15</v>
      </c>
      <c r="R240" s="7">
        <f>MONTH('data on outstanding creditors'!$B240)</f>
        <v>9</v>
      </c>
      <c r="S240" s="7">
        <f>YEAR('data on outstanding creditors'!$B240)</f>
        <v>2025</v>
      </c>
      <c r="T240" s="11" t="str">
        <f>'data on outstanding creditors'!$C240&amp;" "&amp;'data on outstanding creditors'!$D240&amp;" "&amp;TEXT('data on outstanding creditors'!$E240,"#,##0.00")</f>
        <v>บ.นางรองเคหะภัณฑ์ IV680915-002 3,317.00</v>
      </c>
      <c r="U240" s="8"/>
    </row>
    <row r="241" ht="13.5" customHeight="1">
      <c r="A241" s="1" t="s">
        <v>505</v>
      </c>
      <c r="B241" s="2">
        <v>45916.0</v>
      </c>
      <c r="C241" s="9" t="s">
        <v>421</v>
      </c>
      <c r="D241" s="1" t="s">
        <v>506</v>
      </c>
      <c r="E241" s="4">
        <v>845.3</v>
      </c>
      <c r="F241" s="4">
        <v>845.3</v>
      </c>
      <c r="G241" s="4"/>
      <c r="H241" s="4">
        <f>'data on outstanding creditors'!$E241-'data on outstanding creditors'!$F241-'data on outstanding creditors'!$G241</f>
        <v>0</v>
      </c>
      <c r="I241" s="2">
        <v>45951.0</v>
      </c>
      <c r="J241" s="1"/>
      <c r="K241" s="2"/>
      <c r="L241" s="5"/>
      <c r="M241" s="9" t="s">
        <v>464</v>
      </c>
      <c r="N241" s="9" t="s">
        <v>49</v>
      </c>
      <c r="O241" s="10">
        <f>'data on outstanding creditors'!$E241*100/107</f>
        <v>790</v>
      </c>
      <c r="P241" s="10">
        <f>'data on outstanding creditors'!$E241-'data on outstanding creditors'!$O241</f>
        <v>55.3</v>
      </c>
      <c r="Q241" s="7">
        <f>DAY('data on outstanding creditors'!$B241)</f>
        <v>16</v>
      </c>
      <c r="R241" s="7">
        <f>MONTH('data on outstanding creditors'!$B241)</f>
        <v>9</v>
      </c>
      <c r="S241" s="7">
        <f>YEAR('data on outstanding creditors'!$B241)</f>
        <v>2025</v>
      </c>
      <c r="T241" s="11" t="str">
        <f>'data on outstanding creditors'!$C241&amp;" "&amp;'data on outstanding creditors'!$D241&amp;" "&amp;TEXT('data on outstanding creditors'!$E241,"#,##0.00")</f>
        <v>บ.นางรองเคหะภัณฑ์ IV680916-015 845.30</v>
      </c>
      <c r="U241" s="8"/>
    </row>
    <row r="242" ht="13.5" customHeight="1">
      <c r="A242" s="1" t="s">
        <v>507</v>
      </c>
      <c r="B242" s="2">
        <v>45919.0</v>
      </c>
      <c r="C242" s="9" t="s">
        <v>421</v>
      </c>
      <c r="D242" s="1" t="s">
        <v>508</v>
      </c>
      <c r="E242" s="4">
        <v>1000.45</v>
      </c>
      <c r="F242" s="4">
        <v>1000.45</v>
      </c>
      <c r="G242" s="4"/>
      <c r="H242" s="4">
        <f>'data on outstanding creditors'!$E242-'data on outstanding creditors'!$F242-'data on outstanding creditors'!$G242</f>
        <v>0</v>
      </c>
      <c r="I242" s="2">
        <v>45951.0</v>
      </c>
      <c r="J242" s="1"/>
      <c r="K242" s="2"/>
      <c r="L242" s="5"/>
      <c r="M242" s="9" t="s">
        <v>464</v>
      </c>
      <c r="N242" s="9" t="s">
        <v>49</v>
      </c>
      <c r="O242" s="10">
        <f>'data on outstanding creditors'!$E242*100/107</f>
        <v>935</v>
      </c>
      <c r="P242" s="10">
        <f>'data on outstanding creditors'!$E242-'data on outstanding creditors'!$O242</f>
        <v>65.45</v>
      </c>
      <c r="Q242" s="7">
        <f>DAY('data on outstanding creditors'!$B242)</f>
        <v>19</v>
      </c>
      <c r="R242" s="7">
        <f>MONTH('data on outstanding creditors'!$B242)</f>
        <v>9</v>
      </c>
      <c r="S242" s="7">
        <f>YEAR('data on outstanding creditors'!$B242)</f>
        <v>2025</v>
      </c>
      <c r="T242" s="11" t="str">
        <f>'data on outstanding creditors'!$C242&amp;" "&amp;'data on outstanding creditors'!$D242&amp;" "&amp;TEXT('data on outstanding creditors'!$E242,"#,##0.00")</f>
        <v>บ.นางรองเคหะภัณฑ์ IV680919-001 1,000.45</v>
      </c>
      <c r="U242" s="8"/>
    </row>
    <row r="243" ht="13.5" customHeight="1">
      <c r="A243" s="1"/>
      <c r="B243" s="2">
        <v>45863.0</v>
      </c>
      <c r="C243" s="9" t="s">
        <v>152</v>
      </c>
      <c r="D243" s="1" t="s">
        <v>509</v>
      </c>
      <c r="E243" s="4">
        <v>6000.0</v>
      </c>
      <c r="F243" s="4">
        <v>6000.0</v>
      </c>
      <c r="G243" s="4"/>
      <c r="H243" s="4">
        <f>'data on outstanding creditors'!$E243-'data on outstanding creditors'!$F243-'data on outstanding creditors'!$G243</f>
        <v>0</v>
      </c>
      <c r="I243" s="2">
        <v>45951.0</v>
      </c>
      <c r="J243" s="1"/>
      <c r="K243" s="2"/>
      <c r="L243" s="5"/>
      <c r="M243" s="9" t="s">
        <v>151</v>
      </c>
      <c r="N243" s="9" t="s">
        <v>49</v>
      </c>
      <c r="O243" s="10">
        <f>'data on outstanding creditors'!$E243*100/107</f>
        <v>5607.476636</v>
      </c>
      <c r="P243" s="10">
        <f>'data on outstanding creditors'!$E243-'data on outstanding creditors'!$O243</f>
        <v>392.5233645</v>
      </c>
      <c r="Q243" s="7">
        <f>DAY('data on outstanding creditors'!$B243)</f>
        <v>25</v>
      </c>
      <c r="R243" s="7">
        <f>MONTH('data on outstanding creditors'!$B243)</f>
        <v>7</v>
      </c>
      <c r="S243" s="7">
        <f>YEAR('data on outstanding creditors'!$B243)</f>
        <v>2025</v>
      </c>
      <c r="T243" s="11" t="str">
        <f>'data on outstanding creditors'!$C243&amp;" "&amp;'data on outstanding creditors'!$D243&amp;" "&amp;TEXT('data on outstanding creditors'!$E243,"#,##0.00")</f>
        <v>บ.มาเจริญ โฮม เฟอร์นิเจอร์ 183/9103 6,000.00</v>
      </c>
      <c r="U243" s="8"/>
    </row>
    <row r="244" ht="13.5" customHeight="1">
      <c r="A244" s="1" t="s">
        <v>510</v>
      </c>
      <c r="B244" s="2">
        <v>45897.0</v>
      </c>
      <c r="C244" s="9" t="s">
        <v>511</v>
      </c>
      <c r="D244" s="1" t="s">
        <v>512</v>
      </c>
      <c r="E244" s="4">
        <v>25600.0</v>
      </c>
      <c r="F244" s="4">
        <v>25600.0</v>
      </c>
      <c r="G244" s="4"/>
      <c r="H244" s="4">
        <f>'data on outstanding creditors'!$E244-'data on outstanding creditors'!$F244-'data on outstanding creditors'!$G244</f>
        <v>0</v>
      </c>
      <c r="I244" s="2">
        <v>45951.0</v>
      </c>
      <c r="J244" s="1"/>
      <c r="K244" s="2"/>
      <c r="L244" s="5"/>
      <c r="M244" s="9" t="s">
        <v>151</v>
      </c>
      <c r="N244" s="9" t="s">
        <v>49</v>
      </c>
      <c r="O244" s="10">
        <f>'data on outstanding creditors'!$E244*100/107</f>
        <v>23925.23364</v>
      </c>
      <c r="P244" s="10">
        <f>'data on outstanding creditors'!$E244-'data on outstanding creditors'!$O244</f>
        <v>1674.766355</v>
      </c>
      <c r="Q244" s="7">
        <f>DAY('data on outstanding creditors'!$B244)</f>
        <v>28</v>
      </c>
      <c r="R244" s="7">
        <f>MONTH('data on outstanding creditors'!$B244)</f>
        <v>8</v>
      </c>
      <c r="S244" s="7">
        <f>YEAR('data on outstanding creditors'!$B244)</f>
        <v>2025</v>
      </c>
      <c r="T244" s="11" t="str">
        <f>'data on outstanding creditors'!$C244&amp;" "&amp;'data on outstanding creditors'!$D244&amp;" "&amp;TEXT('data on outstanding creditors'!$E244,"#,##0.00")</f>
        <v>ร้าน เอส.พี.มาร์เก็ตติ้ง 5/22 25,600.00</v>
      </c>
      <c r="U244" s="8"/>
    </row>
    <row r="245" ht="13.5" customHeight="1">
      <c r="A245" s="1" t="s">
        <v>513</v>
      </c>
      <c r="B245" s="2">
        <v>45912.0</v>
      </c>
      <c r="C245" s="9" t="s">
        <v>514</v>
      </c>
      <c r="D245" s="1" t="s">
        <v>515</v>
      </c>
      <c r="E245" s="4">
        <v>1140000.0</v>
      </c>
      <c r="F245" s="4">
        <v>1140000.0</v>
      </c>
      <c r="G245" s="4"/>
      <c r="H245" s="4">
        <f>'data on outstanding creditors'!$E245-'data on outstanding creditors'!$F245-'data on outstanding creditors'!$G245</f>
        <v>0</v>
      </c>
      <c r="I245" s="2">
        <v>45951.0</v>
      </c>
      <c r="J245" s="1"/>
      <c r="K245" s="2"/>
      <c r="L245" s="5"/>
      <c r="M245" s="9" t="s">
        <v>516</v>
      </c>
      <c r="N245" s="9" t="s">
        <v>49</v>
      </c>
      <c r="O245" s="10">
        <f>'data on outstanding creditors'!$E245*100/107</f>
        <v>1065420.561</v>
      </c>
      <c r="P245" s="10">
        <f>'data on outstanding creditors'!$E245-'data on outstanding creditors'!$O245</f>
        <v>74579.43925</v>
      </c>
      <c r="Q245" s="7">
        <f>DAY('data on outstanding creditors'!$B245)</f>
        <v>12</v>
      </c>
      <c r="R245" s="7">
        <f>MONTH('data on outstanding creditors'!$B245)</f>
        <v>9</v>
      </c>
      <c r="S245" s="7">
        <f>YEAR('data on outstanding creditors'!$B245)</f>
        <v>2025</v>
      </c>
      <c r="T245" s="11" t="str">
        <f>'data on outstanding creditors'!$C245&amp;" "&amp;'data on outstanding creditors'!$D245&amp;" "&amp;TEXT('data on outstanding creditors'!$E245,"#,##0.00")</f>
        <v>บ.นีโอ เน็ตเวิร์ค สแกน IV68-08-03 1,140,000.00</v>
      </c>
      <c r="U245" s="8"/>
    </row>
    <row r="246" ht="13.5" customHeight="1">
      <c r="A246" s="1"/>
      <c r="B246" s="2">
        <v>45930.0</v>
      </c>
      <c r="C246" s="9" t="s">
        <v>517</v>
      </c>
      <c r="D246" s="1" t="s">
        <v>518</v>
      </c>
      <c r="E246" s="4">
        <v>6210.0</v>
      </c>
      <c r="F246" s="4">
        <v>6210.0</v>
      </c>
      <c r="G246" s="4"/>
      <c r="H246" s="4">
        <f>'data on outstanding creditors'!$E246-'data on outstanding creditors'!$F246-'data on outstanding creditors'!$G246</f>
        <v>0</v>
      </c>
      <c r="I246" s="2">
        <v>45951.0</v>
      </c>
      <c r="J246" s="1"/>
      <c r="K246" s="2"/>
      <c r="L246" s="5"/>
      <c r="M246" s="9" t="s">
        <v>519</v>
      </c>
      <c r="N246" s="9" t="s">
        <v>205</v>
      </c>
      <c r="O246" s="10">
        <f>'data on outstanding creditors'!$E246*100/107</f>
        <v>5803.738318</v>
      </c>
      <c r="P246" s="10">
        <f>'data on outstanding creditors'!$E246-'data on outstanding creditors'!$O246</f>
        <v>406.2616822</v>
      </c>
      <c r="Q246" s="7">
        <f>DAY('data on outstanding creditors'!$B246)</f>
        <v>30</v>
      </c>
      <c r="R246" s="7">
        <f>MONTH('data on outstanding creditors'!$B246)</f>
        <v>9</v>
      </c>
      <c r="S246" s="7">
        <f>YEAR('data on outstanding creditors'!$B246)</f>
        <v>2025</v>
      </c>
      <c r="T246" s="11" t="str">
        <f>'data on outstanding creditors'!$C246&amp;" "&amp;'data on outstanding creditors'!$D246&amp;" "&amp;TEXT('data on outstanding creditors'!$E246,"#,##0.00")</f>
        <v>บ.ไปรษณีย์ไทย  จำกัด A31110-6809-0405 6,210.00</v>
      </c>
      <c r="U246" s="8"/>
    </row>
    <row r="247" ht="13.5" customHeight="1">
      <c r="A247" s="1"/>
      <c r="B247" s="2">
        <v>45840.0</v>
      </c>
      <c r="C247" s="9" t="s">
        <v>520</v>
      </c>
      <c r="D247" s="1" t="s">
        <v>521</v>
      </c>
      <c r="E247" s="4">
        <v>10058.0</v>
      </c>
      <c r="F247" s="4">
        <v>10058.0</v>
      </c>
      <c r="G247" s="4"/>
      <c r="H247" s="4">
        <f>'data on outstanding creditors'!$E247-'data on outstanding creditors'!$F247-'data on outstanding creditors'!$G247</f>
        <v>0</v>
      </c>
      <c r="I247" s="2">
        <v>45952.0</v>
      </c>
      <c r="J247" s="1"/>
      <c r="K247" s="2"/>
      <c r="L247" s="5"/>
      <c r="M247" s="9" t="s">
        <v>22</v>
      </c>
      <c r="N247" s="9" t="s">
        <v>23</v>
      </c>
      <c r="O247" s="10">
        <f>'data on outstanding creditors'!$E247*100/107</f>
        <v>9400</v>
      </c>
      <c r="P247" s="10">
        <f>'data on outstanding creditors'!$E247-'data on outstanding creditors'!$O247</f>
        <v>658</v>
      </c>
      <c r="Q247" s="7">
        <f>DAY('data on outstanding creditors'!$B247)</f>
        <v>2</v>
      </c>
      <c r="R247" s="7">
        <f>MONTH('data on outstanding creditors'!$B247)</f>
        <v>7</v>
      </c>
      <c r="S247" s="7">
        <f>YEAR('data on outstanding creditors'!$B247)</f>
        <v>2025</v>
      </c>
      <c r="T247" s="11" t="str">
        <f>'data on outstanding creditors'!$C247&amp;" "&amp;'data on outstanding creditors'!$D247&amp;" "&amp;TEXT('data on outstanding creditors'!$E247,"#,##0.00")</f>
        <v>บ.ซิลลิคฟาร์มา 1317503084 10,058.00</v>
      </c>
      <c r="U247" s="8"/>
    </row>
    <row r="248" ht="13.5" customHeight="1">
      <c r="A248" s="1"/>
      <c r="B248" s="2">
        <v>45842.0</v>
      </c>
      <c r="C248" s="9" t="s">
        <v>520</v>
      </c>
      <c r="D248" s="1" t="s">
        <v>522</v>
      </c>
      <c r="E248" s="4">
        <v>14348.7</v>
      </c>
      <c r="F248" s="4">
        <v>14348.7</v>
      </c>
      <c r="G248" s="4"/>
      <c r="H248" s="4">
        <f>'data on outstanding creditors'!$E248-'data on outstanding creditors'!$F248-'data on outstanding creditors'!$G248</f>
        <v>0</v>
      </c>
      <c r="I248" s="2">
        <v>45952.0</v>
      </c>
      <c r="J248" s="1"/>
      <c r="K248" s="2"/>
      <c r="L248" s="5"/>
      <c r="M248" s="9" t="s">
        <v>22</v>
      </c>
      <c r="N248" s="9" t="s">
        <v>23</v>
      </c>
      <c r="O248" s="10">
        <f>'data on outstanding creditors'!$E248*100/107</f>
        <v>13410</v>
      </c>
      <c r="P248" s="10">
        <f>'data on outstanding creditors'!$E248-'data on outstanding creditors'!$O248</f>
        <v>938.7</v>
      </c>
      <c r="Q248" s="7">
        <f>DAY('data on outstanding creditors'!$B248)</f>
        <v>4</v>
      </c>
      <c r="R248" s="7">
        <f>MONTH('data on outstanding creditors'!$B248)</f>
        <v>7</v>
      </c>
      <c r="S248" s="7">
        <f>YEAR('data on outstanding creditors'!$B248)</f>
        <v>2025</v>
      </c>
      <c r="T248" s="11" t="str">
        <f>'data on outstanding creditors'!$C248&amp;" "&amp;'data on outstanding creditors'!$D248&amp;" "&amp;TEXT('data on outstanding creditors'!$E248,"#,##0.00")</f>
        <v>บ.ซิลลิคฟาร์มา 1317539149 14,348.70</v>
      </c>
      <c r="U248" s="8"/>
    </row>
    <row r="249" ht="13.5" customHeight="1">
      <c r="A249" s="1"/>
      <c r="B249" s="2">
        <v>45846.0</v>
      </c>
      <c r="C249" s="9" t="s">
        <v>520</v>
      </c>
      <c r="D249" s="1" t="s">
        <v>523</v>
      </c>
      <c r="E249" s="4">
        <v>4900.6</v>
      </c>
      <c r="F249" s="4">
        <v>4900.6</v>
      </c>
      <c r="G249" s="4"/>
      <c r="H249" s="4">
        <f>'data on outstanding creditors'!$E249-'data on outstanding creditors'!$F249-'data on outstanding creditors'!$G249</f>
        <v>0</v>
      </c>
      <c r="I249" s="2">
        <v>45952.0</v>
      </c>
      <c r="J249" s="1"/>
      <c r="K249" s="2"/>
      <c r="L249" s="5"/>
      <c r="M249" s="9" t="s">
        <v>22</v>
      </c>
      <c r="N249" s="9" t="s">
        <v>23</v>
      </c>
      <c r="O249" s="10">
        <f>'data on outstanding creditors'!$E249*100/107</f>
        <v>4580</v>
      </c>
      <c r="P249" s="10">
        <f>'data on outstanding creditors'!$E249-'data on outstanding creditors'!$O249</f>
        <v>320.6</v>
      </c>
      <c r="Q249" s="7">
        <f>DAY('data on outstanding creditors'!$B249)</f>
        <v>8</v>
      </c>
      <c r="R249" s="7">
        <f>MONTH('data on outstanding creditors'!$B249)</f>
        <v>7</v>
      </c>
      <c r="S249" s="7">
        <f>YEAR('data on outstanding creditors'!$B249)</f>
        <v>2025</v>
      </c>
      <c r="T249" s="11" t="str">
        <f>'data on outstanding creditors'!$C249&amp;" "&amp;'data on outstanding creditors'!$D249&amp;" "&amp;TEXT('data on outstanding creditors'!$E249,"#,##0.00")</f>
        <v>บ.ซิลลิคฟาร์มา 1317552024 4,900.60</v>
      </c>
      <c r="U249" s="8"/>
    </row>
    <row r="250" ht="13.5" customHeight="1">
      <c r="A250" s="1"/>
      <c r="B250" s="2">
        <v>45846.0</v>
      </c>
      <c r="C250" s="9" t="s">
        <v>520</v>
      </c>
      <c r="D250" s="1" t="s">
        <v>524</v>
      </c>
      <c r="E250" s="4">
        <v>11235.0</v>
      </c>
      <c r="F250" s="4">
        <v>11235.0</v>
      </c>
      <c r="G250" s="4"/>
      <c r="H250" s="4">
        <f>'data on outstanding creditors'!$E250-'data on outstanding creditors'!$F250-'data on outstanding creditors'!$G250</f>
        <v>0</v>
      </c>
      <c r="I250" s="2">
        <v>45952.0</v>
      </c>
      <c r="J250" s="1"/>
      <c r="K250" s="2"/>
      <c r="L250" s="5"/>
      <c r="M250" s="9" t="s">
        <v>22</v>
      </c>
      <c r="N250" s="9" t="s">
        <v>23</v>
      </c>
      <c r="O250" s="10">
        <f>'data on outstanding creditors'!$E250*100/107</f>
        <v>10500</v>
      </c>
      <c r="P250" s="10">
        <f>'data on outstanding creditors'!$E250-'data on outstanding creditors'!$O250</f>
        <v>735</v>
      </c>
      <c r="Q250" s="7">
        <f>DAY('data on outstanding creditors'!$B250)</f>
        <v>8</v>
      </c>
      <c r="R250" s="7">
        <f>MONTH('data on outstanding creditors'!$B250)</f>
        <v>7</v>
      </c>
      <c r="S250" s="7">
        <f>YEAR('data on outstanding creditors'!$B250)</f>
        <v>2025</v>
      </c>
      <c r="T250" s="11" t="str">
        <f>'data on outstanding creditors'!$C250&amp;" "&amp;'data on outstanding creditors'!$D250&amp;" "&amp;TEXT('data on outstanding creditors'!$E250,"#,##0.00")</f>
        <v>บ.ซิลลิคฟาร์มา 1317548848 11,235.00</v>
      </c>
      <c r="U250" s="8"/>
    </row>
    <row r="251" ht="13.5" customHeight="1">
      <c r="A251" s="1"/>
      <c r="B251" s="2">
        <v>45846.0</v>
      </c>
      <c r="C251" s="9" t="s">
        <v>520</v>
      </c>
      <c r="D251" s="1" t="s">
        <v>525</v>
      </c>
      <c r="E251" s="4">
        <v>80506.8</v>
      </c>
      <c r="F251" s="4">
        <v>80506.8</v>
      </c>
      <c r="G251" s="4"/>
      <c r="H251" s="4">
        <f>'data on outstanding creditors'!$E251-'data on outstanding creditors'!$F251-'data on outstanding creditors'!$G251</f>
        <v>0</v>
      </c>
      <c r="I251" s="2">
        <v>45952.0</v>
      </c>
      <c r="J251" s="1"/>
      <c r="K251" s="2"/>
      <c r="L251" s="5"/>
      <c r="M251" s="9" t="s">
        <v>22</v>
      </c>
      <c r="N251" s="9" t="s">
        <v>23</v>
      </c>
      <c r="O251" s="10">
        <f>'data on outstanding creditors'!$E251*100/107</f>
        <v>75240</v>
      </c>
      <c r="P251" s="10">
        <f>'data on outstanding creditors'!$E251-'data on outstanding creditors'!$O251</f>
        <v>5266.8</v>
      </c>
      <c r="Q251" s="7">
        <f>DAY('data on outstanding creditors'!$B251)</f>
        <v>8</v>
      </c>
      <c r="R251" s="7">
        <f>MONTH('data on outstanding creditors'!$B251)</f>
        <v>7</v>
      </c>
      <c r="S251" s="7">
        <f>YEAR('data on outstanding creditors'!$B251)</f>
        <v>2025</v>
      </c>
      <c r="T251" s="11" t="str">
        <f>'data on outstanding creditors'!$C251&amp;" "&amp;'data on outstanding creditors'!$D251&amp;" "&amp;TEXT('data on outstanding creditors'!$E251,"#,##0.00")</f>
        <v>บ.ซิลลิคฟาร์มา 1317577863 80,506.80</v>
      </c>
      <c r="U251" s="8"/>
    </row>
    <row r="252" ht="13.5" customHeight="1">
      <c r="A252" s="1"/>
      <c r="B252" s="2">
        <v>45847.0</v>
      </c>
      <c r="C252" s="9" t="s">
        <v>520</v>
      </c>
      <c r="D252" s="1" t="s">
        <v>526</v>
      </c>
      <c r="E252" s="4">
        <v>89987.0</v>
      </c>
      <c r="F252" s="4">
        <v>89987.0</v>
      </c>
      <c r="G252" s="4"/>
      <c r="H252" s="4">
        <f>'data on outstanding creditors'!$E252-'data on outstanding creditors'!$F252-'data on outstanding creditors'!$G252</f>
        <v>0</v>
      </c>
      <c r="I252" s="2">
        <v>45952.0</v>
      </c>
      <c r="J252" s="1"/>
      <c r="K252" s="2"/>
      <c r="L252" s="5"/>
      <c r="M252" s="9" t="s">
        <v>22</v>
      </c>
      <c r="N252" s="9" t="s">
        <v>23</v>
      </c>
      <c r="O252" s="10">
        <f>'data on outstanding creditors'!$E252*100/107</f>
        <v>84100</v>
      </c>
      <c r="P252" s="10">
        <f>'data on outstanding creditors'!$E252-'data on outstanding creditors'!$O252</f>
        <v>5887</v>
      </c>
      <c r="Q252" s="7">
        <f>DAY('data on outstanding creditors'!$B252)</f>
        <v>9</v>
      </c>
      <c r="R252" s="7">
        <f>MONTH('data on outstanding creditors'!$B252)</f>
        <v>7</v>
      </c>
      <c r="S252" s="7">
        <f>YEAR('data on outstanding creditors'!$B252)</f>
        <v>2025</v>
      </c>
      <c r="T252" s="11" t="str">
        <f>'data on outstanding creditors'!$C252&amp;" "&amp;'data on outstanding creditors'!$D252&amp;" "&amp;TEXT('data on outstanding creditors'!$E252,"#,##0.00")</f>
        <v>บ.ซิลลิคฟาร์มา 1317571674 89,987.00</v>
      </c>
      <c r="U252" s="8"/>
    </row>
    <row r="253" ht="13.5" customHeight="1">
      <c r="A253" s="1"/>
      <c r="B253" s="2">
        <v>45847.0</v>
      </c>
      <c r="C253" s="9" t="s">
        <v>520</v>
      </c>
      <c r="D253" s="1" t="s">
        <v>527</v>
      </c>
      <c r="E253" s="4">
        <v>98440.0</v>
      </c>
      <c r="F253" s="4">
        <v>98440.0</v>
      </c>
      <c r="G253" s="4"/>
      <c r="H253" s="4">
        <f>'data on outstanding creditors'!$E253-'data on outstanding creditors'!$F253-'data on outstanding creditors'!$G253</f>
        <v>0</v>
      </c>
      <c r="I253" s="2">
        <v>45952.0</v>
      </c>
      <c r="J253" s="1"/>
      <c r="K253" s="2"/>
      <c r="L253" s="5"/>
      <c r="M253" s="9" t="s">
        <v>22</v>
      </c>
      <c r="N253" s="9" t="s">
        <v>23</v>
      </c>
      <c r="O253" s="10">
        <f>'data on outstanding creditors'!$E253*100/107</f>
        <v>92000</v>
      </c>
      <c r="P253" s="10">
        <f>'data on outstanding creditors'!$E253-'data on outstanding creditors'!$O253</f>
        <v>6440</v>
      </c>
      <c r="Q253" s="7">
        <f>DAY('data on outstanding creditors'!$B253)</f>
        <v>9</v>
      </c>
      <c r="R253" s="7">
        <f>MONTH('data on outstanding creditors'!$B253)</f>
        <v>7</v>
      </c>
      <c r="S253" s="7">
        <f>YEAR('data on outstanding creditors'!$B253)</f>
        <v>2025</v>
      </c>
      <c r="T253" s="11" t="str">
        <f>'data on outstanding creditors'!$C253&amp;" "&amp;'data on outstanding creditors'!$D253&amp;" "&amp;TEXT('data on outstanding creditors'!$E253,"#,##0.00")</f>
        <v>บ.ซิลลิคฟาร์มา 1317571657 98,440.00</v>
      </c>
      <c r="U253" s="8"/>
    </row>
    <row r="254" ht="13.5" customHeight="1">
      <c r="A254" s="1"/>
      <c r="B254" s="2">
        <v>45853.0</v>
      </c>
      <c r="C254" s="9" t="s">
        <v>520</v>
      </c>
      <c r="D254" s="1" t="s">
        <v>528</v>
      </c>
      <c r="E254" s="4">
        <v>17227.0</v>
      </c>
      <c r="F254" s="4">
        <v>17227.0</v>
      </c>
      <c r="G254" s="4"/>
      <c r="H254" s="4">
        <f>'data on outstanding creditors'!$E254-'data on outstanding creditors'!$F254-'data on outstanding creditors'!$G254</f>
        <v>0</v>
      </c>
      <c r="I254" s="2">
        <v>45952.0</v>
      </c>
      <c r="J254" s="1"/>
      <c r="K254" s="2"/>
      <c r="L254" s="5"/>
      <c r="M254" s="9" t="s">
        <v>22</v>
      </c>
      <c r="N254" s="9" t="s">
        <v>23</v>
      </c>
      <c r="O254" s="10">
        <f>'data on outstanding creditors'!$E254*100/107</f>
        <v>16100</v>
      </c>
      <c r="P254" s="10">
        <f>'data on outstanding creditors'!$E254-'data on outstanding creditors'!$O254</f>
        <v>1127</v>
      </c>
      <c r="Q254" s="7">
        <f>DAY('data on outstanding creditors'!$B254)</f>
        <v>15</v>
      </c>
      <c r="R254" s="7">
        <f>MONTH('data on outstanding creditors'!$B254)</f>
        <v>7</v>
      </c>
      <c r="S254" s="7">
        <f>YEAR('data on outstanding creditors'!$B254)</f>
        <v>2025</v>
      </c>
      <c r="T254" s="11" t="str">
        <f>'data on outstanding creditors'!$C254&amp;" "&amp;'data on outstanding creditors'!$D254&amp;" "&amp;TEXT('data on outstanding creditors'!$E254,"#,##0.00")</f>
        <v>บ.ซิลลิคฟาร์มา 1317568338 17,227.00</v>
      </c>
      <c r="U254" s="8"/>
    </row>
    <row r="255" ht="13.5" customHeight="1">
      <c r="A255" s="1"/>
      <c r="B255" s="2">
        <v>45854.0</v>
      </c>
      <c r="C255" s="9" t="s">
        <v>520</v>
      </c>
      <c r="D255" s="1" t="s">
        <v>529</v>
      </c>
      <c r="E255" s="4">
        <v>25861.9</v>
      </c>
      <c r="F255" s="4">
        <v>25861.9</v>
      </c>
      <c r="G255" s="4"/>
      <c r="H255" s="4">
        <f>'data on outstanding creditors'!$E255-'data on outstanding creditors'!$F255-'data on outstanding creditors'!$G255</f>
        <v>0</v>
      </c>
      <c r="I255" s="2">
        <v>45952.0</v>
      </c>
      <c r="J255" s="1"/>
      <c r="K255" s="2"/>
      <c r="L255" s="5"/>
      <c r="M255" s="9" t="s">
        <v>22</v>
      </c>
      <c r="N255" s="9" t="s">
        <v>23</v>
      </c>
      <c r="O255" s="10">
        <f>'data on outstanding creditors'!$E255*100/107</f>
        <v>24170</v>
      </c>
      <c r="P255" s="10">
        <f>'data on outstanding creditors'!$E255-'data on outstanding creditors'!$O255</f>
        <v>1691.9</v>
      </c>
      <c r="Q255" s="7">
        <f>DAY('data on outstanding creditors'!$B255)</f>
        <v>16</v>
      </c>
      <c r="R255" s="7">
        <f>MONTH('data on outstanding creditors'!$B255)</f>
        <v>7</v>
      </c>
      <c r="S255" s="7">
        <f>YEAR('data on outstanding creditors'!$B255)</f>
        <v>2025</v>
      </c>
      <c r="T255" s="11" t="str">
        <f>'data on outstanding creditors'!$C255&amp;" "&amp;'data on outstanding creditors'!$D255&amp;" "&amp;TEXT('data on outstanding creditors'!$E255,"#,##0.00")</f>
        <v>บ.ซิลลิคฟาร์มา 1317612179 25,861.90</v>
      </c>
      <c r="U255" s="8"/>
    </row>
    <row r="256" ht="13.5" customHeight="1">
      <c r="A256" s="1"/>
      <c r="B256" s="2">
        <v>45854.0</v>
      </c>
      <c r="C256" s="9" t="s">
        <v>520</v>
      </c>
      <c r="D256" s="1" t="s">
        <v>530</v>
      </c>
      <c r="E256" s="4">
        <v>42800.0</v>
      </c>
      <c r="F256" s="4">
        <v>42800.0</v>
      </c>
      <c r="G256" s="4"/>
      <c r="H256" s="4">
        <f>'data on outstanding creditors'!$E256-'data on outstanding creditors'!$F256-'data on outstanding creditors'!$G256</f>
        <v>0</v>
      </c>
      <c r="I256" s="2">
        <v>45952.0</v>
      </c>
      <c r="J256" s="1"/>
      <c r="K256" s="2"/>
      <c r="L256" s="5"/>
      <c r="M256" s="9" t="s">
        <v>22</v>
      </c>
      <c r="N256" s="9" t="s">
        <v>23</v>
      </c>
      <c r="O256" s="10">
        <f>'data on outstanding creditors'!$E256*100/107</f>
        <v>40000</v>
      </c>
      <c r="P256" s="10">
        <f>'data on outstanding creditors'!$E256-'data on outstanding creditors'!$O256</f>
        <v>2800</v>
      </c>
      <c r="Q256" s="7">
        <f>DAY('data on outstanding creditors'!$B256)</f>
        <v>16</v>
      </c>
      <c r="R256" s="7">
        <f>MONTH('data on outstanding creditors'!$B256)</f>
        <v>7</v>
      </c>
      <c r="S256" s="7">
        <f>YEAR('data on outstanding creditors'!$B256)</f>
        <v>2025</v>
      </c>
      <c r="T256" s="11" t="str">
        <f>'data on outstanding creditors'!$C256&amp;" "&amp;'data on outstanding creditors'!$D256&amp;" "&amp;TEXT('data on outstanding creditors'!$E256,"#,##0.00")</f>
        <v>บ.ซิลลิคฟาร์มา 1317641329 42,800.00</v>
      </c>
      <c r="U256" s="8"/>
    </row>
    <row r="257" ht="13.5" customHeight="1">
      <c r="A257" s="1"/>
      <c r="B257" s="2">
        <v>45854.0</v>
      </c>
      <c r="C257" s="9" t="s">
        <v>520</v>
      </c>
      <c r="D257" s="1" t="s">
        <v>531</v>
      </c>
      <c r="E257" s="4">
        <v>15258.2</v>
      </c>
      <c r="F257" s="4">
        <v>15258.2</v>
      </c>
      <c r="G257" s="4"/>
      <c r="H257" s="4">
        <f>'data on outstanding creditors'!$E257-'data on outstanding creditors'!$F257-'data on outstanding creditors'!$G257</f>
        <v>0</v>
      </c>
      <c r="I257" s="2">
        <v>45952.0</v>
      </c>
      <c r="J257" s="1"/>
      <c r="K257" s="2"/>
      <c r="L257" s="5"/>
      <c r="M257" s="9" t="s">
        <v>22</v>
      </c>
      <c r="N257" s="9" t="s">
        <v>23</v>
      </c>
      <c r="O257" s="10">
        <f>'data on outstanding creditors'!$E257*100/107</f>
        <v>14260</v>
      </c>
      <c r="P257" s="10">
        <f>'data on outstanding creditors'!$E257-'data on outstanding creditors'!$O257</f>
        <v>998.2</v>
      </c>
      <c r="Q257" s="7">
        <f>DAY('data on outstanding creditors'!$B257)</f>
        <v>16</v>
      </c>
      <c r="R257" s="7">
        <f>MONTH('data on outstanding creditors'!$B257)</f>
        <v>7</v>
      </c>
      <c r="S257" s="7">
        <f>YEAR('data on outstanding creditors'!$B257)</f>
        <v>2025</v>
      </c>
      <c r="T257" s="11" t="str">
        <f>'data on outstanding creditors'!$C257&amp;" "&amp;'data on outstanding creditors'!$D257&amp;" "&amp;TEXT('data on outstanding creditors'!$E257,"#,##0.00")</f>
        <v>บ.ซิลลิคฟาร์มา 1317625473 15,258.20</v>
      </c>
      <c r="U257" s="8"/>
    </row>
    <row r="258" ht="13.5" customHeight="1">
      <c r="A258" s="1"/>
      <c r="B258" s="2">
        <v>45854.0</v>
      </c>
      <c r="C258" s="9" t="s">
        <v>520</v>
      </c>
      <c r="D258" s="1" t="s">
        <v>532</v>
      </c>
      <c r="E258" s="4">
        <v>16200.0</v>
      </c>
      <c r="F258" s="4">
        <v>16200.0</v>
      </c>
      <c r="G258" s="4"/>
      <c r="H258" s="4">
        <f>'data on outstanding creditors'!$E258-'data on outstanding creditors'!$F258-'data on outstanding creditors'!$G258</f>
        <v>0</v>
      </c>
      <c r="I258" s="2">
        <v>45952.0</v>
      </c>
      <c r="J258" s="1"/>
      <c r="K258" s="2"/>
      <c r="L258" s="5"/>
      <c r="M258" s="9" t="s">
        <v>22</v>
      </c>
      <c r="N258" s="9" t="s">
        <v>23</v>
      </c>
      <c r="O258" s="10">
        <f>'data on outstanding creditors'!$E258*100/107</f>
        <v>15140.18692</v>
      </c>
      <c r="P258" s="10">
        <f>'data on outstanding creditors'!$E258-'data on outstanding creditors'!$O258</f>
        <v>1059.813084</v>
      </c>
      <c r="Q258" s="7">
        <f>DAY('data on outstanding creditors'!$B258)</f>
        <v>16</v>
      </c>
      <c r="R258" s="7">
        <f>MONTH('data on outstanding creditors'!$B258)</f>
        <v>7</v>
      </c>
      <c r="S258" s="7">
        <f>YEAR('data on outstanding creditors'!$B258)</f>
        <v>2025</v>
      </c>
      <c r="T258" s="11" t="str">
        <f>'data on outstanding creditors'!$C258&amp;" "&amp;'data on outstanding creditors'!$D258&amp;" "&amp;TEXT('data on outstanding creditors'!$E258,"#,##0.00")</f>
        <v>บ.ซิลลิคฟาร์มา 1317606294 16,200.00</v>
      </c>
      <c r="U258" s="8"/>
    </row>
    <row r="259" ht="13.5" customHeight="1">
      <c r="A259" s="1"/>
      <c r="B259" s="2">
        <v>45854.0</v>
      </c>
      <c r="C259" s="9" t="s">
        <v>520</v>
      </c>
      <c r="D259" s="1" t="s">
        <v>533</v>
      </c>
      <c r="E259" s="4">
        <v>29960.0</v>
      </c>
      <c r="F259" s="4">
        <v>29960.0</v>
      </c>
      <c r="G259" s="4"/>
      <c r="H259" s="4">
        <f>'data on outstanding creditors'!$E259-'data on outstanding creditors'!$F259-'data on outstanding creditors'!$G259</f>
        <v>0</v>
      </c>
      <c r="I259" s="2">
        <v>45952.0</v>
      </c>
      <c r="J259" s="1"/>
      <c r="K259" s="2"/>
      <c r="L259" s="5"/>
      <c r="M259" s="9" t="s">
        <v>22</v>
      </c>
      <c r="N259" s="9" t="s">
        <v>23</v>
      </c>
      <c r="O259" s="10">
        <f>'data on outstanding creditors'!$E259*100/107</f>
        <v>28000</v>
      </c>
      <c r="P259" s="10">
        <f>'data on outstanding creditors'!$E259-'data on outstanding creditors'!$O259</f>
        <v>1960</v>
      </c>
      <c r="Q259" s="7">
        <f>DAY('data on outstanding creditors'!$B259)</f>
        <v>16</v>
      </c>
      <c r="R259" s="7">
        <f>MONTH('data on outstanding creditors'!$B259)</f>
        <v>7</v>
      </c>
      <c r="S259" s="7">
        <f>YEAR('data on outstanding creditors'!$B259)</f>
        <v>2025</v>
      </c>
      <c r="T259" s="11" t="str">
        <f>'data on outstanding creditors'!$C259&amp;" "&amp;'data on outstanding creditors'!$D259&amp;" "&amp;TEXT('data on outstanding creditors'!$E259,"#,##0.00")</f>
        <v>บ.ซิลลิคฟาร์มา 1317617775 29,960.00</v>
      </c>
      <c r="U259" s="8"/>
    </row>
    <row r="260" ht="13.5" customHeight="1">
      <c r="A260" s="1"/>
      <c r="B260" s="2">
        <v>45854.0</v>
      </c>
      <c r="C260" s="9" t="s">
        <v>520</v>
      </c>
      <c r="D260" s="1" t="s">
        <v>534</v>
      </c>
      <c r="E260" s="4">
        <v>2275.89</v>
      </c>
      <c r="F260" s="4">
        <v>2275.89</v>
      </c>
      <c r="G260" s="4"/>
      <c r="H260" s="4">
        <f>'data on outstanding creditors'!$E260-'data on outstanding creditors'!$F260-'data on outstanding creditors'!$G260</f>
        <v>0</v>
      </c>
      <c r="I260" s="2">
        <v>45952.0</v>
      </c>
      <c r="J260" s="1"/>
      <c r="K260" s="2"/>
      <c r="L260" s="5"/>
      <c r="M260" s="9" t="s">
        <v>22</v>
      </c>
      <c r="N260" s="9" t="s">
        <v>23</v>
      </c>
      <c r="O260" s="10">
        <f>'data on outstanding creditors'!$E260*100/107</f>
        <v>2127</v>
      </c>
      <c r="P260" s="10">
        <f>'data on outstanding creditors'!$E260-'data on outstanding creditors'!$O260</f>
        <v>148.89</v>
      </c>
      <c r="Q260" s="7">
        <f>DAY('data on outstanding creditors'!$B260)</f>
        <v>16</v>
      </c>
      <c r="R260" s="7">
        <f>MONTH('data on outstanding creditors'!$B260)</f>
        <v>7</v>
      </c>
      <c r="S260" s="7">
        <f>YEAR('data on outstanding creditors'!$B260)</f>
        <v>2025</v>
      </c>
      <c r="T260" s="11" t="str">
        <f>'data on outstanding creditors'!$C260&amp;" "&amp;'data on outstanding creditors'!$D260&amp;" "&amp;TEXT('data on outstanding creditors'!$E260,"#,##0.00")</f>
        <v>บ.ซิลลิคฟาร์มา 1317607931 2,275.89</v>
      </c>
      <c r="U260" s="8"/>
    </row>
    <row r="261" ht="13.5" customHeight="1">
      <c r="A261" s="1"/>
      <c r="B261" s="2">
        <v>45855.0</v>
      </c>
      <c r="C261" s="9" t="s">
        <v>520</v>
      </c>
      <c r="D261" s="1" t="s">
        <v>535</v>
      </c>
      <c r="E261" s="4">
        <v>6848.0</v>
      </c>
      <c r="F261" s="4">
        <v>6848.0</v>
      </c>
      <c r="G261" s="4"/>
      <c r="H261" s="4">
        <f>'data on outstanding creditors'!$E261-'data on outstanding creditors'!$F261-'data on outstanding creditors'!$G261</f>
        <v>0</v>
      </c>
      <c r="I261" s="2">
        <v>45952.0</v>
      </c>
      <c r="J261" s="1"/>
      <c r="K261" s="2"/>
      <c r="L261" s="5"/>
      <c r="M261" s="9" t="s">
        <v>22</v>
      </c>
      <c r="N261" s="9" t="s">
        <v>23</v>
      </c>
      <c r="O261" s="10">
        <f>'data on outstanding creditors'!$E261*100/107</f>
        <v>6400</v>
      </c>
      <c r="P261" s="10">
        <f>'data on outstanding creditors'!$E261-'data on outstanding creditors'!$O261</f>
        <v>448</v>
      </c>
      <c r="Q261" s="7">
        <f>DAY('data on outstanding creditors'!$B261)</f>
        <v>17</v>
      </c>
      <c r="R261" s="7">
        <f>MONTH('data on outstanding creditors'!$B261)</f>
        <v>7</v>
      </c>
      <c r="S261" s="7">
        <f>YEAR('data on outstanding creditors'!$B261)</f>
        <v>2025</v>
      </c>
      <c r="T261" s="11" t="str">
        <f>'data on outstanding creditors'!$C261&amp;" "&amp;'data on outstanding creditors'!$D261&amp;" "&amp;TEXT('data on outstanding creditors'!$E261,"#,##0.00")</f>
        <v>บ.ซิลลิคฟาร์มา 1317623593 6,848.00</v>
      </c>
      <c r="U261" s="8"/>
    </row>
    <row r="262" ht="13.5" customHeight="1">
      <c r="A262" s="1"/>
      <c r="B262" s="2">
        <v>45859.0</v>
      </c>
      <c r="C262" s="9" t="s">
        <v>520</v>
      </c>
      <c r="D262" s="1" t="s">
        <v>536</v>
      </c>
      <c r="E262" s="4">
        <v>31993.0</v>
      </c>
      <c r="F262" s="4">
        <v>31993.0</v>
      </c>
      <c r="G262" s="4"/>
      <c r="H262" s="4">
        <f>'data on outstanding creditors'!$E262-'data on outstanding creditors'!$F262-'data on outstanding creditors'!$G262</f>
        <v>0</v>
      </c>
      <c r="I262" s="2">
        <v>45952.0</v>
      </c>
      <c r="J262" s="1"/>
      <c r="K262" s="2"/>
      <c r="L262" s="5"/>
      <c r="M262" s="9" t="s">
        <v>22</v>
      </c>
      <c r="N262" s="9" t="s">
        <v>23</v>
      </c>
      <c r="O262" s="10">
        <f>'data on outstanding creditors'!$E262*100/107</f>
        <v>29900</v>
      </c>
      <c r="P262" s="10">
        <f>'data on outstanding creditors'!$E262-'data on outstanding creditors'!$O262</f>
        <v>2093</v>
      </c>
      <c r="Q262" s="7">
        <f>DAY('data on outstanding creditors'!$B262)</f>
        <v>21</v>
      </c>
      <c r="R262" s="7">
        <f>MONTH('data on outstanding creditors'!$B262)</f>
        <v>7</v>
      </c>
      <c r="S262" s="7">
        <f>YEAR('data on outstanding creditors'!$B262)</f>
        <v>2025</v>
      </c>
      <c r="T262" s="11" t="str">
        <f>'data on outstanding creditors'!$C262&amp;" "&amp;'data on outstanding creditors'!$D262&amp;" "&amp;TEXT('data on outstanding creditors'!$E262,"#,##0.00")</f>
        <v>บ.ซิลลิคฟาร์มา 1317658694 31,993.00</v>
      </c>
      <c r="U262" s="8"/>
    </row>
    <row r="263" ht="13.5" customHeight="1">
      <c r="A263" s="1"/>
      <c r="B263" s="2">
        <v>45860.0</v>
      </c>
      <c r="C263" s="9" t="s">
        <v>399</v>
      </c>
      <c r="D263" s="1" t="s">
        <v>537</v>
      </c>
      <c r="E263" s="4">
        <v>23133.4</v>
      </c>
      <c r="F263" s="4">
        <v>23133.4</v>
      </c>
      <c r="G263" s="4"/>
      <c r="H263" s="4">
        <f>'data on outstanding creditors'!$E263-'data on outstanding creditors'!$F263-'data on outstanding creditors'!$G263</f>
        <v>0</v>
      </c>
      <c r="I263" s="2">
        <v>45952.0</v>
      </c>
      <c r="J263" s="1"/>
      <c r="K263" s="2"/>
      <c r="L263" s="5"/>
      <c r="M263" s="9" t="s">
        <v>22</v>
      </c>
      <c r="N263" s="9" t="s">
        <v>23</v>
      </c>
      <c r="O263" s="10">
        <f>'data on outstanding creditors'!$E263*100/107</f>
        <v>21620</v>
      </c>
      <c r="P263" s="10">
        <f>'data on outstanding creditors'!$E263-'data on outstanding creditors'!$O263</f>
        <v>1513.4</v>
      </c>
      <c r="Q263" s="7">
        <f>DAY('data on outstanding creditors'!$B263)</f>
        <v>22</v>
      </c>
      <c r="R263" s="7">
        <f>MONTH('data on outstanding creditors'!$B263)</f>
        <v>7</v>
      </c>
      <c r="S263" s="7">
        <f>YEAR('data on outstanding creditors'!$B263)</f>
        <v>2025</v>
      </c>
      <c r="T263" s="11" t="str">
        <f>'data on outstanding creditors'!$C263&amp;" "&amp;'data on outstanding creditors'!$D263&amp;" "&amp;TEXT('data on outstanding creditors'!$E263,"#,##0.00")</f>
        <v>บ.ดีเคเอสเอช(ประเทศไทย) 5343960206 23,133.40</v>
      </c>
      <c r="U263" s="8"/>
    </row>
    <row r="264" ht="13.5" customHeight="1">
      <c r="A264" s="1"/>
      <c r="B264" s="2">
        <v>45860.0</v>
      </c>
      <c r="C264" s="9" t="s">
        <v>520</v>
      </c>
      <c r="D264" s="1" t="s">
        <v>538</v>
      </c>
      <c r="E264" s="4">
        <v>9630.0</v>
      </c>
      <c r="F264" s="4">
        <v>9630.0</v>
      </c>
      <c r="G264" s="4"/>
      <c r="H264" s="4">
        <f>'data on outstanding creditors'!$E264-'data on outstanding creditors'!$F264-'data on outstanding creditors'!$G264</f>
        <v>0</v>
      </c>
      <c r="I264" s="2">
        <v>45952.0</v>
      </c>
      <c r="J264" s="1"/>
      <c r="K264" s="2"/>
      <c r="L264" s="5"/>
      <c r="M264" s="9" t="s">
        <v>22</v>
      </c>
      <c r="N264" s="9" t="s">
        <v>23</v>
      </c>
      <c r="O264" s="10">
        <f>'data on outstanding creditors'!$E264*100/107</f>
        <v>9000</v>
      </c>
      <c r="P264" s="10">
        <f>'data on outstanding creditors'!$E264-'data on outstanding creditors'!$O264</f>
        <v>630</v>
      </c>
      <c r="Q264" s="7">
        <f>DAY('data on outstanding creditors'!$B264)</f>
        <v>22</v>
      </c>
      <c r="R264" s="7">
        <f>MONTH('data on outstanding creditors'!$B264)</f>
        <v>7</v>
      </c>
      <c r="S264" s="7">
        <f>YEAR('data on outstanding creditors'!$B264)</f>
        <v>2025</v>
      </c>
      <c r="T264" s="11" t="str">
        <f>'data on outstanding creditors'!$C264&amp;" "&amp;'data on outstanding creditors'!$D264&amp;" "&amp;TEXT('data on outstanding creditors'!$E264,"#,##0.00")</f>
        <v>บ.ซิลลิคฟาร์มา 1317642380 9,630.00</v>
      </c>
      <c r="U264" s="8"/>
    </row>
    <row r="265" ht="13.5" customHeight="1">
      <c r="A265" s="1"/>
      <c r="B265" s="2">
        <v>45861.0</v>
      </c>
      <c r="C265" s="9" t="s">
        <v>520</v>
      </c>
      <c r="D265" s="1" t="s">
        <v>539</v>
      </c>
      <c r="E265" s="4">
        <v>46010.0</v>
      </c>
      <c r="F265" s="4">
        <v>46010.0</v>
      </c>
      <c r="G265" s="4"/>
      <c r="H265" s="4">
        <f>'data on outstanding creditors'!$E265-'data on outstanding creditors'!$F265-'data on outstanding creditors'!$G265</f>
        <v>0</v>
      </c>
      <c r="I265" s="2">
        <v>45952.0</v>
      </c>
      <c r="J265" s="1"/>
      <c r="K265" s="2"/>
      <c r="L265" s="5"/>
      <c r="M265" s="9" t="s">
        <v>22</v>
      </c>
      <c r="N265" s="9" t="s">
        <v>23</v>
      </c>
      <c r="O265" s="10">
        <f>'data on outstanding creditors'!$E265*100/107</f>
        <v>43000</v>
      </c>
      <c r="P265" s="10">
        <f>'data on outstanding creditors'!$E265-'data on outstanding creditors'!$O265</f>
        <v>3010</v>
      </c>
      <c r="Q265" s="7">
        <f>DAY('data on outstanding creditors'!$B265)</f>
        <v>23</v>
      </c>
      <c r="R265" s="7">
        <f>MONTH('data on outstanding creditors'!$B265)</f>
        <v>7</v>
      </c>
      <c r="S265" s="7">
        <f>YEAR('data on outstanding creditors'!$B265)</f>
        <v>2025</v>
      </c>
      <c r="T265" s="11" t="str">
        <f>'data on outstanding creditors'!$C265&amp;" "&amp;'data on outstanding creditors'!$D265&amp;" "&amp;TEXT('data on outstanding creditors'!$E265,"#,##0.00")</f>
        <v>บ.ซิลลิคฟาร์มา 1317678715 46,010.00</v>
      </c>
      <c r="U265" s="8"/>
    </row>
    <row r="266" ht="13.5" customHeight="1">
      <c r="A266" s="1"/>
      <c r="B266" s="2">
        <v>45861.0</v>
      </c>
      <c r="C266" s="9" t="s">
        <v>520</v>
      </c>
      <c r="D266" s="1" t="s">
        <v>540</v>
      </c>
      <c r="E266" s="4">
        <v>9630.0</v>
      </c>
      <c r="F266" s="4">
        <v>9630.0</v>
      </c>
      <c r="G266" s="4"/>
      <c r="H266" s="4">
        <f>'data on outstanding creditors'!$E266-'data on outstanding creditors'!$F266-'data on outstanding creditors'!$G266</f>
        <v>0</v>
      </c>
      <c r="I266" s="2">
        <v>45952.0</v>
      </c>
      <c r="J266" s="1"/>
      <c r="K266" s="2"/>
      <c r="L266" s="5"/>
      <c r="M266" s="9" t="s">
        <v>22</v>
      </c>
      <c r="N266" s="9" t="s">
        <v>23</v>
      </c>
      <c r="O266" s="10">
        <f>'data on outstanding creditors'!$E266*100/107</f>
        <v>9000</v>
      </c>
      <c r="P266" s="10">
        <f>'data on outstanding creditors'!$E266-'data on outstanding creditors'!$O266</f>
        <v>630</v>
      </c>
      <c r="Q266" s="7">
        <f>DAY('data on outstanding creditors'!$B266)</f>
        <v>23</v>
      </c>
      <c r="R266" s="7">
        <f>MONTH('data on outstanding creditors'!$B266)</f>
        <v>7</v>
      </c>
      <c r="S266" s="7">
        <f>YEAR('data on outstanding creditors'!$B266)</f>
        <v>2025</v>
      </c>
      <c r="T266" s="11" t="str">
        <f>'data on outstanding creditors'!$C266&amp;" "&amp;'data on outstanding creditors'!$D266&amp;" "&amp;TEXT('data on outstanding creditors'!$E266,"#,##0.00")</f>
        <v>บ.ซิลลิคฟาร์มา 1317666717 9,630.00</v>
      </c>
      <c r="U266" s="8"/>
    </row>
    <row r="267" ht="13.5" customHeight="1">
      <c r="A267" s="1"/>
      <c r="B267" s="2">
        <v>45861.0</v>
      </c>
      <c r="C267" s="9" t="s">
        <v>541</v>
      </c>
      <c r="D267" s="1" t="s">
        <v>542</v>
      </c>
      <c r="E267" s="4">
        <v>64200.0</v>
      </c>
      <c r="F267" s="4">
        <v>64200.0</v>
      </c>
      <c r="G267" s="4"/>
      <c r="H267" s="4">
        <f>'data on outstanding creditors'!$E267-'data on outstanding creditors'!$F267-'data on outstanding creditors'!$G267</f>
        <v>0</v>
      </c>
      <c r="I267" s="2">
        <v>45952.0</v>
      </c>
      <c r="J267" s="1"/>
      <c r="K267" s="2"/>
      <c r="L267" s="5"/>
      <c r="M267" s="9" t="s">
        <v>22</v>
      </c>
      <c r="N267" s="9" t="s">
        <v>23</v>
      </c>
      <c r="O267" s="10">
        <f>'data on outstanding creditors'!$E267*100/107</f>
        <v>60000</v>
      </c>
      <c r="P267" s="10">
        <f>'data on outstanding creditors'!$E267-'data on outstanding creditors'!$O267</f>
        <v>4200</v>
      </c>
      <c r="Q267" s="7">
        <f>DAY('data on outstanding creditors'!$B267)</f>
        <v>23</v>
      </c>
      <c r="R267" s="7">
        <f>MONTH('data on outstanding creditors'!$B267)</f>
        <v>7</v>
      </c>
      <c r="S267" s="7">
        <f>YEAR('data on outstanding creditors'!$B267)</f>
        <v>2025</v>
      </c>
      <c r="T267" s="11" t="str">
        <f>'data on outstanding creditors'!$C267&amp;" "&amp;'data on outstanding creditors'!$D267&amp;" "&amp;TEXT('data on outstanding creditors'!$E267,"#,##0.00")</f>
        <v>บ.ดีทแฮล์ม เคลเลอร์ โลจิสติกส์ 5449265307 64,200.00</v>
      </c>
      <c r="U267" s="8"/>
    </row>
    <row r="268" ht="13.5" customHeight="1">
      <c r="A268" s="1"/>
      <c r="B268" s="2">
        <v>45862.0</v>
      </c>
      <c r="C268" s="9" t="s">
        <v>541</v>
      </c>
      <c r="D268" s="1" t="s">
        <v>543</v>
      </c>
      <c r="E268" s="4">
        <v>38520.0</v>
      </c>
      <c r="F268" s="4">
        <v>38520.0</v>
      </c>
      <c r="G268" s="4"/>
      <c r="H268" s="4">
        <f>'data on outstanding creditors'!$E268-'data on outstanding creditors'!$F268-'data on outstanding creditors'!$G268</f>
        <v>0</v>
      </c>
      <c r="I268" s="2">
        <v>45952.0</v>
      </c>
      <c r="J268" s="1"/>
      <c r="K268" s="2"/>
      <c r="L268" s="5"/>
      <c r="M268" s="9" t="s">
        <v>22</v>
      </c>
      <c r="N268" s="9" t="s">
        <v>23</v>
      </c>
      <c r="O268" s="10">
        <f>'data on outstanding creditors'!$E268*100/107</f>
        <v>36000</v>
      </c>
      <c r="P268" s="10">
        <f>'data on outstanding creditors'!$E268-'data on outstanding creditors'!$O268</f>
        <v>2520</v>
      </c>
      <c r="Q268" s="7">
        <f>DAY('data on outstanding creditors'!$B268)</f>
        <v>24</v>
      </c>
      <c r="R268" s="7">
        <f>MONTH('data on outstanding creditors'!$B268)</f>
        <v>7</v>
      </c>
      <c r="S268" s="7">
        <f>YEAR('data on outstanding creditors'!$B268)</f>
        <v>2025</v>
      </c>
      <c r="T268" s="11" t="str">
        <f>'data on outstanding creditors'!$C268&amp;" "&amp;'data on outstanding creditors'!$D268&amp;" "&amp;TEXT('data on outstanding creditors'!$E268,"#,##0.00")</f>
        <v>บ.ดีทแฮล์ม เคลเลอร์ โลจิสติกส์ 5449266090 38,520.00</v>
      </c>
      <c r="U268" s="8"/>
    </row>
    <row r="269" ht="13.5" customHeight="1">
      <c r="A269" s="1"/>
      <c r="B269" s="2">
        <v>45862.0</v>
      </c>
      <c r="C269" s="9" t="s">
        <v>520</v>
      </c>
      <c r="D269" s="1" t="s">
        <v>544</v>
      </c>
      <c r="E269" s="4">
        <v>59920.0</v>
      </c>
      <c r="F269" s="4">
        <v>59920.0</v>
      </c>
      <c r="G269" s="4"/>
      <c r="H269" s="4">
        <f>'data on outstanding creditors'!$E269-'data on outstanding creditors'!$F269-'data on outstanding creditors'!$G269</f>
        <v>0</v>
      </c>
      <c r="I269" s="2">
        <v>45952.0</v>
      </c>
      <c r="J269" s="1"/>
      <c r="K269" s="2"/>
      <c r="L269" s="5"/>
      <c r="M269" s="9" t="s">
        <v>22</v>
      </c>
      <c r="N269" s="9" t="s">
        <v>23</v>
      </c>
      <c r="O269" s="10">
        <f>'data on outstanding creditors'!$E269*100/107</f>
        <v>56000</v>
      </c>
      <c r="P269" s="10">
        <f>'data on outstanding creditors'!$E269-'data on outstanding creditors'!$O269</f>
        <v>3920</v>
      </c>
      <c r="Q269" s="7">
        <f>DAY('data on outstanding creditors'!$B269)</f>
        <v>24</v>
      </c>
      <c r="R269" s="7">
        <f>MONTH('data on outstanding creditors'!$B269)</f>
        <v>7</v>
      </c>
      <c r="S269" s="7">
        <f>YEAR('data on outstanding creditors'!$B269)</f>
        <v>2025</v>
      </c>
      <c r="T269" s="11" t="str">
        <f>'data on outstanding creditors'!$C269&amp;" "&amp;'data on outstanding creditors'!$D269&amp;" "&amp;TEXT('data on outstanding creditors'!$E269,"#,##0.00")</f>
        <v>บ.ซิลลิคฟาร์มา 1317694905 59,920.00</v>
      </c>
      <c r="U269" s="8"/>
    </row>
    <row r="270" ht="13.5" customHeight="1">
      <c r="A270" s="1"/>
      <c r="B270" s="2">
        <v>45862.0</v>
      </c>
      <c r="C270" s="9" t="s">
        <v>520</v>
      </c>
      <c r="D270" s="1" t="s">
        <v>545</v>
      </c>
      <c r="E270" s="4">
        <v>40317.6</v>
      </c>
      <c r="F270" s="4">
        <v>40317.6</v>
      </c>
      <c r="G270" s="4"/>
      <c r="H270" s="4">
        <f>'data on outstanding creditors'!$E270-'data on outstanding creditors'!$F270-'data on outstanding creditors'!$G270</f>
        <v>0</v>
      </c>
      <c r="I270" s="2">
        <v>45952.0</v>
      </c>
      <c r="J270" s="1"/>
      <c r="K270" s="2"/>
      <c r="L270" s="5"/>
      <c r="M270" s="9" t="s">
        <v>22</v>
      </c>
      <c r="N270" s="9" t="s">
        <v>23</v>
      </c>
      <c r="O270" s="10">
        <f>'data on outstanding creditors'!$E270*100/107</f>
        <v>37680</v>
      </c>
      <c r="P270" s="10">
        <f>'data on outstanding creditors'!$E270-'data on outstanding creditors'!$O270</f>
        <v>2637.6</v>
      </c>
      <c r="Q270" s="7">
        <f>DAY('data on outstanding creditors'!$B270)</f>
        <v>24</v>
      </c>
      <c r="R270" s="7">
        <f>MONTH('data on outstanding creditors'!$B270)</f>
        <v>7</v>
      </c>
      <c r="S270" s="7">
        <f>YEAR('data on outstanding creditors'!$B270)</f>
        <v>2025</v>
      </c>
      <c r="T270" s="11" t="str">
        <f>'data on outstanding creditors'!$C270&amp;" "&amp;'data on outstanding creditors'!$D270&amp;" "&amp;TEXT('data on outstanding creditors'!$E270,"#,##0.00")</f>
        <v>บ.ซิลลิคฟาร์มา 1317685251 40,317.60</v>
      </c>
      <c r="U270" s="8"/>
    </row>
    <row r="271" ht="13.5" customHeight="1">
      <c r="A271" s="1"/>
      <c r="B271" s="2">
        <v>45863.0</v>
      </c>
      <c r="C271" s="9" t="s">
        <v>520</v>
      </c>
      <c r="D271" s="1" t="s">
        <v>546</v>
      </c>
      <c r="E271" s="4">
        <v>53992.2</v>
      </c>
      <c r="F271" s="4">
        <v>53992.2</v>
      </c>
      <c r="G271" s="4"/>
      <c r="H271" s="4">
        <f>'data on outstanding creditors'!$E271-'data on outstanding creditors'!$F271-'data on outstanding creditors'!$G271</f>
        <v>0</v>
      </c>
      <c r="I271" s="2">
        <v>45952.0</v>
      </c>
      <c r="J271" s="1"/>
      <c r="K271" s="2"/>
      <c r="L271" s="5"/>
      <c r="M271" s="9" t="s">
        <v>22</v>
      </c>
      <c r="N271" s="9" t="s">
        <v>23</v>
      </c>
      <c r="O271" s="10">
        <f>'data on outstanding creditors'!$E271*100/107</f>
        <v>50460</v>
      </c>
      <c r="P271" s="10">
        <f>'data on outstanding creditors'!$E271-'data on outstanding creditors'!$O271</f>
        <v>3532.2</v>
      </c>
      <c r="Q271" s="7">
        <f>DAY('data on outstanding creditors'!$B271)</f>
        <v>25</v>
      </c>
      <c r="R271" s="7">
        <f>MONTH('data on outstanding creditors'!$B271)</f>
        <v>7</v>
      </c>
      <c r="S271" s="7">
        <f>YEAR('data on outstanding creditors'!$B271)</f>
        <v>2025</v>
      </c>
      <c r="T271" s="11" t="str">
        <f>'data on outstanding creditors'!$C271&amp;" "&amp;'data on outstanding creditors'!$D271&amp;" "&amp;TEXT('data on outstanding creditors'!$E271,"#,##0.00")</f>
        <v>บ.ซิลลิคฟาร์มา 1317695536 53,992.20</v>
      </c>
      <c r="U271" s="8"/>
    </row>
    <row r="272" ht="13.5" customHeight="1">
      <c r="A272" s="1"/>
      <c r="B272" s="2">
        <v>45863.0</v>
      </c>
      <c r="C272" s="9" t="s">
        <v>520</v>
      </c>
      <c r="D272" s="1" t="s">
        <v>547</v>
      </c>
      <c r="E272" s="4">
        <v>14011.65</v>
      </c>
      <c r="F272" s="4">
        <v>14011.65</v>
      </c>
      <c r="G272" s="4"/>
      <c r="H272" s="4">
        <f>'data on outstanding creditors'!$E272-'data on outstanding creditors'!$F272-'data on outstanding creditors'!$G272</f>
        <v>0</v>
      </c>
      <c r="I272" s="2">
        <v>45952.0</v>
      </c>
      <c r="J272" s="1"/>
      <c r="K272" s="2"/>
      <c r="L272" s="5"/>
      <c r="M272" s="9" t="s">
        <v>22</v>
      </c>
      <c r="N272" s="9" t="s">
        <v>23</v>
      </c>
      <c r="O272" s="10">
        <f>'data on outstanding creditors'!$E272*100/107</f>
        <v>13095</v>
      </c>
      <c r="P272" s="10">
        <f>'data on outstanding creditors'!$E272-'data on outstanding creditors'!$O272</f>
        <v>916.65</v>
      </c>
      <c r="Q272" s="7">
        <f>DAY('data on outstanding creditors'!$B272)</f>
        <v>25</v>
      </c>
      <c r="R272" s="7">
        <f>MONTH('data on outstanding creditors'!$B272)</f>
        <v>7</v>
      </c>
      <c r="S272" s="7">
        <f>YEAR('data on outstanding creditors'!$B272)</f>
        <v>2025</v>
      </c>
      <c r="T272" s="11" t="str">
        <f>'data on outstanding creditors'!$C272&amp;" "&amp;'data on outstanding creditors'!$D272&amp;" "&amp;TEXT('data on outstanding creditors'!$E272,"#,##0.00")</f>
        <v>บ.ซิลลิคฟาร์มา 1317703232 14,011.65</v>
      </c>
      <c r="U272" s="8"/>
    </row>
    <row r="273" ht="13.5" customHeight="1">
      <c r="A273" s="1"/>
      <c r="B273" s="2">
        <v>45863.0</v>
      </c>
      <c r="C273" s="9" t="s">
        <v>541</v>
      </c>
      <c r="D273" s="1" t="s">
        <v>548</v>
      </c>
      <c r="E273" s="4">
        <v>13375.0</v>
      </c>
      <c r="F273" s="4">
        <v>13375.0</v>
      </c>
      <c r="G273" s="4"/>
      <c r="H273" s="4">
        <f>'data on outstanding creditors'!$E273-'data on outstanding creditors'!$F273-'data on outstanding creditors'!$G273</f>
        <v>0</v>
      </c>
      <c r="I273" s="2">
        <v>45952.0</v>
      </c>
      <c r="J273" s="1"/>
      <c r="K273" s="2"/>
      <c r="L273" s="5"/>
      <c r="M273" s="9" t="s">
        <v>22</v>
      </c>
      <c r="N273" s="9" t="s">
        <v>23</v>
      </c>
      <c r="O273" s="10">
        <f>'data on outstanding creditors'!$E273*100/107</f>
        <v>12500</v>
      </c>
      <c r="P273" s="10">
        <f>'data on outstanding creditors'!$E273-'data on outstanding creditors'!$O273</f>
        <v>875</v>
      </c>
      <c r="Q273" s="7">
        <f>DAY('data on outstanding creditors'!$B273)</f>
        <v>25</v>
      </c>
      <c r="R273" s="7">
        <f>MONTH('data on outstanding creditors'!$B273)</f>
        <v>7</v>
      </c>
      <c r="S273" s="7">
        <f>YEAR('data on outstanding creditors'!$B273)</f>
        <v>2025</v>
      </c>
      <c r="T273" s="11" t="str">
        <f>'data on outstanding creditors'!$C273&amp;" "&amp;'data on outstanding creditors'!$D273&amp;" "&amp;TEXT('data on outstanding creditors'!$E273,"#,##0.00")</f>
        <v>บ.ดีทแฮล์ม เคลเลอร์ โลจิสติกส์ 5449269153 13,375.00</v>
      </c>
      <c r="U273" s="8"/>
    </row>
    <row r="274" ht="13.5" customHeight="1">
      <c r="A274" s="1"/>
      <c r="B274" s="2">
        <v>45863.0</v>
      </c>
      <c r="C274" s="9" t="s">
        <v>520</v>
      </c>
      <c r="D274" s="1" t="s">
        <v>549</v>
      </c>
      <c r="E274" s="4">
        <v>5029.0</v>
      </c>
      <c r="F274" s="4">
        <v>5029.0</v>
      </c>
      <c r="G274" s="4"/>
      <c r="H274" s="4">
        <f>'data on outstanding creditors'!$E274-'data on outstanding creditors'!$F274-'data on outstanding creditors'!$G274</f>
        <v>0</v>
      </c>
      <c r="I274" s="2">
        <v>45952.0</v>
      </c>
      <c r="J274" s="1"/>
      <c r="K274" s="2"/>
      <c r="L274" s="5"/>
      <c r="M274" s="9" t="s">
        <v>22</v>
      </c>
      <c r="N274" s="9" t="s">
        <v>23</v>
      </c>
      <c r="O274" s="10">
        <f>'data on outstanding creditors'!$E274*100/107</f>
        <v>4700</v>
      </c>
      <c r="P274" s="10">
        <f>'data on outstanding creditors'!$E274-'data on outstanding creditors'!$O274</f>
        <v>329</v>
      </c>
      <c r="Q274" s="7">
        <f>DAY('data on outstanding creditors'!$B274)</f>
        <v>25</v>
      </c>
      <c r="R274" s="7">
        <f>MONTH('data on outstanding creditors'!$B274)</f>
        <v>7</v>
      </c>
      <c r="S274" s="7">
        <f>YEAR('data on outstanding creditors'!$B274)</f>
        <v>2025</v>
      </c>
      <c r="T274" s="11" t="str">
        <f>'data on outstanding creditors'!$C274&amp;" "&amp;'data on outstanding creditors'!$D274&amp;" "&amp;TEXT('data on outstanding creditors'!$E274,"#,##0.00")</f>
        <v>บ.ซิลลิคฟาร์มา 1317710338 5,029.00</v>
      </c>
      <c r="U274" s="8"/>
    </row>
    <row r="275" ht="13.5" customHeight="1">
      <c r="A275" s="1"/>
      <c r="B275" s="2">
        <v>45868.0</v>
      </c>
      <c r="C275" s="9" t="s">
        <v>520</v>
      </c>
      <c r="D275" s="1" t="s">
        <v>550</v>
      </c>
      <c r="E275" s="4">
        <v>49177.2</v>
      </c>
      <c r="F275" s="4">
        <v>49177.2</v>
      </c>
      <c r="G275" s="4"/>
      <c r="H275" s="4">
        <f>'data on outstanding creditors'!$E275-'data on outstanding creditors'!$F275-'data on outstanding creditors'!$G275</f>
        <v>0</v>
      </c>
      <c r="I275" s="2">
        <v>45952.0</v>
      </c>
      <c r="J275" s="1"/>
      <c r="K275" s="2"/>
      <c r="L275" s="5"/>
      <c r="M275" s="9" t="s">
        <v>22</v>
      </c>
      <c r="N275" s="9" t="s">
        <v>23</v>
      </c>
      <c r="O275" s="10">
        <f>'data on outstanding creditors'!$E275*100/107</f>
        <v>45960</v>
      </c>
      <c r="P275" s="10">
        <f>'data on outstanding creditors'!$E275-'data on outstanding creditors'!$O275</f>
        <v>3217.2</v>
      </c>
      <c r="Q275" s="7">
        <f>DAY('data on outstanding creditors'!$B275)</f>
        <v>30</v>
      </c>
      <c r="R275" s="7">
        <f>MONTH('data on outstanding creditors'!$B275)</f>
        <v>7</v>
      </c>
      <c r="S275" s="7">
        <f>YEAR('data on outstanding creditors'!$B275)</f>
        <v>2025</v>
      </c>
      <c r="T275" s="11" t="str">
        <f>'data on outstanding creditors'!$C275&amp;" "&amp;'data on outstanding creditors'!$D275&amp;" "&amp;TEXT('data on outstanding creditors'!$E275,"#,##0.00")</f>
        <v>บ.ซิลลิคฟาร์มา 1317719906 49,177.20</v>
      </c>
      <c r="U275" s="8"/>
    </row>
    <row r="276" ht="13.5" customHeight="1">
      <c r="A276" s="1"/>
      <c r="B276" s="2">
        <v>45868.0</v>
      </c>
      <c r="C276" s="9" t="s">
        <v>520</v>
      </c>
      <c r="D276" s="1" t="s">
        <v>551</v>
      </c>
      <c r="E276" s="4">
        <v>22470.0</v>
      </c>
      <c r="F276" s="4">
        <v>22470.0</v>
      </c>
      <c r="G276" s="4"/>
      <c r="H276" s="4">
        <f>'data on outstanding creditors'!$E276-'data on outstanding creditors'!$F276-'data on outstanding creditors'!$G276</f>
        <v>0</v>
      </c>
      <c r="I276" s="2">
        <v>45952.0</v>
      </c>
      <c r="J276" s="1"/>
      <c r="K276" s="2"/>
      <c r="L276" s="5"/>
      <c r="M276" s="9" t="s">
        <v>22</v>
      </c>
      <c r="N276" s="9" t="s">
        <v>23</v>
      </c>
      <c r="O276" s="10">
        <f>'data on outstanding creditors'!$E276*100/107</f>
        <v>21000</v>
      </c>
      <c r="P276" s="10">
        <f>'data on outstanding creditors'!$E276-'data on outstanding creditors'!$O276</f>
        <v>1470</v>
      </c>
      <c r="Q276" s="7">
        <f>DAY('data on outstanding creditors'!$B276)</f>
        <v>30</v>
      </c>
      <c r="R276" s="7">
        <f>MONTH('data on outstanding creditors'!$B276)</f>
        <v>7</v>
      </c>
      <c r="S276" s="7">
        <f>YEAR('data on outstanding creditors'!$B276)</f>
        <v>2025</v>
      </c>
      <c r="T276" s="11" t="str">
        <f>'data on outstanding creditors'!$C276&amp;" "&amp;'data on outstanding creditors'!$D276&amp;" "&amp;TEXT('data on outstanding creditors'!$E276,"#,##0.00")</f>
        <v>บ.ซิลลิคฟาร์มา 1317722498 22,470.00</v>
      </c>
      <c r="U276" s="8"/>
    </row>
    <row r="277" ht="13.5" customHeight="1">
      <c r="A277" s="1"/>
      <c r="B277" s="2">
        <v>45868.0</v>
      </c>
      <c r="C277" s="9" t="s">
        <v>520</v>
      </c>
      <c r="D277" s="1" t="s">
        <v>552</v>
      </c>
      <c r="E277" s="4">
        <v>5400.0</v>
      </c>
      <c r="F277" s="4">
        <v>5400.0</v>
      </c>
      <c r="G277" s="4"/>
      <c r="H277" s="4">
        <f>'data on outstanding creditors'!$E277-'data on outstanding creditors'!$F277-'data on outstanding creditors'!$G277</f>
        <v>0</v>
      </c>
      <c r="I277" s="2">
        <v>45952.0</v>
      </c>
      <c r="J277" s="1"/>
      <c r="K277" s="2"/>
      <c r="L277" s="5"/>
      <c r="M277" s="9" t="s">
        <v>22</v>
      </c>
      <c r="N277" s="9" t="s">
        <v>23</v>
      </c>
      <c r="O277" s="10">
        <f>'data on outstanding creditors'!$E277*100/107</f>
        <v>5046.728972</v>
      </c>
      <c r="P277" s="10">
        <f>'data on outstanding creditors'!$E277-'data on outstanding creditors'!$O277</f>
        <v>353.271028</v>
      </c>
      <c r="Q277" s="7">
        <f>DAY('data on outstanding creditors'!$B277)</f>
        <v>30</v>
      </c>
      <c r="R277" s="7">
        <f>MONTH('data on outstanding creditors'!$B277)</f>
        <v>7</v>
      </c>
      <c r="S277" s="7">
        <f>YEAR('data on outstanding creditors'!$B277)</f>
        <v>2025</v>
      </c>
      <c r="T277" s="11" t="str">
        <f>'data on outstanding creditors'!$C277&amp;" "&amp;'data on outstanding creditors'!$D277&amp;" "&amp;TEXT('data on outstanding creditors'!$E277,"#,##0.00")</f>
        <v>บ.ซิลลิคฟาร์มา 1317730581 5,400.00</v>
      </c>
      <c r="U277" s="8"/>
    </row>
    <row r="278" ht="13.5" customHeight="1">
      <c r="A278" s="1"/>
      <c r="B278" s="2">
        <v>45869.0</v>
      </c>
      <c r="C278" s="9" t="s">
        <v>520</v>
      </c>
      <c r="D278" s="1" t="s">
        <v>553</v>
      </c>
      <c r="E278" s="4">
        <v>32100.0</v>
      </c>
      <c r="F278" s="4">
        <v>32100.0</v>
      </c>
      <c r="G278" s="4"/>
      <c r="H278" s="4">
        <f>'data on outstanding creditors'!$E278-'data on outstanding creditors'!$F278-'data on outstanding creditors'!$G278</f>
        <v>0</v>
      </c>
      <c r="I278" s="2">
        <v>45952.0</v>
      </c>
      <c r="J278" s="1"/>
      <c r="K278" s="2"/>
      <c r="L278" s="5"/>
      <c r="M278" s="9" t="s">
        <v>22</v>
      </c>
      <c r="N278" s="9" t="s">
        <v>23</v>
      </c>
      <c r="O278" s="10">
        <f>'data on outstanding creditors'!$E278*100/107</f>
        <v>30000</v>
      </c>
      <c r="P278" s="10">
        <f>'data on outstanding creditors'!$E278-'data on outstanding creditors'!$O278</f>
        <v>2100</v>
      </c>
      <c r="Q278" s="7">
        <f>DAY('data on outstanding creditors'!$B278)</f>
        <v>31</v>
      </c>
      <c r="R278" s="7">
        <f>MONTH('data on outstanding creditors'!$B278)</f>
        <v>7</v>
      </c>
      <c r="S278" s="7">
        <f>YEAR('data on outstanding creditors'!$B278)</f>
        <v>2025</v>
      </c>
      <c r="T278" s="11" t="str">
        <f>'data on outstanding creditors'!$C278&amp;" "&amp;'data on outstanding creditors'!$D278&amp;" "&amp;TEXT('data on outstanding creditors'!$E278,"#,##0.00")</f>
        <v>บ.ซิลลิคฟาร์มา 1317351424 32,100.00</v>
      </c>
      <c r="U278" s="8"/>
    </row>
    <row r="279" ht="13.5" customHeight="1">
      <c r="A279" s="1"/>
      <c r="B279" s="2">
        <v>45869.0</v>
      </c>
      <c r="C279" s="9" t="s">
        <v>520</v>
      </c>
      <c r="D279" s="1" t="s">
        <v>554</v>
      </c>
      <c r="E279" s="4">
        <v>3852.0</v>
      </c>
      <c r="F279" s="4">
        <v>3852.0</v>
      </c>
      <c r="G279" s="4"/>
      <c r="H279" s="4">
        <f>'data on outstanding creditors'!$E279-'data on outstanding creditors'!$F279-'data on outstanding creditors'!$G279</f>
        <v>0</v>
      </c>
      <c r="I279" s="2">
        <v>45952.0</v>
      </c>
      <c r="J279" s="1"/>
      <c r="K279" s="2"/>
      <c r="L279" s="5"/>
      <c r="M279" s="9" t="s">
        <v>22</v>
      </c>
      <c r="N279" s="9" t="s">
        <v>23</v>
      </c>
      <c r="O279" s="10">
        <f>'data on outstanding creditors'!$E279*100/107</f>
        <v>3600</v>
      </c>
      <c r="P279" s="10">
        <f>'data on outstanding creditors'!$E279-'data on outstanding creditors'!$O279</f>
        <v>252</v>
      </c>
      <c r="Q279" s="7">
        <f>DAY('data on outstanding creditors'!$B279)</f>
        <v>31</v>
      </c>
      <c r="R279" s="7">
        <f>MONTH('data on outstanding creditors'!$B279)</f>
        <v>7</v>
      </c>
      <c r="S279" s="7">
        <f>YEAR('data on outstanding creditors'!$B279)</f>
        <v>2025</v>
      </c>
      <c r="T279" s="11" t="str">
        <f>'data on outstanding creditors'!$C279&amp;" "&amp;'data on outstanding creditors'!$D279&amp;" "&amp;TEXT('data on outstanding creditors'!$E279,"#,##0.00")</f>
        <v>บ.ซิลลิคฟาร์มา 1317468538 3,852.00</v>
      </c>
      <c r="U279" s="8"/>
    </row>
    <row r="280" ht="13.5" customHeight="1">
      <c r="A280" s="1"/>
      <c r="B280" s="2">
        <v>45869.0</v>
      </c>
      <c r="C280" s="9" t="s">
        <v>520</v>
      </c>
      <c r="D280" s="1" t="s">
        <v>555</v>
      </c>
      <c r="E280" s="4">
        <v>12840.0</v>
      </c>
      <c r="F280" s="4">
        <v>12840.0</v>
      </c>
      <c r="G280" s="4"/>
      <c r="H280" s="4">
        <f>'data on outstanding creditors'!$E280-'data on outstanding creditors'!$F280-'data on outstanding creditors'!$G280</f>
        <v>0</v>
      </c>
      <c r="I280" s="2">
        <v>45952.0</v>
      </c>
      <c r="J280" s="1"/>
      <c r="K280" s="2"/>
      <c r="L280" s="5"/>
      <c r="M280" s="9" t="s">
        <v>22</v>
      </c>
      <c r="N280" s="9" t="s">
        <v>23</v>
      </c>
      <c r="O280" s="10">
        <f>'data on outstanding creditors'!$E280*100/107</f>
        <v>12000</v>
      </c>
      <c r="P280" s="10">
        <f>'data on outstanding creditors'!$E280-'data on outstanding creditors'!$O280</f>
        <v>840</v>
      </c>
      <c r="Q280" s="7">
        <f>DAY('data on outstanding creditors'!$B280)</f>
        <v>31</v>
      </c>
      <c r="R280" s="7">
        <f>MONTH('data on outstanding creditors'!$B280)</f>
        <v>7</v>
      </c>
      <c r="S280" s="7">
        <f>YEAR('data on outstanding creditors'!$B280)</f>
        <v>2025</v>
      </c>
      <c r="T280" s="11" t="str">
        <f>'data on outstanding creditors'!$C280&amp;" "&amp;'data on outstanding creditors'!$D280&amp;" "&amp;TEXT('data on outstanding creditors'!$E280,"#,##0.00")</f>
        <v>บ.ซิลลิคฟาร์มา 1317615983 12,840.00</v>
      </c>
      <c r="U280" s="8"/>
    </row>
    <row r="281" ht="13.5" customHeight="1">
      <c r="A281" s="1"/>
      <c r="B281" s="2">
        <v>45869.0</v>
      </c>
      <c r="C281" s="9" t="s">
        <v>520</v>
      </c>
      <c r="D281" s="1" t="s">
        <v>556</v>
      </c>
      <c r="E281" s="4">
        <v>21400.0</v>
      </c>
      <c r="F281" s="4">
        <v>21400.0</v>
      </c>
      <c r="G281" s="4"/>
      <c r="H281" s="4">
        <f>'data on outstanding creditors'!$E281-'data on outstanding creditors'!$F281-'data on outstanding creditors'!$G281</f>
        <v>0</v>
      </c>
      <c r="I281" s="2">
        <v>45952.0</v>
      </c>
      <c r="J281" s="1"/>
      <c r="K281" s="2"/>
      <c r="L281" s="5"/>
      <c r="M281" s="9" t="s">
        <v>22</v>
      </c>
      <c r="N281" s="9" t="s">
        <v>23</v>
      </c>
      <c r="O281" s="10">
        <f>'data on outstanding creditors'!$E281*100/107</f>
        <v>20000</v>
      </c>
      <c r="P281" s="10">
        <f>'data on outstanding creditors'!$E281-'data on outstanding creditors'!$O281</f>
        <v>1400</v>
      </c>
      <c r="Q281" s="7">
        <f>DAY('data on outstanding creditors'!$B281)</f>
        <v>31</v>
      </c>
      <c r="R281" s="7">
        <f>MONTH('data on outstanding creditors'!$B281)</f>
        <v>7</v>
      </c>
      <c r="S281" s="7">
        <f>YEAR('data on outstanding creditors'!$B281)</f>
        <v>2025</v>
      </c>
      <c r="T281" s="11" t="str">
        <f>'data on outstanding creditors'!$C281&amp;" "&amp;'data on outstanding creditors'!$D281&amp;" "&amp;TEXT('data on outstanding creditors'!$E281,"#,##0.00")</f>
        <v>บ.ซิลลิคฟาร์มา 1317730497 21,400.00</v>
      </c>
      <c r="U281" s="8"/>
    </row>
    <row r="282" ht="13.5" customHeight="1">
      <c r="A282" s="1"/>
      <c r="B282" s="2">
        <v>45869.0</v>
      </c>
      <c r="C282" s="9" t="s">
        <v>520</v>
      </c>
      <c r="D282" s="1" t="s">
        <v>557</v>
      </c>
      <c r="E282" s="4">
        <v>9341.1</v>
      </c>
      <c r="F282" s="4">
        <v>9341.1</v>
      </c>
      <c r="G282" s="4"/>
      <c r="H282" s="4">
        <f>'data on outstanding creditors'!$E282-'data on outstanding creditors'!$F282-'data on outstanding creditors'!$G282</f>
        <v>0</v>
      </c>
      <c r="I282" s="2">
        <v>45952.0</v>
      </c>
      <c r="J282" s="1"/>
      <c r="K282" s="2"/>
      <c r="L282" s="5"/>
      <c r="M282" s="9" t="s">
        <v>22</v>
      </c>
      <c r="N282" s="9" t="s">
        <v>23</v>
      </c>
      <c r="O282" s="10">
        <f>'data on outstanding creditors'!$E282*100/107</f>
        <v>8730</v>
      </c>
      <c r="P282" s="10">
        <f>'data on outstanding creditors'!$E282-'data on outstanding creditors'!$O282</f>
        <v>611.1</v>
      </c>
      <c r="Q282" s="7">
        <f>DAY('data on outstanding creditors'!$B282)</f>
        <v>31</v>
      </c>
      <c r="R282" s="7">
        <f>MONTH('data on outstanding creditors'!$B282)</f>
        <v>7</v>
      </c>
      <c r="S282" s="7">
        <f>YEAR('data on outstanding creditors'!$B282)</f>
        <v>2025</v>
      </c>
      <c r="T282" s="11" t="str">
        <f>'data on outstanding creditors'!$C282&amp;" "&amp;'data on outstanding creditors'!$D282&amp;" "&amp;TEXT('data on outstanding creditors'!$E282,"#,##0.00")</f>
        <v>บ.ซิลลิคฟาร์มา 1317734549 9,341.10</v>
      </c>
      <c r="U282" s="8"/>
    </row>
    <row r="283" ht="13.5" customHeight="1">
      <c r="A283" s="1"/>
      <c r="B283" s="2">
        <v>45874.0</v>
      </c>
      <c r="C283" s="9" t="s">
        <v>520</v>
      </c>
      <c r="D283" s="1" t="s">
        <v>558</v>
      </c>
      <c r="E283" s="4">
        <v>32019.0</v>
      </c>
      <c r="F283" s="4">
        <v>32019.0</v>
      </c>
      <c r="G283" s="4"/>
      <c r="H283" s="4">
        <f>'data on outstanding creditors'!$E283-'data on outstanding creditors'!$F283-'data on outstanding creditors'!$G283</f>
        <v>0</v>
      </c>
      <c r="I283" s="2">
        <v>45952.0</v>
      </c>
      <c r="J283" s="1"/>
      <c r="K283" s="2"/>
      <c r="L283" s="5"/>
      <c r="M283" s="9" t="s">
        <v>22</v>
      </c>
      <c r="N283" s="9" t="s">
        <v>23</v>
      </c>
      <c r="O283" s="10">
        <f>'data on outstanding creditors'!$E283*100/107</f>
        <v>29924.29907</v>
      </c>
      <c r="P283" s="10">
        <f>'data on outstanding creditors'!$E283-'data on outstanding creditors'!$O283</f>
        <v>2094.700935</v>
      </c>
      <c r="Q283" s="7">
        <f>DAY('data on outstanding creditors'!$B283)</f>
        <v>5</v>
      </c>
      <c r="R283" s="7">
        <f>MONTH('data on outstanding creditors'!$B283)</f>
        <v>8</v>
      </c>
      <c r="S283" s="7">
        <f>YEAR('data on outstanding creditors'!$B283)</f>
        <v>2025</v>
      </c>
      <c r="T283" s="11" t="str">
        <f>'data on outstanding creditors'!$C283&amp;" "&amp;'data on outstanding creditors'!$D283&amp;" "&amp;TEXT('data on outstanding creditors'!$E283,"#,##0.00")</f>
        <v>บ.ซิลลิคฟาร์มา 1317780128 32,019.00</v>
      </c>
      <c r="U283" s="8"/>
    </row>
    <row r="284" ht="13.5" customHeight="1">
      <c r="A284" s="1"/>
      <c r="B284" s="2">
        <v>45874.0</v>
      </c>
      <c r="C284" s="9" t="s">
        <v>520</v>
      </c>
      <c r="D284" s="1" t="s">
        <v>559</v>
      </c>
      <c r="E284" s="4">
        <v>49220.0</v>
      </c>
      <c r="F284" s="4">
        <v>49220.0</v>
      </c>
      <c r="G284" s="4"/>
      <c r="H284" s="4">
        <f>'data on outstanding creditors'!$E284-'data on outstanding creditors'!$F284-'data on outstanding creditors'!$G284</f>
        <v>0</v>
      </c>
      <c r="I284" s="2">
        <v>45952.0</v>
      </c>
      <c r="J284" s="1"/>
      <c r="K284" s="2"/>
      <c r="L284" s="5"/>
      <c r="M284" s="9" t="s">
        <v>22</v>
      </c>
      <c r="N284" s="9" t="s">
        <v>23</v>
      </c>
      <c r="O284" s="10">
        <f>'data on outstanding creditors'!$E284*100/107</f>
        <v>46000</v>
      </c>
      <c r="P284" s="10">
        <f>'data on outstanding creditors'!$E284-'data on outstanding creditors'!$O284</f>
        <v>3220</v>
      </c>
      <c r="Q284" s="7">
        <f>DAY('data on outstanding creditors'!$B284)</f>
        <v>5</v>
      </c>
      <c r="R284" s="7">
        <f>MONTH('data on outstanding creditors'!$B284)</f>
        <v>8</v>
      </c>
      <c r="S284" s="7">
        <f>YEAR('data on outstanding creditors'!$B284)</f>
        <v>2025</v>
      </c>
      <c r="T284" s="11" t="str">
        <f>'data on outstanding creditors'!$C284&amp;" "&amp;'data on outstanding creditors'!$D284&amp;" "&amp;TEXT('data on outstanding creditors'!$E284,"#,##0.00")</f>
        <v>บ.ซิลลิคฟาร์มา 1317755899 49,220.00</v>
      </c>
      <c r="U284" s="8"/>
    </row>
    <row r="285" ht="13.5" customHeight="1">
      <c r="A285" s="1"/>
      <c r="B285" s="2">
        <v>45874.0</v>
      </c>
      <c r="C285" s="9" t="s">
        <v>520</v>
      </c>
      <c r="D285" s="1" t="s">
        <v>560</v>
      </c>
      <c r="E285" s="4">
        <v>17334.0</v>
      </c>
      <c r="F285" s="4">
        <v>17334.0</v>
      </c>
      <c r="G285" s="4"/>
      <c r="H285" s="4">
        <f>'data on outstanding creditors'!$E285-'data on outstanding creditors'!$F285-'data on outstanding creditors'!$G285</f>
        <v>0</v>
      </c>
      <c r="I285" s="2">
        <v>45952.0</v>
      </c>
      <c r="J285" s="1"/>
      <c r="K285" s="2"/>
      <c r="L285" s="5"/>
      <c r="M285" s="9" t="s">
        <v>22</v>
      </c>
      <c r="N285" s="9" t="s">
        <v>23</v>
      </c>
      <c r="O285" s="10">
        <f>'data on outstanding creditors'!$E285*100/107</f>
        <v>16200</v>
      </c>
      <c r="P285" s="10">
        <f>'data on outstanding creditors'!$E285-'data on outstanding creditors'!$O285</f>
        <v>1134</v>
      </c>
      <c r="Q285" s="7">
        <f>DAY('data on outstanding creditors'!$B285)</f>
        <v>5</v>
      </c>
      <c r="R285" s="7">
        <f>MONTH('data on outstanding creditors'!$B285)</f>
        <v>8</v>
      </c>
      <c r="S285" s="7">
        <f>YEAR('data on outstanding creditors'!$B285)</f>
        <v>2025</v>
      </c>
      <c r="T285" s="11" t="str">
        <f>'data on outstanding creditors'!$C285&amp;" "&amp;'data on outstanding creditors'!$D285&amp;" "&amp;TEXT('data on outstanding creditors'!$E285,"#,##0.00")</f>
        <v>บ.ซิลลิคฟาร์มา 1317754639 17,334.00</v>
      </c>
      <c r="U285" s="8"/>
    </row>
    <row r="286" ht="13.5" customHeight="1">
      <c r="A286" s="1"/>
      <c r="B286" s="2">
        <v>45874.0</v>
      </c>
      <c r="C286" s="9" t="s">
        <v>520</v>
      </c>
      <c r="D286" s="1" t="s">
        <v>561</v>
      </c>
      <c r="E286" s="4">
        <v>24931.0</v>
      </c>
      <c r="F286" s="4">
        <v>24931.0</v>
      </c>
      <c r="G286" s="4"/>
      <c r="H286" s="4">
        <f>'data on outstanding creditors'!$E286-'data on outstanding creditors'!$F286-'data on outstanding creditors'!$G286</f>
        <v>0</v>
      </c>
      <c r="I286" s="2">
        <v>45952.0</v>
      </c>
      <c r="J286" s="1"/>
      <c r="K286" s="2"/>
      <c r="L286" s="5"/>
      <c r="M286" s="9" t="s">
        <v>22</v>
      </c>
      <c r="N286" s="9" t="s">
        <v>23</v>
      </c>
      <c r="O286" s="10">
        <f>'data on outstanding creditors'!$E286*100/107</f>
        <v>23300</v>
      </c>
      <c r="P286" s="10">
        <f>'data on outstanding creditors'!$E286-'data on outstanding creditors'!$O286</f>
        <v>1631</v>
      </c>
      <c r="Q286" s="7">
        <f>DAY('data on outstanding creditors'!$B286)</f>
        <v>5</v>
      </c>
      <c r="R286" s="7">
        <f>MONTH('data on outstanding creditors'!$B286)</f>
        <v>8</v>
      </c>
      <c r="S286" s="7">
        <f>YEAR('data on outstanding creditors'!$B286)</f>
        <v>2025</v>
      </c>
      <c r="T286" s="11" t="str">
        <f>'data on outstanding creditors'!$C286&amp;" "&amp;'data on outstanding creditors'!$D286&amp;" "&amp;TEXT('data on outstanding creditors'!$E286,"#,##0.00")</f>
        <v>บ.ซิลลิคฟาร์มา 1317755281 24,931.00</v>
      </c>
      <c r="U286" s="8"/>
    </row>
    <row r="287" ht="13.5" customHeight="1">
      <c r="A287" s="1"/>
      <c r="B287" s="2">
        <v>45874.0</v>
      </c>
      <c r="C287" s="9" t="s">
        <v>520</v>
      </c>
      <c r="D287" s="1" t="s">
        <v>562</v>
      </c>
      <c r="E287" s="4">
        <v>6420.0</v>
      </c>
      <c r="F287" s="4">
        <v>6420.0</v>
      </c>
      <c r="G287" s="4"/>
      <c r="H287" s="4">
        <f>'data on outstanding creditors'!$E287-'data on outstanding creditors'!$F287-'data on outstanding creditors'!$G287</f>
        <v>0</v>
      </c>
      <c r="I287" s="2">
        <v>45952.0</v>
      </c>
      <c r="J287" s="1"/>
      <c r="K287" s="2"/>
      <c r="L287" s="5"/>
      <c r="M287" s="9" t="s">
        <v>22</v>
      </c>
      <c r="N287" s="9" t="s">
        <v>23</v>
      </c>
      <c r="O287" s="10">
        <f>'data on outstanding creditors'!$E287*100/107</f>
        <v>6000</v>
      </c>
      <c r="P287" s="10">
        <f>'data on outstanding creditors'!$E287-'data on outstanding creditors'!$O287</f>
        <v>420</v>
      </c>
      <c r="Q287" s="7">
        <f>DAY('data on outstanding creditors'!$B287)</f>
        <v>5</v>
      </c>
      <c r="R287" s="7">
        <f>MONTH('data on outstanding creditors'!$B287)</f>
        <v>8</v>
      </c>
      <c r="S287" s="7">
        <f>YEAR('data on outstanding creditors'!$B287)</f>
        <v>2025</v>
      </c>
      <c r="T287" s="11" t="str">
        <f>'data on outstanding creditors'!$C287&amp;" "&amp;'data on outstanding creditors'!$D287&amp;" "&amp;TEXT('data on outstanding creditors'!$E287,"#,##0.00")</f>
        <v>บ.ซิลลิคฟาร์มา 1317773076 6,420.00</v>
      </c>
      <c r="U287" s="8"/>
    </row>
    <row r="288" ht="13.5" customHeight="1">
      <c r="A288" s="1"/>
      <c r="B288" s="2">
        <v>45874.0</v>
      </c>
      <c r="C288" s="9" t="s">
        <v>520</v>
      </c>
      <c r="D288" s="1" t="s">
        <v>563</v>
      </c>
      <c r="E288" s="4">
        <v>5029.0</v>
      </c>
      <c r="F288" s="4">
        <v>5029.0</v>
      </c>
      <c r="G288" s="4"/>
      <c r="H288" s="4">
        <f>'data on outstanding creditors'!$E288-'data on outstanding creditors'!$F288-'data on outstanding creditors'!$G288</f>
        <v>0</v>
      </c>
      <c r="I288" s="2">
        <v>45952.0</v>
      </c>
      <c r="J288" s="1"/>
      <c r="K288" s="2"/>
      <c r="L288" s="5"/>
      <c r="M288" s="9" t="s">
        <v>22</v>
      </c>
      <c r="N288" s="9" t="s">
        <v>23</v>
      </c>
      <c r="O288" s="10">
        <f>'data on outstanding creditors'!$E288*100/107</f>
        <v>4700</v>
      </c>
      <c r="P288" s="10">
        <f>'data on outstanding creditors'!$E288-'data on outstanding creditors'!$O288</f>
        <v>329</v>
      </c>
      <c r="Q288" s="7">
        <f>DAY('data on outstanding creditors'!$B288)</f>
        <v>5</v>
      </c>
      <c r="R288" s="7">
        <f>MONTH('data on outstanding creditors'!$B288)</f>
        <v>8</v>
      </c>
      <c r="S288" s="7">
        <f>YEAR('data on outstanding creditors'!$B288)</f>
        <v>2025</v>
      </c>
      <c r="T288" s="11" t="str">
        <f>'data on outstanding creditors'!$C288&amp;" "&amp;'data on outstanding creditors'!$D288&amp;" "&amp;TEXT('data on outstanding creditors'!$E288,"#,##0.00")</f>
        <v>บ.ซิลลิคฟาร์มา 1317770127 5,029.00</v>
      </c>
      <c r="U288" s="8"/>
    </row>
    <row r="289" ht="13.5" customHeight="1">
      <c r="A289" s="1"/>
      <c r="B289" s="2">
        <v>45877.0</v>
      </c>
      <c r="C289" s="9" t="s">
        <v>541</v>
      </c>
      <c r="D289" s="1" t="s">
        <v>564</v>
      </c>
      <c r="E289" s="4">
        <v>25680.0</v>
      </c>
      <c r="F289" s="4">
        <v>25680.0</v>
      </c>
      <c r="G289" s="4"/>
      <c r="H289" s="4">
        <f>'data on outstanding creditors'!$E289-'data on outstanding creditors'!$F289-'data on outstanding creditors'!$G289</f>
        <v>0</v>
      </c>
      <c r="I289" s="2">
        <v>45952.0</v>
      </c>
      <c r="J289" s="1"/>
      <c r="K289" s="2"/>
      <c r="L289" s="5"/>
      <c r="M289" s="9" t="s">
        <v>22</v>
      </c>
      <c r="N289" s="9" t="s">
        <v>23</v>
      </c>
      <c r="O289" s="10">
        <f>'data on outstanding creditors'!$E289*100/107</f>
        <v>24000</v>
      </c>
      <c r="P289" s="10">
        <f>'data on outstanding creditors'!$E289-'data on outstanding creditors'!$O289</f>
        <v>1680</v>
      </c>
      <c r="Q289" s="7">
        <f>DAY('data on outstanding creditors'!$B289)</f>
        <v>8</v>
      </c>
      <c r="R289" s="7">
        <f>MONTH('data on outstanding creditors'!$B289)</f>
        <v>8</v>
      </c>
      <c r="S289" s="7">
        <f>YEAR('data on outstanding creditors'!$B289)</f>
        <v>2025</v>
      </c>
      <c r="T289" s="11" t="str">
        <f>'data on outstanding creditors'!$C289&amp;" "&amp;'data on outstanding creditors'!$D289&amp;" "&amp;TEXT('data on outstanding creditors'!$E289,"#,##0.00")</f>
        <v>บ.ดีทแฮล์ม เคลเลอร์ โลจิสติกส์ 5449274686 25,680.00</v>
      </c>
      <c r="U289" s="8"/>
    </row>
    <row r="290" ht="13.5" customHeight="1">
      <c r="A290" s="1"/>
      <c r="B290" s="2">
        <v>45877.0</v>
      </c>
      <c r="C290" s="9" t="s">
        <v>520</v>
      </c>
      <c r="D290" s="1" t="s">
        <v>565</v>
      </c>
      <c r="E290" s="4">
        <v>28800.0</v>
      </c>
      <c r="F290" s="4">
        <v>28800.0</v>
      </c>
      <c r="G290" s="4"/>
      <c r="H290" s="4">
        <f>'data on outstanding creditors'!$E290-'data on outstanding creditors'!$F290-'data on outstanding creditors'!$G290</f>
        <v>0</v>
      </c>
      <c r="I290" s="2">
        <v>45952.0</v>
      </c>
      <c r="J290" s="1"/>
      <c r="K290" s="2"/>
      <c r="L290" s="5"/>
      <c r="M290" s="9" t="s">
        <v>22</v>
      </c>
      <c r="N290" s="9" t="s">
        <v>23</v>
      </c>
      <c r="O290" s="10">
        <f>'data on outstanding creditors'!$E290*100/107</f>
        <v>26915.88785</v>
      </c>
      <c r="P290" s="10">
        <f>'data on outstanding creditors'!$E290-'data on outstanding creditors'!$O290</f>
        <v>1884.11215</v>
      </c>
      <c r="Q290" s="7">
        <f>DAY('data on outstanding creditors'!$B290)</f>
        <v>8</v>
      </c>
      <c r="R290" s="7">
        <f>MONTH('data on outstanding creditors'!$B290)</f>
        <v>8</v>
      </c>
      <c r="S290" s="7">
        <f>YEAR('data on outstanding creditors'!$B290)</f>
        <v>2025</v>
      </c>
      <c r="T290" s="11" t="str">
        <f>'data on outstanding creditors'!$C290&amp;" "&amp;'data on outstanding creditors'!$D290&amp;" "&amp;TEXT('data on outstanding creditors'!$E290,"#,##0.00")</f>
        <v>บ.ซิลลิคฟาร์มา 1317787822 28,800.00</v>
      </c>
      <c r="U290" s="8"/>
    </row>
    <row r="291" ht="13.5" customHeight="1">
      <c r="A291" s="1"/>
      <c r="B291" s="2">
        <v>45883.0</v>
      </c>
      <c r="C291" s="9" t="s">
        <v>520</v>
      </c>
      <c r="D291" s="1" t="s">
        <v>566</v>
      </c>
      <c r="E291" s="4">
        <v>35577.5</v>
      </c>
      <c r="F291" s="4">
        <v>35577.5</v>
      </c>
      <c r="G291" s="4"/>
      <c r="H291" s="4">
        <f>'data on outstanding creditors'!$E291-'data on outstanding creditors'!$F291-'data on outstanding creditors'!$G291</f>
        <v>0</v>
      </c>
      <c r="I291" s="2">
        <v>45952.0</v>
      </c>
      <c r="J291" s="1"/>
      <c r="K291" s="2"/>
      <c r="L291" s="5"/>
      <c r="M291" s="9" t="s">
        <v>22</v>
      </c>
      <c r="N291" s="9" t="s">
        <v>23</v>
      </c>
      <c r="O291" s="10">
        <f>'data on outstanding creditors'!$E291*100/107</f>
        <v>33250</v>
      </c>
      <c r="P291" s="10">
        <f>'data on outstanding creditors'!$E291-'data on outstanding creditors'!$O291</f>
        <v>2327.5</v>
      </c>
      <c r="Q291" s="7">
        <f>DAY('data on outstanding creditors'!$B291)</f>
        <v>14</v>
      </c>
      <c r="R291" s="7">
        <f>MONTH('data on outstanding creditors'!$B291)</f>
        <v>8</v>
      </c>
      <c r="S291" s="7">
        <f>YEAR('data on outstanding creditors'!$B291)</f>
        <v>2025</v>
      </c>
      <c r="T291" s="11" t="str">
        <f>'data on outstanding creditors'!$C291&amp;" "&amp;'data on outstanding creditors'!$D291&amp;" "&amp;TEXT('data on outstanding creditors'!$E291,"#,##0.00")</f>
        <v>บ.ซิลลิคฟาร์มา 1317845033 35,577.50</v>
      </c>
      <c r="U291" s="8"/>
    </row>
    <row r="292" ht="13.5" customHeight="1">
      <c r="A292" s="1"/>
      <c r="B292" s="2">
        <v>45883.0</v>
      </c>
      <c r="C292" s="9" t="s">
        <v>520</v>
      </c>
      <c r="D292" s="1" t="s">
        <v>567</v>
      </c>
      <c r="E292" s="4">
        <v>8560.0</v>
      </c>
      <c r="F292" s="4">
        <v>8560.0</v>
      </c>
      <c r="G292" s="4"/>
      <c r="H292" s="4">
        <f>'data on outstanding creditors'!$E292-'data on outstanding creditors'!$F292-'data on outstanding creditors'!$G292</f>
        <v>0</v>
      </c>
      <c r="I292" s="2">
        <v>45952.0</v>
      </c>
      <c r="J292" s="1"/>
      <c r="K292" s="2"/>
      <c r="L292" s="5"/>
      <c r="M292" s="9" t="s">
        <v>22</v>
      </c>
      <c r="N292" s="9" t="s">
        <v>23</v>
      </c>
      <c r="O292" s="10">
        <f>'data on outstanding creditors'!$E292*100/107</f>
        <v>8000</v>
      </c>
      <c r="P292" s="10">
        <f>'data on outstanding creditors'!$E292-'data on outstanding creditors'!$O292</f>
        <v>560</v>
      </c>
      <c r="Q292" s="7">
        <f>DAY('data on outstanding creditors'!$B292)</f>
        <v>14</v>
      </c>
      <c r="R292" s="7">
        <f>MONTH('data on outstanding creditors'!$B292)</f>
        <v>8</v>
      </c>
      <c r="S292" s="7">
        <f>YEAR('data on outstanding creditors'!$B292)</f>
        <v>2025</v>
      </c>
      <c r="T292" s="11" t="str">
        <f>'data on outstanding creditors'!$C292&amp;" "&amp;'data on outstanding creditors'!$D292&amp;" "&amp;TEXT('data on outstanding creditors'!$E292,"#,##0.00")</f>
        <v>บ.ซิลลิคฟาร์มา 1317817362 8,560.00</v>
      </c>
      <c r="U292" s="8"/>
    </row>
    <row r="293" ht="13.5" customHeight="1">
      <c r="A293" s="1"/>
      <c r="B293" s="2">
        <v>45883.0</v>
      </c>
      <c r="C293" s="9" t="s">
        <v>520</v>
      </c>
      <c r="D293" s="1" t="s">
        <v>568</v>
      </c>
      <c r="E293" s="4">
        <v>3595.2</v>
      </c>
      <c r="F293" s="4">
        <v>3595.2</v>
      </c>
      <c r="G293" s="4"/>
      <c r="H293" s="4">
        <f>'data on outstanding creditors'!$E293-'data on outstanding creditors'!$F293-'data on outstanding creditors'!$G293</f>
        <v>0</v>
      </c>
      <c r="I293" s="2">
        <v>45952.0</v>
      </c>
      <c r="J293" s="1"/>
      <c r="K293" s="2"/>
      <c r="L293" s="5"/>
      <c r="M293" s="9" t="s">
        <v>22</v>
      </c>
      <c r="N293" s="9" t="s">
        <v>23</v>
      </c>
      <c r="O293" s="10">
        <f>'data on outstanding creditors'!$E293*100/107</f>
        <v>3360</v>
      </c>
      <c r="P293" s="10">
        <f>'data on outstanding creditors'!$E293-'data on outstanding creditors'!$O293</f>
        <v>235.2</v>
      </c>
      <c r="Q293" s="7">
        <f>DAY('data on outstanding creditors'!$B293)</f>
        <v>14</v>
      </c>
      <c r="R293" s="7">
        <f>MONTH('data on outstanding creditors'!$B293)</f>
        <v>8</v>
      </c>
      <c r="S293" s="7">
        <f>YEAR('data on outstanding creditors'!$B293)</f>
        <v>2025</v>
      </c>
      <c r="T293" s="11" t="str">
        <f>'data on outstanding creditors'!$C293&amp;" "&amp;'data on outstanding creditors'!$D293&amp;" "&amp;TEXT('data on outstanding creditors'!$E293,"#,##0.00")</f>
        <v>บ.ซิลลิคฟาร์มา 1317825315 3,595.20</v>
      </c>
      <c r="U293" s="8"/>
    </row>
    <row r="294" ht="13.5" customHeight="1">
      <c r="A294" s="1"/>
      <c r="B294" s="2">
        <v>45883.0</v>
      </c>
      <c r="C294" s="9" t="s">
        <v>541</v>
      </c>
      <c r="D294" s="1" t="s">
        <v>569</v>
      </c>
      <c r="E294" s="4">
        <v>53500.0</v>
      </c>
      <c r="F294" s="4">
        <v>53500.0</v>
      </c>
      <c r="G294" s="4"/>
      <c r="H294" s="4">
        <f>'data on outstanding creditors'!$E294-'data on outstanding creditors'!$F294-'data on outstanding creditors'!$G294</f>
        <v>0</v>
      </c>
      <c r="I294" s="2">
        <v>45952.0</v>
      </c>
      <c r="J294" s="1"/>
      <c r="K294" s="2"/>
      <c r="L294" s="5"/>
      <c r="M294" s="9" t="s">
        <v>22</v>
      </c>
      <c r="N294" s="9" t="s">
        <v>23</v>
      </c>
      <c r="O294" s="10">
        <f>'data on outstanding creditors'!$E294*100/107</f>
        <v>50000</v>
      </c>
      <c r="P294" s="10">
        <f>'data on outstanding creditors'!$E294-'data on outstanding creditors'!$O294</f>
        <v>3500</v>
      </c>
      <c r="Q294" s="7">
        <f>DAY('data on outstanding creditors'!$B294)</f>
        <v>14</v>
      </c>
      <c r="R294" s="7">
        <f>MONTH('data on outstanding creditors'!$B294)</f>
        <v>8</v>
      </c>
      <c r="S294" s="7">
        <f>YEAR('data on outstanding creditors'!$B294)</f>
        <v>2025</v>
      </c>
      <c r="T294" s="11" t="str">
        <f>'data on outstanding creditors'!$C294&amp;" "&amp;'data on outstanding creditors'!$D294&amp;" "&amp;TEXT('data on outstanding creditors'!$E294,"#,##0.00")</f>
        <v>บ.ดีทแฮล์ม เคลเลอร์ โลจิสติกส์ 5449279489 53,500.00</v>
      </c>
      <c r="U294" s="8"/>
    </row>
    <row r="295" ht="13.5" customHeight="1">
      <c r="A295" s="1"/>
      <c r="B295" s="2">
        <v>45884.0</v>
      </c>
      <c r="C295" s="9" t="s">
        <v>520</v>
      </c>
      <c r="D295" s="1" t="s">
        <v>570</v>
      </c>
      <c r="E295" s="4">
        <v>6719.6</v>
      </c>
      <c r="F295" s="4">
        <v>6719.6</v>
      </c>
      <c r="G295" s="4"/>
      <c r="H295" s="4">
        <f>'data on outstanding creditors'!$E295-'data on outstanding creditors'!$F295-'data on outstanding creditors'!$G295</f>
        <v>0</v>
      </c>
      <c r="I295" s="2">
        <v>45952.0</v>
      </c>
      <c r="J295" s="1"/>
      <c r="K295" s="2"/>
      <c r="L295" s="5"/>
      <c r="M295" s="9" t="s">
        <v>22</v>
      </c>
      <c r="N295" s="9" t="s">
        <v>23</v>
      </c>
      <c r="O295" s="10">
        <f>'data on outstanding creditors'!$E295*100/107</f>
        <v>6280</v>
      </c>
      <c r="P295" s="10">
        <f>'data on outstanding creditors'!$E295-'data on outstanding creditors'!$O295</f>
        <v>439.6</v>
      </c>
      <c r="Q295" s="7">
        <f>DAY('data on outstanding creditors'!$B295)</f>
        <v>15</v>
      </c>
      <c r="R295" s="7">
        <f>MONTH('data on outstanding creditors'!$B295)</f>
        <v>8</v>
      </c>
      <c r="S295" s="7">
        <f>YEAR('data on outstanding creditors'!$B295)</f>
        <v>2025</v>
      </c>
      <c r="T295" s="11" t="str">
        <f>'data on outstanding creditors'!$C295&amp;" "&amp;'data on outstanding creditors'!$D295&amp;" "&amp;TEXT('data on outstanding creditors'!$E295,"#,##0.00")</f>
        <v>บ.ซิลลิคฟาร์มา 1317828441 6,719.60</v>
      </c>
      <c r="U295" s="8"/>
    </row>
    <row r="296" ht="13.5" customHeight="1">
      <c r="A296" s="1"/>
      <c r="B296" s="2">
        <v>45884.0</v>
      </c>
      <c r="C296" s="9" t="s">
        <v>520</v>
      </c>
      <c r="D296" s="1" t="s">
        <v>571</v>
      </c>
      <c r="E296" s="4">
        <v>18618.0</v>
      </c>
      <c r="F296" s="4">
        <v>18618.0</v>
      </c>
      <c r="G296" s="4"/>
      <c r="H296" s="4">
        <f>'data on outstanding creditors'!$E296-'data on outstanding creditors'!$F296-'data on outstanding creditors'!$G296</f>
        <v>0</v>
      </c>
      <c r="I296" s="2">
        <v>45952.0</v>
      </c>
      <c r="J296" s="1"/>
      <c r="K296" s="2"/>
      <c r="L296" s="5"/>
      <c r="M296" s="9" t="s">
        <v>22</v>
      </c>
      <c r="N296" s="9" t="s">
        <v>23</v>
      </c>
      <c r="O296" s="10">
        <f>'data on outstanding creditors'!$E296*100/107</f>
        <v>17400</v>
      </c>
      <c r="P296" s="10">
        <f>'data on outstanding creditors'!$E296-'data on outstanding creditors'!$O296</f>
        <v>1218</v>
      </c>
      <c r="Q296" s="7">
        <f>DAY('data on outstanding creditors'!$B296)</f>
        <v>15</v>
      </c>
      <c r="R296" s="7">
        <f>MONTH('data on outstanding creditors'!$B296)</f>
        <v>8</v>
      </c>
      <c r="S296" s="7">
        <f>YEAR('data on outstanding creditors'!$B296)</f>
        <v>2025</v>
      </c>
      <c r="T296" s="11" t="str">
        <f>'data on outstanding creditors'!$C296&amp;" "&amp;'data on outstanding creditors'!$D296&amp;" "&amp;TEXT('data on outstanding creditors'!$E296,"#,##0.00")</f>
        <v>บ.ซิลลิคฟาร์มา 1317827283 18,618.00</v>
      </c>
      <c r="U296" s="8"/>
    </row>
    <row r="297" ht="13.5" customHeight="1">
      <c r="A297" s="1"/>
      <c r="B297" s="2">
        <v>45888.0</v>
      </c>
      <c r="C297" s="9" t="s">
        <v>520</v>
      </c>
      <c r="D297" s="1" t="s">
        <v>572</v>
      </c>
      <c r="E297" s="4">
        <v>15600.0</v>
      </c>
      <c r="F297" s="4">
        <v>15600.0</v>
      </c>
      <c r="G297" s="4"/>
      <c r="H297" s="4">
        <f>'data on outstanding creditors'!$E297-'data on outstanding creditors'!$F297-'data on outstanding creditors'!$G297</f>
        <v>0</v>
      </c>
      <c r="I297" s="2">
        <v>45952.0</v>
      </c>
      <c r="J297" s="1"/>
      <c r="K297" s="2"/>
      <c r="L297" s="5"/>
      <c r="M297" s="9" t="s">
        <v>22</v>
      </c>
      <c r="N297" s="9" t="s">
        <v>23</v>
      </c>
      <c r="O297" s="10">
        <f>'data on outstanding creditors'!$E297*100/107</f>
        <v>14579.43925</v>
      </c>
      <c r="P297" s="10">
        <f>'data on outstanding creditors'!$E297-'data on outstanding creditors'!$O297</f>
        <v>1020.560748</v>
      </c>
      <c r="Q297" s="7">
        <f>DAY('data on outstanding creditors'!$B297)</f>
        <v>19</v>
      </c>
      <c r="R297" s="7">
        <f>MONTH('data on outstanding creditors'!$B297)</f>
        <v>8</v>
      </c>
      <c r="S297" s="7">
        <f>YEAR('data on outstanding creditors'!$B297)</f>
        <v>2025</v>
      </c>
      <c r="T297" s="11" t="str">
        <f>'data on outstanding creditors'!$C297&amp;" "&amp;'data on outstanding creditors'!$D297&amp;" "&amp;TEXT('data on outstanding creditors'!$E297,"#,##0.00")</f>
        <v>บ.ซิลลิคฟาร์มา 1317827357 15,600.00</v>
      </c>
      <c r="U297" s="8"/>
    </row>
    <row r="298" ht="13.5" customHeight="1">
      <c r="A298" s="1"/>
      <c r="B298" s="2">
        <v>45888.0</v>
      </c>
      <c r="C298" s="9" t="s">
        <v>520</v>
      </c>
      <c r="D298" s="1" t="s">
        <v>573</v>
      </c>
      <c r="E298" s="4">
        <v>4715.0</v>
      </c>
      <c r="F298" s="4">
        <v>4715.0</v>
      </c>
      <c r="G298" s="4"/>
      <c r="H298" s="4">
        <f>'data on outstanding creditors'!$E298-'data on outstanding creditors'!$F298-'data on outstanding creditors'!$G298</f>
        <v>0</v>
      </c>
      <c r="I298" s="2">
        <v>45952.0</v>
      </c>
      <c r="J298" s="1"/>
      <c r="K298" s="2"/>
      <c r="L298" s="5"/>
      <c r="M298" s="9" t="s">
        <v>22</v>
      </c>
      <c r="N298" s="9" t="s">
        <v>23</v>
      </c>
      <c r="O298" s="10">
        <f>'data on outstanding creditors'!$E298*100/107</f>
        <v>4406.542056</v>
      </c>
      <c r="P298" s="10">
        <f>'data on outstanding creditors'!$E298-'data on outstanding creditors'!$O298</f>
        <v>308.4579439</v>
      </c>
      <c r="Q298" s="7">
        <f>DAY('data on outstanding creditors'!$B298)</f>
        <v>19</v>
      </c>
      <c r="R298" s="7">
        <f>MONTH('data on outstanding creditors'!$B298)</f>
        <v>8</v>
      </c>
      <c r="S298" s="7">
        <f>YEAR('data on outstanding creditors'!$B298)</f>
        <v>2025</v>
      </c>
      <c r="T298" s="11" t="str">
        <f>'data on outstanding creditors'!$C298&amp;" "&amp;'data on outstanding creditors'!$D298&amp;" "&amp;TEXT('data on outstanding creditors'!$E298,"#,##0.00")</f>
        <v>บ.ซิลลิคฟาร์มา 1317845919 4,715.00</v>
      </c>
      <c r="U298" s="8"/>
    </row>
    <row r="299" ht="13.5" customHeight="1">
      <c r="A299" s="1"/>
      <c r="B299" s="2">
        <v>45889.0</v>
      </c>
      <c r="C299" s="9" t="s">
        <v>520</v>
      </c>
      <c r="D299" s="1" t="s">
        <v>574</v>
      </c>
      <c r="E299" s="4">
        <v>18190.0</v>
      </c>
      <c r="F299" s="4">
        <v>18190.0</v>
      </c>
      <c r="G299" s="4"/>
      <c r="H299" s="4">
        <f>'data on outstanding creditors'!$E299-'data on outstanding creditors'!$F299-'data on outstanding creditors'!$G299</f>
        <v>0</v>
      </c>
      <c r="I299" s="2">
        <v>45952.0</v>
      </c>
      <c r="J299" s="1"/>
      <c r="K299" s="2"/>
      <c r="L299" s="5"/>
      <c r="M299" s="9" t="s">
        <v>22</v>
      </c>
      <c r="N299" s="9" t="s">
        <v>23</v>
      </c>
      <c r="O299" s="10">
        <f>'data on outstanding creditors'!$E299*100/107</f>
        <v>17000</v>
      </c>
      <c r="P299" s="10">
        <f>'data on outstanding creditors'!$E299-'data on outstanding creditors'!$O299</f>
        <v>1190</v>
      </c>
      <c r="Q299" s="7">
        <f>DAY('data on outstanding creditors'!$B299)</f>
        <v>20</v>
      </c>
      <c r="R299" s="7">
        <f>MONTH('data on outstanding creditors'!$B299)</f>
        <v>8</v>
      </c>
      <c r="S299" s="7">
        <f>YEAR('data on outstanding creditors'!$B299)</f>
        <v>2025</v>
      </c>
      <c r="T299" s="11" t="str">
        <f>'data on outstanding creditors'!$C299&amp;" "&amp;'data on outstanding creditors'!$D299&amp;" "&amp;TEXT('data on outstanding creditors'!$E299,"#,##0.00")</f>
        <v>บ.ซิลลิคฟาร์มา 1317857483 18,190.00</v>
      </c>
      <c r="U299" s="8"/>
    </row>
    <row r="300" ht="13.5" customHeight="1">
      <c r="A300" s="1"/>
      <c r="B300" s="2">
        <v>45890.0</v>
      </c>
      <c r="C300" s="9" t="s">
        <v>520</v>
      </c>
      <c r="D300" s="1" t="s">
        <v>575</v>
      </c>
      <c r="E300" s="4">
        <v>32367.5</v>
      </c>
      <c r="F300" s="4">
        <v>32367.5</v>
      </c>
      <c r="G300" s="4"/>
      <c r="H300" s="4">
        <f>'data on outstanding creditors'!$E300-'data on outstanding creditors'!$F300-'data on outstanding creditors'!$G300</f>
        <v>0</v>
      </c>
      <c r="I300" s="2">
        <v>45952.0</v>
      </c>
      <c r="J300" s="1"/>
      <c r="K300" s="2"/>
      <c r="L300" s="5"/>
      <c r="M300" s="9" t="s">
        <v>22</v>
      </c>
      <c r="N300" s="9" t="s">
        <v>23</v>
      </c>
      <c r="O300" s="10">
        <f>'data on outstanding creditors'!$E300*100/107</f>
        <v>30250</v>
      </c>
      <c r="P300" s="10">
        <f>'data on outstanding creditors'!$E300-'data on outstanding creditors'!$O300</f>
        <v>2117.5</v>
      </c>
      <c r="Q300" s="7">
        <f>DAY('data on outstanding creditors'!$B300)</f>
        <v>21</v>
      </c>
      <c r="R300" s="7">
        <f>MONTH('data on outstanding creditors'!$B300)</f>
        <v>8</v>
      </c>
      <c r="S300" s="7">
        <f>YEAR('data on outstanding creditors'!$B300)</f>
        <v>2025</v>
      </c>
      <c r="T300" s="11" t="str">
        <f>'data on outstanding creditors'!$C300&amp;" "&amp;'data on outstanding creditors'!$D300&amp;" "&amp;TEXT('data on outstanding creditors'!$E300,"#,##0.00")</f>
        <v>บ.ซิลลิคฟาร์มา 1317878386 32,367.50</v>
      </c>
      <c r="U300" s="8"/>
    </row>
    <row r="301" ht="13.5" customHeight="1">
      <c r="A301" s="1"/>
      <c r="B301" s="2">
        <v>45890.0</v>
      </c>
      <c r="C301" s="9" t="s">
        <v>520</v>
      </c>
      <c r="D301" s="1" t="s">
        <v>576</v>
      </c>
      <c r="E301" s="4">
        <v>7304.89</v>
      </c>
      <c r="F301" s="4">
        <v>7304.89</v>
      </c>
      <c r="G301" s="4"/>
      <c r="H301" s="4">
        <f>'data on outstanding creditors'!$E301-'data on outstanding creditors'!$F301-'data on outstanding creditors'!$G301</f>
        <v>0</v>
      </c>
      <c r="I301" s="2">
        <v>45952.0</v>
      </c>
      <c r="J301" s="1"/>
      <c r="K301" s="2"/>
      <c r="L301" s="5"/>
      <c r="M301" s="9" t="s">
        <v>22</v>
      </c>
      <c r="N301" s="9" t="s">
        <v>23</v>
      </c>
      <c r="O301" s="10">
        <f>'data on outstanding creditors'!$E301*100/107</f>
        <v>6827</v>
      </c>
      <c r="P301" s="10">
        <f>'data on outstanding creditors'!$E301-'data on outstanding creditors'!$O301</f>
        <v>477.89</v>
      </c>
      <c r="Q301" s="7">
        <f>DAY('data on outstanding creditors'!$B301)</f>
        <v>21</v>
      </c>
      <c r="R301" s="7">
        <f>MONTH('data on outstanding creditors'!$B301)</f>
        <v>8</v>
      </c>
      <c r="S301" s="7">
        <f>YEAR('data on outstanding creditors'!$B301)</f>
        <v>2025</v>
      </c>
      <c r="T301" s="11" t="str">
        <f>'data on outstanding creditors'!$C301&amp;" "&amp;'data on outstanding creditors'!$D301&amp;" "&amp;TEXT('data on outstanding creditors'!$E301,"#,##0.00")</f>
        <v>บ.ซิลลิคฟาร์มา 1317901243 7,304.89</v>
      </c>
      <c r="U301" s="8"/>
    </row>
    <row r="302" ht="13.5" customHeight="1">
      <c r="A302" s="1"/>
      <c r="B302" s="2">
        <v>45890.0</v>
      </c>
      <c r="C302" s="9" t="s">
        <v>520</v>
      </c>
      <c r="D302" s="1" t="s">
        <v>577</v>
      </c>
      <c r="E302" s="4">
        <v>19345.6</v>
      </c>
      <c r="F302" s="4">
        <v>19345.6</v>
      </c>
      <c r="G302" s="4"/>
      <c r="H302" s="4">
        <f>'data on outstanding creditors'!$E302-'data on outstanding creditors'!$F302-'data on outstanding creditors'!$G302</f>
        <v>0</v>
      </c>
      <c r="I302" s="2">
        <v>45952.0</v>
      </c>
      <c r="J302" s="1"/>
      <c r="K302" s="2"/>
      <c r="L302" s="5"/>
      <c r="M302" s="9" t="s">
        <v>22</v>
      </c>
      <c r="N302" s="9" t="s">
        <v>23</v>
      </c>
      <c r="O302" s="10">
        <f>'data on outstanding creditors'!$E302*100/107</f>
        <v>18080</v>
      </c>
      <c r="P302" s="10">
        <f>'data on outstanding creditors'!$E302-'data on outstanding creditors'!$O302</f>
        <v>1265.6</v>
      </c>
      <c r="Q302" s="7">
        <f>DAY('data on outstanding creditors'!$B302)</f>
        <v>21</v>
      </c>
      <c r="R302" s="7">
        <f>MONTH('data on outstanding creditors'!$B302)</f>
        <v>8</v>
      </c>
      <c r="S302" s="7">
        <f>YEAR('data on outstanding creditors'!$B302)</f>
        <v>2025</v>
      </c>
      <c r="T302" s="11" t="str">
        <f>'data on outstanding creditors'!$C302&amp;" "&amp;'data on outstanding creditors'!$D302&amp;" "&amp;TEXT('data on outstanding creditors'!$E302,"#,##0.00")</f>
        <v>บ.ซิลลิคฟาร์มา 1317919059 19,345.60</v>
      </c>
      <c r="U302" s="8"/>
    </row>
    <row r="303" ht="13.5" customHeight="1">
      <c r="A303" s="1"/>
      <c r="B303" s="2">
        <v>45890.0</v>
      </c>
      <c r="C303" s="9" t="s">
        <v>520</v>
      </c>
      <c r="D303" s="1" t="s">
        <v>578</v>
      </c>
      <c r="E303" s="4">
        <v>5399.22</v>
      </c>
      <c r="F303" s="4">
        <v>5399.22</v>
      </c>
      <c r="G303" s="4"/>
      <c r="H303" s="4">
        <f>'data on outstanding creditors'!$E303-'data on outstanding creditors'!$F303-'data on outstanding creditors'!$G303</f>
        <v>0</v>
      </c>
      <c r="I303" s="2">
        <v>45952.0</v>
      </c>
      <c r="J303" s="1"/>
      <c r="K303" s="2"/>
      <c r="L303" s="5"/>
      <c r="M303" s="9" t="s">
        <v>22</v>
      </c>
      <c r="N303" s="9" t="s">
        <v>23</v>
      </c>
      <c r="O303" s="10">
        <f>'data on outstanding creditors'!$E303*100/107</f>
        <v>5046</v>
      </c>
      <c r="P303" s="10">
        <f>'data on outstanding creditors'!$E303-'data on outstanding creditors'!$O303</f>
        <v>353.22</v>
      </c>
      <c r="Q303" s="7">
        <f>DAY('data on outstanding creditors'!$B303)</f>
        <v>21</v>
      </c>
      <c r="R303" s="7">
        <f>MONTH('data on outstanding creditors'!$B303)</f>
        <v>8</v>
      </c>
      <c r="S303" s="7">
        <f>YEAR('data on outstanding creditors'!$B303)</f>
        <v>2025</v>
      </c>
      <c r="T303" s="11" t="str">
        <f>'data on outstanding creditors'!$C303&amp;" "&amp;'data on outstanding creditors'!$D303&amp;" "&amp;TEXT('data on outstanding creditors'!$E303,"#,##0.00")</f>
        <v>บ.ซิลลิคฟาร์มา 1317881638 5,399.22</v>
      </c>
      <c r="U303" s="8"/>
    </row>
    <row r="304" ht="13.5" customHeight="1">
      <c r="A304" s="1"/>
      <c r="B304" s="2">
        <v>45890.0</v>
      </c>
      <c r="C304" s="9" t="s">
        <v>520</v>
      </c>
      <c r="D304" s="1" t="s">
        <v>579</v>
      </c>
      <c r="E304" s="4">
        <v>32849.0</v>
      </c>
      <c r="F304" s="4">
        <v>32849.0</v>
      </c>
      <c r="G304" s="4"/>
      <c r="H304" s="4">
        <f>'data on outstanding creditors'!$E304-'data on outstanding creditors'!$F304-'data on outstanding creditors'!$G304</f>
        <v>0</v>
      </c>
      <c r="I304" s="2">
        <v>45952.0</v>
      </c>
      <c r="J304" s="1"/>
      <c r="K304" s="2"/>
      <c r="L304" s="5"/>
      <c r="M304" s="9" t="s">
        <v>22</v>
      </c>
      <c r="N304" s="9" t="s">
        <v>23</v>
      </c>
      <c r="O304" s="10">
        <f>'data on outstanding creditors'!$E304*100/107</f>
        <v>30700</v>
      </c>
      <c r="P304" s="10">
        <f>'data on outstanding creditors'!$E304-'data on outstanding creditors'!$O304</f>
        <v>2149</v>
      </c>
      <c r="Q304" s="7">
        <f>DAY('data on outstanding creditors'!$B304)</f>
        <v>21</v>
      </c>
      <c r="R304" s="7">
        <f>MONTH('data on outstanding creditors'!$B304)</f>
        <v>8</v>
      </c>
      <c r="S304" s="7">
        <f>YEAR('data on outstanding creditors'!$B304)</f>
        <v>2025</v>
      </c>
      <c r="T304" s="11" t="str">
        <f>'data on outstanding creditors'!$C304&amp;" "&amp;'data on outstanding creditors'!$D304&amp;" "&amp;TEXT('data on outstanding creditors'!$E304,"#,##0.00")</f>
        <v>บ.ซิลลิคฟาร์มา 1317877485 32,849.00</v>
      </c>
      <c r="U304" s="8"/>
    </row>
    <row r="305" ht="13.5" customHeight="1">
      <c r="A305" s="1"/>
      <c r="B305" s="2">
        <v>45895.0</v>
      </c>
      <c r="C305" s="9" t="s">
        <v>520</v>
      </c>
      <c r="D305" s="1" t="s">
        <v>580</v>
      </c>
      <c r="E305" s="4">
        <v>15408.0</v>
      </c>
      <c r="F305" s="4">
        <v>15408.0</v>
      </c>
      <c r="G305" s="4"/>
      <c r="H305" s="4">
        <f>'data on outstanding creditors'!$E305-'data on outstanding creditors'!$F305-'data on outstanding creditors'!$G305</f>
        <v>0</v>
      </c>
      <c r="I305" s="2">
        <v>45952.0</v>
      </c>
      <c r="J305" s="1"/>
      <c r="K305" s="2"/>
      <c r="L305" s="5"/>
      <c r="M305" s="9" t="s">
        <v>22</v>
      </c>
      <c r="N305" s="9" t="s">
        <v>23</v>
      </c>
      <c r="O305" s="10">
        <f>'data on outstanding creditors'!$E305*100/107</f>
        <v>14400</v>
      </c>
      <c r="P305" s="10">
        <f>'data on outstanding creditors'!$E305-'data on outstanding creditors'!$O305</f>
        <v>1008</v>
      </c>
      <c r="Q305" s="7">
        <f>DAY('data on outstanding creditors'!$B305)</f>
        <v>26</v>
      </c>
      <c r="R305" s="7">
        <f>MONTH('data on outstanding creditors'!$B305)</f>
        <v>8</v>
      </c>
      <c r="S305" s="7">
        <f>YEAR('data on outstanding creditors'!$B305)</f>
        <v>2025</v>
      </c>
      <c r="T305" s="11" t="str">
        <f>'data on outstanding creditors'!$C305&amp;" "&amp;'data on outstanding creditors'!$D305&amp;" "&amp;TEXT('data on outstanding creditors'!$E305,"#,##0.00")</f>
        <v>บ.ซิลลิคฟาร์มา 1317937762 15,408.00</v>
      </c>
      <c r="U305" s="8"/>
    </row>
    <row r="306" ht="13.5" customHeight="1">
      <c r="A306" s="1"/>
      <c r="B306" s="2">
        <v>45895.0</v>
      </c>
      <c r="C306" s="9" t="s">
        <v>520</v>
      </c>
      <c r="D306" s="1" t="s">
        <v>581</v>
      </c>
      <c r="E306" s="4">
        <v>96300.0</v>
      </c>
      <c r="F306" s="4">
        <v>96300.0</v>
      </c>
      <c r="G306" s="4"/>
      <c r="H306" s="4">
        <f>'data on outstanding creditors'!$E306-'data on outstanding creditors'!$F306-'data on outstanding creditors'!$G306</f>
        <v>0</v>
      </c>
      <c r="I306" s="2">
        <v>45952.0</v>
      </c>
      <c r="J306" s="1"/>
      <c r="K306" s="2"/>
      <c r="L306" s="5"/>
      <c r="M306" s="9" t="s">
        <v>22</v>
      </c>
      <c r="N306" s="9" t="s">
        <v>23</v>
      </c>
      <c r="O306" s="10">
        <f>'data on outstanding creditors'!$E306*100/107</f>
        <v>90000</v>
      </c>
      <c r="P306" s="10">
        <f>'data on outstanding creditors'!$E306-'data on outstanding creditors'!$O306</f>
        <v>6300</v>
      </c>
      <c r="Q306" s="7">
        <f>DAY('data on outstanding creditors'!$B306)</f>
        <v>26</v>
      </c>
      <c r="R306" s="7">
        <f>MONTH('data on outstanding creditors'!$B306)</f>
        <v>8</v>
      </c>
      <c r="S306" s="7">
        <f>YEAR('data on outstanding creditors'!$B306)</f>
        <v>2025</v>
      </c>
      <c r="T306" s="11" t="str">
        <f>'data on outstanding creditors'!$C306&amp;" "&amp;'data on outstanding creditors'!$D306&amp;" "&amp;TEXT('data on outstanding creditors'!$E306,"#,##0.00")</f>
        <v>บ.ซิลลิคฟาร์มา 1317973884 96,300.00</v>
      </c>
      <c r="U306" s="8"/>
    </row>
    <row r="307" ht="13.5" customHeight="1">
      <c r="A307" s="1"/>
      <c r="B307" s="2">
        <v>45895.0</v>
      </c>
      <c r="C307" s="9" t="s">
        <v>520</v>
      </c>
      <c r="D307" s="1" t="s">
        <v>582</v>
      </c>
      <c r="E307" s="4">
        <v>10058.0</v>
      </c>
      <c r="F307" s="4">
        <v>10058.0</v>
      </c>
      <c r="G307" s="4"/>
      <c r="H307" s="4">
        <f>'data on outstanding creditors'!$E307-'data on outstanding creditors'!$F307-'data on outstanding creditors'!$G307</f>
        <v>0</v>
      </c>
      <c r="I307" s="2">
        <v>45952.0</v>
      </c>
      <c r="J307" s="1"/>
      <c r="K307" s="2"/>
      <c r="L307" s="5"/>
      <c r="M307" s="9" t="s">
        <v>22</v>
      </c>
      <c r="N307" s="9" t="s">
        <v>23</v>
      </c>
      <c r="O307" s="10">
        <f>'data on outstanding creditors'!$E307*100/107</f>
        <v>9400</v>
      </c>
      <c r="P307" s="10">
        <f>'data on outstanding creditors'!$E307-'data on outstanding creditors'!$O307</f>
        <v>658</v>
      </c>
      <c r="Q307" s="7">
        <f>DAY('data on outstanding creditors'!$B307)</f>
        <v>26</v>
      </c>
      <c r="R307" s="7">
        <f>MONTH('data on outstanding creditors'!$B307)</f>
        <v>8</v>
      </c>
      <c r="S307" s="7">
        <f>YEAR('data on outstanding creditors'!$B307)</f>
        <v>2025</v>
      </c>
      <c r="T307" s="11" t="str">
        <f>'data on outstanding creditors'!$C307&amp;" "&amp;'data on outstanding creditors'!$D307&amp;" "&amp;TEXT('data on outstanding creditors'!$E307,"#,##0.00")</f>
        <v>บ.ซิลลิคฟาร์มา 1317882199 10,058.00</v>
      </c>
      <c r="U307" s="8"/>
    </row>
    <row r="308" ht="13.5" customHeight="1">
      <c r="A308" s="1"/>
      <c r="B308" s="2">
        <v>45895.0</v>
      </c>
      <c r="C308" s="9" t="s">
        <v>520</v>
      </c>
      <c r="D308" s="1" t="s">
        <v>583</v>
      </c>
      <c r="E308" s="4">
        <v>34668.0</v>
      </c>
      <c r="F308" s="4">
        <v>34668.0</v>
      </c>
      <c r="G308" s="4"/>
      <c r="H308" s="4">
        <f>'data on outstanding creditors'!$E308-'data on outstanding creditors'!$F308-'data on outstanding creditors'!$G308</f>
        <v>0</v>
      </c>
      <c r="I308" s="2">
        <v>45952.0</v>
      </c>
      <c r="J308" s="1"/>
      <c r="K308" s="2"/>
      <c r="L308" s="5"/>
      <c r="M308" s="9" t="s">
        <v>22</v>
      </c>
      <c r="N308" s="9" t="s">
        <v>23</v>
      </c>
      <c r="O308" s="10">
        <f>'data on outstanding creditors'!$E308*100/107</f>
        <v>32400</v>
      </c>
      <c r="P308" s="10">
        <f>'data on outstanding creditors'!$E308-'data on outstanding creditors'!$O308</f>
        <v>2268</v>
      </c>
      <c r="Q308" s="7">
        <f>DAY('data on outstanding creditors'!$B308)</f>
        <v>26</v>
      </c>
      <c r="R308" s="7">
        <f>MONTH('data on outstanding creditors'!$B308)</f>
        <v>8</v>
      </c>
      <c r="S308" s="7">
        <f>YEAR('data on outstanding creditors'!$B308)</f>
        <v>2025</v>
      </c>
      <c r="T308" s="11" t="str">
        <f>'data on outstanding creditors'!$C308&amp;" "&amp;'data on outstanding creditors'!$D308&amp;" "&amp;TEXT('data on outstanding creditors'!$E308,"#,##0.00")</f>
        <v>บ.ซิลลิคฟาร์มา 1317916892 34,668.00</v>
      </c>
      <c r="U308" s="8"/>
    </row>
    <row r="309" ht="13.5" customHeight="1">
      <c r="A309" s="1"/>
      <c r="B309" s="2">
        <v>45895.0</v>
      </c>
      <c r="C309" s="9" t="s">
        <v>520</v>
      </c>
      <c r="D309" s="1" t="s">
        <v>584</v>
      </c>
      <c r="E309" s="4">
        <v>9630.0</v>
      </c>
      <c r="F309" s="4">
        <v>9630.0</v>
      </c>
      <c r="G309" s="4"/>
      <c r="H309" s="4">
        <f>'data on outstanding creditors'!$E309-'data on outstanding creditors'!$F309-'data on outstanding creditors'!$G309</f>
        <v>0</v>
      </c>
      <c r="I309" s="2">
        <v>45952.0</v>
      </c>
      <c r="J309" s="1"/>
      <c r="K309" s="2"/>
      <c r="L309" s="5"/>
      <c r="M309" s="9" t="s">
        <v>22</v>
      </c>
      <c r="N309" s="9" t="s">
        <v>23</v>
      </c>
      <c r="O309" s="10">
        <f>'data on outstanding creditors'!$E309*100/107</f>
        <v>9000</v>
      </c>
      <c r="P309" s="10">
        <f>'data on outstanding creditors'!$E309-'data on outstanding creditors'!$O309</f>
        <v>630</v>
      </c>
      <c r="Q309" s="7">
        <f>DAY('data on outstanding creditors'!$B309)</f>
        <v>26</v>
      </c>
      <c r="R309" s="7">
        <f>MONTH('data on outstanding creditors'!$B309)</f>
        <v>8</v>
      </c>
      <c r="S309" s="7">
        <f>YEAR('data on outstanding creditors'!$B309)</f>
        <v>2025</v>
      </c>
      <c r="T309" s="11" t="str">
        <f>'data on outstanding creditors'!$C309&amp;" "&amp;'data on outstanding creditors'!$D309&amp;" "&amp;TEXT('data on outstanding creditors'!$E309,"#,##0.00")</f>
        <v>บ.ซิลลิคฟาร์มา 1317910044 9,630.00</v>
      </c>
      <c r="U309" s="8"/>
    </row>
    <row r="310" ht="13.5" customHeight="1">
      <c r="A310" s="1"/>
      <c r="B310" s="2">
        <v>45895.0</v>
      </c>
      <c r="C310" s="9" t="s">
        <v>520</v>
      </c>
      <c r="D310" s="1" t="s">
        <v>585</v>
      </c>
      <c r="E310" s="4">
        <v>2125.0</v>
      </c>
      <c r="F310" s="4">
        <v>2125.0</v>
      </c>
      <c r="G310" s="4"/>
      <c r="H310" s="4">
        <f>'data on outstanding creditors'!$E310-'data on outstanding creditors'!$F310-'data on outstanding creditors'!$G310</f>
        <v>0</v>
      </c>
      <c r="I310" s="2">
        <v>45952.0</v>
      </c>
      <c r="J310" s="1"/>
      <c r="K310" s="2"/>
      <c r="L310" s="5"/>
      <c r="M310" s="9" t="s">
        <v>22</v>
      </c>
      <c r="N310" s="9" t="s">
        <v>23</v>
      </c>
      <c r="O310" s="10">
        <f>'data on outstanding creditors'!$E310*100/107</f>
        <v>1985.981308</v>
      </c>
      <c r="P310" s="10">
        <f>'data on outstanding creditors'!$E310-'data on outstanding creditors'!$O310</f>
        <v>139.0186916</v>
      </c>
      <c r="Q310" s="7">
        <f>DAY('data on outstanding creditors'!$B310)</f>
        <v>26</v>
      </c>
      <c r="R310" s="7">
        <f>MONTH('data on outstanding creditors'!$B310)</f>
        <v>8</v>
      </c>
      <c r="S310" s="7">
        <f>YEAR('data on outstanding creditors'!$B310)</f>
        <v>2025</v>
      </c>
      <c r="T310" s="11" t="str">
        <f>'data on outstanding creditors'!$C310&amp;" "&amp;'data on outstanding creditors'!$D310&amp;" "&amp;TEXT('data on outstanding creditors'!$E310,"#,##0.00")</f>
        <v>บ.ซิลลิคฟาร์มา 1317925545 2,125.00</v>
      </c>
      <c r="U310" s="8"/>
    </row>
    <row r="311" ht="13.5" customHeight="1">
      <c r="A311" s="1"/>
      <c r="B311" s="2">
        <v>45895.0</v>
      </c>
      <c r="C311" s="9" t="s">
        <v>520</v>
      </c>
      <c r="D311" s="1" t="s">
        <v>586</v>
      </c>
      <c r="E311" s="4">
        <v>16200.0</v>
      </c>
      <c r="F311" s="4">
        <v>16200.0</v>
      </c>
      <c r="G311" s="4"/>
      <c r="H311" s="4">
        <f>'data on outstanding creditors'!$E311-'data on outstanding creditors'!$F311-'data on outstanding creditors'!$G311</f>
        <v>0</v>
      </c>
      <c r="I311" s="2">
        <v>45952.0</v>
      </c>
      <c r="J311" s="1"/>
      <c r="K311" s="2"/>
      <c r="L311" s="5"/>
      <c r="M311" s="9" t="s">
        <v>22</v>
      </c>
      <c r="N311" s="9" t="s">
        <v>23</v>
      </c>
      <c r="O311" s="10">
        <f>'data on outstanding creditors'!$E311*100/107</f>
        <v>15140.18692</v>
      </c>
      <c r="P311" s="10">
        <f>'data on outstanding creditors'!$E311-'data on outstanding creditors'!$O311</f>
        <v>1059.813084</v>
      </c>
      <c r="Q311" s="7">
        <f>DAY('data on outstanding creditors'!$B311)</f>
        <v>26</v>
      </c>
      <c r="R311" s="7">
        <f>MONTH('data on outstanding creditors'!$B311)</f>
        <v>8</v>
      </c>
      <c r="S311" s="7">
        <f>YEAR('data on outstanding creditors'!$B311)</f>
        <v>2025</v>
      </c>
      <c r="T311" s="11" t="str">
        <f>'data on outstanding creditors'!$C311&amp;" "&amp;'data on outstanding creditors'!$D311&amp;" "&amp;TEXT('data on outstanding creditors'!$E311,"#,##0.00")</f>
        <v>บ.ซิลลิคฟาร์มา 1317954538 16,200.00</v>
      </c>
      <c r="U311" s="8"/>
    </row>
    <row r="312" ht="13.5" customHeight="1">
      <c r="A312" s="1"/>
      <c r="B312" s="2">
        <v>45895.0</v>
      </c>
      <c r="C312" s="9" t="s">
        <v>520</v>
      </c>
      <c r="D312" s="1" t="s">
        <v>587</v>
      </c>
      <c r="E312" s="4">
        <v>9955.28</v>
      </c>
      <c r="F312" s="4">
        <v>9955.28</v>
      </c>
      <c r="G312" s="4"/>
      <c r="H312" s="4">
        <f>'data on outstanding creditors'!$E312-'data on outstanding creditors'!$F312-'data on outstanding creditors'!$G312</f>
        <v>0</v>
      </c>
      <c r="I312" s="2">
        <v>45952.0</v>
      </c>
      <c r="J312" s="1"/>
      <c r="K312" s="2"/>
      <c r="L312" s="5"/>
      <c r="M312" s="9" t="s">
        <v>22</v>
      </c>
      <c r="N312" s="9" t="s">
        <v>23</v>
      </c>
      <c r="O312" s="10">
        <f>'data on outstanding creditors'!$E312*100/107</f>
        <v>9304</v>
      </c>
      <c r="P312" s="10">
        <f>'data on outstanding creditors'!$E312-'data on outstanding creditors'!$O312</f>
        <v>651.28</v>
      </c>
      <c r="Q312" s="7">
        <f>DAY('data on outstanding creditors'!$B312)</f>
        <v>26</v>
      </c>
      <c r="R312" s="7">
        <f>MONTH('data on outstanding creditors'!$B312)</f>
        <v>8</v>
      </c>
      <c r="S312" s="7">
        <f>YEAR('data on outstanding creditors'!$B312)</f>
        <v>2025</v>
      </c>
      <c r="T312" s="11" t="str">
        <f>'data on outstanding creditors'!$C312&amp;" "&amp;'data on outstanding creditors'!$D312&amp;" "&amp;TEXT('data on outstanding creditors'!$E312,"#,##0.00")</f>
        <v>บ.ซิลลิคฟาร์มา 1317972590 9,955.28</v>
      </c>
      <c r="U312" s="8"/>
    </row>
    <row r="313" ht="13.5" customHeight="1">
      <c r="A313" s="1"/>
      <c r="B313" s="2">
        <v>45896.0</v>
      </c>
      <c r="C313" s="9" t="s">
        <v>520</v>
      </c>
      <c r="D313" s="1" t="s">
        <v>588</v>
      </c>
      <c r="E313" s="4">
        <v>5029.0</v>
      </c>
      <c r="F313" s="4">
        <v>5029.0</v>
      </c>
      <c r="G313" s="4"/>
      <c r="H313" s="4">
        <f>'data on outstanding creditors'!$E313-'data on outstanding creditors'!$F313-'data on outstanding creditors'!$G313</f>
        <v>0</v>
      </c>
      <c r="I313" s="2">
        <v>45952.0</v>
      </c>
      <c r="J313" s="1"/>
      <c r="K313" s="2"/>
      <c r="L313" s="5"/>
      <c r="M313" s="9" t="s">
        <v>22</v>
      </c>
      <c r="N313" s="9" t="s">
        <v>23</v>
      </c>
      <c r="O313" s="10">
        <f>'data on outstanding creditors'!$E313*100/107</f>
        <v>4700</v>
      </c>
      <c r="P313" s="10">
        <f>'data on outstanding creditors'!$E313-'data on outstanding creditors'!$O313</f>
        <v>329</v>
      </c>
      <c r="Q313" s="7">
        <f>DAY('data on outstanding creditors'!$B313)</f>
        <v>27</v>
      </c>
      <c r="R313" s="7">
        <f>MONTH('data on outstanding creditors'!$B313)</f>
        <v>8</v>
      </c>
      <c r="S313" s="7">
        <f>YEAR('data on outstanding creditors'!$B313)</f>
        <v>2025</v>
      </c>
      <c r="T313" s="11" t="str">
        <f>'data on outstanding creditors'!$C313&amp;" "&amp;'data on outstanding creditors'!$D313&amp;" "&amp;TEXT('data on outstanding creditors'!$E313,"#,##0.00")</f>
        <v>บ.ซิลลิคฟาร์มา 1317985930 5,029.00</v>
      </c>
      <c r="U313" s="8"/>
    </row>
    <row r="314" ht="13.5" customHeight="1">
      <c r="A314" s="1"/>
      <c r="B314" s="2">
        <v>45902.0</v>
      </c>
      <c r="C314" s="9" t="s">
        <v>520</v>
      </c>
      <c r="D314" s="1" t="s">
        <v>589</v>
      </c>
      <c r="E314" s="4">
        <v>40800.0</v>
      </c>
      <c r="F314" s="4">
        <v>40800.0</v>
      </c>
      <c r="G314" s="4"/>
      <c r="H314" s="4">
        <f>'data on outstanding creditors'!$E314-'data on outstanding creditors'!$F314-'data on outstanding creditors'!$G314</f>
        <v>0</v>
      </c>
      <c r="I314" s="2">
        <v>45952.0</v>
      </c>
      <c r="J314" s="1"/>
      <c r="K314" s="2"/>
      <c r="L314" s="5"/>
      <c r="M314" s="9" t="s">
        <v>22</v>
      </c>
      <c r="N314" s="9" t="s">
        <v>23</v>
      </c>
      <c r="O314" s="10">
        <f>'data on outstanding creditors'!$E314*100/107</f>
        <v>38130.84112</v>
      </c>
      <c r="P314" s="10">
        <f>'data on outstanding creditors'!$E314-'data on outstanding creditors'!$O314</f>
        <v>2669.158879</v>
      </c>
      <c r="Q314" s="7">
        <f>DAY('data on outstanding creditors'!$B314)</f>
        <v>2</v>
      </c>
      <c r="R314" s="7">
        <f>MONTH('data on outstanding creditors'!$B314)</f>
        <v>9</v>
      </c>
      <c r="S314" s="7">
        <f>YEAR('data on outstanding creditors'!$B314)</f>
        <v>2025</v>
      </c>
      <c r="T314" s="11" t="str">
        <f>'data on outstanding creditors'!$C314&amp;" "&amp;'data on outstanding creditors'!$D314&amp;" "&amp;TEXT('data on outstanding creditors'!$E314,"#,##0.00")</f>
        <v>บ.ซิลลิคฟาร์มา 1318039170 40,800.00</v>
      </c>
      <c r="U314" s="8"/>
    </row>
    <row r="315" ht="13.5" customHeight="1">
      <c r="A315" s="1"/>
      <c r="B315" s="2">
        <v>45902.0</v>
      </c>
      <c r="C315" s="9" t="s">
        <v>520</v>
      </c>
      <c r="D315" s="1" t="s">
        <v>590</v>
      </c>
      <c r="E315" s="4">
        <v>44137.5</v>
      </c>
      <c r="F315" s="4">
        <v>44137.5</v>
      </c>
      <c r="G315" s="4"/>
      <c r="H315" s="4">
        <f>'data on outstanding creditors'!$E315-'data on outstanding creditors'!$F315-'data on outstanding creditors'!$G315</f>
        <v>0</v>
      </c>
      <c r="I315" s="2">
        <v>45952.0</v>
      </c>
      <c r="J315" s="1"/>
      <c r="K315" s="2"/>
      <c r="L315" s="5"/>
      <c r="M315" s="9" t="s">
        <v>22</v>
      </c>
      <c r="N315" s="9" t="s">
        <v>23</v>
      </c>
      <c r="O315" s="10">
        <f>'data on outstanding creditors'!$E315*100/107</f>
        <v>41250</v>
      </c>
      <c r="P315" s="10">
        <f>'data on outstanding creditors'!$E315-'data on outstanding creditors'!$O315</f>
        <v>2887.5</v>
      </c>
      <c r="Q315" s="7">
        <f>DAY('data on outstanding creditors'!$B315)</f>
        <v>2</v>
      </c>
      <c r="R315" s="7">
        <f>MONTH('data on outstanding creditors'!$B315)</f>
        <v>9</v>
      </c>
      <c r="S315" s="7">
        <f>YEAR('data on outstanding creditors'!$B315)</f>
        <v>2025</v>
      </c>
      <c r="T315" s="11" t="str">
        <f>'data on outstanding creditors'!$C315&amp;" "&amp;'data on outstanding creditors'!$D315&amp;" "&amp;TEXT('data on outstanding creditors'!$E315,"#,##0.00")</f>
        <v>บ.ซิลลิคฟาร์มา 1318011094 44,137.50</v>
      </c>
      <c r="U315" s="8"/>
    </row>
    <row r="316" ht="13.5" customHeight="1">
      <c r="A316" s="1"/>
      <c r="B316" s="2">
        <v>45902.0</v>
      </c>
      <c r="C316" s="9" t="s">
        <v>520</v>
      </c>
      <c r="D316" s="1" t="s">
        <v>591</v>
      </c>
      <c r="E316" s="4">
        <v>10700.0</v>
      </c>
      <c r="F316" s="4">
        <v>10700.0</v>
      </c>
      <c r="G316" s="4"/>
      <c r="H316" s="4">
        <f>'data on outstanding creditors'!$E316-'data on outstanding creditors'!$F316-'data on outstanding creditors'!$G316</f>
        <v>0</v>
      </c>
      <c r="I316" s="2">
        <v>45952.0</v>
      </c>
      <c r="J316" s="1"/>
      <c r="K316" s="2"/>
      <c r="L316" s="5"/>
      <c r="M316" s="9" t="s">
        <v>22</v>
      </c>
      <c r="N316" s="9" t="s">
        <v>23</v>
      </c>
      <c r="O316" s="10">
        <f>'data on outstanding creditors'!$E316*100/107</f>
        <v>10000</v>
      </c>
      <c r="P316" s="10">
        <f>'data on outstanding creditors'!$E316-'data on outstanding creditors'!$O316</f>
        <v>700</v>
      </c>
      <c r="Q316" s="7">
        <f>DAY('data on outstanding creditors'!$B316)</f>
        <v>2</v>
      </c>
      <c r="R316" s="7">
        <f>MONTH('data on outstanding creditors'!$B316)</f>
        <v>9</v>
      </c>
      <c r="S316" s="7">
        <f>YEAR('data on outstanding creditors'!$B316)</f>
        <v>2025</v>
      </c>
      <c r="T316" s="11" t="str">
        <f>'data on outstanding creditors'!$C316&amp;" "&amp;'data on outstanding creditors'!$D316&amp;" "&amp;TEXT('data on outstanding creditors'!$E316,"#,##0.00")</f>
        <v>บ.ซิลลิคฟาร์มา 1317999537 10,700.00</v>
      </c>
      <c r="U316" s="8"/>
    </row>
    <row r="317" ht="13.5" customHeight="1">
      <c r="A317" s="1"/>
      <c r="B317" s="2">
        <v>45902.0</v>
      </c>
      <c r="C317" s="9" t="s">
        <v>520</v>
      </c>
      <c r="D317" s="1" t="s">
        <v>592</v>
      </c>
      <c r="E317" s="4">
        <v>6719.6</v>
      </c>
      <c r="F317" s="4">
        <v>6719.6</v>
      </c>
      <c r="G317" s="4"/>
      <c r="H317" s="4">
        <f>'data on outstanding creditors'!$E317-'data on outstanding creditors'!$F317-'data on outstanding creditors'!$G317</f>
        <v>0</v>
      </c>
      <c r="I317" s="2">
        <v>45952.0</v>
      </c>
      <c r="J317" s="1"/>
      <c r="K317" s="2"/>
      <c r="L317" s="5"/>
      <c r="M317" s="9" t="s">
        <v>22</v>
      </c>
      <c r="N317" s="9" t="s">
        <v>23</v>
      </c>
      <c r="O317" s="10">
        <f>'data on outstanding creditors'!$E317*100/107</f>
        <v>6280</v>
      </c>
      <c r="P317" s="10">
        <f>'data on outstanding creditors'!$E317-'data on outstanding creditors'!$O317</f>
        <v>439.6</v>
      </c>
      <c r="Q317" s="7">
        <f>DAY('data on outstanding creditors'!$B317)</f>
        <v>2</v>
      </c>
      <c r="R317" s="7">
        <f>MONTH('data on outstanding creditors'!$B317)</f>
        <v>9</v>
      </c>
      <c r="S317" s="7">
        <f>YEAR('data on outstanding creditors'!$B317)</f>
        <v>2025</v>
      </c>
      <c r="T317" s="11" t="str">
        <f>'data on outstanding creditors'!$C317&amp;" "&amp;'data on outstanding creditors'!$D317&amp;" "&amp;TEXT('data on outstanding creditors'!$E317,"#,##0.00")</f>
        <v>บ.ซิลลิคฟาร์มา 1318017993 6,719.60</v>
      </c>
      <c r="U317" s="8"/>
    </row>
    <row r="318" ht="13.5" customHeight="1">
      <c r="A318" s="1" t="s">
        <v>593</v>
      </c>
      <c r="B318" s="2">
        <v>45779.0</v>
      </c>
      <c r="C318" s="9" t="s">
        <v>520</v>
      </c>
      <c r="D318" s="1" t="s">
        <v>594</v>
      </c>
      <c r="E318" s="4">
        <v>44940.0</v>
      </c>
      <c r="F318" s="4">
        <v>44940.0</v>
      </c>
      <c r="G318" s="4"/>
      <c r="H318" s="4">
        <f>'data on outstanding creditors'!$E318-'data on outstanding creditors'!$F318-'data on outstanding creditors'!$G318</f>
        <v>0</v>
      </c>
      <c r="I318" s="2">
        <v>45952.0</v>
      </c>
      <c r="J318" s="1"/>
      <c r="K318" s="2"/>
      <c r="L318" s="5"/>
      <c r="M318" s="9" t="s">
        <v>43</v>
      </c>
      <c r="N318" s="9" t="s">
        <v>49</v>
      </c>
      <c r="O318" s="10">
        <f>'data on outstanding creditors'!$E318*100/107</f>
        <v>42000</v>
      </c>
      <c r="P318" s="10">
        <f>'data on outstanding creditors'!$E318-'data on outstanding creditors'!$O318</f>
        <v>2940</v>
      </c>
      <c r="Q318" s="7">
        <f>DAY('data on outstanding creditors'!$B318)</f>
        <v>2</v>
      </c>
      <c r="R318" s="7">
        <f>MONTH('data on outstanding creditors'!$B318)</f>
        <v>5</v>
      </c>
      <c r="S318" s="7">
        <f>YEAR('data on outstanding creditors'!$B318)</f>
        <v>2025</v>
      </c>
      <c r="T318" s="11" t="str">
        <f>'data on outstanding creditors'!$C318&amp;" "&amp;'data on outstanding creditors'!$D318&amp;" "&amp;TEXT('data on outstanding creditors'!$E318,"#,##0.00")</f>
        <v>บ.ซิลลิคฟาร์มา 1317061844 44,940.00</v>
      </c>
      <c r="U318" s="8"/>
    </row>
    <row r="319" ht="13.5" customHeight="1">
      <c r="A319" s="1" t="s">
        <v>595</v>
      </c>
      <c r="B319" s="2">
        <v>45791.0</v>
      </c>
      <c r="C319" s="9" t="s">
        <v>520</v>
      </c>
      <c r="D319" s="1" t="s">
        <v>596</v>
      </c>
      <c r="E319" s="4">
        <v>44940.0</v>
      </c>
      <c r="F319" s="4">
        <v>44940.0</v>
      </c>
      <c r="G319" s="4"/>
      <c r="H319" s="4">
        <f>'data on outstanding creditors'!$E319-'data on outstanding creditors'!$F319-'data on outstanding creditors'!$G319</f>
        <v>0</v>
      </c>
      <c r="I319" s="2">
        <v>45952.0</v>
      </c>
      <c r="J319" s="1"/>
      <c r="K319" s="2"/>
      <c r="L319" s="5"/>
      <c r="M319" s="9" t="s">
        <v>43</v>
      </c>
      <c r="N319" s="9" t="s">
        <v>49</v>
      </c>
      <c r="O319" s="10">
        <f>'data on outstanding creditors'!$E319*100/107</f>
        <v>42000</v>
      </c>
      <c r="P319" s="10">
        <f>'data on outstanding creditors'!$E319-'data on outstanding creditors'!$O319</f>
        <v>2940</v>
      </c>
      <c r="Q319" s="7">
        <f>DAY('data on outstanding creditors'!$B319)</f>
        <v>14</v>
      </c>
      <c r="R319" s="7">
        <f>MONTH('data on outstanding creditors'!$B319)</f>
        <v>5</v>
      </c>
      <c r="S319" s="7">
        <f>YEAR('data on outstanding creditors'!$B319)</f>
        <v>2025</v>
      </c>
      <c r="T319" s="11" t="str">
        <f>'data on outstanding creditors'!$C319&amp;" "&amp;'data on outstanding creditors'!$D319&amp;" "&amp;TEXT('data on outstanding creditors'!$E319,"#,##0.00")</f>
        <v>บ.ซิลลิคฟาร์มา 1317179731 44,940.00</v>
      </c>
      <c r="U319" s="8"/>
    </row>
    <row r="320" ht="13.5" customHeight="1">
      <c r="A320" s="1" t="s">
        <v>597</v>
      </c>
      <c r="B320" s="2">
        <v>45814.0</v>
      </c>
      <c r="C320" s="9" t="s">
        <v>520</v>
      </c>
      <c r="D320" s="1" t="s">
        <v>598</v>
      </c>
      <c r="E320" s="4">
        <v>44940.0</v>
      </c>
      <c r="F320" s="4">
        <v>44940.0</v>
      </c>
      <c r="G320" s="4"/>
      <c r="H320" s="4">
        <f>'data on outstanding creditors'!$E320-'data on outstanding creditors'!$F320-'data on outstanding creditors'!$G320</f>
        <v>0</v>
      </c>
      <c r="I320" s="2">
        <v>45952.0</v>
      </c>
      <c r="J320" s="1"/>
      <c r="K320" s="2"/>
      <c r="L320" s="5"/>
      <c r="M320" s="9" t="s">
        <v>43</v>
      </c>
      <c r="N320" s="9" t="s">
        <v>49</v>
      </c>
      <c r="O320" s="10">
        <f>'data on outstanding creditors'!$E320*100/107</f>
        <v>42000</v>
      </c>
      <c r="P320" s="10">
        <f>'data on outstanding creditors'!$E320-'data on outstanding creditors'!$O320</f>
        <v>2940</v>
      </c>
      <c r="Q320" s="7">
        <f>DAY('data on outstanding creditors'!$B320)</f>
        <v>6</v>
      </c>
      <c r="R320" s="7">
        <f>MONTH('data on outstanding creditors'!$B320)</f>
        <v>6</v>
      </c>
      <c r="S320" s="7">
        <f>YEAR('data on outstanding creditors'!$B320)</f>
        <v>2025</v>
      </c>
      <c r="T320" s="11" t="str">
        <f>'data on outstanding creditors'!$C320&amp;" "&amp;'data on outstanding creditors'!$D320&amp;" "&amp;TEXT('data on outstanding creditors'!$E320,"#,##0.00")</f>
        <v>บ.ซิลลิคฟาร์มา 1317727357 44,940.00</v>
      </c>
      <c r="U320" s="8"/>
    </row>
    <row r="321" ht="13.5" customHeight="1">
      <c r="A321" s="1" t="s">
        <v>599</v>
      </c>
      <c r="B321" s="2">
        <v>45828.0</v>
      </c>
      <c r="C321" s="9" t="s">
        <v>520</v>
      </c>
      <c r="D321" s="1" t="s">
        <v>600</v>
      </c>
      <c r="E321" s="4">
        <v>44940.0</v>
      </c>
      <c r="F321" s="4">
        <v>44940.0</v>
      </c>
      <c r="G321" s="4"/>
      <c r="H321" s="4">
        <f>'data on outstanding creditors'!$E321-'data on outstanding creditors'!$F321-'data on outstanding creditors'!$G321</f>
        <v>0</v>
      </c>
      <c r="I321" s="2">
        <v>45952.0</v>
      </c>
      <c r="J321" s="1"/>
      <c r="K321" s="2"/>
      <c r="L321" s="5"/>
      <c r="M321" s="9" t="s">
        <v>43</v>
      </c>
      <c r="N321" s="9" t="s">
        <v>49</v>
      </c>
      <c r="O321" s="10">
        <f>'data on outstanding creditors'!$E321*100/107</f>
        <v>42000</v>
      </c>
      <c r="P321" s="10">
        <f>'data on outstanding creditors'!$E321-'data on outstanding creditors'!$O321</f>
        <v>2940</v>
      </c>
      <c r="Q321" s="7">
        <f>DAY('data on outstanding creditors'!$B321)</f>
        <v>20</v>
      </c>
      <c r="R321" s="7">
        <f>MONTH('data on outstanding creditors'!$B321)</f>
        <v>6</v>
      </c>
      <c r="S321" s="7">
        <f>YEAR('data on outstanding creditors'!$B321)</f>
        <v>2025</v>
      </c>
      <c r="T321" s="11" t="str">
        <f>'data on outstanding creditors'!$C321&amp;" "&amp;'data on outstanding creditors'!$D321&amp;" "&amp;TEXT('data on outstanding creditors'!$E321,"#,##0.00")</f>
        <v>บ.ซิลลิคฟาร์มา 1317466300 44,940.00</v>
      </c>
      <c r="U321" s="8"/>
    </row>
    <row r="322" ht="13.5" customHeight="1">
      <c r="A322" s="1" t="s">
        <v>601</v>
      </c>
      <c r="B322" s="2">
        <v>45833.0</v>
      </c>
      <c r="C322" s="9" t="s">
        <v>520</v>
      </c>
      <c r="D322" s="1" t="s">
        <v>602</v>
      </c>
      <c r="E322" s="4">
        <v>44940.0</v>
      </c>
      <c r="F322" s="4">
        <v>44940.0</v>
      </c>
      <c r="G322" s="4"/>
      <c r="H322" s="4">
        <f>'data on outstanding creditors'!$E322-'data on outstanding creditors'!$F322-'data on outstanding creditors'!$G322</f>
        <v>0</v>
      </c>
      <c r="I322" s="2">
        <v>45952.0</v>
      </c>
      <c r="J322" s="1"/>
      <c r="K322" s="2"/>
      <c r="L322" s="5"/>
      <c r="M322" s="9" t="s">
        <v>43</v>
      </c>
      <c r="N322" s="9" t="s">
        <v>49</v>
      </c>
      <c r="O322" s="10">
        <f>'data on outstanding creditors'!$E322*100/107</f>
        <v>42000</v>
      </c>
      <c r="P322" s="10">
        <f>'data on outstanding creditors'!$E322-'data on outstanding creditors'!$O322</f>
        <v>2940</v>
      </c>
      <c r="Q322" s="7">
        <f>DAY('data on outstanding creditors'!$B322)</f>
        <v>25</v>
      </c>
      <c r="R322" s="7">
        <f>MONTH('data on outstanding creditors'!$B322)</f>
        <v>6</v>
      </c>
      <c r="S322" s="7">
        <f>YEAR('data on outstanding creditors'!$B322)</f>
        <v>2025</v>
      </c>
      <c r="T322" s="11" t="str">
        <f>'data on outstanding creditors'!$C322&amp;" "&amp;'data on outstanding creditors'!$D322&amp;" "&amp;TEXT('data on outstanding creditors'!$E322,"#,##0.00")</f>
        <v>บ.ซิลลิคฟาร์มา 1317543942 44,940.00</v>
      </c>
      <c r="U322" s="8"/>
    </row>
    <row r="323" ht="13.5" customHeight="1">
      <c r="A323" s="1" t="s">
        <v>603</v>
      </c>
      <c r="B323" s="2">
        <v>45835.0</v>
      </c>
      <c r="C323" s="9" t="s">
        <v>520</v>
      </c>
      <c r="D323" s="1" t="s">
        <v>604</v>
      </c>
      <c r="E323" s="4">
        <v>44940.0</v>
      </c>
      <c r="F323" s="4">
        <v>44940.0</v>
      </c>
      <c r="G323" s="4"/>
      <c r="H323" s="4">
        <f>'data on outstanding creditors'!$E323-'data on outstanding creditors'!$F323-'data on outstanding creditors'!$G323</f>
        <v>0</v>
      </c>
      <c r="I323" s="2">
        <v>45952.0</v>
      </c>
      <c r="J323" s="1"/>
      <c r="K323" s="2"/>
      <c r="L323" s="5"/>
      <c r="M323" s="9" t="s">
        <v>43</v>
      </c>
      <c r="N323" s="9" t="s">
        <v>49</v>
      </c>
      <c r="O323" s="10">
        <f>'data on outstanding creditors'!$E323*100/107</f>
        <v>42000</v>
      </c>
      <c r="P323" s="10">
        <f>'data on outstanding creditors'!$E323-'data on outstanding creditors'!$O323</f>
        <v>2940</v>
      </c>
      <c r="Q323" s="7">
        <f>DAY('data on outstanding creditors'!$B323)</f>
        <v>27</v>
      </c>
      <c r="R323" s="7">
        <f>MONTH('data on outstanding creditors'!$B323)</f>
        <v>6</v>
      </c>
      <c r="S323" s="7">
        <f>YEAR('data on outstanding creditors'!$B323)</f>
        <v>2025</v>
      </c>
      <c r="T323" s="11" t="str">
        <f>'data on outstanding creditors'!$C323&amp;" "&amp;'data on outstanding creditors'!$D323&amp;" "&amp;TEXT('data on outstanding creditors'!$E323,"#,##0.00")</f>
        <v>บ.ซิลลิคฟาร์มา 1317775730 44,940.00</v>
      </c>
      <c r="U323" s="8"/>
    </row>
    <row r="324" ht="13.5" customHeight="1">
      <c r="A324" s="1" t="s">
        <v>605</v>
      </c>
      <c r="B324" s="2">
        <v>45839.0</v>
      </c>
      <c r="C324" s="9" t="s">
        <v>541</v>
      </c>
      <c r="D324" s="1" t="s">
        <v>606</v>
      </c>
      <c r="E324" s="4">
        <v>10914.0</v>
      </c>
      <c r="F324" s="4">
        <v>10914.0</v>
      </c>
      <c r="G324" s="4"/>
      <c r="H324" s="4">
        <f>'data on outstanding creditors'!$E324-'data on outstanding creditors'!$F324-'data on outstanding creditors'!$G324</f>
        <v>0</v>
      </c>
      <c r="I324" s="2">
        <v>45952.0</v>
      </c>
      <c r="J324" s="1"/>
      <c r="K324" s="2"/>
      <c r="L324" s="5"/>
      <c r="M324" s="9" t="s">
        <v>43</v>
      </c>
      <c r="N324" s="9" t="s">
        <v>49</v>
      </c>
      <c r="O324" s="10">
        <f>'data on outstanding creditors'!$E324*100/107</f>
        <v>10200</v>
      </c>
      <c r="P324" s="10">
        <f>'data on outstanding creditors'!$E324-'data on outstanding creditors'!$O324</f>
        <v>714</v>
      </c>
      <c r="Q324" s="7">
        <f>DAY('data on outstanding creditors'!$B324)</f>
        <v>1</v>
      </c>
      <c r="R324" s="7">
        <f>MONTH('data on outstanding creditors'!$B324)</f>
        <v>7</v>
      </c>
      <c r="S324" s="7">
        <f>YEAR('data on outstanding creditors'!$B324)</f>
        <v>2025</v>
      </c>
      <c r="T324" s="11" t="str">
        <f>'data on outstanding creditors'!$C324&amp;" "&amp;'data on outstanding creditors'!$D324&amp;" "&amp;TEXT('data on outstanding creditors'!$E324,"#,##0.00")</f>
        <v>บ.ดีทแฮล์ม เคลเลอร์ โลจิสติกส์ 5449252678 10,914.00</v>
      </c>
      <c r="U324" s="8"/>
    </row>
    <row r="325" ht="13.5" customHeight="1">
      <c r="A325" s="1" t="s">
        <v>607</v>
      </c>
      <c r="B325" s="2">
        <v>45840.0</v>
      </c>
      <c r="C325" s="9" t="s">
        <v>399</v>
      </c>
      <c r="D325" s="1" t="s">
        <v>608</v>
      </c>
      <c r="E325" s="4">
        <v>23005.0</v>
      </c>
      <c r="F325" s="4">
        <v>23005.0</v>
      </c>
      <c r="G325" s="4"/>
      <c r="H325" s="4">
        <f>'data on outstanding creditors'!$E325-'data on outstanding creditors'!$F325-'data on outstanding creditors'!$G325</f>
        <v>0</v>
      </c>
      <c r="I325" s="2">
        <v>45952.0</v>
      </c>
      <c r="J325" s="1"/>
      <c r="K325" s="2"/>
      <c r="L325" s="5"/>
      <c r="M325" s="9" t="s">
        <v>43</v>
      </c>
      <c r="N325" s="9" t="s">
        <v>49</v>
      </c>
      <c r="O325" s="10">
        <f>'data on outstanding creditors'!$E325*100/107</f>
        <v>21500</v>
      </c>
      <c r="P325" s="10">
        <f>'data on outstanding creditors'!$E325-'data on outstanding creditors'!$O325</f>
        <v>1505</v>
      </c>
      <c r="Q325" s="7">
        <f>DAY('data on outstanding creditors'!$B325)</f>
        <v>2</v>
      </c>
      <c r="R325" s="7">
        <f>MONTH('data on outstanding creditors'!$B325)</f>
        <v>7</v>
      </c>
      <c r="S325" s="7">
        <f>YEAR('data on outstanding creditors'!$B325)</f>
        <v>2025</v>
      </c>
      <c r="T325" s="11" t="str">
        <f>'data on outstanding creditors'!$C325&amp;" "&amp;'data on outstanding creditors'!$D325&amp;" "&amp;TEXT('data on outstanding creditors'!$E325,"#,##0.00")</f>
        <v>บ.ดีเคเอสเอช(ประเทศไทย) 5343901161 23,005.00</v>
      </c>
      <c r="U325" s="8"/>
    </row>
    <row r="326" ht="13.5" customHeight="1">
      <c r="A326" s="1"/>
      <c r="B326" s="2">
        <v>45841.0</v>
      </c>
      <c r="C326" s="9" t="s">
        <v>520</v>
      </c>
      <c r="D326" s="1" t="s">
        <v>609</v>
      </c>
      <c r="E326" s="4">
        <v>4000.0</v>
      </c>
      <c r="F326" s="4">
        <v>4000.0</v>
      </c>
      <c r="G326" s="4"/>
      <c r="H326" s="4">
        <f>'data on outstanding creditors'!$E326-'data on outstanding creditors'!$F326-'data on outstanding creditors'!$G326</f>
        <v>0</v>
      </c>
      <c r="I326" s="2">
        <v>45952.0</v>
      </c>
      <c r="J326" s="1"/>
      <c r="K326" s="2"/>
      <c r="L326" s="5"/>
      <c r="M326" s="9" t="s">
        <v>43</v>
      </c>
      <c r="N326" s="9" t="s">
        <v>23</v>
      </c>
      <c r="O326" s="10">
        <f>'data on outstanding creditors'!$E326*100/107</f>
        <v>3738.317757</v>
      </c>
      <c r="P326" s="10">
        <f>'data on outstanding creditors'!$E326-'data on outstanding creditors'!$O326</f>
        <v>261.682243</v>
      </c>
      <c r="Q326" s="7">
        <f>DAY('data on outstanding creditors'!$B326)</f>
        <v>3</v>
      </c>
      <c r="R326" s="7">
        <f>MONTH('data on outstanding creditors'!$B326)</f>
        <v>7</v>
      </c>
      <c r="S326" s="7">
        <f>YEAR('data on outstanding creditors'!$B326)</f>
        <v>2025</v>
      </c>
      <c r="T326" s="11" t="str">
        <f>'data on outstanding creditors'!$C326&amp;" "&amp;'data on outstanding creditors'!$D326&amp;" "&amp;TEXT('data on outstanding creditors'!$E326,"#,##0.00")</f>
        <v>บ.ซิลลิคฟาร์มา 1317487994 4,000.00</v>
      </c>
      <c r="U326" s="8"/>
    </row>
    <row r="327" ht="13.5" customHeight="1">
      <c r="A327" s="1"/>
      <c r="B327" s="2">
        <v>45841.0</v>
      </c>
      <c r="C327" s="9" t="s">
        <v>520</v>
      </c>
      <c r="D327" s="1" t="s">
        <v>610</v>
      </c>
      <c r="E327" s="4">
        <v>33865.5</v>
      </c>
      <c r="F327" s="4">
        <v>33865.5</v>
      </c>
      <c r="G327" s="4"/>
      <c r="H327" s="4">
        <f>'data on outstanding creditors'!$E327-'data on outstanding creditors'!$F327-'data on outstanding creditors'!$G327</f>
        <v>0</v>
      </c>
      <c r="I327" s="2">
        <v>45952.0</v>
      </c>
      <c r="J327" s="1"/>
      <c r="K327" s="2"/>
      <c r="L327" s="5"/>
      <c r="M327" s="9" t="s">
        <v>43</v>
      </c>
      <c r="N327" s="9" t="s">
        <v>23</v>
      </c>
      <c r="O327" s="10">
        <f>'data on outstanding creditors'!$E327*100/107</f>
        <v>31650</v>
      </c>
      <c r="P327" s="10">
        <f>'data on outstanding creditors'!$E327-'data on outstanding creditors'!$O327</f>
        <v>2215.5</v>
      </c>
      <c r="Q327" s="7">
        <f>DAY('data on outstanding creditors'!$B327)</f>
        <v>3</v>
      </c>
      <c r="R327" s="7">
        <f>MONTH('data on outstanding creditors'!$B327)</f>
        <v>7</v>
      </c>
      <c r="S327" s="7">
        <f>YEAR('data on outstanding creditors'!$B327)</f>
        <v>2025</v>
      </c>
      <c r="T327" s="11" t="str">
        <f>'data on outstanding creditors'!$C327&amp;" "&amp;'data on outstanding creditors'!$D327&amp;" "&amp;TEXT('data on outstanding creditors'!$E327,"#,##0.00")</f>
        <v>บ.ซิลลิคฟาร์มา 1317498003 33,865.50</v>
      </c>
      <c r="U327" s="8"/>
    </row>
    <row r="328" ht="13.5" customHeight="1">
      <c r="A328" s="1" t="s">
        <v>611</v>
      </c>
      <c r="B328" s="2">
        <v>45842.0</v>
      </c>
      <c r="C328" s="9" t="s">
        <v>399</v>
      </c>
      <c r="D328" s="1" t="s">
        <v>612</v>
      </c>
      <c r="E328" s="4">
        <v>34240.0</v>
      </c>
      <c r="F328" s="4">
        <v>34240.0</v>
      </c>
      <c r="G328" s="4"/>
      <c r="H328" s="4">
        <f>'data on outstanding creditors'!$E328-'data on outstanding creditors'!$F328-'data on outstanding creditors'!$G328</f>
        <v>0</v>
      </c>
      <c r="I328" s="2">
        <v>45952.0</v>
      </c>
      <c r="J328" s="1"/>
      <c r="K328" s="2"/>
      <c r="L328" s="5"/>
      <c r="M328" s="9" t="s">
        <v>43</v>
      </c>
      <c r="N328" s="9" t="s">
        <v>49</v>
      </c>
      <c r="O328" s="10">
        <f>'data on outstanding creditors'!$E328*100/107</f>
        <v>32000</v>
      </c>
      <c r="P328" s="10">
        <f>'data on outstanding creditors'!$E328-'data on outstanding creditors'!$O328</f>
        <v>2240</v>
      </c>
      <c r="Q328" s="7">
        <f>DAY('data on outstanding creditors'!$B328)</f>
        <v>4</v>
      </c>
      <c r="R328" s="7">
        <f>MONTH('data on outstanding creditors'!$B328)</f>
        <v>7</v>
      </c>
      <c r="S328" s="7">
        <f>YEAR('data on outstanding creditors'!$B328)</f>
        <v>2025</v>
      </c>
      <c r="T328" s="11" t="str">
        <f>'data on outstanding creditors'!$C328&amp;" "&amp;'data on outstanding creditors'!$D328&amp;" "&amp;TEXT('data on outstanding creditors'!$E328,"#,##0.00")</f>
        <v>บ.ดีเคเอสเอช(ประเทศไทย) 5343917741 34,240.00</v>
      </c>
      <c r="U328" s="8"/>
    </row>
    <row r="329" ht="13.5" customHeight="1">
      <c r="A329" s="1" t="s">
        <v>613</v>
      </c>
      <c r="B329" s="2">
        <v>45842.0</v>
      </c>
      <c r="C329" s="9" t="s">
        <v>399</v>
      </c>
      <c r="D329" s="1" t="s">
        <v>614</v>
      </c>
      <c r="E329" s="4">
        <v>34240.0</v>
      </c>
      <c r="F329" s="4">
        <v>34240.0</v>
      </c>
      <c r="G329" s="4"/>
      <c r="H329" s="4">
        <f>'data on outstanding creditors'!$E329-'data on outstanding creditors'!$F329-'data on outstanding creditors'!$G329</f>
        <v>0</v>
      </c>
      <c r="I329" s="2">
        <v>45952.0</v>
      </c>
      <c r="J329" s="1"/>
      <c r="K329" s="2"/>
      <c r="L329" s="5"/>
      <c r="M329" s="9" t="s">
        <v>43</v>
      </c>
      <c r="N329" s="9" t="s">
        <v>49</v>
      </c>
      <c r="O329" s="10">
        <f>'data on outstanding creditors'!$E329*100/107</f>
        <v>32000</v>
      </c>
      <c r="P329" s="10">
        <f>'data on outstanding creditors'!$E329-'data on outstanding creditors'!$O329</f>
        <v>2240</v>
      </c>
      <c r="Q329" s="7">
        <f>DAY('data on outstanding creditors'!$B329)</f>
        <v>4</v>
      </c>
      <c r="R329" s="7">
        <f>MONTH('data on outstanding creditors'!$B329)</f>
        <v>7</v>
      </c>
      <c r="S329" s="7">
        <f>YEAR('data on outstanding creditors'!$B329)</f>
        <v>2025</v>
      </c>
      <c r="T329" s="11" t="str">
        <f>'data on outstanding creditors'!$C329&amp;" "&amp;'data on outstanding creditors'!$D329&amp;" "&amp;TEXT('data on outstanding creditors'!$E329,"#,##0.00")</f>
        <v>บ.ดีเคเอสเอช(ประเทศไทย) 5343918043 34,240.00</v>
      </c>
      <c r="U329" s="8"/>
    </row>
    <row r="330" ht="13.5" customHeight="1">
      <c r="A330" s="1" t="s">
        <v>615</v>
      </c>
      <c r="B330" s="2">
        <v>45842.0</v>
      </c>
      <c r="C330" s="9" t="s">
        <v>520</v>
      </c>
      <c r="D330" s="1" t="s">
        <v>616</v>
      </c>
      <c r="E330" s="4">
        <v>44940.0</v>
      </c>
      <c r="F330" s="4">
        <v>44940.0</v>
      </c>
      <c r="G330" s="4"/>
      <c r="H330" s="4">
        <f>'data on outstanding creditors'!$E330-'data on outstanding creditors'!$F330-'data on outstanding creditors'!$G330</f>
        <v>0</v>
      </c>
      <c r="I330" s="2">
        <v>45952.0</v>
      </c>
      <c r="J330" s="1"/>
      <c r="K330" s="2"/>
      <c r="L330" s="5"/>
      <c r="M330" s="9" t="s">
        <v>43</v>
      </c>
      <c r="N330" s="9" t="s">
        <v>49</v>
      </c>
      <c r="O330" s="10">
        <f>'data on outstanding creditors'!$E330*100/107</f>
        <v>42000</v>
      </c>
      <c r="P330" s="10">
        <f>'data on outstanding creditors'!$E330-'data on outstanding creditors'!$O330</f>
        <v>2940</v>
      </c>
      <c r="Q330" s="7">
        <f>DAY('data on outstanding creditors'!$B330)</f>
        <v>4</v>
      </c>
      <c r="R330" s="7">
        <f>MONTH('data on outstanding creditors'!$B330)</f>
        <v>7</v>
      </c>
      <c r="S330" s="7">
        <f>YEAR('data on outstanding creditors'!$B330)</f>
        <v>2025</v>
      </c>
      <c r="T330" s="11" t="str">
        <f>'data on outstanding creditors'!$C330&amp;" "&amp;'data on outstanding creditors'!$D330&amp;" "&amp;TEXT('data on outstanding creditors'!$E330,"#,##0.00")</f>
        <v>บ.ซิลลิคฟาร์มา 1317593628 44,940.00</v>
      </c>
      <c r="U330" s="8"/>
    </row>
    <row r="331" ht="13.5" customHeight="1">
      <c r="A331" s="1" t="s">
        <v>617</v>
      </c>
      <c r="B331" s="2">
        <v>45842.0</v>
      </c>
      <c r="C331" s="9" t="s">
        <v>399</v>
      </c>
      <c r="D331" s="1" t="s">
        <v>618</v>
      </c>
      <c r="E331" s="4">
        <v>102720.0</v>
      </c>
      <c r="F331" s="4">
        <v>102720.0</v>
      </c>
      <c r="G331" s="4"/>
      <c r="H331" s="4">
        <f>'data on outstanding creditors'!$E331-'data on outstanding creditors'!$F331-'data on outstanding creditors'!$G331</f>
        <v>0</v>
      </c>
      <c r="I331" s="2">
        <v>45952.0</v>
      </c>
      <c r="J331" s="1"/>
      <c r="K331" s="2"/>
      <c r="L331" s="5"/>
      <c r="M331" s="9" t="s">
        <v>43</v>
      </c>
      <c r="N331" s="9" t="s">
        <v>49</v>
      </c>
      <c r="O331" s="10">
        <f>'data on outstanding creditors'!$E331*100/107</f>
        <v>96000</v>
      </c>
      <c r="P331" s="10">
        <f>'data on outstanding creditors'!$E331-'data on outstanding creditors'!$O331</f>
        <v>6720</v>
      </c>
      <c r="Q331" s="7">
        <f>DAY('data on outstanding creditors'!$B331)</f>
        <v>4</v>
      </c>
      <c r="R331" s="7">
        <f>MONTH('data on outstanding creditors'!$B331)</f>
        <v>7</v>
      </c>
      <c r="S331" s="7">
        <f>YEAR('data on outstanding creditors'!$B331)</f>
        <v>2025</v>
      </c>
      <c r="T331" s="11" t="str">
        <f>'data on outstanding creditors'!$C331&amp;" "&amp;'data on outstanding creditors'!$D331&amp;" "&amp;TEXT('data on outstanding creditors'!$E331,"#,##0.00")</f>
        <v>บ.ดีเคเอสเอช(ประเทศไทย) 5343907242 102,720.00</v>
      </c>
      <c r="U331" s="8"/>
    </row>
    <row r="332" ht="13.5" customHeight="1">
      <c r="A332" s="1" t="s">
        <v>619</v>
      </c>
      <c r="B332" s="2">
        <v>45845.0</v>
      </c>
      <c r="C332" s="9" t="s">
        <v>520</v>
      </c>
      <c r="D332" s="1" t="s">
        <v>620</v>
      </c>
      <c r="E332" s="4">
        <v>8100.0</v>
      </c>
      <c r="F332" s="4">
        <v>8100.0</v>
      </c>
      <c r="G332" s="4"/>
      <c r="H332" s="4">
        <f>'data on outstanding creditors'!$E332-'data on outstanding creditors'!$F332-'data on outstanding creditors'!$G332</f>
        <v>0</v>
      </c>
      <c r="I332" s="2">
        <v>45952.0</v>
      </c>
      <c r="J332" s="1"/>
      <c r="K332" s="2"/>
      <c r="L332" s="5"/>
      <c r="M332" s="9" t="s">
        <v>43</v>
      </c>
      <c r="N332" s="9" t="s">
        <v>49</v>
      </c>
      <c r="O332" s="10">
        <f>'data on outstanding creditors'!$E332*100/107</f>
        <v>7570.093458</v>
      </c>
      <c r="P332" s="10">
        <f>'data on outstanding creditors'!$E332-'data on outstanding creditors'!$O332</f>
        <v>529.9065421</v>
      </c>
      <c r="Q332" s="7">
        <f>DAY('data on outstanding creditors'!$B332)</f>
        <v>7</v>
      </c>
      <c r="R332" s="7">
        <f>MONTH('data on outstanding creditors'!$B332)</f>
        <v>7</v>
      </c>
      <c r="S332" s="7">
        <f>YEAR('data on outstanding creditors'!$B332)</f>
        <v>2025</v>
      </c>
      <c r="T332" s="11" t="str">
        <f>'data on outstanding creditors'!$C332&amp;" "&amp;'data on outstanding creditors'!$D332&amp;" "&amp;TEXT('data on outstanding creditors'!$E332,"#,##0.00")</f>
        <v>บ.ซิลลิคฟาร์มา 1317557920 8,100.00</v>
      </c>
      <c r="U332" s="8"/>
    </row>
    <row r="333" ht="13.5" customHeight="1">
      <c r="A333" s="1" t="s">
        <v>621</v>
      </c>
      <c r="B333" s="2">
        <v>45845.0</v>
      </c>
      <c r="C333" s="9" t="s">
        <v>520</v>
      </c>
      <c r="D333" s="1" t="s">
        <v>622</v>
      </c>
      <c r="E333" s="4">
        <v>16000.0</v>
      </c>
      <c r="F333" s="4">
        <v>16000.0</v>
      </c>
      <c r="G333" s="4"/>
      <c r="H333" s="4">
        <f>'data on outstanding creditors'!$E333-'data on outstanding creditors'!$F333-'data on outstanding creditors'!$G333</f>
        <v>0</v>
      </c>
      <c r="I333" s="2">
        <v>45952.0</v>
      </c>
      <c r="J333" s="1"/>
      <c r="K333" s="2"/>
      <c r="L333" s="5"/>
      <c r="M333" s="9" t="s">
        <v>43</v>
      </c>
      <c r="N333" s="9" t="s">
        <v>49</v>
      </c>
      <c r="O333" s="10">
        <f>'data on outstanding creditors'!$E333*100/107</f>
        <v>14953.27103</v>
      </c>
      <c r="P333" s="10">
        <f>'data on outstanding creditors'!$E333-'data on outstanding creditors'!$O333</f>
        <v>1046.728972</v>
      </c>
      <c r="Q333" s="7">
        <f>DAY('data on outstanding creditors'!$B333)</f>
        <v>7</v>
      </c>
      <c r="R333" s="7">
        <f>MONTH('data on outstanding creditors'!$B333)</f>
        <v>7</v>
      </c>
      <c r="S333" s="7">
        <f>YEAR('data on outstanding creditors'!$B333)</f>
        <v>2025</v>
      </c>
      <c r="T333" s="11" t="str">
        <f>'data on outstanding creditors'!$C333&amp;" "&amp;'data on outstanding creditors'!$D333&amp;" "&amp;TEXT('data on outstanding creditors'!$E333,"#,##0.00")</f>
        <v>บ.ซิลลิคฟาร์มา 1317562554 16,000.00</v>
      </c>
      <c r="U333" s="8"/>
    </row>
    <row r="334" ht="13.5" customHeight="1">
      <c r="A334" s="1"/>
      <c r="B334" s="2">
        <v>45847.0</v>
      </c>
      <c r="C334" s="9" t="s">
        <v>520</v>
      </c>
      <c r="D334" s="1" t="s">
        <v>623</v>
      </c>
      <c r="E334" s="4">
        <v>10000.0</v>
      </c>
      <c r="F334" s="4">
        <v>10000.0</v>
      </c>
      <c r="G334" s="4"/>
      <c r="H334" s="4">
        <f>'data on outstanding creditors'!$E334-'data on outstanding creditors'!$F334-'data on outstanding creditors'!$G334</f>
        <v>0</v>
      </c>
      <c r="I334" s="2">
        <v>45952.0</v>
      </c>
      <c r="J334" s="1"/>
      <c r="K334" s="2"/>
      <c r="L334" s="5"/>
      <c r="M334" s="9" t="s">
        <v>43</v>
      </c>
      <c r="N334" s="9" t="s">
        <v>23</v>
      </c>
      <c r="O334" s="10">
        <f>'data on outstanding creditors'!$E334*100/107</f>
        <v>9345.794393</v>
      </c>
      <c r="P334" s="10">
        <f>'data on outstanding creditors'!$E334-'data on outstanding creditors'!$O334</f>
        <v>654.2056075</v>
      </c>
      <c r="Q334" s="7">
        <f>DAY('data on outstanding creditors'!$B334)</f>
        <v>9</v>
      </c>
      <c r="R334" s="7">
        <f>MONTH('data on outstanding creditors'!$B334)</f>
        <v>7</v>
      </c>
      <c r="S334" s="7">
        <f>YEAR('data on outstanding creditors'!$B334)</f>
        <v>2025</v>
      </c>
      <c r="T334" s="11" t="str">
        <f>'data on outstanding creditors'!$C334&amp;" "&amp;'data on outstanding creditors'!$D334&amp;" "&amp;TEXT('data on outstanding creditors'!$E334,"#,##0.00")</f>
        <v>บ.ซิลลิคฟาร์มา 1317385880 10,000.00</v>
      </c>
      <c r="U334" s="8"/>
    </row>
    <row r="335" ht="13.5" customHeight="1">
      <c r="A335" s="1" t="s">
        <v>624</v>
      </c>
      <c r="B335" s="2">
        <v>45856.0</v>
      </c>
      <c r="C335" s="9" t="s">
        <v>399</v>
      </c>
      <c r="D335" s="1" t="s">
        <v>625</v>
      </c>
      <c r="E335" s="4">
        <v>8560.0</v>
      </c>
      <c r="F335" s="4">
        <v>8560.0</v>
      </c>
      <c r="G335" s="4"/>
      <c r="H335" s="4">
        <f>'data on outstanding creditors'!$E335-'data on outstanding creditors'!$F335-'data on outstanding creditors'!$G335</f>
        <v>0</v>
      </c>
      <c r="I335" s="2">
        <v>45952.0</v>
      </c>
      <c r="J335" s="1"/>
      <c r="K335" s="2"/>
      <c r="L335" s="5"/>
      <c r="M335" s="9" t="s">
        <v>43</v>
      </c>
      <c r="N335" s="9" t="s">
        <v>49</v>
      </c>
      <c r="O335" s="10">
        <f>'data on outstanding creditors'!$E335*100/107</f>
        <v>8000</v>
      </c>
      <c r="P335" s="10">
        <f>'data on outstanding creditors'!$E335-'data on outstanding creditors'!$O335</f>
        <v>560</v>
      </c>
      <c r="Q335" s="7">
        <f>DAY('data on outstanding creditors'!$B335)</f>
        <v>18</v>
      </c>
      <c r="R335" s="7">
        <f>MONTH('data on outstanding creditors'!$B335)</f>
        <v>7</v>
      </c>
      <c r="S335" s="7">
        <f>YEAR('data on outstanding creditors'!$B335)</f>
        <v>2025</v>
      </c>
      <c r="T335" s="11" t="str">
        <f>'data on outstanding creditors'!$C335&amp;" "&amp;'data on outstanding creditors'!$D335&amp;" "&amp;TEXT('data on outstanding creditors'!$E335,"#,##0.00")</f>
        <v>บ.ดีเคเอสเอช(ประเทศไทย) 5343998585 8,560.00</v>
      </c>
      <c r="U335" s="8"/>
    </row>
    <row r="336" ht="13.5" customHeight="1">
      <c r="A336" s="1" t="s">
        <v>626</v>
      </c>
      <c r="B336" s="2">
        <v>45856.0</v>
      </c>
      <c r="C336" s="9" t="s">
        <v>399</v>
      </c>
      <c r="D336" s="1" t="s">
        <v>627</v>
      </c>
      <c r="E336" s="4">
        <v>10700.0</v>
      </c>
      <c r="F336" s="4">
        <v>10700.0</v>
      </c>
      <c r="G336" s="4"/>
      <c r="H336" s="4">
        <f>'data on outstanding creditors'!$E336-'data on outstanding creditors'!$F336-'data on outstanding creditors'!$G336</f>
        <v>0</v>
      </c>
      <c r="I336" s="2">
        <v>45952.0</v>
      </c>
      <c r="J336" s="1"/>
      <c r="K336" s="2"/>
      <c r="L336" s="5"/>
      <c r="M336" s="9" t="s">
        <v>43</v>
      </c>
      <c r="N336" s="9" t="s">
        <v>49</v>
      </c>
      <c r="O336" s="10">
        <f>'data on outstanding creditors'!$E336*100/107</f>
        <v>10000</v>
      </c>
      <c r="P336" s="10">
        <f>'data on outstanding creditors'!$E336-'data on outstanding creditors'!$O336</f>
        <v>700</v>
      </c>
      <c r="Q336" s="7">
        <f>DAY('data on outstanding creditors'!$B336)</f>
        <v>18</v>
      </c>
      <c r="R336" s="7">
        <f>MONTH('data on outstanding creditors'!$B336)</f>
        <v>7</v>
      </c>
      <c r="S336" s="7">
        <f>YEAR('data on outstanding creditors'!$B336)</f>
        <v>2025</v>
      </c>
      <c r="T336" s="11" t="str">
        <f>'data on outstanding creditors'!$C336&amp;" "&amp;'data on outstanding creditors'!$D336&amp;" "&amp;TEXT('data on outstanding creditors'!$E336,"#,##0.00")</f>
        <v>บ.ดีเคเอสเอช(ประเทศไทย) 5343997131 10,700.00</v>
      </c>
      <c r="U336" s="8"/>
    </row>
    <row r="337" ht="13.5" customHeight="1">
      <c r="A337" s="1" t="s">
        <v>628</v>
      </c>
      <c r="B337" s="2">
        <v>45856.0</v>
      </c>
      <c r="C337" s="9" t="s">
        <v>520</v>
      </c>
      <c r="D337" s="1" t="s">
        <v>629</v>
      </c>
      <c r="E337" s="4">
        <v>44940.0</v>
      </c>
      <c r="F337" s="4">
        <v>44940.0</v>
      </c>
      <c r="G337" s="4"/>
      <c r="H337" s="4">
        <f>'data on outstanding creditors'!$E337-'data on outstanding creditors'!$F337-'data on outstanding creditors'!$G337</f>
        <v>0</v>
      </c>
      <c r="I337" s="2">
        <v>45952.0</v>
      </c>
      <c r="J337" s="1"/>
      <c r="K337" s="2"/>
      <c r="L337" s="5"/>
      <c r="M337" s="9" t="s">
        <v>43</v>
      </c>
      <c r="N337" s="9" t="s">
        <v>49</v>
      </c>
      <c r="O337" s="10">
        <f>'data on outstanding creditors'!$E337*100/107</f>
        <v>42000</v>
      </c>
      <c r="P337" s="10">
        <f>'data on outstanding creditors'!$E337-'data on outstanding creditors'!$O337</f>
        <v>2940</v>
      </c>
      <c r="Q337" s="7">
        <f>DAY('data on outstanding creditors'!$B337)</f>
        <v>18</v>
      </c>
      <c r="R337" s="7">
        <f>MONTH('data on outstanding creditors'!$B337)</f>
        <v>7</v>
      </c>
      <c r="S337" s="7">
        <f>YEAR('data on outstanding creditors'!$B337)</f>
        <v>2025</v>
      </c>
      <c r="T337" s="11" t="str">
        <f>'data on outstanding creditors'!$C337&amp;" "&amp;'data on outstanding creditors'!$D337&amp;" "&amp;TEXT('data on outstanding creditors'!$E337,"#,##0.00")</f>
        <v>บ.ซิลลิคฟาร์มา 1317752678 44,940.00</v>
      </c>
      <c r="U337" s="8"/>
    </row>
    <row r="338" ht="13.5" customHeight="1">
      <c r="A338" s="1" t="s">
        <v>630</v>
      </c>
      <c r="B338" s="2">
        <v>45859.0</v>
      </c>
      <c r="C338" s="9" t="s">
        <v>520</v>
      </c>
      <c r="D338" s="1" t="s">
        <v>631</v>
      </c>
      <c r="E338" s="4">
        <v>6596.0</v>
      </c>
      <c r="F338" s="4">
        <v>6596.0</v>
      </c>
      <c r="G338" s="4"/>
      <c r="H338" s="4">
        <f>'data on outstanding creditors'!$E338-'data on outstanding creditors'!$F338-'data on outstanding creditors'!$G338</f>
        <v>0</v>
      </c>
      <c r="I338" s="2">
        <v>45952.0</v>
      </c>
      <c r="J338" s="1"/>
      <c r="K338" s="2"/>
      <c r="L338" s="5"/>
      <c r="M338" s="9" t="s">
        <v>43</v>
      </c>
      <c r="N338" s="9" t="s">
        <v>49</v>
      </c>
      <c r="O338" s="10">
        <f>'data on outstanding creditors'!$E338*100/107</f>
        <v>6164.485981</v>
      </c>
      <c r="P338" s="10">
        <f>'data on outstanding creditors'!$E338-'data on outstanding creditors'!$O338</f>
        <v>431.5140187</v>
      </c>
      <c r="Q338" s="7">
        <f>DAY('data on outstanding creditors'!$B338)</f>
        <v>21</v>
      </c>
      <c r="R338" s="7">
        <f>MONTH('data on outstanding creditors'!$B338)</f>
        <v>7</v>
      </c>
      <c r="S338" s="7">
        <f>YEAR('data on outstanding creditors'!$B338)</f>
        <v>2025</v>
      </c>
      <c r="T338" s="11" t="str">
        <f>'data on outstanding creditors'!$C338&amp;" "&amp;'data on outstanding creditors'!$D338&amp;" "&amp;TEXT('data on outstanding creditors'!$E338,"#,##0.00")</f>
        <v>บ.ซิลลิคฟาร์มา 1317670187 6,596.00</v>
      </c>
      <c r="U338" s="8"/>
    </row>
    <row r="339" ht="13.5" customHeight="1">
      <c r="A339" s="1" t="s">
        <v>632</v>
      </c>
      <c r="B339" s="2">
        <v>45860.0</v>
      </c>
      <c r="C339" s="9" t="s">
        <v>399</v>
      </c>
      <c r="D339" s="1" t="s">
        <v>633</v>
      </c>
      <c r="E339" s="4">
        <v>44811.6</v>
      </c>
      <c r="F339" s="4">
        <v>44811.6</v>
      </c>
      <c r="G339" s="4"/>
      <c r="H339" s="4">
        <f>'data on outstanding creditors'!$E339-'data on outstanding creditors'!$F339-'data on outstanding creditors'!$G339</f>
        <v>0</v>
      </c>
      <c r="I339" s="2">
        <v>45952.0</v>
      </c>
      <c r="J339" s="1"/>
      <c r="K339" s="2"/>
      <c r="L339" s="5"/>
      <c r="M339" s="9" t="s">
        <v>43</v>
      </c>
      <c r="N339" s="9" t="s">
        <v>49</v>
      </c>
      <c r="O339" s="10">
        <f>'data on outstanding creditors'!$E339*100/107</f>
        <v>41880</v>
      </c>
      <c r="P339" s="10">
        <f>'data on outstanding creditors'!$E339-'data on outstanding creditors'!$O339</f>
        <v>2931.6</v>
      </c>
      <c r="Q339" s="7">
        <f>DAY('data on outstanding creditors'!$B339)</f>
        <v>22</v>
      </c>
      <c r="R339" s="7">
        <f>MONTH('data on outstanding creditors'!$B339)</f>
        <v>7</v>
      </c>
      <c r="S339" s="7">
        <f>YEAR('data on outstanding creditors'!$B339)</f>
        <v>2025</v>
      </c>
      <c r="T339" s="11" t="str">
        <f>'data on outstanding creditors'!$C339&amp;" "&amp;'data on outstanding creditors'!$D339&amp;" "&amp;TEXT('data on outstanding creditors'!$E339,"#,##0.00")</f>
        <v>บ.ดีเคเอสเอช(ประเทศไทย) 5344017826 44,811.60</v>
      </c>
      <c r="U339" s="8"/>
    </row>
    <row r="340" ht="13.5" customHeight="1">
      <c r="A340" s="1"/>
      <c r="B340" s="2">
        <v>45863.0</v>
      </c>
      <c r="C340" s="9" t="s">
        <v>399</v>
      </c>
      <c r="D340" s="1" t="s">
        <v>634</v>
      </c>
      <c r="E340" s="4">
        <v>76237.5</v>
      </c>
      <c r="F340" s="4">
        <v>76237.5</v>
      </c>
      <c r="G340" s="4"/>
      <c r="H340" s="4">
        <f>'data on outstanding creditors'!$E340-'data on outstanding creditors'!$F340-'data on outstanding creditors'!$G340</f>
        <v>0</v>
      </c>
      <c r="I340" s="2">
        <v>45952.0</v>
      </c>
      <c r="J340" s="1"/>
      <c r="K340" s="2"/>
      <c r="L340" s="5"/>
      <c r="M340" s="9" t="s">
        <v>43</v>
      </c>
      <c r="N340" s="9" t="s">
        <v>23</v>
      </c>
      <c r="O340" s="10">
        <f>'data on outstanding creditors'!$E340*100/107</f>
        <v>71250</v>
      </c>
      <c r="P340" s="10">
        <f>'data on outstanding creditors'!$E340-'data on outstanding creditors'!$O340</f>
        <v>4987.5</v>
      </c>
      <c r="Q340" s="7">
        <f>DAY('data on outstanding creditors'!$B340)</f>
        <v>25</v>
      </c>
      <c r="R340" s="7">
        <f>MONTH('data on outstanding creditors'!$B340)</f>
        <v>7</v>
      </c>
      <c r="S340" s="7">
        <f>YEAR('data on outstanding creditors'!$B340)</f>
        <v>2025</v>
      </c>
      <c r="T340" s="11" t="str">
        <f>'data on outstanding creditors'!$C340&amp;" "&amp;'data on outstanding creditors'!$D340&amp;" "&amp;TEXT('data on outstanding creditors'!$E340,"#,##0.00")</f>
        <v>บ.ดีเคเอสเอช(ประเทศไทย) 5344023354 76,237.50</v>
      </c>
      <c r="U340" s="8"/>
    </row>
    <row r="341" ht="13.5" customHeight="1">
      <c r="A341" s="1" t="s">
        <v>635</v>
      </c>
      <c r="B341" s="2">
        <v>45863.0</v>
      </c>
      <c r="C341" s="9" t="s">
        <v>520</v>
      </c>
      <c r="D341" s="1" t="s">
        <v>636</v>
      </c>
      <c r="E341" s="4">
        <v>16000.0</v>
      </c>
      <c r="F341" s="4">
        <v>16000.0</v>
      </c>
      <c r="G341" s="4"/>
      <c r="H341" s="4">
        <f>'data on outstanding creditors'!$E341-'data on outstanding creditors'!$F341-'data on outstanding creditors'!$G341</f>
        <v>0</v>
      </c>
      <c r="I341" s="2">
        <v>45952.0</v>
      </c>
      <c r="J341" s="1"/>
      <c r="K341" s="2"/>
      <c r="L341" s="5"/>
      <c r="M341" s="9" t="s">
        <v>43</v>
      </c>
      <c r="N341" s="9" t="s">
        <v>49</v>
      </c>
      <c r="O341" s="10">
        <f>'data on outstanding creditors'!$E341*100/107</f>
        <v>14953.27103</v>
      </c>
      <c r="P341" s="10">
        <f>'data on outstanding creditors'!$E341-'data on outstanding creditors'!$O341</f>
        <v>1046.728972</v>
      </c>
      <c r="Q341" s="7">
        <f>DAY('data on outstanding creditors'!$B341)</f>
        <v>25</v>
      </c>
      <c r="R341" s="7">
        <f>MONTH('data on outstanding creditors'!$B341)</f>
        <v>7</v>
      </c>
      <c r="S341" s="7">
        <f>YEAR('data on outstanding creditors'!$B341)</f>
        <v>2025</v>
      </c>
      <c r="T341" s="11" t="str">
        <f>'data on outstanding creditors'!$C341&amp;" "&amp;'data on outstanding creditors'!$D341&amp;" "&amp;TEXT('data on outstanding creditors'!$E341,"#,##0.00")</f>
        <v>บ.ซิลลิคฟาร์มา 1317708904 16,000.00</v>
      </c>
      <c r="U341" s="8"/>
    </row>
    <row r="342" ht="13.5" customHeight="1">
      <c r="A342" s="1" t="s">
        <v>637</v>
      </c>
      <c r="B342" s="2">
        <v>45873.0</v>
      </c>
      <c r="C342" s="9" t="s">
        <v>520</v>
      </c>
      <c r="D342" s="1" t="s">
        <v>638</v>
      </c>
      <c r="E342" s="4">
        <v>26750.0</v>
      </c>
      <c r="F342" s="4">
        <v>26750.0</v>
      </c>
      <c r="G342" s="4"/>
      <c r="H342" s="4">
        <f>'data on outstanding creditors'!$E342-'data on outstanding creditors'!$F342-'data on outstanding creditors'!$G342</f>
        <v>0</v>
      </c>
      <c r="I342" s="2">
        <v>45952.0</v>
      </c>
      <c r="J342" s="1"/>
      <c r="K342" s="2"/>
      <c r="L342" s="5"/>
      <c r="M342" s="9" t="s">
        <v>43</v>
      </c>
      <c r="N342" s="9" t="s">
        <v>49</v>
      </c>
      <c r="O342" s="10">
        <f>'data on outstanding creditors'!$E342*100/107</f>
        <v>25000</v>
      </c>
      <c r="P342" s="10">
        <f>'data on outstanding creditors'!$E342-'data on outstanding creditors'!$O342</f>
        <v>1750</v>
      </c>
      <c r="Q342" s="7">
        <f>DAY('data on outstanding creditors'!$B342)</f>
        <v>4</v>
      </c>
      <c r="R342" s="7">
        <f>MONTH('data on outstanding creditors'!$B342)</f>
        <v>8</v>
      </c>
      <c r="S342" s="7">
        <f>YEAR('data on outstanding creditors'!$B342)</f>
        <v>2025</v>
      </c>
      <c r="T342" s="11" t="str">
        <f>'data on outstanding creditors'!$C342&amp;" "&amp;'data on outstanding creditors'!$D342&amp;" "&amp;TEXT('data on outstanding creditors'!$E342,"#,##0.00")</f>
        <v>บ.ซิลลิคฟาร์มา 1317783259 26,750.00</v>
      </c>
      <c r="U342" s="8"/>
    </row>
    <row r="343" ht="13.5" customHeight="1">
      <c r="A343" s="1"/>
      <c r="B343" s="2">
        <v>45874.0</v>
      </c>
      <c r="C343" s="9" t="s">
        <v>399</v>
      </c>
      <c r="D343" s="1" t="s">
        <v>639</v>
      </c>
      <c r="E343" s="4">
        <v>95914.8</v>
      </c>
      <c r="F343" s="4">
        <v>95914.8</v>
      </c>
      <c r="G343" s="4"/>
      <c r="H343" s="4">
        <f>'data on outstanding creditors'!$E343-'data on outstanding creditors'!$F343-'data on outstanding creditors'!$G343</f>
        <v>0</v>
      </c>
      <c r="I343" s="2">
        <v>45952.0</v>
      </c>
      <c r="J343" s="1"/>
      <c r="K343" s="2"/>
      <c r="L343" s="5"/>
      <c r="M343" s="9" t="s">
        <v>43</v>
      </c>
      <c r="N343" s="9" t="s">
        <v>23</v>
      </c>
      <c r="O343" s="10">
        <f>'data on outstanding creditors'!$E343*100/107</f>
        <v>89640</v>
      </c>
      <c r="P343" s="10">
        <f>'data on outstanding creditors'!$E343-'data on outstanding creditors'!$O343</f>
        <v>6274.8</v>
      </c>
      <c r="Q343" s="7">
        <f>DAY('data on outstanding creditors'!$B343)</f>
        <v>5</v>
      </c>
      <c r="R343" s="7">
        <f>MONTH('data on outstanding creditors'!$B343)</f>
        <v>8</v>
      </c>
      <c r="S343" s="7">
        <f>YEAR('data on outstanding creditors'!$B343)</f>
        <v>2025</v>
      </c>
      <c r="T343" s="11" t="str">
        <f>'data on outstanding creditors'!$C343&amp;" "&amp;'data on outstanding creditors'!$D343&amp;" "&amp;TEXT('data on outstanding creditors'!$E343,"#,##0.00")</f>
        <v>บ.ดีเคเอสเอช(ประเทศไทย) 5344083082 95,914.80</v>
      </c>
      <c r="U343" s="8"/>
    </row>
    <row r="344" ht="13.5" customHeight="1">
      <c r="A344" s="1"/>
      <c r="B344" s="2">
        <v>45874.0</v>
      </c>
      <c r="C344" s="9" t="s">
        <v>399</v>
      </c>
      <c r="D344" s="1" t="s">
        <v>640</v>
      </c>
      <c r="E344" s="4">
        <v>19260.0</v>
      </c>
      <c r="F344" s="4">
        <v>19260.0</v>
      </c>
      <c r="G344" s="4"/>
      <c r="H344" s="4">
        <f>'data on outstanding creditors'!$E344-'data on outstanding creditors'!$F344-'data on outstanding creditors'!$G344</f>
        <v>0</v>
      </c>
      <c r="I344" s="2">
        <v>45952.0</v>
      </c>
      <c r="J344" s="1"/>
      <c r="K344" s="2"/>
      <c r="L344" s="5"/>
      <c r="M344" s="9" t="s">
        <v>43</v>
      </c>
      <c r="N344" s="9" t="s">
        <v>23</v>
      </c>
      <c r="O344" s="10">
        <f>'data on outstanding creditors'!$E344*100/107</f>
        <v>18000</v>
      </c>
      <c r="P344" s="10">
        <f>'data on outstanding creditors'!$E344-'data on outstanding creditors'!$O344</f>
        <v>1260</v>
      </c>
      <c r="Q344" s="7">
        <f>DAY('data on outstanding creditors'!$B344)</f>
        <v>5</v>
      </c>
      <c r="R344" s="7">
        <f>MONTH('data on outstanding creditors'!$B344)</f>
        <v>8</v>
      </c>
      <c r="S344" s="7">
        <f>YEAR('data on outstanding creditors'!$B344)</f>
        <v>2025</v>
      </c>
      <c r="T344" s="11" t="str">
        <f>'data on outstanding creditors'!$C344&amp;" "&amp;'data on outstanding creditors'!$D344&amp;" "&amp;TEXT('data on outstanding creditors'!$E344,"#,##0.00")</f>
        <v>บ.ดีเคเอสเอช(ประเทศไทย) 5344082890 19,260.00</v>
      </c>
      <c r="U344" s="8"/>
    </row>
    <row r="345" ht="13.5" customHeight="1">
      <c r="A345" s="1" t="s">
        <v>641</v>
      </c>
      <c r="B345" s="2">
        <v>45874.0</v>
      </c>
      <c r="C345" s="9" t="s">
        <v>399</v>
      </c>
      <c r="D345" s="1" t="s">
        <v>642</v>
      </c>
      <c r="E345" s="4">
        <v>17000.0</v>
      </c>
      <c r="F345" s="4">
        <v>17000.0</v>
      </c>
      <c r="G345" s="4"/>
      <c r="H345" s="4">
        <f>'data on outstanding creditors'!$E345-'data on outstanding creditors'!$F345-'data on outstanding creditors'!$G345</f>
        <v>0</v>
      </c>
      <c r="I345" s="2">
        <v>45952.0</v>
      </c>
      <c r="J345" s="1"/>
      <c r="K345" s="2"/>
      <c r="L345" s="5"/>
      <c r="M345" s="9" t="s">
        <v>43</v>
      </c>
      <c r="N345" s="9" t="s">
        <v>49</v>
      </c>
      <c r="O345" s="10">
        <f>'data on outstanding creditors'!$E345*100/107</f>
        <v>15887.85047</v>
      </c>
      <c r="P345" s="10">
        <f>'data on outstanding creditors'!$E345-'data on outstanding creditors'!$O345</f>
        <v>1112.149533</v>
      </c>
      <c r="Q345" s="7">
        <f>DAY('data on outstanding creditors'!$B345)</f>
        <v>5</v>
      </c>
      <c r="R345" s="7">
        <f>MONTH('data on outstanding creditors'!$B345)</f>
        <v>8</v>
      </c>
      <c r="S345" s="7">
        <f>YEAR('data on outstanding creditors'!$B345)</f>
        <v>2025</v>
      </c>
      <c r="T345" s="11" t="str">
        <f>'data on outstanding creditors'!$C345&amp;" "&amp;'data on outstanding creditors'!$D345&amp;" "&amp;TEXT('data on outstanding creditors'!$E345,"#,##0.00")</f>
        <v>บ.ดีเคเอสเอช(ประเทศไทย) 5344083084 17,000.00</v>
      </c>
      <c r="U345" s="8"/>
    </row>
    <row r="346" ht="13.5" customHeight="1">
      <c r="A346" s="1"/>
      <c r="B346" s="2">
        <v>45877.0</v>
      </c>
      <c r="C346" s="9" t="s">
        <v>399</v>
      </c>
      <c r="D346" s="1" t="s">
        <v>643</v>
      </c>
      <c r="E346" s="4">
        <v>61525.0</v>
      </c>
      <c r="F346" s="4">
        <v>61525.0</v>
      </c>
      <c r="G346" s="4"/>
      <c r="H346" s="4">
        <f>'data on outstanding creditors'!$E346-'data on outstanding creditors'!$F346-'data on outstanding creditors'!$G346</f>
        <v>0</v>
      </c>
      <c r="I346" s="2">
        <v>45952.0</v>
      </c>
      <c r="J346" s="1"/>
      <c r="K346" s="2"/>
      <c r="L346" s="5"/>
      <c r="M346" s="9" t="s">
        <v>43</v>
      </c>
      <c r="N346" s="9" t="s">
        <v>23</v>
      </c>
      <c r="O346" s="10">
        <f>'data on outstanding creditors'!$E346*100/107</f>
        <v>57500</v>
      </c>
      <c r="P346" s="10">
        <f>'data on outstanding creditors'!$E346-'data on outstanding creditors'!$O346</f>
        <v>4025</v>
      </c>
      <c r="Q346" s="7">
        <f>DAY('data on outstanding creditors'!$B346)</f>
        <v>8</v>
      </c>
      <c r="R346" s="7">
        <f>MONTH('data on outstanding creditors'!$B346)</f>
        <v>8</v>
      </c>
      <c r="S346" s="7">
        <f>YEAR('data on outstanding creditors'!$B346)</f>
        <v>2025</v>
      </c>
      <c r="T346" s="11" t="str">
        <f>'data on outstanding creditors'!$C346&amp;" "&amp;'data on outstanding creditors'!$D346&amp;" "&amp;TEXT('data on outstanding creditors'!$E346,"#,##0.00")</f>
        <v>บ.ดีเคเอสเอช(ประเทศไทย) 5344110041 61,525.00</v>
      </c>
      <c r="U346" s="8"/>
    </row>
    <row r="347" ht="13.5" customHeight="1">
      <c r="A347" s="1"/>
      <c r="B347" s="2">
        <v>45884.0</v>
      </c>
      <c r="C347" s="9" t="s">
        <v>520</v>
      </c>
      <c r="D347" s="1" t="s">
        <v>644</v>
      </c>
      <c r="E347" s="4">
        <v>33865.5</v>
      </c>
      <c r="F347" s="4">
        <v>33865.5</v>
      </c>
      <c r="G347" s="4"/>
      <c r="H347" s="4">
        <f>'data on outstanding creditors'!$E347-'data on outstanding creditors'!$F347-'data on outstanding creditors'!$G347</f>
        <v>0</v>
      </c>
      <c r="I347" s="2">
        <v>45952.0</v>
      </c>
      <c r="J347" s="1"/>
      <c r="K347" s="2"/>
      <c r="L347" s="5"/>
      <c r="M347" s="9" t="s">
        <v>43</v>
      </c>
      <c r="N347" s="9" t="s">
        <v>23</v>
      </c>
      <c r="O347" s="10">
        <f>'data on outstanding creditors'!$E347*100/107</f>
        <v>31650</v>
      </c>
      <c r="P347" s="10">
        <f>'data on outstanding creditors'!$E347-'data on outstanding creditors'!$O347</f>
        <v>2215.5</v>
      </c>
      <c r="Q347" s="7">
        <f>DAY('data on outstanding creditors'!$B347)</f>
        <v>15</v>
      </c>
      <c r="R347" s="7">
        <f>MONTH('data on outstanding creditors'!$B347)</f>
        <v>8</v>
      </c>
      <c r="S347" s="7">
        <f>YEAR('data on outstanding creditors'!$B347)</f>
        <v>2025</v>
      </c>
      <c r="T347" s="11" t="str">
        <f>'data on outstanding creditors'!$C347&amp;" "&amp;'data on outstanding creditors'!$D347&amp;" "&amp;TEXT('data on outstanding creditors'!$E347,"#,##0.00")</f>
        <v>บ.ซิลลิคฟาร์มา 1317892438 33,865.50</v>
      </c>
      <c r="U347" s="8"/>
    </row>
    <row r="348" ht="13.5" customHeight="1">
      <c r="A348" s="1"/>
      <c r="B348" s="2">
        <v>45890.0</v>
      </c>
      <c r="C348" s="9" t="s">
        <v>399</v>
      </c>
      <c r="D348" s="1" t="s">
        <v>645</v>
      </c>
      <c r="E348" s="4">
        <v>15247.5</v>
      </c>
      <c r="F348" s="4">
        <v>15247.5</v>
      </c>
      <c r="G348" s="4"/>
      <c r="H348" s="4">
        <f>'data on outstanding creditors'!$E348-'data on outstanding creditors'!$F348-'data on outstanding creditors'!$G348</f>
        <v>0</v>
      </c>
      <c r="I348" s="2">
        <v>45952.0</v>
      </c>
      <c r="J348" s="1" t="s">
        <v>646</v>
      </c>
      <c r="K348" s="2">
        <v>45943.0</v>
      </c>
      <c r="L348" s="5"/>
      <c r="M348" s="9" t="s">
        <v>43</v>
      </c>
      <c r="N348" s="9" t="s">
        <v>23</v>
      </c>
      <c r="O348" s="10">
        <f>'data on outstanding creditors'!$E348*100/107</f>
        <v>14250</v>
      </c>
      <c r="P348" s="10">
        <f>'data on outstanding creditors'!$E348-'data on outstanding creditors'!$O348</f>
        <v>997.5</v>
      </c>
      <c r="Q348" s="7">
        <f>DAY('data on outstanding creditors'!$B348)</f>
        <v>21</v>
      </c>
      <c r="R348" s="7">
        <f>MONTH('data on outstanding creditors'!$B348)</f>
        <v>8</v>
      </c>
      <c r="S348" s="7">
        <f>YEAR('data on outstanding creditors'!$B348)</f>
        <v>2025</v>
      </c>
      <c r="T348" s="11" t="str">
        <f>'data on outstanding creditors'!$C348&amp;" "&amp;'data on outstanding creditors'!$D348&amp;" "&amp;TEXT('data on outstanding creditors'!$E348,"#,##0.00")</f>
        <v>บ.ดีเคเอสเอช(ประเทศไทย) 5344188397 15,247.50</v>
      </c>
      <c r="U348" s="8"/>
    </row>
    <row r="349" ht="13.5" customHeight="1">
      <c r="A349" s="1"/>
      <c r="B349" s="2">
        <v>45890.0</v>
      </c>
      <c r="C349" s="9" t="s">
        <v>399</v>
      </c>
      <c r="D349" s="1" t="s">
        <v>647</v>
      </c>
      <c r="E349" s="4">
        <v>3295.6</v>
      </c>
      <c r="F349" s="4">
        <v>3295.6</v>
      </c>
      <c r="G349" s="4"/>
      <c r="H349" s="4">
        <f>'data on outstanding creditors'!$E349-'data on outstanding creditors'!$F349-'data on outstanding creditors'!$G349</f>
        <v>0</v>
      </c>
      <c r="I349" s="2">
        <v>45952.0</v>
      </c>
      <c r="J349" s="1"/>
      <c r="K349" s="2"/>
      <c r="L349" s="5"/>
      <c r="M349" s="9" t="s">
        <v>43</v>
      </c>
      <c r="N349" s="9" t="s">
        <v>23</v>
      </c>
      <c r="O349" s="10">
        <f>'data on outstanding creditors'!$E349*100/107</f>
        <v>3080</v>
      </c>
      <c r="P349" s="10">
        <f>'data on outstanding creditors'!$E349-'data on outstanding creditors'!$O349</f>
        <v>215.6</v>
      </c>
      <c r="Q349" s="7">
        <f>DAY('data on outstanding creditors'!$B349)</f>
        <v>21</v>
      </c>
      <c r="R349" s="7">
        <f>MONTH('data on outstanding creditors'!$B349)</f>
        <v>8</v>
      </c>
      <c r="S349" s="7">
        <f>YEAR('data on outstanding creditors'!$B349)</f>
        <v>2025</v>
      </c>
      <c r="T349" s="11" t="str">
        <f>'data on outstanding creditors'!$C349&amp;" "&amp;'data on outstanding creditors'!$D349&amp;" "&amp;TEXT('data on outstanding creditors'!$E349,"#,##0.00")</f>
        <v>บ.ดีเคเอสเอช(ประเทศไทย) 5344044376 3,295.60</v>
      </c>
      <c r="U349" s="8"/>
    </row>
    <row r="350" ht="13.5" customHeight="1">
      <c r="A350" s="1"/>
      <c r="B350" s="2">
        <v>45895.0</v>
      </c>
      <c r="C350" s="9" t="s">
        <v>399</v>
      </c>
      <c r="D350" s="1" t="s">
        <v>648</v>
      </c>
      <c r="E350" s="4">
        <v>95914.8</v>
      </c>
      <c r="F350" s="4">
        <v>95914.8</v>
      </c>
      <c r="G350" s="4"/>
      <c r="H350" s="4">
        <f>'data on outstanding creditors'!$E350-'data on outstanding creditors'!$F350-'data on outstanding creditors'!$G350</f>
        <v>0</v>
      </c>
      <c r="I350" s="2">
        <v>45952.0</v>
      </c>
      <c r="J350" s="1"/>
      <c r="K350" s="2"/>
      <c r="L350" s="5"/>
      <c r="M350" s="9" t="s">
        <v>43</v>
      </c>
      <c r="N350" s="9" t="s">
        <v>23</v>
      </c>
      <c r="O350" s="10">
        <f>'data on outstanding creditors'!$E350*100/107</f>
        <v>89640</v>
      </c>
      <c r="P350" s="10">
        <f>'data on outstanding creditors'!$E350-'data on outstanding creditors'!$O350</f>
        <v>6274.8</v>
      </c>
      <c r="Q350" s="7">
        <f>DAY('data on outstanding creditors'!$B350)</f>
        <v>26</v>
      </c>
      <c r="R350" s="7">
        <f>MONTH('data on outstanding creditors'!$B350)</f>
        <v>8</v>
      </c>
      <c r="S350" s="7">
        <f>YEAR('data on outstanding creditors'!$B350)</f>
        <v>2025</v>
      </c>
      <c r="T350" s="11" t="str">
        <f>'data on outstanding creditors'!$C350&amp;" "&amp;'data on outstanding creditors'!$D350&amp;" "&amp;TEXT('data on outstanding creditors'!$E350,"#,##0.00")</f>
        <v>บ.ดีเคเอสเอช(ประเทศไทย) 5344227741 95,914.80</v>
      </c>
      <c r="U350" s="8"/>
    </row>
    <row r="351" ht="13.5" customHeight="1">
      <c r="A351" s="1"/>
      <c r="B351" s="2">
        <v>45896.0</v>
      </c>
      <c r="C351" s="9" t="s">
        <v>520</v>
      </c>
      <c r="D351" s="1" t="s">
        <v>649</v>
      </c>
      <c r="E351" s="4">
        <v>4000.0</v>
      </c>
      <c r="F351" s="4">
        <v>4000.0</v>
      </c>
      <c r="G351" s="4"/>
      <c r="H351" s="4">
        <f>'data on outstanding creditors'!$E351-'data on outstanding creditors'!$F351-'data on outstanding creditors'!$G351</f>
        <v>0</v>
      </c>
      <c r="I351" s="2">
        <v>45952.0</v>
      </c>
      <c r="J351" s="1"/>
      <c r="K351" s="2"/>
      <c r="L351" s="5"/>
      <c r="M351" s="9" t="s">
        <v>43</v>
      </c>
      <c r="N351" s="9" t="s">
        <v>23</v>
      </c>
      <c r="O351" s="10">
        <f>'data on outstanding creditors'!$E351*100/107</f>
        <v>3738.317757</v>
      </c>
      <c r="P351" s="10">
        <f>'data on outstanding creditors'!$E351-'data on outstanding creditors'!$O351</f>
        <v>261.682243</v>
      </c>
      <c r="Q351" s="7">
        <f>DAY('data on outstanding creditors'!$B351)</f>
        <v>27</v>
      </c>
      <c r="R351" s="7">
        <f>MONTH('data on outstanding creditors'!$B351)</f>
        <v>8</v>
      </c>
      <c r="S351" s="7">
        <f>YEAR('data on outstanding creditors'!$B351)</f>
        <v>2025</v>
      </c>
      <c r="T351" s="11" t="str">
        <f>'data on outstanding creditors'!$C351&amp;" "&amp;'data on outstanding creditors'!$D351&amp;" "&amp;TEXT('data on outstanding creditors'!$E351,"#,##0.00")</f>
        <v>บ.ซิลลิคฟาร์มา 1317975991 4,000.00</v>
      </c>
      <c r="U351" s="8"/>
    </row>
    <row r="352" ht="13.5" customHeight="1">
      <c r="A352" s="1" t="s">
        <v>650</v>
      </c>
      <c r="B352" s="2">
        <v>45898.0</v>
      </c>
      <c r="C352" s="9" t="s">
        <v>520</v>
      </c>
      <c r="D352" s="1" t="s">
        <v>651</v>
      </c>
      <c r="E352" s="4">
        <v>13000.0</v>
      </c>
      <c r="F352" s="4">
        <v>13000.0</v>
      </c>
      <c r="G352" s="4"/>
      <c r="H352" s="4">
        <f>'data on outstanding creditors'!$E352-'data on outstanding creditors'!$F352-'data on outstanding creditors'!$G352</f>
        <v>0</v>
      </c>
      <c r="I352" s="2">
        <v>45952.0</v>
      </c>
      <c r="J352" s="1"/>
      <c r="K352" s="2"/>
      <c r="L352" s="5"/>
      <c r="M352" s="9" t="s">
        <v>43</v>
      </c>
      <c r="N352" s="9" t="s">
        <v>49</v>
      </c>
      <c r="O352" s="10">
        <f>'data on outstanding creditors'!$E352*100/107</f>
        <v>12149.53271</v>
      </c>
      <c r="P352" s="10">
        <f>'data on outstanding creditors'!$E352-'data on outstanding creditors'!$O352</f>
        <v>850.4672897</v>
      </c>
      <c r="Q352" s="7">
        <f>DAY('data on outstanding creditors'!$B352)</f>
        <v>29</v>
      </c>
      <c r="R352" s="7">
        <f>MONTH('data on outstanding creditors'!$B352)</f>
        <v>8</v>
      </c>
      <c r="S352" s="7">
        <f>YEAR('data on outstanding creditors'!$B352)</f>
        <v>2025</v>
      </c>
      <c r="T352" s="11" t="str">
        <f>'data on outstanding creditors'!$C352&amp;" "&amp;'data on outstanding creditors'!$D352&amp;" "&amp;TEXT('data on outstanding creditors'!$E352,"#,##0.00")</f>
        <v>บ.ซิลลิคฟาร์มา 1318013351 13,000.00</v>
      </c>
      <c r="U352" s="8"/>
    </row>
    <row r="353" ht="13.5" customHeight="1">
      <c r="A353" s="1" t="s">
        <v>652</v>
      </c>
      <c r="B353" s="2">
        <v>45902.0</v>
      </c>
      <c r="C353" s="9" t="s">
        <v>520</v>
      </c>
      <c r="D353" s="1" t="s">
        <v>653</v>
      </c>
      <c r="E353" s="4">
        <v>36900.0</v>
      </c>
      <c r="F353" s="4">
        <v>36900.0</v>
      </c>
      <c r="G353" s="4"/>
      <c r="H353" s="4">
        <f>'data on outstanding creditors'!$E353-'data on outstanding creditors'!$F353-'data on outstanding creditors'!$G353</f>
        <v>0</v>
      </c>
      <c r="I353" s="2">
        <v>45952.0</v>
      </c>
      <c r="J353" s="1"/>
      <c r="K353" s="2"/>
      <c r="L353" s="5"/>
      <c r="M353" s="9" t="s">
        <v>43</v>
      </c>
      <c r="N353" s="9" t="s">
        <v>49</v>
      </c>
      <c r="O353" s="10">
        <f>'data on outstanding creditors'!$E353*100/107</f>
        <v>34485.98131</v>
      </c>
      <c r="P353" s="10">
        <f>'data on outstanding creditors'!$E353-'data on outstanding creditors'!$O353</f>
        <v>2414.018692</v>
      </c>
      <c r="Q353" s="7">
        <f>DAY('data on outstanding creditors'!$B353)</f>
        <v>2</v>
      </c>
      <c r="R353" s="7">
        <f>MONTH('data on outstanding creditors'!$B353)</f>
        <v>9</v>
      </c>
      <c r="S353" s="7">
        <f>YEAR('data on outstanding creditors'!$B353)</f>
        <v>2025</v>
      </c>
      <c r="T353" s="11" t="str">
        <f>'data on outstanding creditors'!$C353&amp;" "&amp;'data on outstanding creditors'!$D353&amp;" "&amp;TEXT('data on outstanding creditors'!$E353,"#,##0.00")</f>
        <v>บ.ซิลลิคฟาร์มา 1318013393 36,900.00</v>
      </c>
      <c r="U353" s="8"/>
    </row>
    <row r="354" ht="13.5" customHeight="1">
      <c r="A354" s="1" t="s">
        <v>654</v>
      </c>
      <c r="B354" s="2">
        <v>45902.0</v>
      </c>
      <c r="C354" s="9" t="s">
        <v>655</v>
      </c>
      <c r="D354" s="1" t="s">
        <v>656</v>
      </c>
      <c r="E354" s="4">
        <v>60776.0</v>
      </c>
      <c r="F354" s="4">
        <v>60776.0</v>
      </c>
      <c r="G354" s="4"/>
      <c r="H354" s="4">
        <f>'data on outstanding creditors'!$E354-'data on outstanding creditors'!$F354-'data on outstanding creditors'!$G354</f>
        <v>0</v>
      </c>
      <c r="I354" s="2">
        <v>45952.0</v>
      </c>
      <c r="J354" s="1"/>
      <c r="K354" s="2"/>
      <c r="L354" s="5"/>
      <c r="M354" s="9" t="s">
        <v>43</v>
      </c>
      <c r="N354" s="9" t="s">
        <v>49</v>
      </c>
      <c r="O354" s="10">
        <f>'data on outstanding creditors'!$E354*100/107</f>
        <v>56800</v>
      </c>
      <c r="P354" s="10">
        <f>'data on outstanding creditors'!$E354-'data on outstanding creditors'!$O354</f>
        <v>3976</v>
      </c>
      <c r="Q354" s="7">
        <f>DAY('data on outstanding creditors'!$B354)</f>
        <v>2</v>
      </c>
      <c r="R354" s="7">
        <f>MONTH('data on outstanding creditors'!$B354)</f>
        <v>9</v>
      </c>
      <c r="S354" s="7">
        <f>YEAR('data on outstanding creditors'!$B354)</f>
        <v>2025</v>
      </c>
      <c r="T354" s="11" t="str">
        <f>'data on outstanding creditors'!$C354&amp;" "&amp;'data on outstanding creditors'!$D354&amp;" "&amp;TEXT('data on outstanding creditors'!$E354,"#,##0.00")</f>
        <v>บ.เบตเตอร์ เมดิคอล แคร์ 8103022250 60,776.00</v>
      </c>
      <c r="U354" s="8"/>
    </row>
    <row r="355" ht="13.5" customHeight="1">
      <c r="A355" s="1" t="s">
        <v>657</v>
      </c>
      <c r="B355" s="2">
        <v>45852.0</v>
      </c>
      <c r="C355" s="9" t="s">
        <v>520</v>
      </c>
      <c r="D355" s="1" t="s">
        <v>658</v>
      </c>
      <c r="E355" s="4">
        <v>167348.0</v>
      </c>
      <c r="F355" s="4">
        <v>167348.0</v>
      </c>
      <c r="G355" s="4"/>
      <c r="H355" s="4">
        <f>'data on outstanding creditors'!$E355-'data on outstanding creditors'!$F355-'data on outstanding creditors'!$G355</f>
        <v>0</v>
      </c>
      <c r="I355" s="2">
        <v>45952.0</v>
      </c>
      <c r="J355" s="1"/>
      <c r="K355" s="2"/>
      <c r="L355" s="5"/>
      <c r="M355" s="9" t="s">
        <v>339</v>
      </c>
      <c r="N355" s="9" t="s">
        <v>49</v>
      </c>
      <c r="O355" s="10">
        <f>'data on outstanding creditors'!$E355*100/107</f>
        <v>156400</v>
      </c>
      <c r="P355" s="10">
        <f>'data on outstanding creditors'!$E355-'data on outstanding creditors'!$O355</f>
        <v>10948</v>
      </c>
      <c r="Q355" s="7">
        <f>DAY('data on outstanding creditors'!$B355)</f>
        <v>14</v>
      </c>
      <c r="R355" s="7">
        <f>MONTH('data on outstanding creditors'!$B355)</f>
        <v>7</v>
      </c>
      <c r="S355" s="7">
        <f>YEAR('data on outstanding creditors'!$B355)</f>
        <v>2025</v>
      </c>
      <c r="T355" s="11" t="str">
        <f>'data on outstanding creditors'!$C355&amp;" "&amp;'data on outstanding creditors'!$D355&amp;" "&amp;TEXT('data on outstanding creditors'!$E355,"#,##0.00")</f>
        <v>บ.ซิลลิคฟาร์มา 1317614715 167,348.00</v>
      </c>
      <c r="U355" s="8"/>
    </row>
    <row r="356" ht="13.5" customHeight="1">
      <c r="A356" s="1" t="s">
        <v>659</v>
      </c>
      <c r="B356" s="2">
        <v>45832.0</v>
      </c>
      <c r="C356" s="9" t="s">
        <v>399</v>
      </c>
      <c r="D356" s="1" t="s">
        <v>660</v>
      </c>
      <c r="E356" s="4">
        <v>1850.0</v>
      </c>
      <c r="F356" s="4">
        <v>1850.0</v>
      </c>
      <c r="G356" s="4"/>
      <c r="H356" s="4">
        <f>'data on outstanding creditors'!$E356-'data on outstanding creditors'!$F356-'data on outstanding creditors'!$G356</f>
        <v>0</v>
      </c>
      <c r="I356" s="2">
        <v>45952.0</v>
      </c>
      <c r="J356" s="1"/>
      <c r="K356" s="2"/>
      <c r="L356" s="5"/>
      <c r="M356" s="9" t="s">
        <v>117</v>
      </c>
      <c r="N356" s="9" t="s">
        <v>49</v>
      </c>
      <c r="O356" s="10">
        <f>'data on outstanding creditors'!$E356*100/107</f>
        <v>1728.971963</v>
      </c>
      <c r="P356" s="10">
        <f>'data on outstanding creditors'!$E356-'data on outstanding creditors'!$O356</f>
        <v>121.0280374</v>
      </c>
      <c r="Q356" s="7">
        <f>DAY('data on outstanding creditors'!$B356)</f>
        <v>24</v>
      </c>
      <c r="R356" s="7">
        <f>MONTH('data on outstanding creditors'!$B356)</f>
        <v>6</v>
      </c>
      <c r="S356" s="7">
        <f>YEAR('data on outstanding creditors'!$B356)</f>
        <v>2025</v>
      </c>
      <c r="T356" s="11" t="str">
        <f>'data on outstanding creditors'!$C356&amp;" "&amp;'data on outstanding creditors'!$D356&amp;" "&amp;TEXT('data on outstanding creditors'!$E356,"#,##0.00")</f>
        <v>บ.ดีเคเอสเอช(ประเทศไทย) 5343821180 1,850.00</v>
      </c>
      <c r="U356" s="8"/>
    </row>
    <row r="357" ht="13.5" customHeight="1">
      <c r="A357" s="1" t="s">
        <v>661</v>
      </c>
      <c r="B357" s="2">
        <v>45832.0</v>
      </c>
      <c r="C357" s="9" t="s">
        <v>520</v>
      </c>
      <c r="D357" s="1" t="s">
        <v>662</v>
      </c>
      <c r="E357" s="4">
        <v>3595.2</v>
      </c>
      <c r="F357" s="4">
        <v>3595.2</v>
      </c>
      <c r="G357" s="4"/>
      <c r="H357" s="4">
        <f>'data on outstanding creditors'!$E357-'data on outstanding creditors'!$F357-'data on outstanding creditors'!$G357</f>
        <v>0</v>
      </c>
      <c r="I357" s="2">
        <v>45952.0</v>
      </c>
      <c r="J357" s="1"/>
      <c r="K357" s="2"/>
      <c r="L357" s="5"/>
      <c r="M357" s="9" t="s">
        <v>117</v>
      </c>
      <c r="N357" s="9" t="s">
        <v>49</v>
      </c>
      <c r="O357" s="10">
        <f>'data on outstanding creditors'!$E357*100/107</f>
        <v>3360</v>
      </c>
      <c r="P357" s="10">
        <f>'data on outstanding creditors'!$E357-'data on outstanding creditors'!$O357</f>
        <v>235.2</v>
      </c>
      <c r="Q357" s="7">
        <f>DAY('data on outstanding creditors'!$B357)</f>
        <v>24</v>
      </c>
      <c r="R357" s="7">
        <f>MONTH('data on outstanding creditors'!$B357)</f>
        <v>6</v>
      </c>
      <c r="S357" s="7">
        <f>YEAR('data on outstanding creditors'!$B357)</f>
        <v>2025</v>
      </c>
      <c r="T357" s="11" t="str">
        <f>'data on outstanding creditors'!$C357&amp;" "&amp;'data on outstanding creditors'!$D357&amp;" "&amp;TEXT('data on outstanding creditors'!$E357,"#,##0.00")</f>
        <v>บ.ซิลลิคฟาร์มา 1317419347 3,595.20</v>
      </c>
      <c r="U357" s="8"/>
    </row>
    <row r="358" ht="13.5" customHeight="1">
      <c r="A358" s="1"/>
      <c r="B358" s="2">
        <v>45861.0</v>
      </c>
      <c r="C358" s="9" t="s">
        <v>399</v>
      </c>
      <c r="D358" s="1" t="s">
        <v>663</v>
      </c>
      <c r="E358" s="4">
        <v>3000.0</v>
      </c>
      <c r="F358" s="4">
        <v>3000.0</v>
      </c>
      <c r="G358" s="4"/>
      <c r="H358" s="4">
        <f>'data on outstanding creditors'!$E358-'data on outstanding creditors'!$F358-'data on outstanding creditors'!$G358</f>
        <v>0</v>
      </c>
      <c r="I358" s="2">
        <v>45952.0</v>
      </c>
      <c r="J358" s="1"/>
      <c r="K358" s="2"/>
      <c r="L358" s="5"/>
      <c r="M358" s="9" t="s">
        <v>117</v>
      </c>
      <c r="N358" s="9" t="s">
        <v>23</v>
      </c>
      <c r="O358" s="10">
        <f>'data on outstanding creditors'!$E358*100/107</f>
        <v>2803.738318</v>
      </c>
      <c r="P358" s="10">
        <f>'data on outstanding creditors'!$E358-'data on outstanding creditors'!$O358</f>
        <v>196.2616822</v>
      </c>
      <c r="Q358" s="7">
        <f>DAY('data on outstanding creditors'!$B358)</f>
        <v>23</v>
      </c>
      <c r="R358" s="7">
        <f>MONTH('data on outstanding creditors'!$B358)</f>
        <v>7</v>
      </c>
      <c r="S358" s="7">
        <f>YEAR('data on outstanding creditors'!$B358)</f>
        <v>2025</v>
      </c>
      <c r="T358" s="11" t="str">
        <f>'data on outstanding creditors'!$C358&amp;" "&amp;'data on outstanding creditors'!$D358&amp;" "&amp;TEXT('data on outstanding creditors'!$E358,"#,##0.00")</f>
        <v>บ.ดีเคเอสเอช(ประเทศไทย) 5343986433 3,000.00</v>
      </c>
      <c r="U358" s="8"/>
    </row>
    <row r="359" ht="13.5" customHeight="1">
      <c r="A359" s="1"/>
      <c r="B359" s="2">
        <v>45861.0</v>
      </c>
      <c r="C359" s="9" t="s">
        <v>399</v>
      </c>
      <c r="D359" s="1" t="s">
        <v>664</v>
      </c>
      <c r="E359" s="4">
        <v>3081.6</v>
      </c>
      <c r="F359" s="4">
        <v>3081.6</v>
      </c>
      <c r="G359" s="4"/>
      <c r="H359" s="4">
        <f>'data on outstanding creditors'!$E359-'data on outstanding creditors'!$F359-'data on outstanding creditors'!$G359</f>
        <v>0</v>
      </c>
      <c r="I359" s="2">
        <v>45952.0</v>
      </c>
      <c r="J359" s="1"/>
      <c r="K359" s="2"/>
      <c r="L359" s="5"/>
      <c r="M359" s="9" t="s">
        <v>117</v>
      </c>
      <c r="N359" s="9" t="s">
        <v>49</v>
      </c>
      <c r="O359" s="10">
        <f>'data on outstanding creditors'!$E359*100/107</f>
        <v>2880</v>
      </c>
      <c r="P359" s="10">
        <f>'data on outstanding creditors'!$E359-'data on outstanding creditors'!$O359</f>
        <v>201.6</v>
      </c>
      <c r="Q359" s="7">
        <f>DAY('data on outstanding creditors'!$B359)</f>
        <v>23</v>
      </c>
      <c r="R359" s="7">
        <f>MONTH('data on outstanding creditors'!$B359)</f>
        <v>7</v>
      </c>
      <c r="S359" s="7">
        <f>YEAR('data on outstanding creditors'!$B359)</f>
        <v>2025</v>
      </c>
      <c r="T359" s="11" t="str">
        <f>'data on outstanding creditors'!$C359&amp;" "&amp;'data on outstanding creditors'!$D359&amp;" "&amp;TEXT('data on outstanding creditors'!$E359,"#,##0.00")</f>
        <v>บ.ดีเคเอสเอช(ประเทศไทย) 5344001756 3,081.60</v>
      </c>
      <c r="U359" s="8"/>
    </row>
    <row r="360" ht="13.5" customHeight="1">
      <c r="A360" s="1" t="s">
        <v>665</v>
      </c>
      <c r="B360" s="2">
        <v>45868.0</v>
      </c>
      <c r="C360" s="9" t="s">
        <v>399</v>
      </c>
      <c r="D360" s="1" t="s">
        <v>666</v>
      </c>
      <c r="E360" s="4">
        <v>21400.0</v>
      </c>
      <c r="F360" s="4">
        <v>21400.0</v>
      </c>
      <c r="G360" s="4"/>
      <c r="H360" s="4">
        <f>'data on outstanding creditors'!$E360-'data on outstanding creditors'!$F360-'data on outstanding creditors'!$G360</f>
        <v>0</v>
      </c>
      <c r="I360" s="2">
        <v>45952.0</v>
      </c>
      <c r="J360" s="1"/>
      <c r="K360" s="2"/>
      <c r="L360" s="5"/>
      <c r="M360" s="9" t="s">
        <v>347</v>
      </c>
      <c r="N360" s="9" t="s">
        <v>49</v>
      </c>
      <c r="O360" s="10">
        <f>'data on outstanding creditors'!$E360*100/107</f>
        <v>20000</v>
      </c>
      <c r="P360" s="10">
        <f>'data on outstanding creditors'!$E360-'data on outstanding creditors'!$O360</f>
        <v>1400</v>
      </c>
      <c r="Q360" s="7">
        <f>DAY('data on outstanding creditors'!$B360)</f>
        <v>30</v>
      </c>
      <c r="R360" s="7">
        <f>MONTH('data on outstanding creditors'!$B360)</f>
        <v>7</v>
      </c>
      <c r="S360" s="7">
        <f>YEAR('data on outstanding creditors'!$B360)</f>
        <v>2025</v>
      </c>
      <c r="T360" s="11" t="str">
        <f>'data on outstanding creditors'!$C360&amp;" "&amp;'data on outstanding creditors'!$D360&amp;" "&amp;TEXT('data on outstanding creditors'!$E360,"#,##0.00")</f>
        <v>บ.ดีเคเอสเอช(ประเทศไทย) 5343864073 21,400.00</v>
      </c>
      <c r="U360" s="8"/>
    </row>
    <row r="361" ht="13.5" customHeight="1">
      <c r="A361" s="1" t="s">
        <v>667</v>
      </c>
      <c r="B361" s="2">
        <v>45868.0</v>
      </c>
      <c r="C361" s="9" t="s">
        <v>399</v>
      </c>
      <c r="D361" s="1" t="s">
        <v>668</v>
      </c>
      <c r="E361" s="4">
        <v>3103.0</v>
      </c>
      <c r="F361" s="4">
        <v>3103.0</v>
      </c>
      <c r="G361" s="4"/>
      <c r="H361" s="4">
        <f>'data on outstanding creditors'!$E361-'data on outstanding creditors'!$F361-'data on outstanding creditors'!$G361</f>
        <v>0</v>
      </c>
      <c r="I361" s="2">
        <v>45952.0</v>
      </c>
      <c r="J361" s="1"/>
      <c r="K361" s="2"/>
      <c r="L361" s="5"/>
      <c r="M361" s="9" t="s">
        <v>347</v>
      </c>
      <c r="N361" s="9" t="s">
        <v>49</v>
      </c>
      <c r="O361" s="10">
        <f>'data on outstanding creditors'!$E361*100/107</f>
        <v>2900</v>
      </c>
      <c r="P361" s="10">
        <f>'data on outstanding creditors'!$E361-'data on outstanding creditors'!$O361</f>
        <v>203</v>
      </c>
      <c r="Q361" s="7">
        <f>DAY('data on outstanding creditors'!$B361)</f>
        <v>30</v>
      </c>
      <c r="R361" s="7">
        <f>MONTH('data on outstanding creditors'!$B361)</f>
        <v>7</v>
      </c>
      <c r="S361" s="7">
        <f>YEAR('data on outstanding creditors'!$B361)</f>
        <v>2025</v>
      </c>
      <c r="T361" s="11" t="str">
        <f>'data on outstanding creditors'!$C361&amp;" "&amp;'data on outstanding creditors'!$D361&amp;" "&amp;TEXT('data on outstanding creditors'!$E361,"#,##0.00")</f>
        <v>บ.ดีเคเอสเอช(ประเทศไทย) 5343988259 3,103.00</v>
      </c>
      <c r="U361" s="8"/>
    </row>
    <row r="362" ht="13.5" customHeight="1">
      <c r="A362" s="1" t="s">
        <v>669</v>
      </c>
      <c r="B362" s="2">
        <v>45868.0</v>
      </c>
      <c r="C362" s="9" t="s">
        <v>399</v>
      </c>
      <c r="D362" s="1" t="s">
        <v>670</v>
      </c>
      <c r="E362" s="4">
        <v>9587.2</v>
      </c>
      <c r="F362" s="4">
        <v>9587.2</v>
      </c>
      <c r="G362" s="4"/>
      <c r="H362" s="4">
        <f>'data on outstanding creditors'!$E362-'data on outstanding creditors'!$F362-'data on outstanding creditors'!$G362</f>
        <v>0</v>
      </c>
      <c r="I362" s="2">
        <v>45952.0</v>
      </c>
      <c r="J362" s="1"/>
      <c r="K362" s="2"/>
      <c r="L362" s="5"/>
      <c r="M362" s="9" t="s">
        <v>347</v>
      </c>
      <c r="N362" s="9" t="s">
        <v>49</v>
      </c>
      <c r="O362" s="10">
        <f>'data on outstanding creditors'!$E362*100/107</f>
        <v>8960</v>
      </c>
      <c r="P362" s="10">
        <f>'data on outstanding creditors'!$E362-'data on outstanding creditors'!$O362</f>
        <v>627.2</v>
      </c>
      <c r="Q362" s="7">
        <f>DAY('data on outstanding creditors'!$B362)</f>
        <v>30</v>
      </c>
      <c r="R362" s="7">
        <f>MONTH('data on outstanding creditors'!$B362)</f>
        <v>7</v>
      </c>
      <c r="S362" s="7">
        <f>YEAR('data on outstanding creditors'!$B362)</f>
        <v>2025</v>
      </c>
      <c r="T362" s="11" t="str">
        <f>'data on outstanding creditors'!$C362&amp;" "&amp;'data on outstanding creditors'!$D362&amp;" "&amp;TEXT('data on outstanding creditors'!$E362,"#,##0.00")</f>
        <v>บ.ดีเคเอสเอช(ประเทศไทย) 5343848300 9,587.20</v>
      </c>
      <c r="U362" s="8"/>
    </row>
    <row r="363" ht="13.5" customHeight="1">
      <c r="A363" s="1" t="s">
        <v>671</v>
      </c>
      <c r="B363" s="2">
        <v>45868.0</v>
      </c>
      <c r="C363" s="9" t="s">
        <v>399</v>
      </c>
      <c r="D363" s="1" t="s">
        <v>672</v>
      </c>
      <c r="E363" s="4">
        <v>3210.0</v>
      </c>
      <c r="F363" s="4">
        <v>3210.0</v>
      </c>
      <c r="G363" s="4"/>
      <c r="H363" s="4">
        <f>'data on outstanding creditors'!$E363-'data on outstanding creditors'!$F363-'data on outstanding creditors'!$G363</f>
        <v>0</v>
      </c>
      <c r="I363" s="2">
        <v>45952.0</v>
      </c>
      <c r="J363" s="1"/>
      <c r="K363" s="2"/>
      <c r="L363" s="5"/>
      <c r="M363" s="9" t="s">
        <v>347</v>
      </c>
      <c r="N363" s="9" t="s">
        <v>49</v>
      </c>
      <c r="O363" s="10">
        <f>'data on outstanding creditors'!$E363*100/107</f>
        <v>3000</v>
      </c>
      <c r="P363" s="10">
        <f>'data on outstanding creditors'!$E363-'data on outstanding creditors'!$O363</f>
        <v>210</v>
      </c>
      <c r="Q363" s="7">
        <f>DAY('data on outstanding creditors'!$B363)</f>
        <v>30</v>
      </c>
      <c r="R363" s="7">
        <f>MONTH('data on outstanding creditors'!$B363)</f>
        <v>7</v>
      </c>
      <c r="S363" s="7">
        <f>YEAR('data on outstanding creditors'!$B363)</f>
        <v>2025</v>
      </c>
      <c r="T363" s="11" t="str">
        <f>'data on outstanding creditors'!$C363&amp;" "&amp;'data on outstanding creditors'!$D363&amp;" "&amp;TEXT('data on outstanding creditors'!$E363,"#,##0.00")</f>
        <v>บ.ดีเคเอสเอช(ประเทศไทย) 5343857784 3,210.00</v>
      </c>
      <c r="U363" s="8"/>
    </row>
    <row r="364" ht="13.5" customHeight="1">
      <c r="A364" s="1"/>
      <c r="B364" s="2">
        <v>45632.0</v>
      </c>
      <c r="C364" s="9" t="s">
        <v>673</v>
      </c>
      <c r="D364" s="1" t="s">
        <v>674</v>
      </c>
      <c r="E364" s="4">
        <v>13200.0</v>
      </c>
      <c r="F364" s="4">
        <v>13200.0</v>
      </c>
      <c r="G364" s="4"/>
      <c r="H364" s="4">
        <f>'data on outstanding creditors'!$E364-'data on outstanding creditors'!$F364-'data on outstanding creditors'!$G364</f>
        <v>0</v>
      </c>
      <c r="I364" s="2">
        <v>45952.0</v>
      </c>
      <c r="J364" s="1"/>
      <c r="K364" s="2"/>
      <c r="L364" s="5"/>
      <c r="M364" s="9" t="s">
        <v>362</v>
      </c>
      <c r="N364" s="9" t="s">
        <v>49</v>
      </c>
      <c r="O364" s="10">
        <f>'data on outstanding creditors'!$E364*100/107</f>
        <v>12336.4486</v>
      </c>
      <c r="P364" s="10">
        <f>'data on outstanding creditors'!$E364-'data on outstanding creditors'!$O364</f>
        <v>863.5514019</v>
      </c>
      <c r="Q364" s="7">
        <f>DAY('data on outstanding creditors'!$B364)</f>
        <v>6</v>
      </c>
      <c r="R364" s="7">
        <f>MONTH('data on outstanding creditors'!$B364)</f>
        <v>12</v>
      </c>
      <c r="S364" s="7">
        <f>YEAR('data on outstanding creditors'!$B364)</f>
        <v>2024</v>
      </c>
      <c r="T364" s="11" t="str">
        <f>'data on outstanding creditors'!$C364&amp;" "&amp;'data on outstanding creditors'!$D364&amp;" "&amp;TEXT('data on outstanding creditors'!$E364,"#,##0.00")</f>
        <v>บ.เนฟโฟรแคร์ (ประเทศไทย) 23120676 13,200.00</v>
      </c>
      <c r="U364" s="8"/>
    </row>
    <row r="365" ht="13.5" customHeight="1">
      <c r="A365" s="1"/>
      <c r="B365" s="2">
        <v>45632.0</v>
      </c>
      <c r="C365" s="9" t="s">
        <v>673</v>
      </c>
      <c r="D365" s="1" t="s">
        <v>675</v>
      </c>
      <c r="E365" s="4">
        <v>17600.0</v>
      </c>
      <c r="F365" s="4">
        <v>17600.0</v>
      </c>
      <c r="G365" s="4"/>
      <c r="H365" s="4">
        <f>'data on outstanding creditors'!$E365-'data on outstanding creditors'!$F365-'data on outstanding creditors'!$G365</f>
        <v>0</v>
      </c>
      <c r="I365" s="2">
        <v>45952.0</v>
      </c>
      <c r="J365" s="1"/>
      <c r="K365" s="2"/>
      <c r="L365" s="5"/>
      <c r="M365" s="9" t="s">
        <v>362</v>
      </c>
      <c r="N365" s="9" t="s">
        <v>49</v>
      </c>
      <c r="O365" s="10">
        <f>'data on outstanding creditors'!$E365*100/107</f>
        <v>16448.59813</v>
      </c>
      <c r="P365" s="10">
        <f>'data on outstanding creditors'!$E365-'data on outstanding creditors'!$O365</f>
        <v>1151.401869</v>
      </c>
      <c r="Q365" s="7">
        <f>DAY('data on outstanding creditors'!$B365)</f>
        <v>6</v>
      </c>
      <c r="R365" s="7">
        <f>MONTH('data on outstanding creditors'!$B365)</f>
        <v>12</v>
      </c>
      <c r="S365" s="7">
        <f>YEAR('data on outstanding creditors'!$B365)</f>
        <v>2024</v>
      </c>
      <c r="T365" s="11" t="str">
        <f>'data on outstanding creditors'!$C365&amp;" "&amp;'data on outstanding creditors'!$D365&amp;" "&amp;TEXT('data on outstanding creditors'!$E365,"#,##0.00")</f>
        <v>บ.เนฟโฟรแคร์ (ประเทศไทย) 23120671 17,600.00</v>
      </c>
      <c r="U365" s="8"/>
    </row>
    <row r="366" ht="13.5" customHeight="1">
      <c r="A366" s="1"/>
      <c r="B366" s="2">
        <v>45632.0</v>
      </c>
      <c r="C366" s="9" t="s">
        <v>673</v>
      </c>
      <c r="D366" s="1" t="s">
        <v>676</v>
      </c>
      <c r="E366" s="4">
        <v>4500.0</v>
      </c>
      <c r="F366" s="4">
        <v>4500.0</v>
      </c>
      <c r="G366" s="4"/>
      <c r="H366" s="4">
        <f>'data on outstanding creditors'!$E366-'data on outstanding creditors'!$F366-'data on outstanding creditors'!$G366</f>
        <v>0</v>
      </c>
      <c r="I366" s="2">
        <v>45952.0</v>
      </c>
      <c r="J366" s="1"/>
      <c r="K366" s="2"/>
      <c r="L366" s="5"/>
      <c r="M366" s="9" t="s">
        <v>362</v>
      </c>
      <c r="N366" s="9" t="s">
        <v>49</v>
      </c>
      <c r="O366" s="10">
        <f>'data on outstanding creditors'!$E366*100/107</f>
        <v>4205.607477</v>
      </c>
      <c r="P366" s="10">
        <f>'data on outstanding creditors'!$E366-'data on outstanding creditors'!$O366</f>
        <v>294.3925234</v>
      </c>
      <c r="Q366" s="7">
        <f>DAY('data on outstanding creditors'!$B366)</f>
        <v>6</v>
      </c>
      <c r="R366" s="7">
        <f>MONTH('data on outstanding creditors'!$B366)</f>
        <v>12</v>
      </c>
      <c r="S366" s="7">
        <f>YEAR('data on outstanding creditors'!$B366)</f>
        <v>2024</v>
      </c>
      <c r="T366" s="11" t="str">
        <f>'data on outstanding creditors'!$C366&amp;" "&amp;'data on outstanding creditors'!$D366&amp;" "&amp;TEXT('data on outstanding creditors'!$E366,"#,##0.00")</f>
        <v>บ.เนฟโฟรแคร์ (ประเทศไทย) 23120682 4,500.00</v>
      </c>
      <c r="U366" s="8"/>
    </row>
    <row r="367" ht="13.5" customHeight="1">
      <c r="A367" s="1" t="s">
        <v>677</v>
      </c>
      <c r="B367" s="2">
        <v>45853.0</v>
      </c>
      <c r="C367" s="9" t="s">
        <v>399</v>
      </c>
      <c r="D367" s="1" t="s">
        <v>678</v>
      </c>
      <c r="E367" s="4">
        <v>5285.8</v>
      </c>
      <c r="F367" s="4">
        <v>5285.8</v>
      </c>
      <c r="G367" s="4"/>
      <c r="H367" s="4">
        <f>'data on outstanding creditors'!$E367-'data on outstanding creditors'!$F367-'data on outstanding creditors'!$G367</f>
        <v>0</v>
      </c>
      <c r="I367" s="2">
        <v>45952.0</v>
      </c>
      <c r="J367" s="1"/>
      <c r="K367" s="2"/>
      <c r="L367" s="5"/>
      <c r="M367" s="9" t="s">
        <v>362</v>
      </c>
      <c r="N367" s="9" t="s">
        <v>49</v>
      </c>
      <c r="O367" s="10">
        <f>'data on outstanding creditors'!$E367*100/107</f>
        <v>4940</v>
      </c>
      <c r="P367" s="10">
        <f>'data on outstanding creditors'!$E367-'data on outstanding creditors'!$O367</f>
        <v>345.8</v>
      </c>
      <c r="Q367" s="7">
        <f>DAY('data on outstanding creditors'!$B367)</f>
        <v>15</v>
      </c>
      <c r="R367" s="7">
        <f>MONTH('data on outstanding creditors'!$B367)</f>
        <v>7</v>
      </c>
      <c r="S367" s="7">
        <f>YEAR('data on outstanding creditors'!$B367)</f>
        <v>2025</v>
      </c>
      <c r="T367" s="11" t="str">
        <f>'data on outstanding creditors'!$C367&amp;" "&amp;'data on outstanding creditors'!$D367&amp;" "&amp;TEXT('data on outstanding creditors'!$E367,"#,##0.00")</f>
        <v>บ.ดีเคเอสเอช(ประเทศไทย) 5343833534 5,285.80</v>
      </c>
      <c r="U367" s="8"/>
    </row>
    <row r="368" ht="13.5" customHeight="1">
      <c r="A368" s="1" t="s">
        <v>679</v>
      </c>
      <c r="B368" s="2">
        <v>45862.0</v>
      </c>
      <c r="C368" s="9" t="s">
        <v>399</v>
      </c>
      <c r="D368" s="1" t="s">
        <v>680</v>
      </c>
      <c r="E368" s="4">
        <v>7383.0</v>
      </c>
      <c r="F368" s="4">
        <v>7383.0</v>
      </c>
      <c r="G368" s="4"/>
      <c r="H368" s="4">
        <f>'data on outstanding creditors'!$E368-'data on outstanding creditors'!$F368-'data on outstanding creditors'!$G368</f>
        <v>0</v>
      </c>
      <c r="I368" s="2">
        <v>45952.0</v>
      </c>
      <c r="J368" s="1"/>
      <c r="K368" s="2"/>
      <c r="L368" s="5"/>
      <c r="M368" s="9" t="s">
        <v>362</v>
      </c>
      <c r="N368" s="9" t="s">
        <v>49</v>
      </c>
      <c r="O368" s="10">
        <f>'data on outstanding creditors'!$E368*100/107</f>
        <v>6900</v>
      </c>
      <c r="P368" s="10">
        <f>'data on outstanding creditors'!$E368-'data on outstanding creditors'!$O368</f>
        <v>483</v>
      </c>
      <c r="Q368" s="7">
        <f>DAY('data on outstanding creditors'!$B368)</f>
        <v>24</v>
      </c>
      <c r="R368" s="7">
        <f>MONTH('data on outstanding creditors'!$B368)</f>
        <v>7</v>
      </c>
      <c r="S368" s="7">
        <f>YEAR('data on outstanding creditors'!$B368)</f>
        <v>2025</v>
      </c>
      <c r="T368" s="11" t="str">
        <f>'data on outstanding creditors'!$C368&amp;" "&amp;'data on outstanding creditors'!$D368&amp;" "&amp;TEXT('data on outstanding creditors'!$E368,"#,##0.00")</f>
        <v>บ.ดีเคเอสเอช(ประเทศไทย) 5343913530 7,383.00</v>
      </c>
      <c r="U368" s="8"/>
    </row>
    <row r="369" ht="13.5" customHeight="1">
      <c r="A369" s="1" t="s">
        <v>681</v>
      </c>
      <c r="B369" s="2">
        <v>45877.0</v>
      </c>
      <c r="C369" s="9" t="s">
        <v>399</v>
      </c>
      <c r="D369" s="1" t="s">
        <v>682</v>
      </c>
      <c r="E369" s="4">
        <v>69550.0</v>
      </c>
      <c r="F369" s="4">
        <v>69550.0</v>
      </c>
      <c r="G369" s="4"/>
      <c r="H369" s="4">
        <f>'data on outstanding creditors'!$E369-'data on outstanding creditors'!$F369-'data on outstanding creditors'!$G369</f>
        <v>0</v>
      </c>
      <c r="I369" s="2">
        <v>45952.0</v>
      </c>
      <c r="J369" s="1"/>
      <c r="K369" s="2"/>
      <c r="L369" s="5"/>
      <c r="M369" s="9" t="s">
        <v>362</v>
      </c>
      <c r="N369" s="9" t="s">
        <v>49</v>
      </c>
      <c r="O369" s="10">
        <f>'data on outstanding creditors'!$E369*100/107</f>
        <v>65000</v>
      </c>
      <c r="P369" s="10">
        <f>'data on outstanding creditors'!$E369-'data on outstanding creditors'!$O369</f>
        <v>4550</v>
      </c>
      <c r="Q369" s="7">
        <f>DAY('data on outstanding creditors'!$B369)</f>
        <v>8</v>
      </c>
      <c r="R369" s="7">
        <f>MONTH('data on outstanding creditors'!$B369)</f>
        <v>8</v>
      </c>
      <c r="S369" s="7">
        <f>YEAR('data on outstanding creditors'!$B369)</f>
        <v>2025</v>
      </c>
      <c r="T369" s="11" t="str">
        <f>'data on outstanding creditors'!$C369&amp;" "&amp;'data on outstanding creditors'!$D369&amp;" "&amp;TEXT('data on outstanding creditors'!$E369,"#,##0.00")</f>
        <v>บ.ดีเคเอสเอช(ประเทศไทย) 5344012507 69,550.00</v>
      </c>
      <c r="U369" s="8"/>
    </row>
    <row r="370" ht="13.5" customHeight="1">
      <c r="A370" s="1" t="s">
        <v>683</v>
      </c>
      <c r="B370" s="2">
        <v>45832.0</v>
      </c>
      <c r="C370" s="9" t="s">
        <v>520</v>
      </c>
      <c r="D370" s="1" t="s">
        <v>684</v>
      </c>
      <c r="E370" s="4">
        <v>92000.0</v>
      </c>
      <c r="F370" s="4">
        <v>92000.0</v>
      </c>
      <c r="G370" s="4"/>
      <c r="H370" s="4">
        <f>'data on outstanding creditors'!$E370-'data on outstanding creditors'!$F370-'data on outstanding creditors'!$G370</f>
        <v>0</v>
      </c>
      <c r="I370" s="2">
        <v>45952.0</v>
      </c>
      <c r="J370" s="1"/>
      <c r="K370" s="2"/>
      <c r="L370" s="5"/>
      <c r="M370" s="9" t="s">
        <v>58</v>
      </c>
      <c r="N370" s="9" t="s">
        <v>49</v>
      </c>
      <c r="O370" s="10">
        <f>'data on outstanding creditors'!$E370*100/107</f>
        <v>85981.30841</v>
      </c>
      <c r="P370" s="10">
        <f>'data on outstanding creditors'!$E370-'data on outstanding creditors'!$O370</f>
        <v>6018.691589</v>
      </c>
      <c r="Q370" s="7">
        <f>DAY('data on outstanding creditors'!$B370)</f>
        <v>24</v>
      </c>
      <c r="R370" s="7">
        <f>MONTH('data on outstanding creditors'!$B370)</f>
        <v>6</v>
      </c>
      <c r="S370" s="7">
        <f>YEAR('data on outstanding creditors'!$B370)</f>
        <v>2025</v>
      </c>
      <c r="T370" s="11" t="str">
        <f>'data on outstanding creditors'!$C370&amp;" "&amp;'data on outstanding creditors'!$D370&amp;" "&amp;TEXT('data on outstanding creditors'!$E370,"#,##0.00")</f>
        <v>บ.ซิลลิคฟาร์มา 1317386860 92,000.00</v>
      </c>
      <c r="U370" s="8"/>
    </row>
    <row r="371" ht="13.5" customHeight="1">
      <c r="A371" s="1" t="s">
        <v>685</v>
      </c>
      <c r="B371" s="2">
        <v>45846.0</v>
      </c>
      <c r="C371" s="9" t="s">
        <v>520</v>
      </c>
      <c r="D371" s="1" t="s">
        <v>686</v>
      </c>
      <c r="E371" s="4">
        <v>147500.0</v>
      </c>
      <c r="F371" s="4">
        <v>147500.0</v>
      </c>
      <c r="G371" s="4"/>
      <c r="H371" s="4">
        <f>'data on outstanding creditors'!$E371-'data on outstanding creditors'!$F371-'data on outstanding creditors'!$G371</f>
        <v>0</v>
      </c>
      <c r="I371" s="2">
        <v>45952.0</v>
      </c>
      <c r="J371" s="1"/>
      <c r="K371" s="2"/>
      <c r="L371" s="5"/>
      <c r="M371" s="9" t="s">
        <v>58</v>
      </c>
      <c r="N371" s="9" t="s">
        <v>49</v>
      </c>
      <c r="O371" s="10">
        <f>'data on outstanding creditors'!$E371*100/107</f>
        <v>137850.4673</v>
      </c>
      <c r="P371" s="10">
        <f>'data on outstanding creditors'!$E371-'data on outstanding creditors'!$O371</f>
        <v>9649.53271</v>
      </c>
      <c r="Q371" s="7">
        <f>DAY('data on outstanding creditors'!$B371)</f>
        <v>8</v>
      </c>
      <c r="R371" s="7">
        <f>MONTH('data on outstanding creditors'!$B371)</f>
        <v>7</v>
      </c>
      <c r="S371" s="7">
        <f>YEAR('data on outstanding creditors'!$B371)</f>
        <v>2025</v>
      </c>
      <c r="T371" s="11" t="str">
        <f>'data on outstanding creditors'!$C371&amp;" "&amp;'data on outstanding creditors'!$D371&amp;" "&amp;TEXT('data on outstanding creditors'!$E371,"#,##0.00")</f>
        <v>บ.ซิลลิคฟาร์มา 1317573996 147,500.00</v>
      </c>
      <c r="U371" s="8"/>
    </row>
    <row r="372" ht="13.5" customHeight="1">
      <c r="A372" s="1" t="s">
        <v>687</v>
      </c>
      <c r="B372" s="2">
        <v>45730.0</v>
      </c>
      <c r="C372" s="9" t="s">
        <v>688</v>
      </c>
      <c r="D372" s="1" t="s">
        <v>689</v>
      </c>
      <c r="E372" s="4">
        <v>128400.0</v>
      </c>
      <c r="F372" s="4">
        <v>128400.0</v>
      </c>
      <c r="G372" s="4"/>
      <c r="H372" s="4">
        <f>'data on outstanding creditors'!$E372-'data on outstanding creditors'!$F372-'data on outstanding creditors'!$G372</f>
        <v>0</v>
      </c>
      <c r="I372" s="2">
        <v>45954.0</v>
      </c>
      <c r="J372" s="1"/>
      <c r="K372" s="2"/>
      <c r="L372" s="5"/>
      <c r="M372" s="9" t="s">
        <v>43</v>
      </c>
      <c r="N372" s="9" t="s">
        <v>23</v>
      </c>
      <c r="O372" s="10">
        <f>'data on outstanding creditors'!$E372*100/107</f>
        <v>120000</v>
      </c>
      <c r="P372" s="10">
        <f>'data on outstanding creditors'!$E372-'data on outstanding creditors'!$O372</f>
        <v>8400</v>
      </c>
      <c r="Q372" s="7">
        <f>DAY('data on outstanding creditors'!$B372)</f>
        <v>14</v>
      </c>
      <c r="R372" s="7">
        <f>MONTH('data on outstanding creditors'!$B372)</f>
        <v>3</v>
      </c>
      <c r="S372" s="7">
        <f>YEAR('data on outstanding creditors'!$B372)</f>
        <v>2025</v>
      </c>
      <c r="T372" s="11" t="str">
        <f>'data on outstanding creditors'!$C372&amp;" "&amp;'data on outstanding creditors'!$D372&amp;" "&amp;TEXT('data on outstanding creditors'!$E372,"#,##0.00")</f>
        <v>บ.โอเร็กซ์ เทรดดิ้ง 680301428 128,400.00</v>
      </c>
      <c r="U372" s="8"/>
    </row>
    <row r="373" ht="13.5" customHeight="1">
      <c r="A373" s="1"/>
      <c r="B373" s="2">
        <v>45734.0</v>
      </c>
      <c r="C373" s="9" t="s">
        <v>688</v>
      </c>
      <c r="D373" s="1" t="s">
        <v>690</v>
      </c>
      <c r="E373" s="4">
        <v>19260.0</v>
      </c>
      <c r="F373" s="4">
        <v>19260.0</v>
      </c>
      <c r="G373" s="4"/>
      <c r="H373" s="4">
        <f>'data on outstanding creditors'!$E373-'data on outstanding creditors'!$F373-'data on outstanding creditors'!$G373</f>
        <v>0</v>
      </c>
      <c r="I373" s="2">
        <v>45954.0</v>
      </c>
      <c r="J373" s="1"/>
      <c r="K373" s="2"/>
      <c r="L373" s="5"/>
      <c r="M373" s="9" t="s">
        <v>43</v>
      </c>
      <c r="N373" s="9" t="s">
        <v>23</v>
      </c>
      <c r="O373" s="10">
        <f>'data on outstanding creditors'!$E373*100/107</f>
        <v>18000</v>
      </c>
      <c r="P373" s="10">
        <f>'data on outstanding creditors'!$E373-'data on outstanding creditors'!$O373</f>
        <v>1260</v>
      </c>
      <c r="Q373" s="7">
        <f>DAY('data on outstanding creditors'!$B373)</f>
        <v>18</v>
      </c>
      <c r="R373" s="7">
        <f>MONTH('data on outstanding creditors'!$B373)</f>
        <v>3</v>
      </c>
      <c r="S373" s="7">
        <f>YEAR('data on outstanding creditors'!$B373)</f>
        <v>2025</v>
      </c>
      <c r="T373" s="11" t="str">
        <f>'data on outstanding creditors'!$C373&amp;" "&amp;'data on outstanding creditors'!$D373&amp;" "&amp;TEXT('data on outstanding creditors'!$E373,"#,##0.00")</f>
        <v>บ.โอเร็กซ์ เทรดดิ้ง 680301769 19,260.00</v>
      </c>
      <c r="U373" s="8"/>
    </row>
    <row r="374" ht="13.5" customHeight="1">
      <c r="A374" s="1"/>
      <c r="B374" s="2">
        <v>45742.0</v>
      </c>
      <c r="C374" s="9" t="s">
        <v>688</v>
      </c>
      <c r="D374" s="1" t="s">
        <v>691</v>
      </c>
      <c r="E374" s="4">
        <v>38092.0</v>
      </c>
      <c r="F374" s="4">
        <v>38092.0</v>
      </c>
      <c r="G374" s="4"/>
      <c r="H374" s="4">
        <f>'data on outstanding creditors'!$E374-'data on outstanding creditors'!$F374-'data on outstanding creditors'!$G374</f>
        <v>0</v>
      </c>
      <c r="I374" s="2">
        <v>45954.0</v>
      </c>
      <c r="J374" s="1"/>
      <c r="K374" s="2"/>
      <c r="L374" s="5"/>
      <c r="M374" s="9" t="s">
        <v>43</v>
      </c>
      <c r="N374" s="9" t="s">
        <v>23</v>
      </c>
      <c r="O374" s="10">
        <f>'data on outstanding creditors'!$E374*100/107</f>
        <v>35600</v>
      </c>
      <c r="P374" s="10">
        <f>'data on outstanding creditors'!$E374-'data on outstanding creditors'!$O374</f>
        <v>2492</v>
      </c>
      <c r="Q374" s="7">
        <f>DAY('data on outstanding creditors'!$B374)</f>
        <v>26</v>
      </c>
      <c r="R374" s="7">
        <f>MONTH('data on outstanding creditors'!$B374)</f>
        <v>3</v>
      </c>
      <c r="S374" s="7">
        <f>YEAR('data on outstanding creditors'!$B374)</f>
        <v>2025</v>
      </c>
      <c r="T374" s="11" t="str">
        <f>'data on outstanding creditors'!$C374&amp;" "&amp;'data on outstanding creditors'!$D374&amp;" "&amp;TEXT('data on outstanding creditors'!$E374,"#,##0.00")</f>
        <v>บ.โอเร็กซ์ เทรดดิ้ง 680300368 38,092.00</v>
      </c>
      <c r="U374" s="8"/>
    </row>
    <row r="375" ht="13.5" customHeight="1">
      <c r="A375" s="1"/>
      <c r="B375" s="2">
        <v>45742.0</v>
      </c>
      <c r="C375" s="9" t="s">
        <v>688</v>
      </c>
      <c r="D375" s="1" t="s">
        <v>692</v>
      </c>
      <c r="E375" s="4">
        <v>19046.0</v>
      </c>
      <c r="F375" s="4">
        <v>19046.0</v>
      </c>
      <c r="G375" s="4"/>
      <c r="H375" s="4">
        <f>'data on outstanding creditors'!$E375-'data on outstanding creditors'!$F375-'data on outstanding creditors'!$G375</f>
        <v>0</v>
      </c>
      <c r="I375" s="2">
        <v>45954.0</v>
      </c>
      <c r="J375" s="1"/>
      <c r="K375" s="2"/>
      <c r="L375" s="5"/>
      <c r="M375" s="9" t="s">
        <v>43</v>
      </c>
      <c r="N375" s="9" t="s">
        <v>23</v>
      </c>
      <c r="O375" s="10">
        <f>'data on outstanding creditors'!$E375*100/107</f>
        <v>17800</v>
      </c>
      <c r="P375" s="10">
        <f>'data on outstanding creditors'!$E375-'data on outstanding creditors'!$O375</f>
        <v>1246</v>
      </c>
      <c r="Q375" s="7">
        <f>DAY('data on outstanding creditors'!$B375)</f>
        <v>26</v>
      </c>
      <c r="R375" s="7">
        <f>MONTH('data on outstanding creditors'!$B375)</f>
        <v>3</v>
      </c>
      <c r="S375" s="7">
        <f>YEAR('data on outstanding creditors'!$B375)</f>
        <v>2025</v>
      </c>
      <c r="T375" s="11" t="str">
        <f>'data on outstanding creditors'!$C375&amp;" "&amp;'data on outstanding creditors'!$D375&amp;" "&amp;TEXT('data on outstanding creditors'!$E375,"#,##0.00")</f>
        <v>บ.โอเร็กซ์ เทรดดิ้ง 680303249 19,046.00</v>
      </c>
      <c r="U375" s="8"/>
    </row>
    <row r="376" ht="13.5" customHeight="1">
      <c r="A376" s="1"/>
      <c r="B376" s="2">
        <v>45750.0</v>
      </c>
      <c r="C376" s="9" t="s">
        <v>688</v>
      </c>
      <c r="D376" s="1" t="s">
        <v>693</v>
      </c>
      <c r="E376" s="4">
        <v>38841.0</v>
      </c>
      <c r="F376" s="4">
        <v>38841.0</v>
      </c>
      <c r="G376" s="4"/>
      <c r="H376" s="4">
        <f>'data on outstanding creditors'!$E376-'data on outstanding creditors'!$F376-'data on outstanding creditors'!$G376</f>
        <v>0</v>
      </c>
      <c r="I376" s="2">
        <v>45954.0</v>
      </c>
      <c r="J376" s="1"/>
      <c r="K376" s="2"/>
      <c r="L376" s="5"/>
      <c r="M376" s="9" t="s">
        <v>43</v>
      </c>
      <c r="N376" s="9" t="s">
        <v>23</v>
      </c>
      <c r="O376" s="10">
        <f>'data on outstanding creditors'!$E376*100/107</f>
        <v>36300</v>
      </c>
      <c r="P376" s="10">
        <f>'data on outstanding creditors'!$E376-'data on outstanding creditors'!$O376</f>
        <v>2541</v>
      </c>
      <c r="Q376" s="7">
        <f>DAY('data on outstanding creditors'!$B376)</f>
        <v>3</v>
      </c>
      <c r="R376" s="7">
        <f>MONTH('data on outstanding creditors'!$B376)</f>
        <v>4</v>
      </c>
      <c r="S376" s="7">
        <f>YEAR('data on outstanding creditors'!$B376)</f>
        <v>2025</v>
      </c>
      <c r="T376" s="11" t="str">
        <f>'data on outstanding creditors'!$C376&amp;" "&amp;'data on outstanding creditors'!$D376&amp;" "&amp;TEXT('data on outstanding creditors'!$E376,"#,##0.00")</f>
        <v>บ.โอเร็กซ์ เทรดดิ้ง 680304799 38,841.00</v>
      </c>
      <c r="U376" s="8"/>
    </row>
    <row r="377" ht="13.5" customHeight="1">
      <c r="A377" s="1"/>
      <c r="B377" s="2">
        <v>45750.0</v>
      </c>
      <c r="C377" s="9" t="s">
        <v>688</v>
      </c>
      <c r="D377" s="1" t="s">
        <v>694</v>
      </c>
      <c r="E377" s="4">
        <v>128400.0</v>
      </c>
      <c r="F377" s="4">
        <v>128400.0</v>
      </c>
      <c r="G377" s="4"/>
      <c r="H377" s="4">
        <f>'data on outstanding creditors'!$E377-'data on outstanding creditors'!$F377-'data on outstanding creditors'!$G377</f>
        <v>0</v>
      </c>
      <c r="I377" s="2">
        <v>45954.0</v>
      </c>
      <c r="J377" s="1"/>
      <c r="K377" s="2"/>
      <c r="L377" s="5"/>
      <c r="M377" s="9" t="s">
        <v>43</v>
      </c>
      <c r="N377" s="9" t="s">
        <v>23</v>
      </c>
      <c r="O377" s="10">
        <f>'data on outstanding creditors'!$E377*100/107</f>
        <v>120000</v>
      </c>
      <c r="P377" s="10">
        <f>'data on outstanding creditors'!$E377-'data on outstanding creditors'!$O377</f>
        <v>8400</v>
      </c>
      <c r="Q377" s="7">
        <f>DAY('data on outstanding creditors'!$B377)</f>
        <v>3</v>
      </c>
      <c r="R377" s="7">
        <f>MONTH('data on outstanding creditors'!$B377)</f>
        <v>4</v>
      </c>
      <c r="S377" s="7">
        <f>YEAR('data on outstanding creditors'!$B377)</f>
        <v>2025</v>
      </c>
      <c r="T377" s="11" t="str">
        <f>'data on outstanding creditors'!$C377&amp;" "&amp;'data on outstanding creditors'!$D377&amp;" "&amp;TEXT('data on outstanding creditors'!$E377,"#,##0.00")</f>
        <v>บ.โอเร็กซ์ เทรดดิ้ง 680305350 128,400.00</v>
      </c>
      <c r="U377" s="8"/>
    </row>
    <row r="378" ht="13.5" customHeight="1">
      <c r="A378" s="1"/>
      <c r="B378" s="2">
        <v>45768.0</v>
      </c>
      <c r="C378" s="9" t="s">
        <v>688</v>
      </c>
      <c r="D378" s="1" t="s">
        <v>695</v>
      </c>
      <c r="E378" s="4">
        <v>40927.5</v>
      </c>
      <c r="F378" s="4">
        <v>40927.5</v>
      </c>
      <c r="G378" s="4"/>
      <c r="H378" s="4">
        <f>'data on outstanding creditors'!$E378-'data on outstanding creditors'!$F378-'data on outstanding creditors'!$G378</f>
        <v>0</v>
      </c>
      <c r="I378" s="2">
        <v>45954.0</v>
      </c>
      <c r="J378" s="1"/>
      <c r="K378" s="2"/>
      <c r="L378" s="5"/>
      <c r="M378" s="9" t="s">
        <v>43</v>
      </c>
      <c r="N378" s="9" t="s">
        <v>23</v>
      </c>
      <c r="O378" s="10">
        <f>'data on outstanding creditors'!$E378*100/107</f>
        <v>38250</v>
      </c>
      <c r="P378" s="10">
        <f>'data on outstanding creditors'!$E378-'data on outstanding creditors'!$O378</f>
        <v>2677.5</v>
      </c>
      <c r="Q378" s="7">
        <f>DAY('data on outstanding creditors'!$B378)</f>
        <v>21</v>
      </c>
      <c r="R378" s="7">
        <f>MONTH('data on outstanding creditors'!$B378)</f>
        <v>4</v>
      </c>
      <c r="S378" s="7">
        <f>YEAR('data on outstanding creditors'!$B378)</f>
        <v>2025</v>
      </c>
      <c r="T378" s="11" t="str">
        <f>'data on outstanding creditors'!$C378&amp;" "&amp;'data on outstanding creditors'!$D378&amp;" "&amp;TEXT('data on outstanding creditors'!$E378,"#,##0.00")</f>
        <v>บ.โอเร็กซ์ เทรดดิ้ง 680402092 40,927.50</v>
      </c>
      <c r="U378" s="8"/>
    </row>
    <row r="379" ht="13.5" customHeight="1">
      <c r="A379" s="1" t="s">
        <v>696</v>
      </c>
      <c r="B379" s="2">
        <v>45838.0</v>
      </c>
      <c r="C379" s="9" t="s">
        <v>697</v>
      </c>
      <c r="D379" s="1" t="s">
        <v>698</v>
      </c>
      <c r="E379" s="4">
        <v>32300.0</v>
      </c>
      <c r="F379" s="4">
        <v>32300.0</v>
      </c>
      <c r="G379" s="4"/>
      <c r="H379" s="4">
        <f>'data on outstanding creditors'!$E379-'data on outstanding creditors'!$F379-'data on outstanding creditors'!$G379</f>
        <v>0</v>
      </c>
      <c r="I379" s="2">
        <v>45954.0</v>
      </c>
      <c r="J379" s="1"/>
      <c r="K379" s="2"/>
      <c r="L379" s="5"/>
      <c r="M379" s="9" t="s">
        <v>43</v>
      </c>
      <c r="N379" s="9" t="s">
        <v>49</v>
      </c>
      <c r="O379" s="10">
        <f>'data on outstanding creditors'!$E379*100/107</f>
        <v>30186.91589</v>
      </c>
      <c r="P379" s="10">
        <f>'data on outstanding creditors'!$E379-'data on outstanding creditors'!$O379</f>
        <v>2113.084112</v>
      </c>
      <c r="Q379" s="7">
        <f>DAY('data on outstanding creditors'!$B379)</f>
        <v>30</v>
      </c>
      <c r="R379" s="7">
        <f>MONTH('data on outstanding creditors'!$B379)</f>
        <v>6</v>
      </c>
      <c r="S379" s="7">
        <f>YEAR('data on outstanding creditors'!$B379)</f>
        <v>2025</v>
      </c>
      <c r="T379" s="11" t="str">
        <f>'data on outstanding creditors'!$C379&amp;" "&amp;'data on outstanding creditors'!$D379&amp;" "&amp;TEXT('data on outstanding creditors'!$E379,"#,##0.00")</f>
        <v>หจก.บุรีรัมย์ออกซิเย่น 600 32,300.00</v>
      </c>
      <c r="U379" s="8"/>
    </row>
    <row r="380" ht="13.5" customHeight="1">
      <c r="A380" s="1" t="s">
        <v>699</v>
      </c>
      <c r="B380" s="2">
        <v>45915.0</v>
      </c>
      <c r="C380" s="9" t="s">
        <v>700</v>
      </c>
      <c r="D380" s="1" t="s">
        <v>701</v>
      </c>
      <c r="E380" s="4">
        <v>4700.0</v>
      </c>
      <c r="F380" s="4">
        <v>4700.0</v>
      </c>
      <c r="G380" s="4"/>
      <c r="H380" s="4">
        <f>'data on outstanding creditors'!$E380-'data on outstanding creditors'!$F380-'data on outstanding creditors'!$G380</f>
        <v>0</v>
      </c>
      <c r="I380" s="2">
        <v>45954.0</v>
      </c>
      <c r="J380" s="1"/>
      <c r="K380" s="2"/>
      <c r="L380" s="5"/>
      <c r="M380" s="9" t="s">
        <v>117</v>
      </c>
      <c r="N380" s="9" t="s">
        <v>49</v>
      </c>
      <c r="O380" s="10">
        <f>'data on outstanding creditors'!$E380*100/107</f>
        <v>4392.523364</v>
      </c>
      <c r="P380" s="10">
        <f>'data on outstanding creditors'!$E380-'data on outstanding creditors'!$O380</f>
        <v>307.4766355</v>
      </c>
      <c r="Q380" s="7">
        <f>DAY('data on outstanding creditors'!$B380)</f>
        <v>15</v>
      </c>
      <c r="R380" s="7">
        <f>MONTH('data on outstanding creditors'!$B380)</f>
        <v>9</v>
      </c>
      <c r="S380" s="7">
        <f>YEAR('data on outstanding creditors'!$B380)</f>
        <v>2025</v>
      </c>
      <c r="T380" s="11" t="str">
        <f>'data on outstanding creditors'!$C380&amp;" "&amp;'data on outstanding creditors'!$D380&amp;" "&amp;TEXT('data on outstanding creditors'!$E380,"#,##0.00")</f>
        <v>นาง เบ็ญจมาพร แจ้งกลาง 4/28 4,700.00</v>
      </c>
      <c r="U380" s="8"/>
    </row>
    <row r="381" ht="13.5" customHeight="1">
      <c r="A381" s="1" t="s">
        <v>702</v>
      </c>
      <c r="B381" s="2">
        <v>45915.0</v>
      </c>
      <c r="C381" s="9" t="s">
        <v>703</v>
      </c>
      <c r="D381" s="1" t="s">
        <v>704</v>
      </c>
      <c r="E381" s="4">
        <v>11000.0</v>
      </c>
      <c r="F381" s="4">
        <v>11000.0</v>
      </c>
      <c r="G381" s="4"/>
      <c r="H381" s="4">
        <f>'data on outstanding creditors'!$E381-'data on outstanding creditors'!$F381-'data on outstanding creditors'!$G381</f>
        <v>0</v>
      </c>
      <c r="I381" s="2">
        <v>45954.0</v>
      </c>
      <c r="J381" s="1"/>
      <c r="K381" s="2"/>
      <c r="L381" s="5"/>
      <c r="M381" s="9" t="s">
        <v>117</v>
      </c>
      <c r="N381" s="9" t="s">
        <v>49</v>
      </c>
      <c r="O381" s="10">
        <f>'data on outstanding creditors'!$E381*100/107</f>
        <v>10280.37383</v>
      </c>
      <c r="P381" s="10">
        <f>'data on outstanding creditors'!$E381-'data on outstanding creditors'!$O381</f>
        <v>719.6261682</v>
      </c>
      <c r="Q381" s="7">
        <f>DAY('data on outstanding creditors'!$B381)</f>
        <v>15</v>
      </c>
      <c r="R381" s="7">
        <f>MONTH('data on outstanding creditors'!$B381)</f>
        <v>9</v>
      </c>
      <c r="S381" s="7">
        <f>YEAR('data on outstanding creditors'!$B381)</f>
        <v>2025</v>
      </c>
      <c r="T381" s="11" t="str">
        <f>'data on outstanding creditors'!$C381&amp;" "&amp;'data on outstanding creditors'!$D381&amp;" "&amp;TEXT('data on outstanding creditors'!$E381,"#,##0.00")</f>
        <v>บ.ไร่เพื่อนคุณ 49/68/27 11,000.00</v>
      </c>
      <c r="U381" s="8"/>
    </row>
    <row r="382" ht="13.5" customHeight="1">
      <c r="A382" s="1" t="s">
        <v>705</v>
      </c>
      <c r="B382" s="2">
        <v>45915.0</v>
      </c>
      <c r="C382" s="9" t="s">
        <v>706</v>
      </c>
      <c r="D382" s="1" t="s">
        <v>707</v>
      </c>
      <c r="E382" s="4">
        <v>20692.95</v>
      </c>
      <c r="F382" s="4">
        <v>20692.95</v>
      </c>
      <c r="G382" s="4"/>
      <c r="H382" s="4">
        <f>'data on outstanding creditors'!$E382-'data on outstanding creditors'!$F382-'data on outstanding creditors'!$G382</f>
        <v>0</v>
      </c>
      <c r="I382" s="2">
        <v>45954.0</v>
      </c>
      <c r="J382" s="1"/>
      <c r="K382" s="2"/>
      <c r="L382" s="5"/>
      <c r="M382" s="9" t="s">
        <v>117</v>
      </c>
      <c r="N382" s="9" t="s">
        <v>49</v>
      </c>
      <c r="O382" s="10">
        <f>'data on outstanding creditors'!$E382*100/107</f>
        <v>19339.20561</v>
      </c>
      <c r="P382" s="10">
        <f>'data on outstanding creditors'!$E382-'data on outstanding creditors'!$O382</f>
        <v>1353.744393</v>
      </c>
      <c r="Q382" s="7">
        <f>DAY('data on outstanding creditors'!$B382)</f>
        <v>15</v>
      </c>
      <c r="R382" s="7">
        <f>MONTH('data on outstanding creditors'!$B382)</f>
        <v>9</v>
      </c>
      <c r="S382" s="7">
        <f>YEAR('data on outstanding creditors'!$B382)</f>
        <v>2025</v>
      </c>
      <c r="T382" s="11" t="str">
        <f>'data on outstanding creditors'!$C382&amp;" "&amp;'data on outstanding creditors'!$D382&amp;" "&amp;TEXT('data on outstanding creditors'!$E382,"#,##0.00")</f>
        <v>บ.ซีพี แอ็กซ์ตร้า 0320BC680000183 20,692.95</v>
      </c>
      <c r="U382" s="8"/>
    </row>
    <row r="383" ht="13.5" customHeight="1">
      <c r="A383" s="1" t="s">
        <v>708</v>
      </c>
      <c r="B383" s="2">
        <v>45915.0</v>
      </c>
      <c r="C383" s="9" t="s">
        <v>706</v>
      </c>
      <c r="D383" s="1" t="s">
        <v>709</v>
      </c>
      <c r="E383" s="4">
        <v>19134.18</v>
      </c>
      <c r="F383" s="4">
        <v>19134.18</v>
      </c>
      <c r="G383" s="4"/>
      <c r="H383" s="4">
        <f>'data on outstanding creditors'!$E383-'data on outstanding creditors'!$F383-'data on outstanding creditors'!$G383</f>
        <v>0</v>
      </c>
      <c r="I383" s="2">
        <v>45954.0</v>
      </c>
      <c r="J383" s="1"/>
      <c r="K383" s="2"/>
      <c r="L383" s="5"/>
      <c r="M383" s="9" t="s">
        <v>117</v>
      </c>
      <c r="N383" s="9" t="s">
        <v>49</v>
      </c>
      <c r="O383" s="10">
        <f>'data on outstanding creditors'!$E383*100/107</f>
        <v>17882.41121</v>
      </c>
      <c r="P383" s="10">
        <f>'data on outstanding creditors'!$E383-'data on outstanding creditors'!$O383</f>
        <v>1251.768785</v>
      </c>
      <c r="Q383" s="7">
        <f>DAY('data on outstanding creditors'!$B383)</f>
        <v>15</v>
      </c>
      <c r="R383" s="7">
        <f>MONTH('data on outstanding creditors'!$B383)</f>
        <v>9</v>
      </c>
      <c r="S383" s="7">
        <f>YEAR('data on outstanding creditors'!$B383)</f>
        <v>2025</v>
      </c>
      <c r="T383" s="11" t="str">
        <f>'data on outstanding creditors'!$C383&amp;" "&amp;'data on outstanding creditors'!$D383&amp;" "&amp;TEXT('data on outstanding creditors'!$E383,"#,##0.00")</f>
        <v>บ.ซีพี แอ็กซ์ตร้า 0320BC680000182 19,134.18</v>
      </c>
      <c r="U383" s="8"/>
    </row>
    <row r="384" ht="13.5" customHeight="1">
      <c r="A384" s="1" t="s">
        <v>710</v>
      </c>
      <c r="B384" s="2">
        <v>45915.0</v>
      </c>
      <c r="C384" s="9" t="s">
        <v>711</v>
      </c>
      <c r="D384" s="1" t="s">
        <v>712</v>
      </c>
      <c r="E384" s="4">
        <v>21835.0</v>
      </c>
      <c r="F384" s="4">
        <v>21835.0</v>
      </c>
      <c r="G384" s="4"/>
      <c r="H384" s="4">
        <f>'data on outstanding creditors'!$E384-'data on outstanding creditors'!$F384-'data on outstanding creditors'!$G384</f>
        <v>0</v>
      </c>
      <c r="I384" s="2">
        <v>45954.0</v>
      </c>
      <c r="J384" s="1"/>
      <c r="K384" s="2"/>
      <c r="L384" s="5"/>
      <c r="M384" s="9" t="s">
        <v>117</v>
      </c>
      <c r="N384" s="9" t="s">
        <v>49</v>
      </c>
      <c r="O384" s="10">
        <f>'data on outstanding creditors'!$E384*100/107</f>
        <v>20406.54206</v>
      </c>
      <c r="P384" s="10">
        <f>'data on outstanding creditors'!$E384-'data on outstanding creditors'!$O384</f>
        <v>1428.457944</v>
      </c>
      <c r="Q384" s="7">
        <f>DAY('data on outstanding creditors'!$B384)</f>
        <v>15</v>
      </c>
      <c r="R384" s="7">
        <f>MONTH('data on outstanding creditors'!$B384)</f>
        <v>9</v>
      </c>
      <c r="S384" s="7">
        <f>YEAR('data on outstanding creditors'!$B384)</f>
        <v>2025</v>
      </c>
      <c r="T384" s="11" t="str">
        <f>'data on outstanding creditors'!$C384&amp;" "&amp;'data on outstanding creditors'!$D384&amp;" "&amp;TEXT('data on outstanding creditors'!$E384,"#,##0.00")</f>
        <v>นาย สมปราชญ์ นังตะลา 8/15-16 21,835.00</v>
      </c>
      <c r="U384" s="8"/>
    </row>
    <row r="385" ht="13.5" customHeight="1">
      <c r="A385" s="1" t="s">
        <v>713</v>
      </c>
      <c r="B385" s="2">
        <v>45915.0</v>
      </c>
      <c r="C385" s="9" t="s">
        <v>714</v>
      </c>
      <c r="D385" s="1" t="s">
        <v>715</v>
      </c>
      <c r="E385" s="4">
        <v>24350.0</v>
      </c>
      <c r="F385" s="4">
        <v>24350.0</v>
      </c>
      <c r="G385" s="4"/>
      <c r="H385" s="4">
        <f>'data on outstanding creditors'!$E385-'data on outstanding creditors'!$F385-'data on outstanding creditors'!$G385</f>
        <v>0</v>
      </c>
      <c r="I385" s="2">
        <v>45954.0</v>
      </c>
      <c r="J385" s="1"/>
      <c r="K385" s="2"/>
      <c r="L385" s="5"/>
      <c r="M385" s="9" t="s">
        <v>117</v>
      </c>
      <c r="N385" s="9" t="s">
        <v>49</v>
      </c>
      <c r="O385" s="10">
        <f>'data on outstanding creditors'!$E385*100/107</f>
        <v>22757.00935</v>
      </c>
      <c r="P385" s="10">
        <f>'data on outstanding creditors'!$E385-'data on outstanding creditors'!$O385</f>
        <v>1592.990654</v>
      </c>
      <c r="Q385" s="7">
        <f>DAY('data on outstanding creditors'!$B385)</f>
        <v>15</v>
      </c>
      <c r="R385" s="7">
        <f>MONTH('data on outstanding creditors'!$B385)</f>
        <v>9</v>
      </c>
      <c r="S385" s="7">
        <f>YEAR('data on outstanding creditors'!$B385)</f>
        <v>2025</v>
      </c>
      <c r="T385" s="11" t="str">
        <f>'data on outstanding creditors'!$C385&amp;" "&amp;'data on outstanding creditors'!$D385&amp;" "&amp;TEXT('data on outstanding creditors'!$E385,"#,##0.00")</f>
        <v>นาง อารดา อินทร์รุกขา 9/16-17 24,350.00</v>
      </c>
      <c r="U385" s="8"/>
    </row>
    <row r="386" ht="13.5" customHeight="1">
      <c r="A386" s="1" t="s">
        <v>716</v>
      </c>
      <c r="B386" s="2">
        <v>45915.0</v>
      </c>
      <c r="C386" s="9" t="s">
        <v>717</v>
      </c>
      <c r="D386" s="1" t="s">
        <v>718</v>
      </c>
      <c r="E386" s="4">
        <v>33000.0</v>
      </c>
      <c r="F386" s="4">
        <v>33000.0</v>
      </c>
      <c r="G386" s="4"/>
      <c r="H386" s="4">
        <f>'data on outstanding creditors'!$E386-'data on outstanding creditors'!$F386-'data on outstanding creditors'!$G386</f>
        <v>0</v>
      </c>
      <c r="I386" s="2">
        <v>45954.0</v>
      </c>
      <c r="J386" s="1"/>
      <c r="K386" s="2"/>
      <c r="L386" s="5"/>
      <c r="M386" s="9" t="s">
        <v>117</v>
      </c>
      <c r="N386" s="9" t="s">
        <v>49</v>
      </c>
      <c r="O386" s="10">
        <f>'data on outstanding creditors'!$E386*100/107</f>
        <v>30841.1215</v>
      </c>
      <c r="P386" s="10">
        <f>'data on outstanding creditors'!$E386-'data on outstanding creditors'!$O386</f>
        <v>2158.878505</v>
      </c>
      <c r="Q386" s="7">
        <f>DAY('data on outstanding creditors'!$B386)</f>
        <v>15</v>
      </c>
      <c r="R386" s="7">
        <f>MONTH('data on outstanding creditors'!$B386)</f>
        <v>9</v>
      </c>
      <c r="S386" s="7">
        <f>YEAR('data on outstanding creditors'!$B386)</f>
        <v>2025</v>
      </c>
      <c r="T386" s="11" t="str">
        <f>'data on outstanding creditors'!$C386&amp;" "&amp;'data on outstanding creditors'!$D386&amp;" "&amp;TEXT('data on outstanding creditors'!$E386,"#,##0.00")</f>
        <v>นาง ยุพิน  แพร่งสุวรรณ์ 10/16-17 33,000.00</v>
      </c>
      <c r="U386" s="8"/>
    </row>
    <row r="387" ht="13.5" customHeight="1">
      <c r="A387" s="1" t="s">
        <v>719</v>
      </c>
      <c r="B387" s="2">
        <v>45915.0</v>
      </c>
      <c r="C387" s="9" t="s">
        <v>720</v>
      </c>
      <c r="D387" s="1" t="s">
        <v>715</v>
      </c>
      <c r="E387" s="4">
        <v>52625.0</v>
      </c>
      <c r="F387" s="4">
        <v>52625.0</v>
      </c>
      <c r="G387" s="4"/>
      <c r="H387" s="4">
        <f>'data on outstanding creditors'!$E387-'data on outstanding creditors'!$F387-'data on outstanding creditors'!$G387</f>
        <v>0</v>
      </c>
      <c r="I387" s="2">
        <v>45954.0</v>
      </c>
      <c r="J387" s="1"/>
      <c r="K387" s="2"/>
      <c r="L387" s="5"/>
      <c r="M387" s="9" t="s">
        <v>117</v>
      </c>
      <c r="N387" s="9" t="s">
        <v>49</v>
      </c>
      <c r="O387" s="10">
        <f>'data on outstanding creditors'!$E387*100/107</f>
        <v>49182.24299</v>
      </c>
      <c r="P387" s="10">
        <f>'data on outstanding creditors'!$E387-'data on outstanding creditors'!$O387</f>
        <v>3442.757009</v>
      </c>
      <c r="Q387" s="7">
        <f>DAY('data on outstanding creditors'!$B387)</f>
        <v>15</v>
      </c>
      <c r="R387" s="7">
        <f>MONTH('data on outstanding creditors'!$B387)</f>
        <v>9</v>
      </c>
      <c r="S387" s="7">
        <f>YEAR('data on outstanding creditors'!$B387)</f>
        <v>2025</v>
      </c>
      <c r="T387" s="11" t="str">
        <f>'data on outstanding creditors'!$C387&amp;" "&amp;'data on outstanding creditors'!$D387&amp;" "&amp;TEXT('data on outstanding creditors'!$E387,"#,##0.00")</f>
        <v>นาง สำอางค์  จอดสันเทียะ 9/16-17 52,625.00</v>
      </c>
      <c r="U387" s="8"/>
    </row>
    <row r="388" ht="13.5" customHeight="1">
      <c r="A388" s="1" t="s">
        <v>721</v>
      </c>
      <c r="B388" s="2">
        <v>45915.0</v>
      </c>
      <c r="C388" s="9" t="s">
        <v>722</v>
      </c>
      <c r="D388" s="1" t="s">
        <v>723</v>
      </c>
      <c r="E388" s="4">
        <v>35405.0</v>
      </c>
      <c r="F388" s="4">
        <v>35405.0</v>
      </c>
      <c r="G388" s="4"/>
      <c r="H388" s="4">
        <f>'data on outstanding creditors'!$E388-'data on outstanding creditors'!$F388-'data on outstanding creditors'!$G388</f>
        <v>0</v>
      </c>
      <c r="I388" s="2">
        <v>45954.0</v>
      </c>
      <c r="J388" s="1"/>
      <c r="K388" s="2"/>
      <c r="L388" s="5"/>
      <c r="M388" s="9" t="s">
        <v>117</v>
      </c>
      <c r="N388" s="9" t="s">
        <v>49</v>
      </c>
      <c r="O388" s="10">
        <f>'data on outstanding creditors'!$E388*100/107</f>
        <v>33088.78505</v>
      </c>
      <c r="P388" s="10">
        <f>'data on outstanding creditors'!$E388-'data on outstanding creditors'!$O388</f>
        <v>2316.214953</v>
      </c>
      <c r="Q388" s="7">
        <f>DAY('data on outstanding creditors'!$B388)</f>
        <v>15</v>
      </c>
      <c r="R388" s="7">
        <f>MONTH('data on outstanding creditors'!$B388)</f>
        <v>9</v>
      </c>
      <c r="S388" s="7">
        <f>YEAR('data on outstanding creditors'!$B388)</f>
        <v>2025</v>
      </c>
      <c r="T388" s="11" t="str">
        <f>'data on outstanding creditors'!$C388&amp;" "&amp;'data on outstanding creditors'!$D388&amp;" "&amp;TEXT('data on outstanding creditors'!$E388,"#,##0.00")</f>
        <v>นาย ดนัยนันท์ นามตะคุ 5/16-17 35,405.00</v>
      </c>
      <c r="U388" s="8"/>
    </row>
    <row r="389" ht="13.5" customHeight="1">
      <c r="A389" s="1" t="s">
        <v>724</v>
      </c>
      <c r="B389" s="2">
        <v>45915.0</v>
      </c>
      <c r="C389" s="9" t="s">
        <v>725</v>
      </c>
      <c r="D389" s="1" t="s">
        <v>726</v>
      </c>
      <c r="E389" s="4">
        <v>78885.0</v>
      </c>
      <c r="F389" s="4">
        <v>78885.0</v>
      </c>
      <c r="G389" s="4"/>
      <c r="H389" s="4">
        <f>'data on outstanding creditors'!$E389-'data on outstanding creditors'!$F389-'data on outstanding creditors'!$G389</f>
        <v>0</v>
      </c>
      <c r="I389" s="2">
        <v>45954.0</v>
      </c>
      <c r="J389" s="1"/>
      <c r="K389" s="2"/>
      <c r="L389" s="5"/>
      <c r="M389" s="9" t="s">
        <v>117</v>
      </c>
      <c r="N389" s="9" t="s">
        <v>49</v>
      </c>
      <c r="O389" s="10">
        <f>'data on outstanding creditors'!$E389*100/107</f>
        <v>73724.29907</v>
      </c>
      <c r="P389" s="10">
        <f>'data on outstanding creditors'!$E389-'data on outstanding creditors'!$O389</f>
        <v>5160.700935</v>
      </c>
      <c r="Q389" s="7">
        <f>DAY('data on outstanding creditors'!$B389)</f>
        <v>15</v>
      </c>
      <c r="R389" s="7">
        <f>MONTH('data on outstanding creditors'!$B389)</f>
        <v>9</v>
      </c>
      <c r="S389" s="7">
        <f>YEAR('data on outstanding creditors'!$B389)</f>
        <v>2025</v>
      </c>
      <c r="T389" s="11" t="str">
        <f>'data on outstanding creditors'!$C389&amp;" "&amp;'data on outstanding creditors'!$D389&amp;" "&amp;TEXT('data on outstanding creditors'!$E389,"#,##0.00")</f>
        <v>บ.เบทาโกรเกษตรอุตสาหกรรม 121250911727 78,885.00</v>
      </c>
      <c r="U389" s="8"/>
    </row>
    <row r="390" ht="13.5" customHeight="1">
      <c r="A390" s="1" t="s">
        <v>727</v>
      </c>
      <c r="B390" s="2">
        <v>45915.0</v>
      </c>
      <c r="C390" s="9" t="s">
        <v>725</v>
      </c>
      <c r="D390" s="1" t="s">
        <v>728</v>
      </c>
      <c r="E390" s="4">
        <v>35675.0</v>
      </c>
      <c r="F390" s="4">
        <v>35675.0</v>
      </c>
      <c r="G390" s="4"/>
      <c r="H390" s="4">
        <f>'data on outstanding creditors'!$E390-'data on outstanding creditors'!$F390-'data on outstanding creditors'!$G390</f>
        <v>0</v>
      </c>
      <c r="I390" s="2">
        <v>45954.0</v>
      </c>
      <c r="J390" s="1"/>
      <c r="K390" s="2"/>
      <c r="L390" s="5"/>
      <c r="M390" s="9" t="s">
        <v>117</v>
      </c>
      <c r="N390" s="9" t="s">
        <v>49</v>
      </c>
      <c r="O390" s="10">
        <f>'data on outstanding creditors'!$E390*100/107</f>
        <v>33341.1215</v>
      </c>
      <c r="P390" s="10">
        <f>'data on outstanding creditors'!$E390-'data on outstanding creditors'!$O390</f>
        <v>2333.878505</v>
      </c>
      <c r="Q390" s="7">
        <f>DAY('data on outstanding creditors'!$B390)</f>
        <v>15</v>
      </c>
      <c r="R390" s="7">
        <f>MONTH('data on outstanding creditors'!$B390)</f>
        <v>9</v>
      </c>
      <c r="S390" s="7">
        <f>YEAR('data on outstanding creditors'!$B390)</f>
        <v>2025</v>
      </c>
      <c r="T390" s="11" t="str">
        <f>'data on outstanding creditors'!$C390&amp;" "&amp;'data on outstanding creditors'!$D390&amp;" "&amp;TEXT('data on outstanding creditors'!$E390,"#,##0.00")</f>
        <v>บ.เบทาโกรเกษตรอุตสาหกรรม 121250911723 35,675.00</v>
      </c>
      <c r="U390" s="8"/>
    </row>
    <row r="391" ht="13.5" customHeight="1">
      <c r="A391" s="1" t="s">
        <v>729</v>
      </c>
      <c r="B391" s="2">
        <v>45838.0</v>
      </c>
      <c r="C391" s="9" t="s">
        <v>730</v>
      </c>
      <c r="D391" s="1" t="s">
        <v>731</v>
      </c>
      <c r="E391" s="4">
        <v>20770.0</v>
      </c>
      <c r="F391" s="4">
        <v>20770.0</v>
      </c>
      <c r="G391" s="4"/>
      <c r="H391" s="4">
        <f>'data on outstanding creditors'!$E391-'data on outstanding creditors'!$F391-'data on outstanding creditors'!$G391</f>
        <v>0</v>
      </c>
      <c r="I391" s="2">
        <v>45954.0</v>
      </c>
      <c r="J391" s="1"/>
      <c r="K391" s="2"/>
      <c r="L391" s="5"/>
      <c r="M391" s="9" t="s">
        <v>125</v>
      </c>
      <c r="N391" s="9" t="s">
        <v>49</v>
      </c>
      <c r="O391" s="10">
        <f>'data on outstanding creditors'!$E391*100/107</f>
        <v>19411.21495</v>
      </c>
      <c r="P391" s="10">
        <f>'data on outstanding creditors'!$E391-'data on outstanding creditors'!$O391</f>
        <v>1358.785047</v>
      </c>
      <c r="Q391" s="7">
        <f>DAY('data on outstanding creditors'!$B391)</f>
        <v>30</v>
      </c>
      <c r="R391" s="7">
        <f>MONTH('data on outstanding creditors'!$B391)</f>
        <v>6</v>
      </c>
      <c r="S391" s="7">
        <f>YEAR('data on outstanding creditors'!$B391)</f>
        <v>2025</v>
      </c>
      <c r="T391" s="11" t="str">
        <f>'data on outstanding creditors'!$C391&amp;" "&amp;'data on outstanding creditors'!$D391&amp;" "&amp;TEXT('data on outstanding creditors'!$E391,"#,##0.00")</f>
        <v>ร้าน สกุลรัตน์ 023/1112 20,770.00</v>
      </c>
      <c r="U391" s="8"/>
    </row>
    <row r="392" ht="13.5" customHeight="1">
      <c r="A392" s="1" t="s">
        <v>732</v>
      </c>
      <c r="B392" s="2">
        <v>45838.0</v>
      </c>
      <c r="C392" s="9" t="s">
        <v>730</v>
      </c>
      <c r="D392" s="1" t="s">
        <v>733</v>
      </c>
      <c r="E392" s="4">
        <v>113570.0</v>
      </c>
      <c r="F392" s="4">
        <v>113570.0</v>
      </c>
      <c r="G392" s="4"/>
      <c r="H392" s="4">
        <f>'data on outstanding creditors'!$E392-'data on outstanding creditors'!$F392-'data on outstanding creditors'!$G392</f>
        <v>0</v>
      </c>
      <c r="I392" s="2">
        <v>45954.0</v>
      </c>
      <c r="J392" s="1"/>
      <c r="K392" s="2"/>
      <c r="L392" s="5"/>
      <c r="M392" s="9" t="s">
        <v>125</v>
      </c>
      <c r="N392" s="9" t="s">
        <v>49</v>
      </c>
      <c r="O392" s="10">
        <f>'data on outstanding creditors'!$E392*100/107</f>
        <v>106140.1869</v>
      </c>
      <c r="P392" s="10">
        <f>'data on outstanding creditors'!$E392-'data on outstanding creditors'!$O392</f>
        <v>7429.813084</v>
      </c>
      <c r="Q392" s="7">
        <f>DAY('data on outstanding creditors'!$B392)</f>
        <v>30</v>
      </c>
      <c r="R392" s="7">
        <f>MONTH('data on outstanding creditors'!$B392)</f>
        <v>6</v>
      </c>
      <c r="S392" s="7">
        <f>YEAR('data on outstanding creditors'!$B392)</f>
        <v>2025</v>
      </c>
      <c r="T392" s="11" t="str">
        <f>'data on outstanding creditors'!$C392&amp;" "&amp;'data on outstanding creditors'!$D392&amp;" "&amp;TEXT('data on outstanding creditors'!$E392,"#,##0.00")</f>
        <v>ร้าน สกุลรัตน์ 023/1113 113,570.00</v>
      </c>
      <c r="U392" s="8"/>
    </row>
    <row r="393" ht="13.5" customHeight="1">
      <c r="A393" s="1" t="s">
        <v>734</v>
      </c>
      <c r="B393" s="2">
        <v>45926.0</v>
      </c>
      <c r="C393" s="9" t="s">
        <v>735</v>
      </c>
      <c r="D393" s="1" t="s">
        <v>736</v>
      </c>
      <c r="E393" s="4">
        <v>34100.0</v>
      </c>
      <c r="F393" s="4">
        <v>34100.0</v>
      </c>
      <c r="G393" s="4"/>
      <c r="H393" s="4">
        <f>'data on outstanding creditors'!$E393-'data on outstanding creditors'!$F393-'data on outstanding creditors'!$G393</f>
        <v>0</v>
      </c>
      <c r="I393" s="2">
        <v>45954.0</v>
      </c>
      <c r="J393" s="1"/>
      <c r="K393" s="2"/>
      <c r="L393" s="5"/>
      <c r="M393" s="9" t="s">
        <v>125</v>
      </c>
      <c r="N393" s="9" t="s">
        <v>49</v>
      </c>
      <c r="O393" s="10">
        <f>'data on outstanding creditors'!$E393*100/107</f>
        <v>31869.15888</v>
      </c>
      <c r="P393" s="10">
        <f>'data on outstanding creditors'!$E393-'data on outstanding creditors'!$O393</f>
        <v>2230.841121</v>
      </c>
      <c r="Q393" s="7">
        <f>DAY('data on outstanding creditors'!$B393)</f>
        <v>26</v>
      </c>
      <c r="R393" s="7">
        <f>MONTH('data on outstanding creditors'!$B393)</f>
        <v>9</v>
      </c>
      <c r="S393" s="7">
        <f>YEAR('data on outstanding creditors'!$B393)</f>
        <v>2025</v>
      </c>
      <c r="T393" s="11" t="str">
        <f>'data on outstanding creditors'!$C393&amp;" "&amp;'data on outstanding creditors'!$D393&amp;" "&amp;TEXT('data on outstanding creditors'!$E393,"#,##0.00")</f>
        <v>ร้าน ต.เจริญภัณฑ์ 5/01 34,100.00</v>
      </c>
      <c r="U393" s="8"/>
    </row>
    <row r="394" ht="13.5" customHeight="1">
      <c r="A394" s="1" t="s">
        <v>737</v>
      </c>
      <c r="B394" s="2">
        <v>45747.0</v>
      </c>
      <c r="C394" s="9" t="s">
        <v>730</v>
      </c>
      <c r="D394" s="1" t="s">
        <v>738</v>
      </c>
      <c r="E394" s="4">
        <v>360.0</v>
      </c>
      <c r="F394" s="4">
        <v>360.0</v>
      </c>
      <c r="G394" s="4"/>
      <c r="H394" s="4">
        <f>'data on outstanding creditors'!$E394-'data on outstanding creditors'!$F394-'data on outstanding creditors'!$G394</f>
        <v>0</v>
      </c>
      <c r="I394" s="2">
        <v>45954.0</v>
      </c>
      <c r="J394" s="1"/>
      <c r="K394" s="2"/>
      <c r="L394" s="5"/>
      <c r="M394" s="9" t="s">
        <v>151</v>
      </c>
      <c r="N394" s="9" t="s">
        <v>49</v>
      </c>
      <c r="O394" s="10">
        <f>'data on outstanding creditors'!$E394*100/107</f>
        <v>336.4485981</v>
      </c>
      <c r="P394" s="10">
        <f>'data on outstanding creditors'!$E394-'data on outstanding creditors'!$O394</f>
        <v>23.55140187</v>
      </c>
      <c r="Q394" s="7">
        <f>DAY('data on outstanding creditors'!$B394)</f>
        <v>31</v>
      </c>
      <c r="R394" s="7">
        <f>MONTH('data on outstanding creditors'!$B394)</f>
        <v>3</v>
      </c>
      <c r="S394" s="7">
        <f>YEAR('data on outstanding creditors'!$B394)</f>
        <v>2025</v>
      </c>
      <c r="T394" s="11" t="str">
        <f>'data on outstanding creditors'!$C394&amp;" "&amp;'data on outstanding creditors'!$D394&amp;" "&amp;TEXT('data on outstanding creditors'!$E394,"#,##0.00")</f>
        <v>ร้าน สกุลรัตน์ 020/0992 360.00</v>
      </c>
      <c r="U394" s="8"/>
    </row>
    <row r="395" ht="13.5" customHeight="1">
      <c r="A395" s="1" t="s">
        <v>739</v>
      </c>
      <c r="B395" s="2">
        <v>45932.0</v>
      </c>
      <c r="C395" s="9" t="s">
        <v>740</v>
      </c>
      <c r="D395" s="1" t="s">
        <v>741</v>
      </c>
      <c r="E395" s="4">
        <v>15754.68</v>
      </c>
      <c r="F395" s="4">
        <v>15754.68</v>
      </c>
      <c r="G395" s="4"/>
      <c r="H395" s="4">
        <f>'data on outstanding creditors'!$E395-'data on outstanding creditors'!$F395-'data on outstanding creditors'!$G395</f>
        <v>0</v>
      </c>
      <c r="I395" s="2">
        <v>45954.0</v>
      </c>
      <c r="J395" s="1"/>
      <c r="K395" s="2"/>
      <c r="L395" s="5"/>
      <c r="M395" s="9" t="s">
        <v>240</v>
      </c>
      <c r="N395" s="9" t="s">
        <v>49</v>
      </c>
      <c r="O395" s="10">
        <f>'data on outstanding creditors'!$E395*100/107</f>
        <v>14724</v>
      </c>
      <c r="P395" s="10">
        <f>'data on outstanding creditors'!$E395-'data on outstanding creditors'!$O395</f>
        <v>1030.68</v>
      </c>
      <c r="Q395" s="7">
        <f>DAY('data on outstanding creditors'!$B395)</f>
        <v>2</v>
      </c>
      <c r="R395" s="7">
        <f>MONTH('data on outstanding creditors'!$B395)</f>
        <v>10</v>
      </c>
      <c r="S395" s="7">
        <f>YEAR('data on outstanding creditors'!$B395)</f>
        <v>2025</v>
      </c>
      <c r="T395" s="11" t="str">
        <f>'data on outstanding creditors'!$C395&amp;" "&amp;'data on outstanding creditors'!$D395&amp;" "&amp;TEXT('data on outstanding creditors'!$E395,"#,##0.00")</f>
        <v>ค่าโทร TOT 044-633456 0000913809416 15,754.68</v>
      </c>
      <c r="U395" s="8"/>
    </row>
    <row r="396" ht="13.5" customHeight="1">
      <c r="A396" s="1" t="s">
        <v>742</v>
      </c>
      <c r="B396" s="2">
        <v>45896.0</v>
      </c>
      <c r="C396" s="9" t="s">
        <v>706</v>
      </c>
      <c r="D396" s="1" t="s">
        <v>743</v>
      </c>
      <c r="E396" s="4">
        <v>34639.2</v>
      </c>
      <c r="F396" s="4">
        <v>34639.2</v>
      </c>
      <c r="G396" s="4"/>
      <c r="H396" s="4">
        <f>'data on outstanding creditors'!$E396-'data on outstanding creditors'!$F396-'data on outstanding creditors'!$G396</f>
        <v>0</v>
      </c>
      <c r="I396" s="2">
        <v>45958.0</v>
      </c>
      <c r="J396" s="1"/>
      <c r="K396" s="2"/>
      <c r="L396" s="5"/>
      <c r="M396" s="9" t="s">
        <v>744</v>
      </c>
      <c r="N396" s="9" t="s">
        <v>49</v>
      </c>
      <c r="O396" s="10">
        <f>'data on outstanding creditors'!$E396*100/107</f>
        <v>32373.08411</v>
      </c>
      <c r="P396" s="10">
        <f>'data on outstanding creditors'!$E396-'data on outstanding creditors'!$O396</f>
        <v>2266.115888</v>
      </c>
      <c r="Q396" s="7">
        <f>DAY('data on outstanding creditors'!$B396)</f>
        <v>27</v>
      </c>
      <c r="R396" s="7">
        <f>MONTH('data on outstanding creditors'!$B396)</f>
        <v>8</v>
      </c>
      <c r="S396" s="7">
        <f>YEAR('data on outstanding creditors'!$B396)</f>
        <v>2025</v>
      </c>
      <c r="T396" s="11" t="str">
        <f>'data on outstanding creditors'!$C396&amp;" "&amp;'data on outstanding creditors'!$D396&amp;" "&amp;TEXT('data on outstanding creditors'!$E396,"#,##0.00")</f>
        <v>บ.ซีพี แอ็กซ์ตร้า 032871001969 34,639.20</v>
      </c>
      <c r="U396" s="8"/>
    </row>
    <row r="397" ht="13.5" customHeight="1">
      <c r="A397" s="1" t="s">
        <v>745</v>
      </c>
      <c r="B397" s="2">
        <v>45870.0</v>
      </c>
      <c r="C397" s="9" t="s">
        <v>746</v>
      </c>
      <c r="D397" s="1" t="s">
        <v>747</v>
      </c>
      <c r="E397" s="4">
        <v>12330.0</v>
      </c>
      <c r="F397" s="4">
        <v>12330.0</v>
      </c>
      <c r="G397" s="4"/>
      <c r="H397" s="4">
        <f>'data on outstanding creditors'!$E397-'data on outstanding creditors'!$F397-'data on outstanding creditors'!$G397</f>
        <v>0</v>
      </c>
      <c r="I397" s="2">
        <v>45958.0</v>
      </c>
      <c r="J397" s="1"/>
      <c r="K397" s="2"/>
      <c r="L397" s="5"/>
      <c r="M397" s="9" t="s">
        <v>748</v>
      </c>
      <c r="N397" s="9" t="s">
        <v>49</v>
      </c>
      <c r="O397" s="10">
        <f>'data on outstanding creditors'!$E397*100/107</f>
        <v>11523.36449</v>
      </c>
      <c r="P397" s="10">
        <f>'data on outstanding creditors'!$E397-'data on outstanding creditors'!$O397</f>
        <v>806.635514</v>
      </c>
      <c r="Q397" s="7">
        <f>DAY('data on outstanding creditors'!$B397)</f>
        <v>1</v>
      </c>
      <c r="R397" s="7">
        <f>MONTH('data on outstanding creditors'!$B397)</f>
        <v>8</v>
      </c>
      <c r="S397" s="7">
        <f>YEAR('data on outstanding creditors'!$B397)</f>
        <v>2025</v>
      </c>
      <c r="T397" s="11" t="str">
        <f>'data on outstanding creditors'!$C397&amp;" "&amp;'data on outstanding creditors'!$D397&amp;" "&amp;TEXT('data on outstanding creditors'!$E397,"#,##0.00")</f>
        <v>บ.โลเคิล ไลฟ์ แพลตฟอร์ม LLP-INV09-25080329 12,330.00</v>
      </c>
      <c r="U397" s="8"/>
    </row>
    <row r="398" ht="13.5" customHeight="1">
      <c r="A398" s="1" t="s">
        <v>749</v>
      </c>
      <c r="B398" s="2">
        <v>45901.0</v>
      </c>
      <c r="C398" s="9" t="s">
        <v>746</v>
      </c>
      <c r="D398" s="1" t="s">
        <v>750</v>
      </c>
      <c r="E398" s="4">
        <v>16110.0</v>
      </c>
      <c r="F398" s="4">
        <v>16110.0</v>
      </c>
      <c r="G398" s="4"/>
      <c r="H398" s="4">
        <f>'data on outstanding creditors'!$E398-'data on outstanding creditors'!$F398-'data on outstanding creditors'!$G398</f>
        <v>0</v>
      </c>
      <c r="I398" s="2">
        <v>45958.0</v>
      </c>
      <c r="J398" s="1"/>
      <c r="K398" s="2"/>
      <c r="L398" s="5"/>
      <c r="M398" s="9" t="s">
        <v>748</v>
      </c>
      <c r="N398" s="9" t="s">
        <v>49</v>
      </c>
      <c r="O398" s="10">
        <f>'data on outstanding creditors'!$E398*100/107</f>
        <v>15056.07477</v>
      </c>
      <c r="P398" s="10">
        <f>'data on outstanding creditors'!$E398-'data on outstanding creditors'!$O398</f>
        <v>1053.925234</v>
      </c>
      <c r="Q398" s="7">
        <f>DAY('data on outstanding creditors'!$B398)</f>
        <v>1</v>
      </c>
      <c r="R398" s="7">
        <f>MONTH('data on outstanding creditors'!$B398)</f>
        <v>9</v>
      </c>
      <c r="S398" s="7">
        <f>YEAR('data on outstanding creditors'!$B398)</f>
        <v>2025</v>
      </c>
      <c r="T398" s="11" t="str">
        <f>'data on outstanding creditors'!$C398&amp;" "&amp;'data on outstanding creditors'!$D398&amp;" "&amp;TEXT('data on outstanding creditors'!$E398,"#,##0.00")</f>
        <v>บ.โลเคิล ไลฟ์ แพลตฟอร์ม LLP-INV09-25090710 16,110.00</v>
      </c>
      <c r="U398" s="8"/>
    </row>
    <row r="399" ht="13.5" customHeight="1">
      <c r="A399" s="1" t="s">
        <v>751</v>
      </c>
      <c r="B399" s="2">
        <v>45901.0</v>
      </c>
      <c r="C399" s="9" t="s">
        <v>752</v>
      </c>
      <c r="D399" s="1" t="s">
        <v>753</v>
      </c>
      <c r="E399" s="4">
        <v>41280.0</v>
      </c>
      <c r="F399" s="4">
        <v>41280.0</v>
      </c>
      <c r="G399" s="4"/>
      <c r="H399" s="4">
        <f>'data on outstanding creditors'!$E399-'data on outstanding creditors'!$F399-'data on outstanding creditors'!$G399</f>
        <v>0</v>
      </c>
      <c r="I399" s="2">
        <v>45958.0</v>
      </c>
      <c r="J399" s="1"/>
      <c r="K399" s="2"/>
      <c r="L399" s="5"/>
      <c r="M399" s="9" t="s">
        <v>754</v>
      </c>
      <c r="N399" s="9" t="s">
        <v>49</v>
      </c>
      <c r="O399" s="10">
        <f>'data on outstanding creditors'!$E399*100/107</f>
        <v>38579.43925</v>
      </c>
      <c r="P399" s="10">
        <f>'data on outstanding creditors'!$E399-'data on outstanding creditors'!$O399</f>
        <v>2700.560748</v>
      </c>
      <c r="Q399" s="7">
        <f>DAY('data on outstanding creditors'!$B399)</f>
        <v>1</v>
      </c>
      <c r="R399" s="7">
        <f>MONTH('data on outstanding creditors'!$B399)</f>
        <v>9</v>
      </c>
      <c r="S399" s="7">
        <f>YEAR('data on outstanding creditors'!$B399)</f>
        <v>2025</v>
      </c>
      <c r="T399" s="11" t="str">
        <f>'data on outstanding creditors'!$C399&amp;" "&amp;'data on outstanding creditors'!$D399&amp;" "&amp;TEXT('data on outstanding creditors'!$E399,"#,##0.00")</f>
        <v>บ.คอมมูนิเคชั่น เทคโนโลยี IV-20250800003 41,280.00</v>
      </c>
      <c r="U399" s="8"/>
    </row>
    <row r="400" ht="13.5" customHeight="1">
      <c r="A400" s="1"/>
      <c r="B400" s="2">
        <v>45901.0</v>
      </c>
      <c r="C400" s="9" t="s">
        <v>755</v>
      </c>
      <c r="D400" s="1" t="s">
        <v>756</v>
      </c>
      <c r="E400" s="4">
        <v>208083.4</v>
      </c>
      <c r="F400" s="4"/>
      <c r="G400" s="4"/>
      <c r="H400" s="4">
        <f>'data on outstanding creditors'!$E400-'data on outstanding creditors'!$F400-'data on outstanding creditors'!$G400</f>
        <v>208083.4</v>
      </c>
      <c r="I400" s="2"/>
      <c r="J400" s="1" t="s">
        <v>757</v>
      </c>
      <c r="K400" s="2">
        <v>45966.0</v>
      </c>
      <c r="L400" s="5" t="s">
        <v>758</v>
      </c>
      <c r="M400" s="9" t="s">
        <v>759</v>
      </c>
      <c r="N400" s="9" t="s">
        <v>49</v>
      </c>
      <c r="O400" s="10">
        <f>'data on outstanding creditors'!$E400*100/107</f>
        <v>194470.4673</v>
      </c>
      <c r="P400" s="10">
        <f>'data on outstanding creditors'!$E400-'data on outstanding creditors'!$O400</f>
        <v>13612.93271</v>
      </c>
      <c r="Q400" s="7">
        <f>DAY('data on outstanding creditors'!$B400)</f>
        <v>1</v>
      </c>
      <c r="R400" s="7">
        <f>MONTH('data on outstanding creditors'!$B400)</f>
        <v>9</v>
      </c>
      <c r="S400" s="7">
        <f>YEAR('data on outstanding creditors'!$B400)</f>
        <v>2025</v>
      </c>
      <c r="T400" s="11" t="str">
        <f>'data on outstanding creditors'!$C400&amp;" "&amp;'data on outstanding creditors'!$D400&amp;" "&amp;TEXT('data on outstanding creditors'!$E400,"#,##0.00")</f>
        <v>บ.ไอเน็กซ์ บรอดแบนด์ INB-INV09-25090473 208,083.40</v>
      </c>
      <c r="U400" s="8"/>
    </row>
    <row r="401" ht="13.5" customHeight="1">
      <c r="A401" s="1"/>
      <c r="B401" s="2">
        <v>45930.0</v>
      </c>
      <c r="C401" s="9" t="s">
        <v>755</v>
      </c>
      <c r="D401" s="1" t="s">
        <v>760</v>
      </c>
      <c r="E401" s="4">
        <v>208083.4</v>
      </c>
      <c r="F401" s="4"/>
      <c r="G401" s="4"/>
      <c r="H401" s="4">
        <f>'data on outstanding creditors'!$E401-'data on outstanding creditors'!$F401-'data on outstanding creditors'!$G401</f>
        <v>208083.4</v>
      </c>
      <c r="I401" s="2"/>
      <c r="J401" s="1" t="s">
        <v>757</v>
      </c>
      <c r="K401" s="2">
        <v>45966.0</v>
      </c>
      <c r="L401" s="5" t="s">
        <v>758</v>
      </c>
      <c r="M401" s="9" t="s">
        <v>759</v>
      </c>
      <c r="N401" s="9" t="s">
        <v>49</v>
      </c>
      <c r="O401" s="10">
        <f>'data on outstanding creditors'!$E401*100/107</f>
        <v>194470.4673</v>
      </c>
      <c r="P401" s="10">
        <f>'data on outstanding creditors'!$E401-'data on outstanding creditors'!$O401</f>
        <v>13612.93271</v>
      </c>
      <c r="Q401" s="7">
        <f>DAY('data on outstanding creditors'!$B401)</f>
        <v>30</v>
      </c>
      <c r="R401" s="7">
        <f>MONTH('data on outstanding creditors'!$B401)</f>
        <v>9</v>
      </c>
      <c r="S401" s="7">
        <f>YEAR('data on outstanding creditors'!$B401)</f>
        <v>2025</v>
      </c>
      <c r="T401" s="11" t="str">
        <f>'data on outstanding creditors'!$C401&amp;" "&amp;'data on outstanding creditors'!$D401&amp;" "&amp;TEXT('data on outstanding creditors'!$E401,"#,##0.00")</f>
        <v>บ.ไอเน็กซ์ บรอดแบนด์ INB-INV09-25100473 208,083.40</v>
      </c>
      <c r="U401" s="8"/>
    </row>
    <row r="402" ht="13.5" customHeight="1">
      <c r="A402" s="1"/>
      <c r="B402" s="2">
        <v>45510.0</v>
      </c>
      <c r="C402" s="9" t="s">
        <v>761</v>
      </c>
      <c r="D402" s="1" t="s">
        <v>762</v>
      </c>
      <c r="E402" s="4">
        <v>59706.0</v>
      </c>
      <c r="F402" s="4"/>
      <c r="G402" s="4"/>
      <c r="H402" s="4">
        <f>'data on outstanding creditors'!$E402-'data on outstanding creditors'!$F402-'data on outstanding creditors'!$G402</f>
        <v>59706</v>
      </c>
      <c r="I402" s="2"/>
      <c r="J402" s="1" t="s">
        <v>646</v>
      </c>
      <c r="K402" s="2">
        <v>45929.0</v>
      </c>
      <c r="L402" s="5"/>
      <c r="M402" s="9" t="s">
        <v>403</v>
      </c>
      <c r="N402" s="9" t="s">
        <v>23</v>
      </c>
      <c r="O402" s="10">
        <f>'data on outstanding creditors'!$E402*100/107</f>
        <v>55800</v>
      </c>
      <c r="P402" s="10">
        <f>'data on outstanding creditors'!$E402-'data on outstanding creditors'!$O402</f>
        <v>3906</v>
      </c>
      <c r="Q402" s="7">
        <f>DAY('data on outstanding creditors'!$B402)</f>
        <v>6</v>
      </c>
      <c r="R402" s="7">
        <f>MONTH('data on outstanding creditors'!$B402)</f>
        <v>8</v>
      </c>
      <c r="S402" s="7">
        <f>YEAR('data on outstanding creditors'!$B402)</f>
        <v>2024</v>
      </c>
      <c r="T402" s="11" t="str">
        <f>'data on outstanding creditors'!$C402&amp;" "&amp;'data on outstanding creditors'!$D402&amp;" "&amp;TEXT('data on outstanding creditors'!$E402,"#,##0.00")</f>
        <v>บ.แมคโครฟาร์แลบ ML24075138 59,706.00</v>
      </c>
      <c r="U402" s="8"/>
    </row>
    <row r="403" ht="13.5" customHeight="1">
      <c r="A403" s="1"/>
      <c r="B403" s="2">
        <v>45602.0</v>
      </c>
      <c r="C403" s="9" t="s">
        <v>763</v>
      </c>
      <c r="D403" s="1" t="s">
        <v>764</v>
      </c>
      <c r="E403" s="4">
        <v>83460.0</v>
      </c>
      <c r="F403" s="4"/>
      <c r="G403" s="4"/>
      <c r="H403" s="4">
        <f>'data on outstanding creditors'!$E403-'data on outstanding creditors'!$F403-'data on outstanding creditors'!$G403</f>
        <v>83460</v>
      </c>
      <c r="I403" s="2"/>
      <c r="J403" s="1" t="s">
        <v>757</v>
      </c>
      <c r="K403" s="2">
        <v>45649.0</v>
      </c>
      <c r="L403" s="5"/>
      <c r="M403" s="9" t="s">
        <v>403</v>
      </c>
      <c r="N403" s="9" t="s">
        <v>23</v>
      </c>
      <c r="O403" s="10">
        <f>'data on outstanding creditors'!$E403*100/107</f>
        <v>78000</v>
      </c>
      <c r="P403" s="10">
        <f>'data on outstanding creditors'!$E403-'data on outstanding creditors'!$O403</f>
        <v>5460</v>
      </c>
      <c r="Q403" s="7">
        <f>DAY('data on outstanding creditors'!$B403)</f>
        <v>6</v>
      </c>
      <c r="R403" s="7">
        <f>MONTH('data on outstanding creditors'!$B403)</f>
        <v>11</v>
      </c>
      <c r="S403" s="7">
        <f>YEAR('data on outstanding creditors'!$B403)</f>
        <v>2024</v>
      </c>
      <c r="T403" s="11" t="str">
        <f>'data on outstanding creditors'!$C403&amp;" "&amp;'data on outstanding creditors'!$D403&amp;" "&amp;TEXT('data on outstanding creditors'!$E403,"#,##0.00")</f>
        <v>บ.อัลลายแอนซ์ ฟาร์มา B26710269 83,460.00</v>
      </c>
      <c r="U403" s="8"/>
    </row>
    <row r="404" ht="13.5" customHeight="1">
      <c r="A404" s="1"/>
      <c r="B404" s="2">
        <v>45679.0</v>
      </c>
      <c r="C404" s="9" t="s">
        <v>765</v>
      </c>
      <c r="D404" s="1" t="s">
        <v>766</v>
      </c>
      <c r="E404" s="4">
        <v>70044.0</v>
      </c>
      <c r="F404" s="4"/>
      <c r="G404" s="4"/>
      <c r="H404" s="4">
        <f>'data on outstanding creditors'!$E404-'data on outstanding creditors'!$F404-'data on outstanding creditors'!$G404</f>
        <v>70044</v>
      </c>
      <c r="I404" s="2"/>
      <c r="J404" s="1" t="s">
        <v>646</v>
      </c>
      <c r="K404" s="2">
        <v>45877.0</v>
      </c>
      <c r="L404" s="5"/>
      <c r="M404" s="9" t="s">
        <v>403</v>
      </c>
      <c r="N404" s="9" t="s">
        <v>23</v>
      </c>
      <c r="O404" s="10">
        <f>'data on outstanding creditors'!$E404*100/107</f>
        <v>65461.68224</v>
      </c>
      <c r="P404" s="10">
        <f>'data on outstanding creditors'!$E404-'data on outstanding creditors'!$O404</f>
        <v>4582.317757</v>
      </c>
      <c r="Q404" s="7">
        <f>DAY('data on outstanding creditors'!$B404)</f>
        <v>22</v>
      </c>
      <c r="R404" s="7">
        <f>MONTH('data on outstanding creditors'!$B404)</f>
        <v>1</v>
      </c>
      <c r="S404" s="7">
        <f>YEAR('data on outstanding creditors'!$B404)</f>
        <v>2025</v>
      </c>
      <c r="T404" s="11" t="str">
        <f>'data on outstanding creditors'!$C404&amp;" "&amp;'data on outstanding creditors'!$D404&amp;" "&amp;TEXT('data on outstanding creditors'!$E404,"#,##0.00")</f>
        <v>บ.ไบโอ ลีดเตอร์ IV2402108 70,044.00</v>
      </c>
      <c r="U404" s="8"/>
    </row>
    <row r="405" ht="13.5" customHeight="1">
      <c r="A405" s="1"/>
      <c r="B405" s="2">
        <v>45707.0</v>
      </c>
      <c r="C405" s="9" t="s">
        <v>767</v>
      </c>
      <c r="D405" s="1" t="s">
        <v>768</v>
      </c>
      <c r="E405" s="4">
        <v>144000.0</v>
      </c>
      <c r="F405" s="4"/>
      <c r="G405" s="4"/>
      <c r="H405" s="4">
        <f>'data on outstanding creditors'!$E405-'data on outstanding creditors'!$F405-'data on outstanding creditors'!$G405</f>
        <v>144000</v>
      </c>
      <c r="I405" s="2"/>
      <c r="J405" s="1" t="s">
        <v>646</v>
      </c>
      <c r="K405" s="2">
        <v>45789.0</v>
      </c>
      <c r="L405" s="5"/>
      <c r="M405" s="9" t="s">
        <v>403</v>
      </c>
      <c r="N405" s="9" t="s">
        <v>23</v>
      </c>
      <c r="O405" s="10">
        <f>'data on outstanding creditors'!$E405*100/107</f>
        <v>134579.4393</v>
      </c>
      <c r="P405" s="10">
        <f>'data on outstanding creditors'!$E405-'data on outstanding creditors'!$O405</f>
        <v>9420.560748</v>
      </c>
      <c r="Q405" s="7">
        <f>DAY('data on outstanding creditors'!$B405)</f>
        <v>19</v>
      </c>
      <c r="R405" s="7">
        <f>MONTH('data on outstanding creditors'!$B405)</f>
        <v>2</v>
      </c>
      <c r="S405" s="7">
        <f>YEAR('data on outstanding creditors'!$B405)</f>
        <v>2025</v>
      </c>
      <c r="T405" s="11" t="str">
        <f>'data on outstanding creditors'!$C405&amp;" "&amp;'data on outstanding creditors'!$D405&amp;" "&amp;TEXT('data on outstanding creditors'!$E405,"#,##0.00")</f>
        <v>บ.คอสม่า เทรดดิ้ง 310257400786 144,000.00</v>
      </c>
      <c r="U405" s="8"/>
    </row>
    <row r="406" ht="13.5" customHeight="1">
      <c r="A406" s="1"/>
      <c r="B406" s="2">
        <v>45707.0</v>
      </c>
      <c r="C406" s="9" t="s">
        <v>767</v>
      </c>
      <c r="D406" s="1" t="s">
        <v>769</v>
      </c>
      <c r="E406" s="4">
        <v>128000.0</v>
      </c>
      <c r="F406" s="4"/>
      <c r="G406" s="4"/>
      <c r="H406" s="4">
        <f>'data on outstanding creditors'!$E406-'data on outstanding creditors'!$F406-'data on outstanding creditors'!$G406</f>
        <v>128000</v>
      </c>
      <c r="I406" s="2"/>
      <c r="J406" s="1" t="s">
        <v>646</v>
      </c>
      <c r="K406" s="2">
        <v>45789.0</v>
      </c>
      <c r="L406" s="5"/>
      <c r="M406" s="9" t="s">
        <v>403</v>
      </c>
      <c r="N406" s="9" t="s">
        <v>23</v>
      </c>
      <c r="O406" s="10">
        <f>'data on outstanding creditors'!$E406*100/107</f>
        <v>119626.1682</v>
      </c>
      <c r="P406" s="10">
        <f>'data on outstanding creditors'!$E406-'data on outstanding creditors'!$O406</f>
        <v>8373.831776</v>
      </c>
      <c r="Q406" s="7">
        <f>DAY('data on outstanding creditors'!$B406)</f>
        <v>19</v>
      </c>
      <c r="R406" s="7">
        <f>MONTH('data on outstanding creditors'!$B406)</f>
        <v>2</v>
      </c>
      <c r="S406" s="7">
        <f>YEAR('data on outstanding creditors'!$B406)</f>
        <v>2025</v>
      </c>
      <c r="T406" s="11" t="str">
        <f>'data on outstanding creditors'!$C406&amp;" "&amp;'data on outstanding creditors'!$D406&amp;" "&amp;TEXT('data on outstanding creditors'!$E406,"#,##0.00")</f>
        <v>บ.คอสม่า เทรดดิ้ง 310257400848 128,000.00</v>
      </c>
      <c r="U406" s="8"/>
    </row>
    <row r="407" ht="13.5" customHeight="1">
      <c r="A407" s="1"/>
      <c r="B407" s="2">
        <v>45707.0</v>
      </c>
      <c r="C407" s="9" t="s">
        <v>765</v>
      </c>
      <c r="D407" s="1" t="s">
        <v>770</v>
      </c>
      <c r="E407" s="4">
        <v>161640.0</v>
      </c>
      <c r="F407" s="4"/>
      <c r="G407" s="4"/>
      <c r="H407" s="4">
        <f>'data on outstanding creditors'!$E407-'data on outstanding creditors'!$F407-'data on outstanding creditors'!$G407</f>
        <v>161640</v>
      </c>
      <c r="I407" s="2"/>
      <c r="J407" s="1" t="s">
        <v>646</v>
      </c>
      <c r="K407" s="2">
        <v>45877.0</v>
      </c>
      <c r="L407" s="5"/>
      <c r="M407" s="9" t="s">
        <v>403</v>
      </c>
      <c r="N407" s="9" t="s">
        <v>23</v>
      </c>
      <c r="O407" s="10">
        <f>'data on outstanding creditors'!$E407*100/107</f>
        <v>151065.4206</v>
      </c>
      <c r="P407" s="10">
        <f>'data on outstanding creditors'!$E407-'data on outstanding creditors'!$O407</f>
        <v>10574.57944</v>
      </c>
      <c r="Q407" s="7">
        <f>DAY('data on outstanding creditors'!$B407)</f>
        <v>19</v>
      </c>
      <c r="R407" s="7">
        <f>MONTH('data on outstanding creditors'!$B407)</f>
        <v>2</v>
      </c>
      <c r="S407" s="7">
        <f>YEAR('data on outstanding creditors'!$B407)</f>
        <v>2025</v>
      </c>
      <c r="T407" s="11" t="str">
        <f>'data on outstanding creditors'!$C407&amp;" "&amp;'data on outstanding creditors'!$D407&amp;" "&amp;TEXT('data on outstanding creditors'!$E407,"#,##0.00")</f>
        <v>บ.ไบโอ ลีดเตอร์ IV2500162 161,640.00</v>
      </c>
      <c r="U407" s="8"/>
    </row>
    <row r="408" ht="13.5" customHeight="1">
      <c r="A408" s="1"/>
      <c r="B408" s="2">
        <v>45722.0</v>
      </c>
      <c r="C408" s="9" t="s">
        <v>771</v>
      </c>
      <c r="D408" s="1" t="s">
        <v>772</v>
      </c>
      <c r="E408" s="4">
        <v>188800.0</v>
      </c>
      <c r="F408" s="4"/>
      <c r="G408" s="4"/>
      <c r="H408" s="4">
        <f>'data on outstanding creditors'!$E408-'data on outstanding creditors'!$F408-'data on outstanding creditors'!$G408</f>
        <v>188800</v>
      </c>
      <c r="I408" s="2"/>
      <c r="J408" s="1" t="s">
        <v>646</v>
      </c>
      <c r="K408" s="2">
        <v>45826.0</v>
      </c>
      <c r="L408" s="5"/>
      <c r="M408" s="9" t="s">
        <v>403</v>
      </c>
      <c r="N408" s="9" t="s">
        <v>23</v>
      </c>
      <c r="O408" s="10">
        <f>'data on outstanding creditors'!$E408*100/107</f>
        <v>176448.5981</v>
      </c>
      <c r="P408" s="10">
        <f>'data on outstanding creditors'!$E408-'data on outstanding creditors'!$O408</f>
        <v>12351.40187</v>
      </c>
      <c r="Q408" s="7">
        <f>DAY('data on outstanding creditors'!$B408)</f>
        <v>6</v>
      </c>
      <c r="R408" s="7">
        <f>MONTH('data on outstanding creditors'!$B408)</f>
        <v>3</v>
      </c>
      <c r="S408" s="7">
        <f>YEAR('data on outstanding creditors'!$B408)</f>
        <v>2025</v>
      </c>
      <c r="T408" s="11" t="str">
        <f>'data on outstanding creditors'!$C408&amp;" "&amp;'data on outstanding creditors'!$D408&amp;" "&amp;TEXT('data on outstanding creditors'!$E408,"#,##0.00")</f>
        <v>หจก.ภิญโญฟาร์มาซี IV6809132 188,800.00</v>
      </c>
      <c r="U408" s="8"/>
    </row>
    <row r="409" ht="13.5" customHeight="1">
      <c r="A409" s="1"/>
      <c r="B409" s="2">
        <v>45722.0</v>
      </c>
      <c r="C409" s="9" t="s">
        <v>773</v>
      </c>
      <c r="D409" s="1" t="s">
        <v>774</v>
      </c>
      <c r="E409" s="4">
        <v>129600.0</v>
      </c>
      <c r="F409" s="4"/>
      <c r="G409" s="4"/>
      <c r="H409" s="4">
        <f>'data on outstanding creditors'!$E409-'data on outstanding creditors'!$F409-'data on outstanding creditors'!$G409</f>
        <v>129600</v>
      </c>
      <c r="I409" s="2"/>
      <c r="J409" s="1" t="s">
        <v>646</v>
      </c>
      <c r="K409" s="2">
        <v>45815.0</v>
      </c>
      <c r="L409" s="5"/>
      <c r="M409" s="9" t="s">
        <v>403</v>
      </c>
      <c r="N409" s="9" t="s">
        <v>23</v>
      </c>
      <c r="O409" s="10">
        <f>'data on outstanding creditors'!$E409*100/107</f>
        <v>121121.4953</v>
      </c>
      <c r="P409" s="10">
        <f>'data on outstanding creditors'!$E409-'data on outstanding creditors'!$O409</f>
        <v>8478.504673</v>
      </c>
      <c r="Q409" s="7">
        <f>DAY('data on outstanding creditors'!$B409)</f>
        <v>6</v>
      </c>
      <c r="R409" s="7">
        <f>MONTH('data on outstanding creditors'!$B409)</f>
        <v>3</v>
      </c>
      <c r="S409" s="7">
        <f>YEAR('data on outstanding creditors'!$B409)</f>
        <v>2025</v>
      </c>
      <c r="T409" s="11" t="str">
        <f>'data on outstanding creditors'!$C409&amp;" "&amp;'data on outstanding creditors'!$D409&amp;" "&amp;TEXT('data on outstanding creditors'!$E409,"#,##0.00")</f>
        <v>บ.แอปคาร์ ฟาร์มาแลป(ประเทศไทย) IV6802392 129,600.00</v>
      </c>
      <c r="U409" s="8"/>
    </row>
    <row r="410" ht="13.5" customHeight="1">
      <c r="A410" s="1"/>
      <c r="B410" s="2">
        <v>45723.0</v>
      </c>
      <c r="C410" s="9" t="s">
        <v>767</v>
      </c>
      <c r="D410" s="1" t="s">
        <v>775</v>
      </c>
      <c r="E410" s="4">
        <v>102000.0</v>
      </c>
      <c r="F410" s="4"/>
      <c r="G410" s="4"/>
      <c r="H410" s="4">
        <f>'data on outstanding creditors'!$E410-'data on outstanding creditors'!$F410-'data on outstanding creditors'!$G410</f>
        <v>102000</v>
      </c>
      <c r="I410" s="2"/>
      <c r="J410" s="1" t="s">
        <v>646</v>
      </c>
      <c r="K410" s="2">
        <v>45877.0</v>
      </c>
      <c r="L410" s="5"/>
      <c r="M410" s="9" t="s">
        <v>403</v>
      </c>
      <c r="N410" s="9" t="s">
        <v>23</v>
      </c>
      <c r="O410" s="10">
        <f>'data on outstanding creditors'!$E410*100/107</f>
        <v>95327.1028</v>
      </c>
      <c r="P410" s="10">
        <f>'data on outstanding creditors'!$E410-'data on outstanding creditors'!$O410</f>
        <v>6672.897196</v>
      </c>
      <c r="Q410" s="7">
        <f>DAY('data on outstanding creditors'!$B410)</f>
        <v>7</v>
      </c>
      <c r="R410" s="7">
        <f>MONTH('data on outstanding creditors'!$B410)</f>
        <v>3</v>
      </c>
      <c r="S410" s="7">
        <f>YEAR('data on outstanding creditors'!$B410)</f>
        <v>2025</v>
      </c>
      <c r="T410" s="11" t="str">
        <f>'data on outstanding creditors'!$C410&amp;" "&amp;'data on outstanding creditors'!$D410&amp;" "&amp;TEXT('data on outstanding creditors'!$E410,"#,##0.00")</f>
        <v>บ.คอสม่า เทรดดิ้ง 310257402472 102,000.00</v>
      </c>
      <c r="U410" s="8"/>
    </row>
    <row r="411" ht="13.5" customHeight="1">
      <c r="A411" s="1"/>
      <c r="B411" s="2">
        <v>45723.0</v>
      </c>
      <c r="C411" s="9" t="s">
        <v>761</v>
      </c>
      <c r="D411" s="1" t="s">
        <v>776</v>
      </c>
      <c r="E411" s="4">
        <v>114900.0</v>
      </c>
      <c r="F411" s="4"/>
      <c r="G411" s="4"/>
      <c r="H411" s="4">
        <f>'data on outstanding creditors'!$E411-'data on outstanding creditors'!$F411-'data on outstanding creditors'!$G411</f>
        <v>114900</v>
      </c>
      <c r="I411" s="2"/>
      <c r="J411" s="1" t="s">
        <v>646</v>
      </c>
      <c r="K411" s="2">
        <v>45877.0</v>
      </c>
      <c r="L411" s="5"/>
      <c r="M411" s="9" t="s">
        <v>403</v>
      </c>
      <c r="N411" s="9" t="s">
        <v>23</v>
      </c>
      <c r="O411" s="10">
        <f>'data on outstanding creditors'!$E411*100/107</f>
        <v>107383.1776</v>
      </c>
      <c r="P411" s="10">
        <f>'data on outstanding creditors'!$E411-'data on outstanding creditors'!$O411</f>
        <v>7516.82243</v>
      </c>
      <c r="Q411" s="7">
        <f>DAY('data on outstanding creditors'!$B411)</f>
        <v>7</v>
      </c>
      <c r="R411" s="7">
        <f>MONTH('data on outstanding creditors'!$B411)</f>
        <v>3</v>
      </c>
      <c r="S411" s="7">
        <f>YEAR('data on outstanding creditors'!$B411)</f>
        <v>2025</v>
      </c>
      <c r="T411" s="11" t="str">
        <f>'data on outstanding creditors'!$C411&amp;" "&amp;'data on outstanding creditors'!$D411&amp;" "&amp;TEXT('data on outstanding creditors'!$E411,"#,##0.00")</f>
        <v>บ.แมคโครฟาร์แลบ ML25025595 114,900.00</v>
      </c>
      <c r="U411" s="8"/>
    </row>
    <row r="412" ht="13.5" customHeight="1">
      <c r="A412" s="1"/>
      <c r="B412" s="2">
        <v>45726.0</v>
      </c>
      <c r="C412" s="9" t="s">
        <v>767</v>
      </c>
      <c r="D412" s="1" t="s">
        <v>777</v>
      </c>
      <c r="E412" s="4">
        <v>320000.0</v>
      </c>
      <c r="F412" s="4"/>
      <c r="G412" s="4"/>
      <c r="H412" s="4">
        <f>'data on outstanding creditors'!$E412-'data on outstanding creditors'!$F412-'data on outstanding creditors'!$G412</f>
        <v>320000</v>
      </c>
      <c r="I412" s="2"/>
      <c r="J412" s="1" t="s">
        <v>646</v>
      </c>
      <c r="K412" s="2">
        <v>45877.0</v>
      </c>
      <c r="L412" s="5"/>
      <c r="M412" s="9" t="s">
        <v>403</v>
      </c>
      <c r="N412" s="9" t="s">
        <v>23</v>
      </c>
      <c r="O412" s="10">
        <f>'data on outstanding creditors'!$E412*100/107</f>
        <v>299065.4206</v>
      </c>
      <c r="P412" s="10">
        <f>'data on outstanding creditors'!$E412-'data on outstanding creditors'!$O412</f>
        <v>20934.57944</v>
      </c>
      <c r="Q412" s="7">
        <f>DAY('data on outstanding creditors'!$B412)</f>
        <v>10</v>
      </c>
      <c r="R412" s="7">
        <f>MONTH('data on outstanding creditors'!$B412)</f>
        <v>3</v>
      </c>
      <c r="S412" s="7">
        <f>YEAR('data on outstanding creditors'!$B412)</f>
        <v>2025</v>
      </c>
      <c r="T412" s="11" t="str">
        <f>'data on outstanding creditors'!$C412&amp;" "&amp;'data on outstanding creditors'!$D412&amp;" "&amp;TEXT('data on outstanding creditors'!$E412,"#,##0.00")</f>
        <v>บ.คอสม่า เทรดดิ้ง 310257401272 320,000.00</v>
      </c>
      <c r="U412" s="8"/>
    </row>
    <row r="413" ht="13.5" customHeight="1">
      <c r="A413" s="1"/>
      <c r="B413" s="2">
        <v>45736.0</v>
      </c>
      <c r="C413" s="9" t="s">
        <v>765</v>
      </c>
      <c r="D413" s="1" t="s">
        <v>778</v>
      </c>
      <c r="E413" s="4">
        <v>161640.0</v>
      </c>
      <c r="F413" s="4"/>
      <c r="G413" s="4"/>
      <c r="H413" s="4">
        <f>'data on outstanding creditors'!$E413-'data on outstanding creditors'!$F413-'data on outstanding creditors'!$G413</f>
        <v>161640</v>
      </c>
      <c r="I413" s="2"/>
      <c r="J413" s="1" t="s">
        <v>646</v>
      </c>
      <c r="K413" s="2">
        <v>45877.0</v>
      </c>
      <c r="L413" s="5"/>
      <c r="M413" s="9" t="s">
        <v>403</v>
      </c>
      <c r="N413" s="9" t="s">
        <v>23</v>
      </c>
      <c r="O413" s="10">
        <f>'data on outstanding creditors'!$E413*100/107</f>
        <v>151065.4206</v>
      </c>
      <c r="P413" s="10">
        <f>'data on outstanding creditors'!$E413-'data on outstanding creditors'!$O413</f>
        <v>10574.57944</v>
      </c>
      <c r="Q413" s="7">
        <f>DAY('data on outstanding creditors'!$B413)</f>
        <v>20</v>
      </c>
      <c r="R413" s="7">
        <f>MONTH('data on outstanding creditors'!$B413)</f>
        <v>3</v>
      </c>
      <c r="S413" s="7">
        <f>YEAR('data on outstanding creditors'!$B413)</f>
        <v>2025</v>
      </c>
      <c r="T413" s="11" t="str">
        <f>'data on outstanding creditors'!$C413&amp;" "&amp;'data on outstanding creditors'!$D413&amp;" "&amp;TEXT('data on outstanding creditors'!$E413,"#,##0.00")</f>
        <v>บ.ไบโอ ลีดเตอร์ IV2500348 161,640.00</v>
      </c>
      <c r="U413" s="8"/>
    </row>
    <row r="414" ht="13.5" customHeight="1">
      <c r="A414" s="1"/>
      <c r="B414" s="2">
        <v>45736.0</v>
      </c>
      <c r="C414" s="9" t="s">
        <v>767</v>
      </c>
      <c r="D414" s="1" t="s">
        <v>779</v>
      </c>
      <c r="E414" s="4">
        <v>144000.0</v>
      </c>
      <c r="F414" s="4"/>
      <c r="G414" s="4"/>
      <c r="H414" s="4">
        <f>'data on outstanding creditors'!$E414-'data on outstanding creditors'!$F414-'data on outstanding creditors'!$G414</f>
        <v>144000</v>
      </c>
      <c r="I414" s="2"/>
      <c r="J414" s="1" t="s">
        <v>646</v>
      </c>
      <c r="K414" s="2">
        <v>45877.0</v>
      </c>
      <c r="L414" s="5"/>
      <c r="M414" s="9" t="s">
        <v>403</v>
      </c>
      <c r="N414" s="9" t="s">
        <v>23</v>
      </c>
      <c r="O414" s="10">
        <f>'data on outstanding creditors'!$E414*100/107</f>
        <v>134579.4393</v>
      </c>
      <c r="P414" s="10">
        <f>'data on outstanding creditors'!$E414-'data on outstanding creditors'!$O414</f>
        <v>9420.560748</v>
      </c>
      <c r="Q414" s="7">
        <f>DAY('data on outstanding creditors'!$B414)</f>
        <v>20</v>
      </c>
      <c r="R414" s="7">
        <f>MONTH('data on outstanding creditors'!$B414)</f>
        <v>3</v>
      </c>
      <c r="S414" s="7">
        <f>YEAR('data on outstanding creditors'!$B414)</f>
        <v>2025</v>
      </c>
      <c r="T414" s="11" t="str">
        <f>'data on outstanding creditors'!$C414&amp;" "&amp;'data on outstanding creditors'!$D414&amp;" "&amp;TEXT('data on outstanding creditors'!$E414,"#,##0.00")</f>
        <v>บ.คอสม่า เทรดดิ้ง 310357400485 144,000.00</v>
      </c>
      <c r="U414" s="8"/>
    </row>
    <row r="415" ht="13.5" customHeight="1">
      <c r="A415" s="1"/>
      <c r="B415" s="2">
        <v>45743.0</v>
      </c>
      <c r="C415" s="9" t="s">
        <v>780</v>
      </c>
      <c r="D415" s="1" t="s">
        <v>781</v>
      </c>
      <c r="E415" s="4">
        <v>109140.0</v>
      </c>
      <c r="F415" s="4"/>
      <c r="G415" s="4"/>
      <c r="H415" s="4">
        <f>'data on outstanding creditors'!$E415-'data on outstanding creditors'!$F415-'data on outstanding creditors'!$G415</f>
        <v>109140</v>
      </c>
      <c r="I415" s="2"/>
      <c r="J415" s="1" t="s">
        <v>646</v>
      </c>
      <c r="K415" s="2">
        <v>45815.0</v>
      </c>
      <c r="L415" s="5"/>
      <c r="M415" s="9" t="s">
        <v>403</v>
      </c>
      <c r="N415" s="9" t="s">
        <v>23</v>
      </c>
      <c r="O415" s="10">
        <f>'data on outstanding creditors'!$E415*100/107</f>
        <v>102000</v>
      </c>
      <c r="P415" s="10">
        <f>'data on outstanding creditors'!$E415-'data on outstanding creditors'!$O415</f>
        <v>7140</v>
      </c>
      <c r="Q415" s="7">
        <f>DAY('data on outstanding creditors'!$B415)</f>
        <v>27</v>
      </c>
      <c r="R415" s="7">
        <f>MONTH('data on outstanding creditors'!$B415)</f>
        <v>3</v>
      </c>
      <c r="S415" s="7">
        <f>YEAR('data on outstanding creditors'!$B415)</f>
        <v>2025</v>
      </c>
      <c r="T415" s="11" t="str">
        <f>'data on outstanding creditors'!$C415&amp;" "&amp;'data on outstanding creditors'!$D415&amp;" "&amp;TEXT('data on outstanding creditors'!$E415,"#,##0.00")</f>
        <v>บ.แคสป้า ฟาร์มาซูติคอล(ประเทศไทย) C68030254 109,140.00</v>
      </c>
      <c r="U415" s="8"/>
    </row>
    <row r="416" ht="13.5" customHeight="1">
      <c r="A416" s="1"/>
      <c r="B416" s="2">
        <v>45743.0</v>
      </c>
      <c r="C416" s="9" t="s">
        <v>401</v>
      </c>
      <c r="D416" s="1" t="s">
        <v>782</v>
      </c>
      <c r="E416" s="4">
        <v>11640.0</v>
      </c>
      <c r="F416" s="4"/>
      <c r="G416" s="4"/>
      <c r="H416" s="4">
        <f>'data on outstanding creditors'!$E416-'data on outstanding creditors'!$F416-'data on outstanding creditors'!$G416</f>
        <v>11640</v>
      </c>
      <c r="I416" s="2"/>
      <c r="J416" s="1" t="s">
        <v>646</v>
      </c>
      <c r="K416" s="2">
        <v>45797.0</v>
      </c>
      <c r="L416" s="5"/>
      <c r="M416" s="9" t="s">
        <v>403</v>
      </c>
      <c r="N416" s="9" t="s">
        <v>23</v>
      </c>
      <c r="O416" s="10">
        <f>'data on outstanding creditors'!$E416*100/107</f>
        <v>10878.50467</v>
      </c>
      <c r="P416" s="10">
        <f>'data on outstanding creditors'!$E416-'data on outstanding creditors'!$O416</f>
        <v>761.4953271</v>
      </c>
      <c r="Q416" s="7">
        <f>DAY('data on outstanding creditors'!$B416)</f>
        <v>27</v>
      </c>
      <c r="R416" s="7">
        <f>MONTH('data on outstanding creditors'!$B416)</f>
        <v>3</v>
      </c>
      <c r="S416" s="7">
        <f>YEAR('data on outstanding creditors'!$B416)</f>
        <v>2025</v>
      </c>
      <c r="T416" s="11" t="str">
        <f>'data on outstanding creditors'!$C416&amp;" "&amp;'data on outstanding creditors'!$D416&amp;" "&amp;TEXT('data on outstanding creditors'!$E416,"#,##0.00")</f>
        <v>องค์การเภสัชกรรม 3000984392 11,640.00</v>
      </c>
      <c r="U416" s="8"/>
    </row>
    <row r="417" ht="13.5" customHeight="1">
      <c r="A417" s="1"/>
      <c r="B417" s="2">
        <v>45743.0</v>
      </c>
      <c r="C417" s="9" t="s">
        <v>401</v>
      </c>
      <c r="D417" s="1" t="s">
        <v>783</v>
      </c>
      <c r="E417" s="4">
        <v>14980.0</v>
      </c>
      <c r="F417" s="4"/>
      <c r="G417" s="4"/>
      <c r="H417" s="4">
        <f>'data on outstanding creditors'!$E417-'data on outstanding creditors'!$F417-'data on outstanding creditors'!$G417</f>
        <v>14980</v>
      </c>
      <c r="I417" s="2"/>
      <c r="J417" s="1" t="s">
        <v>646</v>
      </c>
      <c r="K417" s="2">
        <v>45797.0</v>
      </c>
      <c r="L417" s="5"/>
      <c r="M417" s="9" t="s">
        <v>403</v>
      </c>
      <c r="N417" s="9" t="s">
        <v>23</v>
      </c>
      <c r="O417" s="10">
        <f>'data on outstanding creditors'!$E417*100/107</f>
        <v>14000</v>
      </c>
      <c r="P417" s="10">
        <f>'data on outstanding creditors'!$E417-'data on outstanding creditors'!$O417</f>
        <v>980</v>
      </c>
      <c r="Q417" s="7">
        <f>DAY('data on outstanding creditors'!$B417)</f>
        <v>27</v>
      </c>
      <c r="R417" s="7">
        <f>MONTH('data on outstanding creditors'!$B417)</f>
        <v>3</v>
      </c>
      <c r="S417" s="7">
        <f>YEAR('data on outstanding creditors'!$B417)</f>
        <v>2025</v>
      </c>
      <c r="T417" s="11" t="str">
        <f>'data on outstanding creditors'!$C417&amp;" "&amp;'data on outstanding creditors'!$D417&amp;" "&amp;TEXT('data on outstanding creditors'!$E417,"#,##0.00")</f>
        <v>องค์การเภสัชกรรม 3000984357 14,980.00</v>
      </c>
      <c r="U417" s="8"/>
    </row>
    <row r="418" ht="13.5" customHeight="1">
      <c r="A418" s="1"/>
      <c r="B418" s="2">
        <v>45750.0</v>
      </c>
      <c r="C418" s="9" t="s">
        <v>401</v>
      </c>
      <c r="D418" s="1" t="s">
        <v>784</v>
      </c>
      <c r="E418" s="4">
        <v>11400.0</v>
      </c>
      <c r="F418" s="4"/>
      <c r="G418" s="4"/>
      <c r="H418" s="4">
        <f>'data on outstanding creditors'!$E418-'data on outstanding creditors'!$F418-'data on outstanding creditors'!$G418</f>
        <v>11400</v>
      </c>
      <c r="I418" s="2"/>
      <c r="J418" s="1" t="s">
        <v>646</v>
      </c>
      <c r="K418" s="2">
        <v>45797.0</v>
      </c>
      <c r="L418" s="5"/>
      <c r="M418" s="9" t="s">
        <v>403</v>
      </c>
      <c r="N418" s="9" t="s">
        <v>23</v>
      </c>
      <c r="O418" s="10">
        <f>'data on outstanding creditors'!$E418*100/107</f>
        <v>10654.20561</v>
      </c>
      <c r="P418" s="10">
        <f>'data on outstanding creditors'!$E418-'data on outstanding creditors'!$O418</f>
        <v>745.7943925</v>
      </c>
      <c r="Q418" s="7">
        <f>DAY('data on outstanding creditors'!$B418)</f>
        <v>3</v>
      </c>
      <c r="R418" s="7">
        <f>MONTH('data on outstanding creditors'!$B418)</f>
        <v>4</v>
      </c>
      <c r="S418" s="7">
        <f>YEAR('data on outstanding creditors'!$B418)</f>
        <v>2025</v>
      </c>
      <c r="T418" s="11" t="str">
        <f>'data on outstanding creditors'!$C418&amp;" "&amp;'data on outstanding creditors'!$D418&amp;" "&amp;TEXT('data on outstanding creditors'!$E418,"#,##0.00")</f>
        <v>องค์การเภสัชกรรม 3000986078 11,400.00</v>
      </c>
      <c r="U418" s="8"/>
    </row>
    <row r="419" ht="13.5" customHeight="1">
      <c r="A419" s="1"/>
      <c r="B419" s="2">
        <v>45750.0</v>
      </c>
      <c r="C419" s="9" t="s">
        <v>401</v>
      </c>
      <c r="D419" s="1" t="s">
        <v>785</v>
      </c>
      <c r="E419" s="4">
        <v>102600.0</v>
      </c>
      <c r="F419" s="4"/>
      <c r="G419" s="4"/>
      <c r="H419" s="4">
        <f>'data on outstanding creditors'!$E419-'data on outstanding creditors'!$F419-'data on outstanding creditors'!$G419</f>
        <v>102600</v>
      </c>
      <c r="I419" s="2"/>
      <c r="J419" s="1" t="s">
        <v>646</v>
      </c>
      <c r="K419" s="2">
        <v>45797.0</v>
      </c>
      <c r="L419" s="5"/>
      <c r="M419" s="9" t="s">
        <v>403</v>
      </c>
      <c r="N419" s="9" t="s">
        <v>23</v>
      </c>
      <c r="O419" s="10">
        <f>'data on outstanding creditors'!$E419*100/107</f>
        <v>95887.85047</v>
      </c>
      <c r="P419" s="10">
        <f>'data on outstanding creditors'!$E419-'data on outstanding creditors'!$O419</f>
        <v>6712.149533</v>
      </c>
      <c r="Q419" s="7">
        <f>DAY('data on outstanding creditors'!$B419)</f>
        <v>3</v>
      </c>
      <c r="R419" s="7">
        <f>MONTH('data on outstanding creditors'!$B419)</f>
        <v>4</v>
      </c>
      <c r="S419" s="7">
        <f>YEAR('data on outstanding creditors'!$B419)</f>
        <v>2025</v>
      </c>
      <c r="T419" s="11" t="str">
        <f>'data on outstanding creditors'!$C419&amp;" "&amp;'data on outstanding creditors'!$D419&amp;" "&amp;TEXT('data on outstanding creditors'!$E419,"#,##0.00")</f>
        <v>องค์การเภสัชกรรม 3000986972 102,600.00</v>
      </c>
      <c r="U419" s="8"/>
    </row>
    <row r="420" ht="13.5" customHeight="1">
      <c r="A420" s="1"/>
      <c r="B420" s="2">
        <v>45750.0</v>
      </c>
      <c r="C420" s="9" t="s">
        <v>401</v>
      </c>
      <c r="D420" s="1" t="s">
        <v>786</v>
      </c>
      <c r="E420" s="4">
        <v>9844.0</v>
      </c>
      <c r="F420" s="4"/>
      <c r="G420" s="4"/>
      <c r="H420" s="4">
        <f>'data on outstanding creditors'!$E420-'data on outstanding creditors'!$F420-'data on outstanding creditors'!$G420</f>
        <v>9844</v>
      </c>
      <c r="I420" s="2"/>
      <c r="J420" s="1" t="s">
        <v>646</v>
      </c>
      <c r="K420" s="2">
        <v>45797.0</v>
      </c>
      <c r="L420" s="5"/>
      <c r="M420" s="9" t="s">
        <v>403</v>
      </c>
      <c r="N420" s="9" t="s">
        <v>23</v>
      </c>
      <c r="O420" s="10">
        <f>'data on outstanding creditors'!$E420*100/107</f>
        <v>9200</v>
      </c>
      <c r="P420" s="10">
        <f>'data on outstanding creditors'!$E420-'data on outstanding creditors'!$O420</f>
        <v>644</v>
      </c>
      <c r="Q420" s="7">
        <f>DAY('data on outstanding creditors'!$B420)</f>
        <v>3</v>
      </c>
      <c r="R420" s="7">
        <f>MONTH('data on outstanding creditors'!$B420)</f>
        <v>4</v>
      </c>
      <c r="S420" s="7">
        <f>YEAR('data on outstanding creditors'!$B420)</f>
        <v>2025</v>
      </c>
      <c r="T420" s="11" t="str">
        <f>'data on outstanding creditors'!$C420&amp;" "&amp;'data on outstanding creditors'!$D420&amp;" "&amp;TEXT('data on outstanding creditors'!$E420,"#,##0.00")</f>
        <v>องค์การเภสัชกรรม 3000986077 9,844.00</v>
      </c>
      <c r="U420" s="8"/>
    </row>
    <row r="421" ht="13.5" customHeight="1">
      <c r="A421" s="1"/>
      <c r="B421" s="2">
        <v>45750.0</v>
      </c>
      <c r="C421" s="9" t="s">
        <v>401</v>
      </c>
      <c r="D421" s="1" t="s">
        <v>787</v>
      </c>
      <c r="E421" s="4">
        <v>11232.0</v>
      </c>
      <c r="F421" s="4"/>
      <c r="G421" s="4"/>
      <c r="H421" s="4">
        <f>'data on outstanding creditors'!$E421-'data on outstanding creditors'!$F421-'data on outstanding creditors'!$G421</f>
        <v>11232</v>
      </c>
      <c r="I421" s="2"/>
      <c r="J421" s="1" t="s">
        <v>646</v>
      </c>
      <c r="K421" s="2">
        <v>45797.0</v>
      </c>
      <c r="L421" s="5"/>
      <c r="M421" s="9" t="s">
        <v>403</v>
      </c>
      <c r="N421" s="9" t="s">
        <v>23</v>
      </c>
      <c r="O421" s="10">
        <f>'data on outstanding creditors'!$E421*100/107</f>
        <v>10497.19626</v>
      </c>
      <c r="P421" s="10">
        <f>'data on outstanding creditors'!$E421-'data on outstanding creditors'!$O421</f>
        <v>734.8037383</v>
      </c>
      <c r="Q421" s="7">
        <f>DAY('data on outstanding creditors'!$B421)</f>
        <v>3</v>
      </c>
      <c r="R421" s="7">
        <f>MONTH('data on outstanding creditors'!$B421)</f>
        <v>4</v>
      </c>
      <c r="S421" s="7">
        <f>YEAR('data on outstanding creditors'!$B421)</f>
        <v>2025</v>
      </c>
      <c r="T421" s="11" t="str">
        <f>'data on outstanding creditors'!$C421&amp;" "&amp;'data on outstanding creditors'!$D421&amp;" "&amp;TEXT('data on outstanding creditors'!$E421,"#,##0.00")</f>
        <v>องค์การเภสัชกรรม 3000986081 11,232.00</v>
      </c>
      <c r="U421" s="8"/>
    </row>
    <row r="422" ht="13.5" customHeight="1">
      <c r="A422" s="1"/>
      <c r="B422" s="2">
        <v>45750.0</v>
      </c>
      <c r="C422" s="9" t="s">
        <v>401</v>
      </c>
      <c r="D422" s="1" t="s">
        <v>788</v>
      </c>
      <c r="E422" s="4">
        <v>32100.0</v>
      </c>
      <c r="F422" s="4"/>
      <c r="G422" s="4"/>
      <c r="H422" s="4">
        <f>'data on outstanding creditors'!$E422-'data on outstanding creditors'!$F422-'data on outstanding creditors'!$G422</f>
        <v>32100</v>
      </c>
      <c r="I422" s="2"/>
      <c r="J422" s="1" t="s">
        <v>646</v>
      </c>
      <c r="K422" s="2">
        <v>45797.0</v>
      </c>
      <c r="L422" s="5"/>
      <c r="M422" s="9" t="s">
        <v>403</v>
      </c>
      <c r="N422" s="9" t="s">
        <v>23</v>
      </c>
      <c r="O422" s="10">
        <f>'data on outstanding creditors'!$E422*100/107</f>
        <v>30000</v>
      </c>
      <c r="P422" s="10">
        <f>'data on outstanding creditors'!$E422-'data on outstanding creditors'!$O422</f>
        <v>2100</v>
      </c>
      <c r="Q422" s="7">
        <f>DAY('data on outstanding creditors'!$B422)</f>
        <v>3</v>
      </c>
      <c r="R422" s="7">
        <f>MONTH('data on outstanding creditors'!$B422)</f>
        <v>4</v>
      </c>
      <c r="S422" s="7">
        <f>YEAR('data on outstanding creditors'!$B422)</f>
        <v>2025</v>
      </c>
      <c r="T422" s="11" t="str">
        <f>'data on outstanding creditors'!$C422&amp;" "&amp;'data on outstanding creditors'!$D422&amp;" "&amp;TEXT('data on outstanding creditors'!$E422,"#,##0.00")</f>
        <v>องค์การเภสัชกรรม 3000986080 32,100.00</v>
      </c>
      <c r="U422" s="8"/>
    </row>
    <row r="423" ht="13.5" customHeight="1">
      <c r="A423" s="1"/>
      <c r="B423" s="2">
        <v>45750.0</v>
      </c>
      <c r="C423" s="9" t="s">
        <v>401</v>
      </c>
      <c r="D423" s="1" t="s">
        <v>789</v>
      </c>
      <c r="E423" s="4">
        <v>50076.0</v>
      </c>
      <c r="F423" s="4"/>
      <c r="G423" s="4"/>
      <c r="H423" s="4">
        <f>'data on outstanding creditors'!$E423-'data on outstanding creditors'!$F423-'data on outstanding creditors'!$G423</f>
        <v>50076</v>
      </c>
      <c r="I423" s="2"/>
      <c r="J423" s="1" t="s">
        <v>646</v>
      </c>
      <c r="K423" s="2">
        <v>45797.0</v>
      </c>
      <c r="L423" s="5"/>
      <c r="M423" s="9" t="s">
        <v>403</v>
      </c>
      <c r="N423" s="9" t="s">
        <v>23</v>
      </c>
      <c r="O423" s="10">
        <f>'data on outstanding creditors'!$E423*100/107</f>
        <v>46800</v>
      </c>
      <c r="P423" s="10">
        <f>'data on outstanding creditors'!$E423-'data on outstanding creditors'!$O423</f>
        <v>3276</v>
      </c>
      <c r="Q423" s="7">
        <f>DAY('data on outstanding creditors'!$B423)</f>
        <v>3</v>
      </c>
      <c r="R423" s="7">
        <f>MONTH('data on outstanding creditors'!$B423)</f>
        <v>4</v>
      </c>
      <c r="S423" s="7">
        <f>YEAR('data on outstanding creditors'!$B423)</f>
        <v>2025</v>
      </c>
      <c r="T423" s="11" t="str">
        <f>'data on outstanding creditors'!$C423&amp;" "&amp;'data on outstanding creditors'!$D423&amp;" "&amp;TEXT('data on outstanding creditors'!$E423,"#,##0.00")</f>
        <v>องค์การเภสัชกรรม 3000986079 50,076.00</v>
      </c>
      <c r="U423" s="8"/>
    </row>
    <row r="424" ht="13.5" customHeight="1">
      <c r="A424" s="1"/>
      <c r="B424" s="2">
        <v>45750.0</v>
      </c>
      <c r="C424" s="9" t="s">
        <v>401</v>
      </c>
      <c r="D424" s="1" t="s">
        <v>790</v>
      </c>
      <c r="E424" s="4">
        <v>64200.0</v>
      </c>
      <c r="F424" s="4"/>
      <c r="G424" s="4"/>
      <c r="H424" s="4">
        <f>'data on outstanding creditors'!$E424-'data on outstanding creditors'!$F424-'data on outstanding creditors'!$G424</f>
        <v>64200</v>
      </c>
      <c r="I424" s="2"/>
      <c r="J424" s="1" t="s">
        <v>646</v>
      </c>
      <c r="K424" s="2">
        <v>45797.0</v>
      </c>
      <c r="L424" s="5"/>
      <c r="M424" s="9" t="s">
        <v>403</v>
      </c>
      <c r="N424" s="9" t="s">
        <v>23</v>
      </c>
      <c r="O424" s="10">
        <f>'data on outstanding creditors'!$E424*100/107</f>
        <v>60000</v>
      </c>
      <c r="P424" s="10">
        <f>'data on outstanding creditors'!$E424-'data on outstanding creditors'!$O424</f>
        <v>4200</v>
      </c>
      <c r="Q424" s="7">
        <f>DAY('data on outstanding creditors'!$B424)</f>
        <v>3</v>
      </c>
      <c r="R424" s="7">
        <f>MONTH('data on outstanding creditors'!$B424)</f>
        <v>4</v>
      </c>
      <c r="S424" s="7">
        <f>YEAR('data on outstanding creditors'!$B424)</f>
        <v>2025</v>
      </c>
      <c r="T424" s="11" t="str">
        <f>'data on outstanding creditors'!$C424&amp;" "&amp;'data on outstanding creditors'!$D424&amp;" "&amp;TEXT('data on outstanding creditors'!$E424,"#,##0.00")</f>
        <v>องค์การเภสัชกรรม 3000985976 64,200.00</v>
      </c>
      <c r="U424" s="8"/>
    </row>
    <row r="425" ht="13.5" customHeight="1">
      <c r="A425" s="1"/>
      <c r="B425" s="2">
        <v>45757.0</v>
      </c>
      <c r="C425" s="9" t="s">
        <v>401</v>
      </c>
      <c r="D425" s="1" t="s">
        <v>791</v>
      </c>
      <c r="E425" s="4">
        <v>14400.0</v>
      </c>
      <c r="F425" s="4"/>
      <c r="G425" s="4"/>
      <c r="H425" s="4">
        <f>'data on outstanding creditors'!$E425-'data on outstanding creditors'!$F425-'data on outstanding creditors'!$G425</f>
        <v>14400</v>
      </c>
      <c r="I425" s="2"/>
      <c r="J425" s="1" t="s">
        <v>646</v>
      </c>
      <c r="K425" s="2">
        <v>45797.0</v>
      </c>
      <c r="L425" s="5"/>
      <c r="M425" s="9" t="s">
        <v>403</v>
      </c>
      <c r="N425" s="9" t="s">
        <v>23</v>
      </c>
      <c r="O425" s="10">
        <f>'data on outstanding creditors'!$E425*100/107</f>
        <v>13457.94393</v>
      </c>
      <c r="P425" s="10">
        <f>'data on outstanding creditors'!$E425-'data on outstanding creditors'!$O425</f>
        <v>942.0560748</v>
      </c>
      <c r="Q425" s="7">
        <f>DAY('data on outstanding creditors'!$B425)</f>
        <v>10</v>
      </c>
      <c r="R425" s="7">
        <f>MONTH('data on outstanding creditors'!$B425)</f>
        <v>4</v>
      </c>
      <c r="S425" s="7">
        <f>YEAR('data on outstanding creditors'!$B425)</f>
        <v>2025</v>
      </c>
      <c r="T425" s="11" t="str">
        <f>'data on outstanding creditors'!$C425&amp;" "&amp;'data on outstanding creditors'!$D425&amp;" "&amp;TEXT('data on outstanding creditors'!$E425,"#,##0.00")</f>
        <v>องค์การเภสัชกรรม 3000982504 14,400.00</v>
      </c>
      <c r="U425" s="8"/>
    </row>
    <row r="426" ht="13.5" customHeight="1">
      <c r="A426" s="1"/>
      <c r="B426" s="2">
        <v>45757.0</v>
      </c>
      <c r="C426" s="9" t="s">
        <v>401</v>
      </c>
      <c r="D426" s="1" t="s">
        <v>792</v>
      </c>
      <c r="E426" s="4">
        <v>5400.0</v>
      </c>
      <c r="F426" s="4"/>
      <c r="G426" s="4"/>
      <c r="H426" s="4">
        <f>'data on outstanding creditors'!$E426-'data on outstanding creditors'!$F426-'data on outstanding creditors'!$G426</f>
        <v>5400</v>
      </c>
      <c r="I426" s="2"/>
      <c r="J426" s="1" t="s">
        <v>646</v>
      </c>
      <c r="K426" s="2">
        <v>45797.0</v>
      </c>
      <c r="L426" s="5"/>
      <c r="M426" s="9" t="s">
        <v>403</v>
      </c>
      <c r="N426" s="9" t="s">
        <v>23</v>
      </c>
      <c r="O426" s="10">
        <f>'data on outstanding creditors'!$E426*100/107</f>
        <v>5046.728972</v>
      </c>
      <c r="P426" s="10">
        <f>'data on outstanding creditors'!$E426-'data on outstanding creditors'!$O426</f>
        <v>353.271028</v>
      </c>
      <c r="Q426" s="7">
        <f>DAY('data on outstanding creditors'!$B426)</f>
        <v>10</v>
      </c>
      <c r="R426" s="7">
        <f>MONTH('data on outstanding creditors'!$B426)</f>
        <v>4</v>
      </c>
      <c r="S426" s="7">
        <f>YEAR('data on outstanding creditors'!$B426)</f>
        <v>2025</v>
      </c>
      <c r="T426" s="11" t="str">
        <f>'data on outstanding creditors'!$C426&amp;" "&amp;'data on outstanding creditors'!$D426&amp;" "&amp;TEXT('data on outstanding creditors'!$E426,"#,##0.00")</f>
        <v>องค์การเภสัชกรรม 3000982558 5,400.00</v>
      </c>
      <c r="U426" s="8"/>
    </row>
    <row r="427" ht="13.5" customHeight="1">
      <c r="A427" s="1"/>
      <c r="B427" s="2">
        <v>45757.0</v>
      </c>
      <c r="C427" s="9" t="s">
        <v>401</v>
      </c>
      <c r="D427" s="1" t="s">
        <v>793</v>
      </c>
      <c r="E427" s="4">
        <v>8250.0</v>
      </c>
      <c r="F427" s="4"/>
      <c r="G427" s="4"/>
      <c r="H427" s="4">
        <f>'data on outstanding creditors'!$E427-'data on outstanding creditors'!$F427-'data on outstanding creditors'!$G427</f>
        <v>8250</v>
      </c>
      <c r="I427" s="2"/>
      <c r="J427" s="1" t="s">
        <v>646</v>
      </c>
      <c r="K427" s="2">
        <v>45797.0</v>
      </c>
      <c r="L427" s="5"/>
      <c r="M427" s="9" t="s">
        <v>403</v>
      </c>
      <c r="N427" s="9" t="s">
        <v>23</v>
      </c>
      <c r="O427" s="10">
        <f>'data on outstanding creditors'!$E427*100/107</f>
        <v>7710.280374</v>
      </c>
      <c r="P427" s="10">
        <f>'data on outstanding creditors'!$E427-'data on outstanding creditors'!$O427</f>
        <v>539.7196262</v>
      </c>
      <c r="Q427" s="7">
        <f>DAY('data on outstanding creditors'!$B427)</f>
        <v>10</v>
      </c>
      <c r="R427" s="7">
        <f>MONTH('data on outstanding creditors'!$B427)</f>
        <v>4</v>
      </c>
      <c r="S427" s="7">
        <f>YEAR('data on outstanding creditors'!$B427)</f>
        <v>2025</v>
      </c>
      <c r="T427" s="11" t="str">
        <f>'data on outstanding creditors'!$C427&amp;" "&amp;'data on outstanding creditors'!$D427&amp;" "&amp;TEXT('data on outstanding creditors'!$E427,"#,##0.00")</f>
        <v>องค์การเภสัชกรรม 3000986082 8,250.00</v>
      </c>
      <c r="U427" s="8"/>
    </row>
    <row r="428" ht="13.5" customHeight="1">
      <c r="A428" s="1"/>
      <c r="B428" s="2">
        <v>45757.0</v>
      </c>
      <c r="C428" s="9" t="s">
        <v>401</v>
      </c>
      <c r="D428" s="1" t="s">
        <v>794</v>
      </c>
      <c r="E428" s="4">
        <v>160000.0</v>
      </c>
      <c r="F428" s="4"/>
      <c r="G428" s="4"/>
      <c r="H428" s="4">
        <f>'data on outstanding creditors'!$E428-'data on outstanding creditors'!$F428-'data on outstanding creditors'!$G428</f>
        <v>160000</v>
      </c>
      <c r="I428" s="2"/>
      <c r="J428" s="1" t="s">
        <v>646</v>
      </c>
      <c r="K428" s="2">
        <v>45797.0</v>
      </c>
      <c r="L428" s="5"/>
      <c r="M428" s="9" t="s">
        <v>403</v>
      </c>
      <c r="N428" s="9" t="s">
        <v>23</v>
      </c>
      <c r="O428" s="10">
        <f>'data on outstanding creditors'!$E428*100/107</f>
        <v>149532.7103</v>
      </c>
      <c r="P428" s="10">
        <f>'data on outstanding creditors'!$E428-'data on outstanding creditors'!$O428</f>
        <v>10467.28972</v>
      </c>
      <c r="Q428" s="7">
        <f>DAY('data on outstanding creditors'!$B428)</f>
        <v>10</v>
      </c>
      <c r="R428" s="7">
        <f>MONTH('data on outstanding creditors'!$B428)</f>
        <v>4</v>
      </c>
      <c r="S428" s="7">
        <f>YEAR('data on outstanding creditors'!$B428)</f>
        <v>2025</v>
      </c>
      <c r="T428" s="11" t="str">
        <f>'data on outstanding creditors'!$C428&amp;" "&amp;'data on outstanding creditors'!$D428&amp;" "&amp;TEXT('data on outstanding creditors'!$E428,"#,##0.00")</f>
        <v>องค์การเภสัชกรรม 3000986091 160,000.00</v>
      </c>
      <c r="U428" s="8"/>
    </row>
    <row r="429" ht="13.5" customHeight="1">
      <c r="A429" s="1"/>
      <c r="B429" s="2">
        <v>45768.0</v>
      </c>
      <c r="C429" s="9" t="s">
        <v>401</v>
      </c>
      <c r="D429" s="1" t="s">
        <v>795</v>
      </c>
      <c r="E429" s="4">
        <v>33016.8</v>
      </c>
      <c r="F429" s="4"/>
      <c r="G429" s="4"/>
      <c r="H429" s="4">
        <f>'data on outstanding creditors'!$E429-'data on outstanding creditors'!$F429-'data on outstanding creditors'!$G429</f>
        <v>33016.8</v>
      </c>
      <c r="I429" s="2"/>
      <c r="J429" s="1" t="s">
        <v>646</v>
      </c>
      <c r="K429" s="2">
        <v>45815.0</v>
      </c>
      <c r="L429" s="5"/>
      <c r="M429" s="9" t="s">
        <v>403</v>
      </c>
      <c r="N429" s="9" t="s">
        <v>23</v>
      </c>
      <c r="O429" s="10">
        <f>'data on outstanding creditors'!$E429*100/107</f>
        <v>30856.82243</v>
      </c>
      <c r="P429" s="10">
        <f>'data on outstanding creditors'!$E429-'data on outstanding creditors'!$O429</f>
        <v>2159.97757</v>
      </c>
      <c r="Q429" s="7">
        <f>DAY('data on outstanding creditors'!$B429)</f>
        <v>21</v>
      </c>
      <c r="R429" s="7">
        <f>MONTH('data on outstanding creditors'!$B429)</f>
        <v>4</v>
      </c>
      <c r="S429" s="7">
        <f>YEAR('data on outstanding creditors'!$B429)</f>
        <v>2025</v>
      </c>
      <c r="T429" s="11" t="str">
        <f>'data on outstanding creditors'!$C429&amp;" "&amp;'data on outstanding creditors'!$D429&amp;" "&amp;TEXT('data on outstanding creditors'!$E429,"#,##0.00")</f>
        <v>องค์การเภสัชกรรม 3000988406 33,016.80</v>
      </c>
      <c r="U429" s="8"/>
    </row>
    <row r="430" ht="13.5" customHeight="1">
      <c r="A430" s="1"/>
      <c r="B430" s="2">
        <v>45768.0</v>
      </c>
      <c r="C430" s="9" t="s">
        <v>401</v>
      </c>
      <c r="D430" s="1" t="s">
        <v>796</v>
      </c>
      <c r="E430" s="4">
        <v>29425.0</v>
      </c>
      <c r="F430" s="4"/>
      <c r="G430" s="4"/>
      <c r="H430" s="4">
        <f>'data on outstanding creditors'!$E430-'data on outstanding creditors'!$F430-'data on outstanding creditors'!$G430</f>
        <v>29425</v>
      </c>
      <c r="I430" s="2"/>
      <c r="J430" s="1" t="s">
        <v>646</v>
      </c>
      <c r="K430" s="2">
        <v>45815.0</v>
      </c>
      <c r="L430" s="5"/>
      <c r="M430" s="9" t="s">
        <v>403</v>
      </c>
      <c r="N430" s="9" t="s">
        <v>23</v>
      </c>
      <c r="O430" s="10">
        <f>'data on outstanding creditors'!$E430*100/107</f>
        <v>27500</v>
      </c>
      <c r="P430" s="10">
        <f>'data on outstanding creditors'!$E430-'data on outstanding creditors'!$O430</f>
        <v>1925</v>
      </c>
      <c r="Q430" s="7">
        <f>DAY('data on outstanding creditors'!$B430)</f>
        <v>21</v>
      </c>
      <c r="R430" s="7">
        <f>MONTH('data on outstanding creditors'!$B430)</f>
        <v>4</v>
      </c>
      <c r="S430" s="7">
        <f>YEAR('data on outstanding creditors'!$B430)</f>
        <v>2025</v>
      </c>
      <c r="T430" s="11" t="str">
        <f>'data on outstanding creditors'!$C430&amp;" "&amp;'data on outstanding creditors'!$D430&amp;" "&amp;TEXT('data on outstanding creditors'!$E430,"#,##0.00")</f>
        <v>องค์การเภสัชกรรม 3000990016 29,425.00</v>
      </c>
      <c r="U430" s="8"/>
    </row>
    <row r="431" ht="13.5" customHeight="1">
      <c r="A431" s="1"/>
      <c r="B431" s="2">
        <v>45768.0</v>
      </c>
      <c r="C431" s="9" t="s">
        <v>401</v>
      </c>
      <c r="D431" s="1" t="s">
        <v>797</v>
      </c>
      <c r="E431" s="4">
        <v>85600.0</v>
      </c>
      <c r="F431" s="4"/>
      <c r="G431" s="4"/>
      <c r="H431" s="4">
        <f>'data on outstanding creditors'!$E431-'data on outstanding creditors'!$F431-'data on outstanding creditors'!$G431</f>
        <v>85600</v>
      </c>
      <c r="I431" s="2"/>
      <c r="J431" s="1" t="s">
        <v>646</v>
      </c>
      <c r="K431" s="2">
        <v>45815.0</v>
      </c>
      <c r="L431" s="5"/>
      <c r="M431" s="9" t="s">
        <v>403</v>
      </c>
      <c r="N431" s="9" t="s">
        <v>23</v>
      </c>
      <c r="O431" s="10">
        <f>'data on outstanding creditors'!$E431*100/107</f>
        <v>80000</v>
      </c>
      <c r="P431" s="10">
        <f>'data on outstanding creditors'!$E431-'data on outstanding creditors'!$O431</f>
        <v>5600</v>
      </c>
      <c r="Q431" s="7">
        <f>DAY('data on outstanding creditors'!$B431)</f>
        <v>21</v>
      </c>
      <c r="R431" s="7">
        <f>MONTH('data on outstanding creditors'!$B431)</f>
        <v>4</v>
      </c>
      <c r="S431" s="7">
        <f>YEAR('data on outstanding creditors'!$B431)</f>
        <v>2025</v>
      </c>
      <c r="T431" s="11" t="str">
        <f>'data on outstanding creditors'!$C431&amp;" "&amp;'data on outstanding creditors'!$D431&amp;" "&amp;TEXT('data on outstanding creditors'!$E431,"#,##0.00")</f>
        <v>องค์การเภสัชกรรม 3000990018 85,600.00</v>
      </c>
      <c r="U431" s="8"/>
    </row>
    <row r="432" ht="13.5" customHeight="1">
      <c r="A432" s="1"/>
      <c r="B432" s="2">
        <v>45768.0</v>
      </c>
      <c r="C432" s="9" t="s">
        <v>767</v>
      </c>
      <c r="D432" s="1" t="s">
        <v>798</v>
      </c>
      <c r="E432" s="4">
        <v>320000.0</v>
      </c>
      <c r="F432" s="4"/>
      <c r="G432" s="4"/>
      <c r="H432" s="4">
        <f>'data on outstanding creditors'!$E432-'data on outstanding creditors'!$F432-'data on outstanding creditors'!$G432</f>
        <v>320000</v>
      </c>
      <c r="I432" s="2"/>
      <c r="J432" s="1" t="s">
        <v>646</v>
      </c>
      <c r="K432" s="2">
        <v>45877.0</v>
      </c>
      <c r="L432" s="5"/>
      <c r="M432" s="9" t="s">
        <v>403</v>
      </c>
      <c r="N432" s="9" t="s">
        <v>23</v>
      </c>
      <c r="O432" s="10">
        <f>'data on outstanding creditors'!$E432*100/107</f>
        <v>299065.4206</v>
      </c>
      <c r="P432" s="10">
        <f>'data on outstanding creditors'!$E432-'data on outstanding creditors'!$O432</f>
        <v>20934.57944</v>
      </c>
      <c r="Q432" s="7">
        <f>DAY('data on outstanding creditors'!$B432)</f>
        <v>21</v>
      </c>
      <c r="R432" s="7">
        <f>MONTH('data on outstanding creditors'!$B432)</f>
        <v>4</v>
      </c>
      <c r="S432" s="7">
        <f>YEAR('data on outstanding creditors'!$B432)</f>
        <v>2025</v>
      </c>
      <c r="T432" s="11" t="str">
        <f>'data on outstanding creditors'!$C432&amp;" "&amp;'data on outstanding creditors'!$D432&amp;" "&amp;TEXT('data on outstanding creditors'!$E432,"#,##0.00")</f>
        <v>บ.คอสม่า เทรดดิ้ง 310357403624 320,000.00</v>
      </c>
      <c r="U432" s="8"/>
    </row>
    <row r="433" ht="13.5" customHeight="1">
      <c r="A433" s="1"/>
      <c r="B433" s="2">
        <v>45768.0</v>
      </c>
      <c r="C433" s="9" t="s">
        <v>771</v>
      </c>
      <c r="D433" s="1" t="s">
        <v>799</v>
      </c>
      <c r="E433" s="4">
        <v>188800.0</v>
      </c>
      <c r="F433" s="4"/>
      <c r="G433" s="4"/>
      <c r="H433" s="4">
        <f>'data on outstanding creditors'!$E433-'data on outstanding creditors'!$F433-'data on outstanding creditors'!$G433</f>
        <v>188800</v>
      </c>
      <c r="I433" s="2"/>
      <c r="J433" s="1" t="s">
        <v>646</v>
      </c>
      <c r="K433" s="2">
        <v>45826.0</v>
      </c>
      <c r="L433" s="5"/>
      <c r="M433" s="9" t="s">
        <v>403</v>
      </c>
      <c r="N433" s="9" t="s">
        <v>23</v>
      </c>
      <c r="O433" s="10">
        <f>'data on outstanding creditors'!$E433*100/107</f>
        <v>176448.5981</v>
      </c>
      <c r="P433" s="10">
        <f>'data on outstanding creditors'!$E433-'data on outstanding creditors'!$O433</f>
        <v>12351.40187</v>
      </c>
      <c r="Q433" s="7">
        <f>DAY('data on outstanding creditors'!$B433)</f>
        <v>21</v>
      </c>
      <c r="R433" s="7">
        <f>MONTH('data on outstanding creditors'!$B433)</f>
        <v>4</v>
      </c>
      <c r="S433" s="7">
        <f>YEAR('data on outstanding creditors'!$B433)</f>
        <v>2025</v>
      </c>
      <c r="T433" s="11" t="str">
        <f>'data on outstanding creditors'!$C433&amp;" "&amp;'data on outstanding creditors'!$D433&amp;" "&amp;TEXT('data on outstanding creditors'!$E433,"#,##0.00")</f>
        <v>หจก.ภิญโญฟาร์มาซี IV6817088 188,800.00</v>
      </c>
      <c r="U433" s="8"/>
    </row>
    <row r="434" ht="13.5" customHeight="1">
      <c r="A434" s="1"/>
      <c r="B434" s="2">
        <v>45768.0</v>
      </c>
      <c r="C434" s="9" t="s">
        <v>773</v>
      </c>
      <c r="D434" s="1" t="s">
        <v>800</v>
      </c>
      <c r="E434" s="4">
        <v>129600.0</v>
      </c>
      <c r="F434" s="4"/>
      <c r="G434" s="4"/>
      <c r="H434" s="4">
        <f>'data on outstanding creditors'!$E434-'data on outstanding creditors'!$F434-'data on outstanding creditors'!$G434</f>
        <v>129600</v>
      </c>
      <c r="I434" s="2"/>
      <c r="J434" s="1" t="s">
        <v>646</v>
      </c>
      <c r="K434" s="2">
        <v>45877.0</v>
      </c>
      <c r="L434" s="5"/>
      <c r="M434" s="9" t="s">
        <v>403</v>
      </c>
      <c r="N434" s="9" t="s">
        <v>23</v>
      </c>
      <c r="O434" s="10">
        <f>'data on outstanding creditors'!$E434*100/107</f>
        <v>121121.4953</v>
      </c>
      <c r="P434" s="10">
        <f>'data on outstanding creditors'!$E434-'data on outstanding creditors'!$O434</f>
        <v>8478.504673</v>
      </c>
      <c r="Q434" s="7">
        <f>DAY('data on outstanding creditors'!$B434)</f>
        <v>21</v>
      </c>
      <c r="R434" s="7">
        <f>MONTH('data on outstanding creditors'!$B434)</f>
        <v>4</v>
      </c>
      <c r="S434" s="7">
        <f>YEAR('data on outstanding creditors'!$B434)</f>
        <v>2025</v>
      </c>
      <c r="T434" s="11" t="str">
        <f>'data on outstanding creditors'!$C434&amp;" "&amp;'data on outstanding creditors'!$D434&amp;" "&amp;TEXT('data on outstanding creditors'!$E434,"#,##0.00")</f>
        <v>บ.แอปคาร์ ฟาร์มาแลป(ประเทศไทย) IV6804127 129,600.00</v>
      </c>
      <c r="U434" s="8"/>
    </row>
    <row r="435" ht="13.5" customHeight="1">
      <c r="A435" s="1"/>
      <c r="B435" s="2">
        <v>45768.0</v>
      </c>
      <c r="C435" s="9" t="s">
        <v>765</v>
      </c>
      <c r="D435" s="1" t="s">
        <v>801</v>
      </c>
      <c r="E435" s="4">
        <v>161640.0</v>
      </c>
      <c r="F435" s="4"/>
      <c r="G435" s="4"/>
      <c r="H435" s="4">
        <f>'data on outstanding creditors'!$E435-'data on outstanding creditors'!$F435-'data on outstanding creditors'!$G435</f>
        <v>161640</v>
      </c>
      <c r="I435" s="2"/>
      <c r="J435" s="1" t="s">
        <v>646</v>
      </c>
      <c r="K435" s="2">
        <v>45877.0</v>
      </c>
      <c r="L435" s="5"/>
      <c r="M435" s="9" t="s">
        <v>403</v>
      </c>
      <c r="N435" s="9" t="s">
        <v>23</v>
      </c>
      <c r="O435" s="10">
        <f>'data on outstanding creditors'!$E435*100/107</f>
        <v>151065.4206</v>
      </c>
      <c r="P435" s="10">
        <f>'data on outstanding creditors'!$E435-'data on outstanding creditors'!$O435</f>
        <v>10574.57944</v>
      </c>
      <c r="Q435" s="7">
        <f>DAY('data on outstanding creditors'!$B435)</f>
        <v>21</v>
      </c>
      <c r="R435" s="7">
        <f>MONTH('data on outstanding creditors'!$B435)</f>
        <v>4</v>
      </c>
      <c r="S435" s="7">
        <f>YEAR('data on outstanding creditors'!$B435)</f>
        <v>2025</v>
      </c>
      <c r="T435" s="11" t="str">
        <f>'data on outstanding creditors'!$C435&amp;" "&amp;'data on outstanding creditors'!$D435&amp;" "&amp;TEXT('data on outstanding creditors'!$E435,"#,##0.00")</f>
        <v>บ.ไบโอ ลีดเตอร์ IV2500576 161,640.00</v>
      </c>
      <c r="U435" s="8"/>
    </row>
    <row r="436" ht="13.5" customHeight="1">
      <c r="A436" s="1"/>
      <c r="B436" s="2">
        <v>45768.0</v>
      </c>
      <c r="C436" s="9" t="s">
        <v>401</v>
      </c>
      <c r="D436" s="1" t="s">
        <v>802</v>
      </c>
      <c r="E436" s="4">
        <v>89880.0</v>
      </c>
      <c r="F436" s="4"/>
      <c r="G436" s="4"/>
      <c r="H436" s="4">
        <f>'data on outstanding creditors'!$E436-'data on outstanding creditors'!$F436-'data on outstanding creditors'!$G436</f>
        <v>89880</v>
      </c>
      <c r="I436" s="2"/>
      <c r="J436" s="1" t="s">
        <v>646</v>
      </c>
      <c r="K436" s="2">
        <v>45815.0</v>
      </c>
      <c r="L436" s="5"/>
      <c r="M436" s="9" t="s">
        <v>403</v>
      </c>
      <c r="N436" s="9" t="s">
        <v>23</v>
      </c>
      <c r="O436" s="10">
        <f>'data on outstanding creditors'!$E436*100/107</f>
        <v>84000</v>
      </c>
      <c r="P436" s="10">
        <f>'data on outstanding creditors'!$E436-'data on outstanding creditors'!$O436</f>
        <v>5880</v>
      </c>
      <c r="Q436" s="7">
        <f>DAY('data on outstanding creditors'!$B436)</f>
        <v>21</v>
      </c>
      <c r="R436" s="7">
        <f>MONTH('data on outstanding creditors'!$B436)</f>
        <v>4</v>
      </c>
      <c r="S436" s="7">
        <f>YEAR('data on outstanding creditors'!$B436)</f>
        <v>2025</v>
      </c>
      <c r="T436" s="11" t="str">
        <f>'data on outstanding creditors'!$C436&amp;" "&amp;'data on outstanding creditors'!$D436&amp;" "&amp;TEXT('data on outstanding creditors'!$E436,"#,##0.00")</f>
        <v>องค์การเภสัชกรรม 3000988625 89,880.00</v>
      </c>
      <c r="U436" s="8"/>
    </row>
    <row r="437" ht="13.5" customHeight="1">
      <c r="A437" s="1"/>
      <c r="B437" s="2">
        <v>45770.0</v>
      </c>
      <c r="C437" s="9" t="s">
        <v>401</v>
      </c>
      <c r="D437" s="1" t="s">
        <v>803</v>
      </c>
      <c r="E437" s="4">
        <v>62500.0</v>
      </c>
      <c r="F437" s="4"/>
      <c r="G437" s="4"/>
      <c r="H437" s="4">
        <f>'data on outstanding creditors'!$E437-'data on outstanding creditors'!$F437-'data on outstanding creditors'!$G437</f>
        <v>62500</v>
      </c>
      <c r="I437" s="2"/>
      <c r="J437" s="1" t="s">
        <v>646</v>
      </c>
      <c r="K437" s="2">
        <v>45815.0</v>
      </c>
      <c r="L437" s="5"/>
      <c r="M437" s="9" t="s">
        <v>403</v>
      </c>
      <c r="N437" s="9" t="s">
        <v>23</v>
      </c>
      <c r="O437" s="10">
        <f>'data on outstanding creditors'!$E437*100/107</f>
        <v>58411.21495</v>
      </c>
      <c r="P437" s="10">
        <f>'data on outstanding creditors'!$E437-'data on outstanding creditors'!$O437</f>
        <v>4088.785047</v>
      </c>
      <c r="Q437" s="7">
        <f>DAY('data on outstanding creditors'!$B437)</f>
        <v>23</v>
      </c>
      <c r="R437" s="7">
        <f>MONTH('data on outstanding creditors'!$B437)</f>
        <v>4</v>
      </c>
      <c r="S437" s="7">
        <f>YEAR('data on outstanding creditors'!$B437)</f>
        <v>2025</v>
      </c>
      <c r="T437" s="11" t="str">
        <f>'data on outstanding creditors'!$C437&amp;" "&amp;'data on outstanding creditors'!$D437&amp;" "&amp;TEXT('data on outstanding creditors'!$E437,"#,##0.00")</f>
        <v>องค์การเภสัชกรรม 3000992745 62,500.00</v>
      </c>
      <c r="U437" s="8"/>
    </row>
    <row r="438" ht="13.5" customHeight="1">
      <c r="A438" s="1"/>
      <c r="B438" s="2">
        <v>45770.0</v>
      </c>
      <c r="C438" s="9" t="s">
        <v>401</v>
      </c>
      <c r="D438" s="1" t="s">
        <v>804</v>
      </c>
      <c r="E438" s="4">
        <v>53500.0</v>
      </c>
      <c r="F438" s="4"/>
      <c r="G438" s="4"/>
      <c r="H438" s="4">
        <f>'data on outstanding creditors'!$E438-'data on outstanding creditors'!$F438-'data on outstanding creditors'!$G438</f>
        <v>53500</v>
      </c>
      <c r="I438" s="2"/>
      <c r="J438" s="1" t="s">
        <v>646</v>
      </c>
      <c r="K438" s="2">
        <v>45815.0</v>
      </c>
      <c r="L438" s="5"/>
      <c r="M438" s="9" t="s">
        <v>403</v>
      </c>
      <c r="N438" s="9" t="s">
        <v>23</v>
      </c>
      <c r="O438" s="10">
        <f>'data on outstanding creditors'!$E438*100/107</f>
        <v>50000</v>
      </c>
      <c r="P438" s="10">
        <f>'data on outstanding creditors'!$E438-'data on outstanding creditors'!$O438</f>
        <v>3500</v>
      </c>
      <c r="Q438" s="7">
        <f>DAY('data on outstanding creditors'!$B438)</f>
        <v>23</v>
      </c>
      <c r="R438" s="7">
        <f>MONTH('data on outstanding creditors'!$B438)</f>
        <v>4</v>
      </c>
      <c r="S438" s="7">
        <f>YEAR('data on outstanding creditors'!$B438)</f>
        <v>2025</v>
      </c>
      <c r="T438" s="11" t="str">
        <f>'data on outstanding creditors'!$C438&amp;" "&amp;'data on outstanding creditors'!$D438&amp;" "&amp;TEXT('data on outstanding creditors'!$E438,"#,##0.00")</f>
        <v>องค์การเภสัชกรรม 3000993307 53,500.00</v>
      </c>
      <c r="U438" s="8"/>
    </row>
    <row r="439" ht="13.5" customHeight="1">
      <c r="A439" s="1"/>
      <c r="B439" s="2">
        <v>45770.0</v>
      </c>
      <c r="C439" s="9" t="s">
        <v>401</v>
      </c>
      <c r="D439" s="1" t="s">
        <v>805</v>
      </c>
      <c r="E439" s="4">
        <v>105930.0</v>
      </c>
      <c r="F439" s="4"/>
      <c r="G439" s="4"/>
      <c r="H439" s="4">
        <f>'data on outstanding creditors'!$E439-'data on outstanding creditors'!$F439-'data on outstanding creditors'!$G439</f>
        <v>105930</v>
      </c>
      <c r="I439" s="2"/>
      <c r="J439" s="1" t="s">
        <v>646</v>
      </c>
      <c r="K439" s="2">
        <v>45815.0</v>
      </c>
      <c r="L439" s="5"/>
      <c r="M439" s="9" t="s">
        <v>403</v>
      </c>
      <c r="N439" s="9" t="s">
        <v>23</v>
      </c>
      <c r="O439" s="10">
        <f>'data on outstanding creditors'!$E439*100/107</f>
        <v>99000</v>
      </c>
      <c r="P439" s="10">
        <f>'data on outstanding creditors'!$E439-'data on outstanding creditors'!$O439</f>
        <v>6930</v>
      </c>
      <c r="Q439" s="7">
        <f>DAY('data on outstanding creditors'!$B439)</f>
        <v>23</v>
      </c>
      <c r="R439" s="7">
        <f>MONTH('data on outstanding creditors'!$B439)</f>
        <v>4</v>
      </c>
      <c r="S439" s="7">
        <f>YEAR('data on outstanding creditors'!$B439)</f>
        <v>2025</v>
      </c>
      <c r="T439" s="11" t="str">
        <f>'data on outstanding creditors'!$C439&amp;" "&amp;'data on outstanding creditors'!$D439&amp;" "&amp;TEXT('data on outstanding creditors'!$E439,"#,##0.00")</f>
        <v>องค์การเภสัชกรรม 3000993306 105,930.00</v>
      </c>
      <c r="U439" s="8"/>
    </row>
    <row r="440" ht="13.5" customHeight="1">
      <c r="A440" s="1"/>
      <c r="B440" s="2">
        <v>45772.0</v>
      </c>
      <c r="C440" s="9" t="s">
        <v>401</v>
      </c>
      <c r="D440" s="1" t="s">
        <v>806</v>
      </c>
      <c r="E440" s="4">
        <v>14766.0</v>
      </c>
      <c r="F440" s="4"/>
      <c r="G440" s="4"/>
      <c r="H440" s="4">
        <f>'data on outstanding creditors'!$E440-'data on outstanding creditors'!$F440-'data on outstanding creditors'!$G440</f>
        <v>14766</v>
      </c>
      <c r="I440" s="2"/>
      <c r="J440" s="1" t="s">
        <v>646</v>
      </c>
      <c r="K440" s="2">
        <v>45815.0</v>
      </c>
      <c r="L440" s="5"/>
      <c r="M440" s="9" t="s">
        <v>403</v>
      </c>
      <c r="N440" s="9" t="s">
        <v>23</v>
      </c>
      <c r="O440" s="10">
        <f>'data on outstanding creditors'!$E440*100/107</f>
        <v>13800</v>
      </c>
      <c r="P440" s="10">
        <f>'data on outstanding creditors'!$E440-'data on outstanding creditors'!$O440</f>
        <v>966</v>
      </c>
      <c r="Q440" s="7">
        <f>DAY('data on outstanding creditors'!$B440)</f>
        <v>25</v>
      </c>
      <c r="R440" s="7">
        <f>MONTH('data on outstanding creditors'!$B440)</f>
        <v>4</v>
      </c>
      <c r="S440" s="7">
        <f>YEAR('data on outstanding creditors'!$B440)</f>
        <v>2025</v>
      </c>
      <c r="T440" s="11" t="str">
        <f>'data on outstanding creditors'!$C440&amp;" "&amp;'data on outstanding creditors'!$D440&amp;" "&amp;TEXT('data on outstanding creditors'!$E440,"#,##0.00")</f>
        <v>องค์การเภสัชกรรม 3000995184 14,766.00</v>
      </c>
      <c r="U440" s="8"/>
    </row>
    <row r="441" ht="13.5" customHeight="1">
      <c r="A441" s="1"/>
      <c r="B441" s="2">
        <v>45772.0</v>
      </c>
      <c r="C441" s="9" t="s">
        <v>401</v>
      </c>
      <c r="D441" s="1" t="s">
        <v>807</v>
      </c>
      <c r="E441" s="4">
        <v>41730.0</v>
      </c>
      <c r="F441" s="4"/>
      <c r="G441" s="4"/>
      <c r="H441" s="4">
        <f>'data on outstanding creditors'!$E441-'data on outstanding creditors'!$F441-'data on outstanding creditors'!$G441</f>
        <v>41730</v>
      </c>
      <c r="I441" s="2"/>
      <c r="J441" s="1" t="s">
        <v>646</v>
      </c>
      <c r="K441" s="2">
        <v>45815.0</v>
      </c>
      <c r="L441" s="5"/>
      <c r="M441" s="9" t="s">
        <v>403</v>
      </c>
      <c r="N441" s="9" t="s">
        <v>23</v>
      </c>
      <c r="O441" s="10">
        <f>'data on outstanding creditors'!$E441*100/107</f>
        <v>39000</v>
      </c>
      <c r="P441" s="10">
        <f>'data on outstanding creditors'!$E441-'data on outstanding creditors'!$O441</f>
        <v>2730</v>
      </c>
      <c r="Q441" s="7">
        <f>DAY('data on outstanding creditors'!$B441)</f>
        <v>25</v>
      </c>
      <c r="R441" s="7">
        <f>MONTH('data on outstanding creditors'!$B441)</f>
        <v>4</v>
      </c>
      <c r="S441" s="7">
        <f>YEAR('data on outstanding creditors'!$B441)</f>
        <v>2025</v>
      </c>
      <c r="T441" s="11" t="str">
        <f>'data on outstanding creditors'!$C441&amp;" "&amp;'data on outstanding creditors'!$D441&amp;" "&amp;TEXT('data on outstanding creditors'!$E441,"#,##0.00")</f>
        <v>องค์การเภสัชกรรม 3000995771 41,730.00</v>
      </c>
      <c r="U441" s="8"/>
    </row>
    <row r="442" ht="13.5" customHeight="1">
      <c r="A442" s="1"/>
      <c r="B442" s="2">
        <v>45776.0</v>
      </c>
      <c r="C442" s="9" t="s">
        <v>401</v>
      </c>
      <c r="D442" s="1" t="s">
        <v>808</v>
      </c>
      <c r="E442" s="4">
        <v>12000.0</v>
      </c>
      <c r="F442" s="4"/>
      <c r="G442" s="4"/>
      <c r="H442" s="4">
        <f>'data on outstanding creditors'!$E442-'data on outstanding creditors'!$F442-'data on outstanding creditors'!$G442</f>
        <v>12000</v>
      </c>
      <c r="I442" s="2"/>
      <c r="J442" s="1" t="s">
        <v>646</v>
      </c>
      <c r="K442" s="2">
        <v>45815.0</v>
      </c>
      <c r="L442" s="5"/>
      <c r="M442" s="9" t="s">
        <v>403</v>
      </c>
      <c r="N442" s="9" t="s">
        <v>23</v>
      </c>
      <c r="O442" s="10">
        <f>'data on outstanding creditors'!$E442*100/107</f>
        <v>11214.95327</v>
      </c>
      <c r="P442" s="10">
        <f>'data on outstanding creditors'!$E442-'data on outstanding creditors'!$O442</f>
        <v>785.046729</v>
      </c>
      <c r="Q442" s="7">
        <f>DAY('data on outstanding creditors'!$B442)</f>
        <v>29</v>
      </c>
      <c r="R442" s="7">
        <f>MONTH('data on outstanding creditors'!$B442)</f>
        <v>4</v>
      </c>
      <c r="S442" s="7">
        <f>YEAR('data on outstanding creditors'!$B442)</f>
        <v>2025</v>
      </c>
      <c r="T442" s="11" t="str">
        <f>'data on outstanding creditors'!$C442&amp;" "&amp;'data on outstanding creditors'!$D442&amp;" "&amp;TEXT('data on outstanding creditors'!$E442,"#,##0.00")</f>
        <v>องค์การเภสัชกรรม 3000994256 12,000.00</v>
      </c>
      <c r="U442" s="8"/>
    </row>
    <row r="443" ht="13.5" customHeight="1">
      <c r="A443" s="1"/>
      <c r="B443" s="2">
        <v>45776.0</v>
      </c>
      <c r="C443" s="9" t="s">
        <v>401</v>
      </c>
      <c r="D443" s="1" t="s">
        <v>809</v>
      </c>
      <c r="E443" s="4">
        <v>17120.0</v>
      </c>
      <c r="F443" s="4"/>
      <c r="G443" s="4"/>
      <c r="H443" s="4">
        <f>'data on outstanding creditors'!$E443-'data on outstanding creditors'!$F443-'data on outstanding creditors'!$G443</f>
        <v>17120</v>
      </c>
      <c r="I443" s="2"/>
      <c r="J443" s="1" t="s">
        <v>646</v>
      </c>
      <c r="K443" s="2">
        <v>45815.0</v>
      </c>
      <c r="L443" s="5"/>
      <c r="M443" s="9" t="s">
        <v>403</v>
      </c>
      <c r="N443" s="9" t="s">
        <v>23</v>
      </c>
      <c r="O443" s="10">
        <f>'data on outstanding creditors'!$E443*100/107</f>
        <v>16000</v>
      </c>
      <c r="P443" s="10">
        <f>'data on outstanding creditors'!$E443-'data on outstanding creditors'!$O443</f>
        <v>1120</v>
      </c>
      <c r="Q443" s="7">
        <f>DAY('data on outstanding creditors'!$B443)</f>
        <v>29</v>
      </c>
      <c r="R443" s="7">
        <f>MONTH('data on outstanding creditors'!$B443)</f>
        <v>4</v>
      </c>
      <c r="S443" s="7">
        <f>YEAR('data on outstanding creditors'!$B443)</f>
        <v>2025</v>
      </c>
      <c r="T443" s="11" t="str">
        <f>'data on outstanding creditors'!$C443&amp;" "&amp;'data on outstanding creditors'!$D443&amp;" "&amp;TEXT('data on outstanding creditors'!$E443,"#,##0.00")</f>
        <v>องค์การเภสัชกรรม 3000994180 17,120.00</v>
      </c>
      <c r="U443" s="8"/>
    </row>
    <row r="444" ht="13.5" customHeight="1">
      <c r="A444" s="1"/>
      <c r="B444" s="2">
        <v>45776.0</v>
      </c>
      <c r="C444" s="9" t="s">
        <v>401</v>
      </c>
      <c r="D444" s="1" t="s">
        <v>810</v>
      </c>
      <c r="E444" s="4">
        <v>21069.6</v>
      </c>
      <c r="F444" s="4"/>
      <c r="G444" s="4"/>
      <c r="H444" s="4">
        <f>'data on outstanding creditors'!$E444-'data on outstanding creditors'!$F444-'data on outstanding creditors'!$G444</f>
        <v>21069.6</v>
      </c>
      <c r="I444" s="2"/>
      <c r="J444" s="1" t="s">
        <v>646</v>
      </c>
      <c r="K444" s="2">
        <v>45815.0</v>
      </c>
      <c r="L444" s="5"/>
      <c r="M444" s="9" t="s">
        <v>403</v>
      </c>
      <c r="N444" s="9" t="s">
        <v>23</v>
      </c>
      <c r="O444" s="10">
        <f>'data on outstanding creditors'!$E444*100/107</f>
        <v>19691.21495</v>
      </c>
      <c r="P444" s="10">
        <f>'data on outstanding creditors'!$E444-'data on outstanding creditors'!$O444</f>
        <v>1378.385047</v>
      </c>
      <c r="Q444" s="7">
        <f>DAY('data on outstanding creditors'!$B444)</f>
        <v>29</v>
      </c>
      <c r="R444" s="7">
        <f>MONTH('data on outstanding creditors'!$B444)</f>
        <v>4</v>
      </c>
      <c r="S444" s="7">
        <f>YEAR('data on outstanding creditors'!$B444)</f>
        <v>2025</v>
      </c>
      <c r="T444" s="11" t="str">
        <f>'data on outstanding creditors'!$C444&amp;" "&amp;'data on outstanding creditors'!$D444&amp;" "&amp;TEXT('data on outstanding creditors'!$E444,"#,##0.00")</f>
        <v>องค์การเภสัชกรรม 3000994204 21,069.60</v>
      </c>
      <c r="U444" s="8"/>
    </row>
    <row r="445" ht="13.5" customHeight="1">
      <c r="A445" s="1"/>
      <c r="B445" s="2">
        <v>45776.0</v>
      </c>
      <c r="C445" s="9" t="s">
        <v>401</v>
      </c>
      <c r="D445" s="1" t="s">
        <v>811</v>
      </c>
      <c r="E445" s="4">
        <v>3424.0</v>
      </c>
      <c r="F445" s="4"/>
      <c r="G445" s="4"/>
      <c r="H445" s="4">
        <f>'data on outstanding creditors'!$E445-'data on outstanding creditors'!$F445-'data on outstanding creditors'!$G445</f>
        <v>3424</v>
      </c>
      <c r="I445" s="2"/>
      <c r="J445" s="1" t="s">
        <v>646</v>
      </c>
      <c r="K445" s="2">
        <v>45815.0</v>
      </c>
      <c r="L445" s="5"/>
      <c r="M445" s="9" t="s">
        <v>403</v>
      </c>
      <c r="N445" s="9" t="s">
        <v>23</v>
      </c>
      <c r="O445" s="10">
        <f>'data on outstanding creditors'!$E445*100/107</f>
        <v>3200</v>
      </c>
      <c r="P445" s="10">
        <f>'data on outstanding creditors'!$E445-'data on outstanding creditors'!$O445</f>
        <v>224</v>
      </c>
      <c r="Q445" s="7">
        <f>DAY('data on outstanding creditors'!$B445)</f>
        <v>29</v>
      </c>
      <c r="R445" s="7">
        <f>MONTH('data on outstanding creditors'!$B445)</f>
        <v>4</v>
      </c>
      <c r="S445" s="7">
        <f>YEAR('data on outstanding creditors'!$B445)</f>
        <v>2025</v>
      </c>
      <c r="T445" s="11" t="str">
        <f>'data on outstanding creditors'!$C445&amp;" "&amp;'data on outstanding creditors'!$D445&amp;" "&amp;TEXT('data on outstanding creditors'!$E445,"#,##0.00")</f>
        <v>องค์การเภสัชกรรม 3000996870 3,424.00</v>
      </c>
      <c r="U445" s="8"/>
    </row>
    <row r="446" ht="13.5" customHeight="1">
      <c r="A446" s="1"/>
      <c r="B446" s="2">
        <v>45776.0</v>
      </c>
      <c r="C446" s="9" t="s">
        <v>401</v>
      </c>
      <c r="D446" s="1" t="s">
        <v>812</v>
      </c>
      <c r="E446" s="4">
        <v>11984.0</v>
      </c>
      <c r="F446" s="4"/>
      <c r="G446" s="4"/>
      <c r="H446" s="4">
        <f>'data on outstanding creditors'!$E446-'data on outstanding creditors'!$F446-'data on outstanding creditors'!$G446</f>
        <v>11984</v>
      </c>
      <c r="I446" s="2"/>
      <c r="J446" s="1" t="s">
        <v>646</v>
      </c>
      <c r="K446" s="2">
        <v>45815.0</v>
      </c>
      <c r="L446" s="5"/>
      <c r="M446" s="9" t="s">
        <v>403</v>
      </c>
      <c r="N446" s="9" t="s">
        <v>23</v>
      </c>
      <c r="O446" s="10">
        <f>'data on outstanding creditors'!$E446*100/107</f>
        <v>11200</v>
      </c>
      <c r="P446" s="10">
        <f>'data on outstanding creditors'!$E446-'data on outstanding creditors'!$O446</f>
        <v>784</v>
      </c>
      <c r="Q446" s="7">
        <f>DAY('data on outstanding creditors'!$B446)</f>
        <v>29</v>
      </c>
      <c r="R446" s="7">
        <f>MONTH('data on outstanding creditors'!$B446)</f>
        <v>4</v>
      </c>
      <c r="S446" s="7">
        <f>YEAR('data on outstanding creditors'!$B446)</f>
        <v>2025</v>
      </c>
      <c r="T446" s="11" t="str">
        <f>'data on outstanding creditors'!$C446&amp;" "&amp;'data on outstanding creditors'!$D446&amp;" "&amp;TEXT('data on outstanding creditors'!$E446,"#,##0.00")</f>
        <v>องค์การเภสัชกรรม 3000996020 11,984.00</v>
      </c>
      <c r="U446" s="8"/>
    </row>
    <row r="447" ht="13.5" customHeight="1">
      <c r="A447" s="1"/>
      <c r="B447" s="2">
        <v>45776.0</v>
      </c>
      <c r="C447" s="9" t="s">
        <v>813</v>
      </c>
      <c r="D447" s="1" t="s">
        <v>814</v>
      </c>
      <c r="E447" s="4">
        <v>26600.0</v>
      </c>
      <c r="F447" s="4"/>
      <c r="G447" s="4"/>
      <c r="H447" s="4">
        <f>'data on outstanding creditors'!$E447-'data on outstanding creditors'!$F447-'data on outstanding creditors'!$G447</f>
        <v>26600</v>
      </c>
      <c r="I447" s="2"/>
      <c r="J447" s="1" t="s">
        <v>646</v>
      </c>
      <c r="K447" s="2">
        <v>45826.0</v>
      </c>
      <c r="L447" s="5"/>
      <c r="M447" s="9" t="s">
        <v>403</v>
      </c>
      <c r="N447" s="9" t="s">
        <v>23</v>
      </c>
      <c r="O447" s="10">
        <f>'data on outstanding creditors'!$E447*100/107</f>
        <v>24859.81308</v>
      </c>
      <c r="P447" s="10">
        <f>'data on outstanding creditors'!$E447-'data on outstanding creditors'!$O447</f>
        <v>1740.186916</v>
      </c>
      <c r="Q447" s="7">
        <f>DAY('data on outstanding creditors'!$B447)</f>
        <v>29</v>
      </c>
      <c r="R447" s="7">
        <f>MONTH('data on outstanding creditors'!$B447)</f>
        <v>4</v>
      </c>
      <c r="S447" s="7">
        <f>YEAR('data on outstanding creditors'!$B447)</f>
        <v>2025</v>
      </c>
      <c r="T447" s="11" t="str">
        <f>'data on outstanding creditors'!$C447&amp;" "&amp;'data on outstanding creditors'!$D447&amp;" "&amp;TEXT('data on outstanding creditors'!$E447,"#,##0.00")</f>
        <v>บ.ที.แมน ฟาร์มาซูติคอล IST250053686 26,600.00</v>
      </c>
      <c r="U447" s="8"/>
    </row>
    <row r="448" ht="13.5" customHeight="1">
      <c r="A448" s="1"/>
      <c r="B448" s="2">
        <v>45776.0</v>
      </c>
      <c r="C448" s="9" t="s">
        <v>813</v>
      </c>
      <c r="D448" s="1" t="s">
        <v>815</v>
      </c>
      <c r="E448" s="4">
        <v>26600.0</v>
      </c>
      <c r="F448" s="4"/>
      <c r="G448" s="4"/>
      <c r="H448" s="4">
        <f>'data on outstanding creditors'!$E448-'data on outstanding creditors'!$F448-'data on outstanding creditors'!$G448</f>
        <v>26600</v>
      </c>
      <c r="I448" s="2"/>
      <c r="J448" s="1" t="s">
        <v>646</v>
      </c>
      <c r="K448" s="2">
        <v>45826.0</v>
      </c>
      <c r="L448" s="5"/>
      <c r="M448" s="9" t="s">
        <v>403</v>
      </c>
      <c r="N448" s="9" t="s">
        <v>23</v>
      </c>
      <c r="O448" s="10">
        <f>'data on outstanding creditors'!$E448*100/107</f>
        <v>24859.81308</v>
      </c>
      <c r="P448" s="10">
        <f>'data on outstanding creditors'!$E448-'data on outstanding creditors'!$O448</f>
        <v>1740.186916</v>
      </c>
      <c r="Q448" s="7">
        <f>DAY('data on outstanding creditors'!$B448)</f>
        <v>29</v>
      </c>
      <c r="R448" s="7">
        <f>MONTH('data on outstanding creditors'!$B448)</f>
        <v>4</v>
      </c>
      <c r="S448" s="7">
        <f>YEAR('data on outstanding creditors'!$B448)</f>
        <v>2025</v>
      </c>
      <c r="T448" s="11" t="str">
        <f>'data on outstanding creditors'!$C448&amp;" "&amp;'data on outstanding creditors'!$D448&amp;" "&amp;TEXT('data on outstanding creditors'!$E448,"#,##0.00")</f>
        <v>บ.ที.แมน ฟาร์มาซูติคอล IST250058998 26,600.00</v>
      </c>
      <c r="U448" s="8"/>
    </row>
    <row r="449" ht="13.5" customHeight="1">
      <c r="A449" s="1"/>
      <c r="B449" s="2">
        <v>45776.0</v>
      </c>
      <c r="C449" s="9" t="s">
        <v>813</v>
      </c>
      <c r="D449" s="1" t="s">
        <v>816</v>
      </c>
      <c r="E449" s="4">
        <v>26600.0</v>
      </c>
      <c r="F449" s="4"/>
      <c r="G449" s="4"/>
      <c r="H449" s="4">
        <f>'data on outstanding creditors'!$E449-'data on outstanding creditors'!$F449-'data on outstanding creditors'!$G449</f>
        <v>26600</v>
      </c>
      <c r="I449" s="2"/>
      <c r="J449" s="1" t="s">
        <v>646</v>
      </c>
      <c r="K449" s="2">
        <v>45826.0</v>
      </c>
      <c r="L449" s="5"/>
      <c r="M449" s="9" t="s">
        <v>403</v>
      </c>
      <c r="N449" s="9" t="s">
        <v>23</v>
      </c>
      <c r="O449" s="10">
        <f>'data on outstanding creditors'!$E449*100/107</f>
        <v>24859.81308</v>
      </c>
      <c r="P449" s="10">
        <f>'data on outstanding creditors'!$E449-'data on outstanding creditors'!$O449</f>
        <v>1740.186916</v>
      </c>
      <c r="Q449" s="7">
        <f>DAY('data on outstanding creditors'!$B449)</f>
        <v>29</v>
      </c>
      <c r="R449" s="7">
        <f>MONTH('data on outstanding creditors'!$B449)</f>
        <v>4</v>
      </c>
      <c r="S449" s="7">
        <f>YEAR('data on outstanding creditors'!$B449)</f>
        <v>2025</v>
      </c>
      <c r="T449" s="11" t="str">
        <f>'data on outstanding creditors'!$C449&amp;" "&amp;'data on outstanding creditors'!$D449&amp;" "&amp;TEXT('data on outstanding creditors'!$E449,"#,##0.00")</f>
        <v>บ.ที.แมน ฟาร์มาซูติคอล IST250063491 26,600.00</v>
      </c>
      <c r="U449" s="8"/>
    </row>
    <row r="450" ht="13.5" customHeight="1">
      <c r="A450" s="1"/>
      <c r="B450" s="2">
        <v>45776.0</v>
      </c>
      <c r="C450" s="9" t="s">
        <v>813</v>
      </c>
      <c r="D450" s="1" t="s">
        <v>817</v>
      </c>
      <c r="E450" s="4">
        <v>53200.0</v>
      </c>
      <c r="F450" s="4"/>
      <c r="G450" s="4"/>
      <c r="H450" s="4">
        <f>'data on outstanding creditors'!$E450-'data on outstanding creditors'!$F450-'data on outstanding creditors'!$G450</f>
        <v>53200</v>
      </c>
      <c r="I450" s="2"/>
      <c r="J450" s="1" t="s">
        <v>646</v>
      </c>
      <c r="K450" s="2">
        <v>45826.0</v>
      </c>
      <c r="L450" s="5"/>
      <c r="M450" s="9" t="s">
        <v>403</v>
      </c>
      <c r="N450" s="9" t="s">
        <v>23</v>
      </c>
      <c r="O450" s="10">
        <f>'data on outstanding creditors'!$E450*100/107</f>
        <v>49719.62617</v>
      </c>
      <c r="P450" s="10">
        <f>'data on outstanding creditors'!$E450-'data on outstanding creditors'!$O450</f>
        <v>3480.373832</v>
      </c>
      <c r="Q450" s="7">
        <f>DAY('data on outstanding creditors'!$B450)</f>
        <v>29</v>
      </c>
      <c r="R450" s="7">
        <f>MONTH('data on outstanding creditors'!$B450)</f>
        <v>4</v>
      </c>
      <c r="S450" s="7">
        <f>YEAR('data on outstanding creditors'!$B450)</f>
        <v>2025</v>
      </c>
      <c r="T450" s="11" t="str">
        <f>'data on outstanding creditors'!$C450&amp;" "&amp;'data on outstanding creditors'!$D450&amp;" "&amp;TEXT('data on outstanding creditors'!$E450,"#,##0.00")</f>
        <v>บ.ที.แมน ฟาร์มาซูติคอล IST250064144 53,200.00</v>
      </c>
      <c r="U450" s="8"/>
    </row>
    <row r="451" ht="13.5" customHeight="1">
      <c r="A451" s="1"/>
      <c r="B451" s="2">
        <v>45784.0</v>
      </c>
      <c r="C451" s="9" t="s">
        <v>401</v>
      </c>
      <c r="D451" s="1" t="s">
        <v>818</v>
      </c>
      <c r="E451" s="4">
        <v>177.5</v>
      </c>
      <c r="F451" s="4"/>
      <c r="G451" s="4"/>
      <c r="H451" s="4">
        <f>'data on outstanding creditors'!$E451-'data on outstanding creditors'!$F451-'data on outstanding creditors'!$G451</f>
        <v>177.5</v>
      </c>
      <c r="I451" s="2"/>
      <c r="J451" s="1" t="s">
        <v>646</v>
      </c>
      <c r="K451" s="2">
        <v>45826.0</v>
      </c>
      <c r="L451" s="5"/>
      <c r="M451" s="9" t="s">
        <v>403</v>
      </c>
      <c r="N451" s="9" t="s">
        <v>23</v>
      </c>
      <c r="O451" s="10">
        <f>'data on outstanding creditors'!$E451*100/107</f>
        <v>165.8878505</v>
      </c>
      <c r="P451" s="10">
        <f>'data on outstanding creditors'!$E451-'data on outstanding creditors'!$O451</f>
        <v>11.61214953</v>
      </c>
      <c r="Q451" s="7">
        <f>DAY('data on outstanding creditors'!$B451)</f>
        <v>7</v>
      </c>
      <c r="R451" s="7">
        <f>MONTH('data on outstanding creditors'!$B451)</f>
        <v>5</v>
      </c>
      <c r="S451" s="7">
        <f>YEAR('data on outstanding creditors'!$B451)</f>
        <v>2025</v>
      </c>
      <c r="T451" s="11" t="str">
        <f>'data on outstanding creditors'!$C451&amp;" "&amp;'data on outstanding creditors'!$D451&amp;" "&amp;TEXT('data on outstanding creditors'!$E451,"#,##0.00")</f>
        <v>องค์การเภสัชกรรม 3000992744 177.50</v>
      </c>
      <c r="U451" s="8"/>
    </row>
    <row r="452" ht="13.5" customHeight="1">
      <c r="A452" s="1"/>
      <c r="B452" s="2">
        <v>45784.0</v>
      </c>
      <c r="C452" s="9" t="s">
        <v>401</v>
      </c>
      <c r="D452" s="1" t="s">
        <v>819</v>
      </c>
      <c r="E452" s="4">
        <v>5350.0</v>
      </c>
      <c r="F452" s="4"/>
      <c r="G452" s="4"/>
      <c r="H452" s="4">
        <f>'data on outstanding creditors'!$E452-'data on outstanding creditors'!$F452-'data on outstanding creditors'!$G452</f>
        <v>5350</v>
      </c>
      <c r="I452" s="2"/>
      <c r="J452" s="1" t="s">
        <v>646</v>
      </c>
      <c r="K452" s="2">
        <v>45826.0</v>
      </c>
      <c r="L452" s="5"/>
      <c r="M452" s="9" t="s">
        <v>403</v>
      </c>
      <c r="N452" s="9" t="s">
        <v>23</v>
      </c>
      <c r="O452" s="10">
        <f>'data on outstanding creditors'!$E452*100/107</f>
        <v>5000</v>
      </c>
      <c r="P452" s="10">
        <f>'data on outstanding creditors'!$E452-'data on outstanding creditors'!$O452</f>
        <v>350</v>
      </c>
      <c r="Q452" s="7">
        <f>DAY('data on outstanding creditors'!$B452)</f>
        <v>7</v>
      </c>
      <c r="R452" s="7">
        <f>MONTH('data on outstanding creditors'!$B452)</f>
        <v>5</v>
      </c>
      <c r="S452" s="7">
        <f>YEAR('data on outstanding creditors'!$B452)</f>
        <v>2025</v>
      </c>
      <c r="T452" s="11" t="str">
        <f>'data on outstanding creditors'!$C452&amp;" "&amp;'data on outstanding creditors'!$D452&amp;" "&amp;TEXT('data on outstanding creditors'!$E452,"#,##0.00")</f>
        <v>องค์การเภสัชกรรม 3000993309 5,350.00</v>
      </c>
      <c r="U452" s="8"/>
    </row>
    <row r="453" ht="13.5" customHeight="1">
      <c r="A453" s="1"/>
      <c r="B453" s="2">
        <v>45784.0</v>
      </c>
      <c r="C453" s="9" t="s">
        <v>401</v>
      </c>
      <c r="D453" s="1" t="s">
        <v>820</v>
      </c>
      <c r="E453" s="4">
        <v>138672.0</v>
      </c>
      <c r="F453" s="4"/>
      <c r="G453" s="4"/>
      <c r="H453" s="4">
        <f>'data on outstanding creditors'!$E453-'data on outstanding creditors'!$F453-'data on outstanding creditors'!$G453</f>
        <v>138672</v>
      </c>
      <c r="I453" s="2"/>
      <c r="J453" s="1" t="s">
        <v>646</v>
      </c>
      <c r="K453" s="2">
        <v>45826.0</v>
      </c>
      <c r="L453" s="5"/>
      <c r="M453" s="9" t="s">
        <v>403</v>
      </c>
      <c r="N453" s="9" t="s">
        <v>23</v>
      </c>
      <c r="O453" s="10">
        <f>'data on outstanding creditors'!$E453*100/107</f>
        <v>129600</v>
      </c>
      <c r="P453" s="10">
        <f>'data on outstanding creditors'!$E453-'data on outstanding creditors'!$O453</f>
        <v>9072</v>
      </c>
      <c r="Q453" s="7">
        <f>DAY('data on outstanding creditors'!$B453)</f>
        <v>7</v>
      </c>
      <c r="R453" s="7">
        <f>MONTH('data on outstanding creditors'!$B453)</f>
        <v>5</v>
      </c>
      <c r="S453" s="7">
        <f>YEAR('data on outstanding creditors'!$B453)</f>
        <v>2025</v>
      </c>
      <c r="T453" s="11" t="str">
        <f>'data on outstanding creditors'!$C453&amp;" "&amp;'data on outstanding creditors'!$D453&amp;" "&amp;TEXT('data on outstanding creditors'!$E453,"#,##0.00")</f>
        <v>องค์การเภสัชกรรม 3000996704 138,672.00</v>
      </c>
      <c r="U453" s="8"/>
    </row>
    <row r="454" ht="13.5" customHeight="1">
      <c r="A454" s="1"/>
      <c r="B454" s="2">
        <v>45784.0</v>
      </c>
      <c r="C454" s="9" t="s">
        <v>401</v>
      </c>
      <c r="D454" s="1" t="s">
        <v>821</v>
      </c>
      <c r="E454" s="4">
        <v>5400.0</v>
      </c>
      <c r="F454" s="4"/>
      <c r="G454" s="4"/>
      <c r="H454" s="4">
        <f>'data on outstanding creditors'!$E454-'data on outstanding creditors'!$F454-'data on outstanding creditors'!$G454</f>
        <v>5400</v>
      </c>
      <c r="I454" s="2"/>
      <c r="J454" s="1" t="s">
        <v>646</v>
      </c>
      <c r="K454" s="2">
        <v>45826.0</v>
      </c>
      <c r="L454" s="5"/>
      <c r="M454" s="9" t="s">
        <v>403</v>
      </c>
      <c r="N454" s="9" t="s">
        <v>23</v>
      </c>
      <c r="O454" s="10">
        <f>'data on outstanding creditors'!$E454*100/107</f>
        <v>5046.728972</v>
      </c>
      <c r="P454" s="10">
        <f>'data on outstanding creditors'!$E454-'data on outstanding creditors'!$O454</f>
        <v>353.271028</v>
      </c>
      <c r="Q454" s="7">
        <f>DAY('data on outstanding creditors'!$B454)</f>
        <v>7</v>
      </c>
      <c r="R454" s="7">
        <f>MONTH('data on outstanding creditors'!$B454)</f>
        <v>5</v>
      </c>
      <c r="S454" s="7">
        <f>YEAR('data on outstanding creditors'!$B454)</f>
        <v>2025</v>
      </c>
      <c r="T454" s="11" t="str">
        <f>'data on outstanding creditors'!$C454&amp;" "&amp;'data on outstanding creditors'!$D454&amp;" "&amp;TEXT('data on outstanding creditors'!$E454,"#,##0.00")</f>
        <v>องค์การเภสัชกรรม 3000996710 5,400.00</v>
      </c>
      <c r="U454" s="8"/>
    </row>
    <row r="455" ht="13.5" customHeight="1">
      <c r="A455" s="1"/>
      <c r="B455" s="2">
        <v>45785.0</v>
      </c>
      <c r="C455" s="9" t="s">
        <v>401</v>
      </c>
      <c r="D455" s="1" t="s">
        <v>822</v>
      </c>
      <c r="E455" s="4">
        <v>20962.0</v>
      </c>
      <c r="F455" s="4"/>
      <c r="G455" s="4"/>
      <c r="H455" s="4">
        <f>'data on outstanding creditors'!$E455-'data on outstanding creditors'!$F455-'data on outstanding creditors'!$G455</f>
        <v>20962</v>
      </c>
      <c r="I455" s="2"/>
      <c r="J455" s="1" t="s">
        <v>646</v>
      </c>
      <c r="K455" s="2">
        <v>45826.0</v>
      </c>
      <c r="L455" s="5"/>
      <c r="M455" s="9" t="s">
        <v>403</v>
      </c>
      <c r="N455" s="9" t="s">
        <v>23</v>
      </c>
      <c r="O455" s="10">
        <f>'data on outstanding creditors'!$E455*100/107</f>
        <v>19590.65421</v>
      </c>
      <c r="P455" s="10">
        <f>'data on outstanding creditors'!$E455-'data on outstanding creditors'!$O455</f>
        <v>1371.345794</v>
      </c>
      <c r="Q455" s="7">
        <f>DAY('data on outstanding creditors'!$B455)</f>
        <v>8</v>
      </c>
      <c r="R455" s="7">
        <f>MONTH('data on outstanding creditors'!$B455)</f>
        <v>5</v>
      </c>
      <c r="S455" s="7">
        <f>YEAR('data on outstanding creditors'!$B455)</f>
        <v>2025</v>
      </c>
      <c r="T455" s="11" t="str">
        <f>'data on outstanding creditors'!$C455&amp;" "&amp;'data on outstanding creditors'!$D455&amp;" "&amp;TEXT('data on outstanding creditors'!$E455,"#,##0.00")</f>
        <v>องค์การเภสัชกรรม 3001001778 20,962.00</v>
      </c>
      <c r="U455" s="8"/>
    </row>
    <row r="456" ht="13.5" customHeight="1">
      <c r="A456" s="1"/>
      <c r="B456" s="2">
        <v>45797.0</v>
      </c>
      <c r="C456" s="9" t="s">
        <v>767</v>
      </c>
      <c r="D456" s="1" t="s">
        <v>823</v>
      </c>
      <c r="E456" s="4">
        <v>320000.0</v>
      </c>
      <c r="F456" s="4"/>
      <c r="G456" s="4"/>
      <c r="H456" s="4">
        <f>'data on outstanding creditors'!$E456-'data on outstanding creditors'!$F456-'data on outstanding creditors'!$G456</f>
        <v>320000</v>
      </c>
      <c r="I456" s="2"/>
      <c r="J456" s="1" t="s">
        <v>757</v>
      </c>
      <c r="K456" s="2">
        <v>45820.0</v>
      </c>
      <c r="L456" s="5"/>
      <c r="M456" s="9" t="s">
        <v>403</v>
      </c>
      <c r="N456" s="9" t="s">
        <v>23</v>
      </c>
      <c r="O456" s="10">
        <f>'data on outstanding creditors'!$E456*100/107</f>
        <v>299065.4206</v>
      </c>
      <c r="P456" s="10">
        <f>'data on outstanding creditors'!$E456-'data on outstanding creditors'!$O456</f>
        <v>20934.57944</v>
      </c>
      <c r="Q456" s="7">
        <f>DAY('data on outstanding creditors'!$B456)</f>
        <v>20</v>
      </c>
      <c r="R456" s="7">
        <f>MONTH('data on outstanding creditors'!$B456)</f>
        <v>5</v>
      </c>
      <c r="S456" s="7">
        <f>YEAR('data on outstanding creditors'!$B456)</f>
        <v>2025</v>
      </c>
      <c r="T456" s="11" t="str">
        <f>'data on outstanding creditors'!$C456&amp;" "&amp;'data on outstanding creditors'!$D456&amp;" "&amp;TEXT('data on outstanding creditors'!$E456,"#,##0.00")</f>
        <v>บ.คอสม่า เทรดดิ้ง 310457402292 320,000.00</v>
      </c>
      <c r="U456" s="8"/>
    </row>
    <row r="457" ht="13.5" customHeight="1">
      <c r="A457" s="1"/>
      <c r="B457" s="2">
        <v>45800.0</v>
      </c>
      <c r="C457" s="9" t="s">
        <v>771</v>
      </c>
      <c r="D457" s="1" t="s">
        <v>824</v>
      </c>
      <c r="E457" s="4">
        <v>188800.0</v>
      </c>
      <c r="F457" s="4"/>
      <c r="G457" s="4"/>
      <c r="H457" s="4">
        <f>'data on outstanding creditors'!$E457-'data on outstanding creditors'!$F457-'data on outstanding creditors'!$G457</f>
        <v>188800</v>
      </c>
      <c r="I457" s="2"/>
      <c r="J457" s="1" t="s">
        <v>646</v>
      </c>
      <c r="K457" s="2">
        <v>45929.0</v>
      </c>
      <c r="L457" s="5"/>
      <c r="M457" s="9" t="s">
        <v>403</v>
      </c>
      <c r="N457" s="9" t="s">
        <v>23</v>
      </c>
      <c r="O457" s="10">
        <f>'data on outstanding creditors'!$E457*100/107</f>
        <v>176448.5981</v>
      </c>
      <c r="P457" s="10">
        <f>'data on outstanding creditors'!$E457-'data on outstanding creditors'!$O457</f>
        <v>12351.40187</v>
      </c>
      <c r="Q457" s="7">
        <f>DAY('data on outstanding creditors'!$B457)</f>
        <v>23</v>
      </c>
      <c r="R457" s="7">
        <f>MONTH('data on outstanding creditors'!$B457)</f>
        <v>5</v>
      </c>
      <c r="S457" s="7">
        <f>YEAR('data on outstanding creditors'!$B457)</f>
        <v>2025</v>
      </c>
      <c r="T457" s="11" t="str">
        <f>'data on outstanding creditors'!$C457&amp;" "&amp;'data on outstanding creditors'!$D457&amp;" "&amp;TEXT('data on outstanding creditors'!$E457,"#,##0.00")</f>
        <v>หจก.ภิญโญฟาร์มาซี IV6822936 188,800.00</v>
      </c>
      <c r="U457" s="8"/>
    </row>
    <row r="458" ht="13.5" customHeight="1">
      <c r="A458" s="1"/>
      <c r="B458" s="2">
        <v>45800.0</v>
      </c>
      <c r="C458" s="9" t="s">
        <v>401</v>
      </c>
      <c r="D458" s="1" t="s">
        <v>825</v>
      </c>
      <c r="E458" s="4">
        <v>21000.0</v>
      </c>
      <c r="F458" s="4"/>
      <c r="G458" s="4"/>
      <c r="H458" s="4">
        <f>'data on outstanding creditors'!$E458-'data on outstanding creditors'!$F458-'data on outstanding creditors'!$G458</f>
        <v>21000</v>
      </c>
      <c r="I458" s="2"/>
      <c r="J458" s="1" t="s">
        <v>646</v>
      </c>
      <c r="K458" s="2">
        <v>45826.0</v>
      </c>
      <c r="L458" s="5"/>
      <c r="M458" s="9" t="s">
        <v>403</v>
      </c>
      <c r="N458" s="9" t="s">
        <v>23</v>
      </c>
      <c r="O458" s="10">
        <f>'data on outstanding creditors'!$E458*100/107</f>
        <v>19626.16822</v>
      </c>
      <c r="P458" s="10">
        <f>'data on outstanding creditors'!$E458-'data on outstanding creditors'!$O458</f>
        <v>1373.831776</v>
      </c>
      <c r="Q458" s="7">
        <f>DAY('data on outstanding creditors'!$B458)</f>
        <v>23</v>
      </c>
      <c r="R458" s="7">
        <f>MONTH('data on outstanding creditors'!$B458)</f>
        <v>5</v>
      </c>
      <c r="S458" s="7">
        <f>YEAR('data on outstanding creditors'!$B458)</f>
        <v>2025</v>
      </c>
      <c r="T458" s="11" t="str">
        <f>'data on outstanding creditors'!$C458&amp;" "&amp;'data on outstanding creditors'!$D458&amp;" "&amp;TEXT('data on outstanding creditors'!$E458,"#,##0.00")</f>
        <v>องค์การเภสัชกรรม 3000998925 21,000.00</v>
      </c>
      <c r="U458" s="8"/>
    </row>
    <row r="459" ht="13.5" customHeight="1">
      <c r="A459" s="1"/>
      <c r="B459" s="2">
        <v>45800.0</v>
      </c>
      <c r="C459" s="9" t="s">
        <v>401</v>
      </c>
      <c r="D459" s="1" t="s">
        <v>826</v>
      </c>
      <c r="E459" s="4">
        <v>132000.0</v>
      </c>
      <c r="F459" s="4"/>
      <c r="G459" s="4"/>
      <c r="H459" s="4">
        <f>'data on outstanding creditors'!$E459-'data on outstanding creditors'!$F459-'data on outstanding creditors'!$G459</f>
        <v>132000</v>
      </c>
      <c r="I459" s="2"/>
      <c r="J459" s="1" t="s">
        <v>646</v>
      </c>
      <c r="K459" s="2">
        <v>45826.0</v>
      </c>
      <c r="L459" s="5"/>
      <c r="M459" s="9" t="s">
        <v>403</v>
      </c>
      <c r="N459" s="9" t="s">
        <v>23</v>
      </c>
      <c r="O459" s="10">
        <f>'data on outstanding creditors'!$E459*100/107</f>
        <v>123364.486</v>
      </c>
      <c r="P459" s="10">
        <f>'data on outstanding creditors'!$E459-'data on outstanding creditors'!$O459</f>
        <v>8635.514019</v>
      </c>
      <c r="Q459" s="7">
        <f>DAY('data on outstanding creditors'!$B459)</f>
        <v>23</v>
      </c>
      <c r="R459" s="7">
        <f>MONTH('data on outstanding creditors'!$B459)</f>
        <v>5</v>
      </c>
      <c r="S459" s="7">
        <f>YEAR('data on outstanding creditors'!$B459)</f>
        <v>2025</v>
      </c>
      <c r="T459" s="11" t="str">
        <f>'data on outstanding creditors'!$C459&amp;" "&amp;'data on outstanding creditors'!$D459&amp;" "&amp;TEXT('data on outstanding creditors'!$E459,"#,##0.00")</f>
        <v>องค์การเภสัชกรรม 3000998042 132,000.00</v>
      </c>
      <c r="U459" s="8"/>
    </row>
    <row r="460" ht="13.5" customHeight="1">
      <c r="A460" s="1"/>
      <c r="B460" s="2">
        <v>45800.0</v>
      </c>
      <c r="C460" s="9" t="s">
        <v>401</v>
      </c>
      <c r="D460" s="1" t="s">
        <v>827</v>
      </c>
      <c r="E460" s="4">
        <v>20340.0</v>
      </c>
      <c r="F460" s="4"/>
      <c r="G460" s="4"/>
      <c r="H460" s="4">
        <f>'data on outstanding creditors'!$E460-'data on outstanding creditors'!$F460-'data on outstanding creditors'!$G460</f>
        <v>20340</v>
      </c>
      <c r="I460" s="2"/>
      <c r="J460" s="1" t="s">
        <v>646</v>
      </c>
      <c r="K460" s="2">
        <v>45826.0</v>
      </c>
      <c r="L460" s="5"/>
      <c r="M460" s="9" t="s">
        <v>403</v>
      </c>
      <c r="N460" s="9" t="s">
        <v>23</v>
      </c>
      <c r="O460" s="10">
        <f>'data on outstanding creditors'!$E460*100/107</f>
        <v>19009.34579</v>
      </c>
      <c r="P460" s="10">
        <f>'data on outstanding creditors'!$E460-'data on outstanding creditors'!$O460</f>
        <v>1330.654206</v>
      </c>
      <c r="Q460" s="7">
        <f>DAY('data on outstanding creditors'!$B460)</f>
        <v>23</v>
      </c>
      <c r="R460" s="7">
        <f>MONTH('data on outstanding creditors'!$B460)</f>
        <v>5</v>
      </c>
      <c r="S460" s="7">
        <f>YEAR('data on outstanding creditors'!$B460)</f>
        <v>2025</v>
      </c>
      <c r="T460" s="11" t="str">
        <f>'data on outstanding creditors'!$C460&amp;" "&amp;'data on outstanding creditors'!$D460&amp;" "&amp;TEXT('data on outstanding creditors'!$E460,"#,##0.00")</f>
        <v>องค์การเภสัชกรรม 3000998861 20,340.00</v>
      </c>
      <c r="U460" s="8"/>
    </row>
    <row r="461" ht="13.5" customHeight="1">
      <c r="A461" s="1"/>
      <c r="B461" s="2">
        <v>45800.0</v>
      </c>
      <c r="C461" s="9" t="s">
        <v>401</v>
      </c>
      <c r="D461" s="1" t="s">
        <v>828</v>
      </c>
      <c r="E461" s="4">
        <v>85600.0</v>
      </c>
      <c r="F461" s="4"/>
      <c r="G461" s="4"/>
      <c r="H461" s="4">
        <f>'data on outstanding creditors'!$E461-'data on outstanding creditors'!$F461-'data on outstanding creditors'!$G461</f>
        <v>85600</v>
      </c>
      <c r="I461" s="2"/>
      <c r="J461" s="1" t="s">
        <v>646</v>
      </c>
      <c r="K461" s="2">
        <v>45826.0</v>
      </c>
      <c r="L461" s="5"/>
      <c r="M461" s="9" t="s">
        <v>403</v>
      </c>
      <c r="N461" s="9" t="s">
        <v>23</v>
      </c>
      <c r="O461" s="10">
        <f>'data on outstanding creditors'!$E461*100/107</f>
        <v>80000</v>
      </c>
      <c r="P461" s="10">
        <f>'data on outstanding creditors'!$E461-'data on outstanding creditors'!$O461</f>
        <v>5600</v>
      </c>
      <c r="Q461" s="7">
        <f>DAY('data on outstanding creditors'!$B461)</f>
        <v>23</v>
      </c>
      <c r="R461" s="7">
        <f>MONTH('data on outstanding creditors'!$B461)</f>
        <v>5</v>
      </c>
      <c r="S461" s="7">
        <f>YEAR('data on outstanding creditors'!$B461)</f>
        <v>2025</v>
      </c>
      <c r="T461" s="11" t="str">
        <f>'data on outstanding creditors'!$C461&amp;" "&amp;'data on outstanding creditors'!$D461&amp;" "&amp;TEXT('data on outstanding creditors'!$E461,"#,##0.00")</f>
        <v>องค์การเภสัชกรรม 3001005756 85,600.00</v>
      </c>
      <c r="U461" s="8"/>
    </row>
    <row r="462" ht="13.5" customHeight="1">
      <c r="A462" s="1"/>
      <c r="B462" s="2">
        <v>45800.0</v>
      </c>
      <c r="C462" s="9" t="s">
        <v>401</v>
      </c>
      <c r="D462" s="1" t="s">
        <v>829</v>
      </c>
      <c r="E462" s="4">
        <v>64200.0</v>
      </c>
      <c r="F462" s="4"/>
      <c r="G462" s="4"/>
      <c r="H462" s="4">
        <f>'data on outstanding creditors'!$E462-'data on outstanding creditors'!$F462-'data on outstanding creditors'!$G462</f>
        <v>64200</v>
      </c>
      <c r="I462" s="2"/>
      <c r="J462" s="1" t="s">
        <v>646</v>
      </c>
      <c r="K462" s="2">
        <v>45826.0</v>
      </c>
      <c r="L462" s="5"/>
      <c r="M462" s="9" t="s">
        <v>403</v>
      </c>
      <c r="N462" s="9" t="s">
        <v>23</v>
      </c>
      <c r="O462" s="10">
        <f>'data on outstanding creditors'!$E462*100/107</f>
        <v>60000</v>
      </c>
      <c r="P462" s="10">
        <f>'data on outstanding creditors'!$E462-'data on outstanding creditors'!$O462</f>
        <v>4200</v>
      </c>
      <c r="Q462" s="7">
        <f>DAY('data on outstanding creditors'!$B462)</f>
        <v>23</v>
      </c>
      <c r="R462" s="7">
        <f>MONTH('data on outstanding creditors'!$B462)</f>
        <v>5</v>
      </c>
      <c r="S462" s="7">
        <f>YEAR('data on outstanding creditors'!$B462)</f>
        <v>2025</v>
      </c>
      <c r="T462" s="11" t="str">
        <f>'data on outstanding creditors'!$C462&amp;" "&amp;'data on outstanding creditors'!$D462&amp;" "&amp;TEXT('data on outstanding creditors'!$E462,"#,##0.00")</f>
        <v>องค์การเภสัชกรรม 3001005684 64,200.00</v>
      </c>
      <c r="U462" s="8"/>
    </row>
    <row r="463" ht="13.5" customHeight="1">
      <c r="A463" s="1"/>
      <c r="B463" s="2">
        <v>45800.0</v>
      </c>
      <c r="C463" s="9" t="s">
        <v>401</v>
      </c>
      <c r="D463" s="1" t="s">
        <v>830</v>
      </c>
      <c r="E463" s="4">
        <v>70620.0</v>
      </c>
      <c r="F463" s="4"/>
      <c r="G463" s="4"/>
      <c r="H463" s="4">
        <f>'data on outstanding creditors'!$E463-'data on outstanding creditors'!$F463-'data on outstanding creditors'!$G463</f>
        <v>70620</v>
      </c>
      <c r="I463" s="2"/>
      <c r="J463" s="1" t="s">
        <v>646</v>
      </c>
      <c r="K463" s="2">
        <v>45826.0</v>
      </c>
      <c r="L463" s="5"/>
      <c r="M463" s="9" t="s">
        <v>403</v>
      </c>
      <c r="N463" s="9" t="s">
        <v>23</v>
      </c>
      <c r="O463" s="10">
        <f>'data on outstanding creditors'!$E463*100/107</f>
        <v>66000</v>
      </c>
      <c r="P463" s="10">
        <f>'data on outstanding creditors'!$E463-'data on outstanding creditors'!$O463</f>
        <v>4620</v>
      </c>
      <c r="Q463" s="7">
        <f>DAY('data on outstanding creditors'!$B463)</f>
        <v>23</v>
      </c>
      <c r="R463" s="7">
        <f>MONTH('data on outstanding creditors'!$B463)</f>
        <v>5</v>
      </c>
      <c r="S463" s="7">
        <f>YEAR('data on outstanding creditors'!$B463)</f>
        <v>2025</v>
      </c>
      <c r="T463" s="11" t="str">
        <f>'data on outstanding creditors'!$C463&amp;" "&amp;'data on outstanding creditors'!$D463&amp;" "&amp;TEXT('data on outstanding creditors'!$E463,"#,##0.00")</f>
        <v>องค์การเภสัชกรรม 3001005083 70,620.00</v>
      </c>
      <c r="U463" s="8"/>
    </row>
    <row r="464" ht="13.5" customHeight="1">
      <c r="A464" s="1"/>
      <c r="B464" s="2">
        <v>45800.0</v>
      </c>
      <c r="C464" s="9" t="s">
        <v>401</v>
      </c>
      <c r="D464" s="1" t="s">
        <v>831</v>
      </c>
      <c r="E464" s="4">
        <v>62595.0</v>
      </c>
      <c r="F464" s="4"/>
      <c r="G464" s="4"/>
      <c r="H464" s="4">
        <f>'data on outstanding creditors'!$E464-'data on outstanding creditors'!$F464-'data on outstanding creditors'!$G464</f>
        <v>62595</v>
      </c>
      <c r="I464" s="2"/>
      <c r="J464" s="1" t="s">
        <v>646</v>
      </c>
      <c r="K464" s="2">
        <v>45826.0</v>
      </c>
      <c r="L464" s="5"/>
      <c r="M464" s="9" t="s">
        <v>403</v>
      </c>
      <c r="N464" s="9" t="s">
        <v>23</v>
      </c>
      <c r="O464" s="10">
        <f>'data on outstanding creditors'!$E464*100/107</f>
        <v>58500</v>
      </c>
      <c r="P464" s="10">
        <f>'data on outstanding creditors'!$E464-'data on outstanding creditors'!$O464</f>
        <v>4095</v>
      </c>
      <c r="Q464" s="7">
        <f>DAY('data on outstanding creditors'!$B464)</f>
        <v>23</v>
      </c>
      <c r="R464" s="7">
        <f>MONTH('data on outstanding creditors'!$B464)</f>
        <v>5</v>
      </c>
      <c r="S464" s="7">
        <f>YEAR('data on outstanding creditors'!$B464)</f>
        <v>2025</v>
      </c>
      <c r="T464" s="11" t="str">
        <f>'data on outstanding creditors'!$C464&amp;" "&amp;'data on outstanding creditors'!$D464&amp;" "&amp;TEXT('data on outstanding creditors'!$E464,"#,##0.00")</f>
        <v>องค์การเภสัชกรรม 3001005054 62,595.00</v>
      </c>
      <c r="U464" s="12"/>
    </row>
    <row r="465" ht="13.5" customHeight="1">
      <c r="A465" s="1"/>
      <c r="B465" s="2">
        <v>45800.0</v>
      </c>
      <c r="C465" s="9" t="s">
        <v>401</v>
      </c>
      <c r="D465" s="1" t="s">
        <v>832</v>
      </c>
      <c r="E465" s="4">
        <v>1605.0</v>
      </c>
      <c r="F465" s="4"/>
      <c r="G465" s="4"/>
      <c r="H465" s="4">
        <f>'data on outstanding creditors'!$E465-'data on outstanding creditors'!$F465-'data on outstanding creditors'!$G465</f>
        <v>1605</v>
      </c>
      <c r="I465" s="2"/>
      <c r="J465" s="1" t="s">
        <v>646</v>
      </c>
      <c r="K465" s="2">
        <v>45826.0</v>
      </c>
      <c r="L465" s="5"/>
      <c r="M465" s="9" t="s">
        <v>403</v>
      </c>
      <c r="N465" s="9" t="s">
        <v>23</v>
      </c>
      <c r="O465" s="10">
        <f>'data on outstanding creditors'!$E465*100/107</f>
        <v>1500</v>
      </c>
      <c r="P465" s="10">
        <f>'data on outstanding creditors'!$E465-'data on outstanding creditors'!$O465</f>
        <v>105</v>
      </c>
      <c r="Q465" s="7">
        <f>DAY('data on outstanding creditors'!$B465)</f>
        <v>23</v>
      </c>
      <c r="R465" s="7">
        <f>MONTH('data on outstanding creditors'!$B465)</f>
        <v>5</v>
      </c>
      <c r="S465" s="7">
        <f>YEAR('data on outstanding creditors'!$B465)</f>
        <v>2025</v>
      </c>
      <c r="T465" s="11" t="str">
        <f>'data on outstanding creditors'!$C465&amp;" "&amp;'data on outstanding creditors'!$D465&amp;" "&amp;TEXT('data on outstanding creditors'!$E465,"#,##0.00")</f>
        <v>องค์การเภสัชกรรม 3001005060 1,605.00</v>
      </c>
      <c r="U465" s="12"/>
    </row>
    <row r="466" ht="13.5" customHeight="1">
      <c r="A466" s="1"/>
      <c r="B466" s="2">
        <v>45800.0</v>
      </c>
      <c r="C466" s="9" t="s">
        <v>401</v>
      </c>
      <c r="D466" s="1" t="s">
        <v>833</v>
      </c>
      <c r="E466" s="4">
        <v>5125.0</v>
      </c>
      <c r="F466" s="4"/>
      <c r="G466" s="4"/>
      <c r="H466" s="4">
        <f>'data on outstanding creditors'!$E466-'data on outstanding creditors'!$F466-'data on outstanding creditors'!$G466</f>
        <v>5125</v>
      </c>
      <c r="I466" s="2"/>
      <c r="J466" s="1" t="s">
        <v>646</v>
      </c>
      <c r="K466" s="2">
        <v>45846.0</v>
      </c>
      <c r="L466" s="5"/>
      <c r="M466" s="9" t="s">
        <v>403</v>
      </c>
      <c r="N466" s="9" t="s">
        <v>23</v>
      </c>
      <c r="O466" s="10">
        <f>'data on outstanding creditors'!$E466*100/107</f>
        <v>4789.719626</v>
      </c>
      <c r="P466" s="10">
        <f>'data on outstanding creditors'!$E466-'data on outstanding creditors'!$O466</f>
        <v>335.2803738</v>
      </c>
      <c r="Q466" s="7">
        <f>DAY('data on outstanding creditors'!$B466)</f>
        <v>23</v>
      </c>
      <c r="R466" s="7">
        <f>MONTH('data on outstanding creditors'!$B466)</f>
        <v>5</v>
      </c>
      <c r="S466" s="7">
        <f>YEAR('data on outstanding creditors'!$B466)</f>
        <v>2025</v>
      </c>
      <c r="T466" s="11" t="str">
        <f>'data on outstanding creditors'!$C466&amp;" "&amp;'data on outstanding creditors'!$D466&amp;" "&amp;TEXT('data on outstanding creditors'!$E466,"#,##0.00")</f>
        <v>องค์การเภสัชกรรม 3001005683 5,125.00</v>
      </c>
      <c r="U466" s="12"/>
    </row>
    <row r="467" ht="13.5" customHeight="1">
      <c r="A467" s="1"/>
      <c r="B467" s="2">
        <v>45800.0</v>
      </c>
      <c r="C467" s="9" t="s">
        <v>401</v>
      </c>
      <c r="D467" s="1" t="s">
        <v>834</v>
      </c>
      <c r="E467" s="4">
        <v>18750.0</v>
      </c>
      <c r="F467" s="4"/>
      <c r="G467" s="4"/>
      <c r="H467" s="4">
        <f>'data on outstanding creditors'!$E467-'data on outstanding creditors'!$F467-'data on outstanding creditors'!$G467</f>
        <v>18750</v>
      </c>
      <c r="I467" s="2"/>
      <c r="J467" s="1" t="s">
        <v>646</v>
      </c>
      <c r="K467" s="2">
        <v>45826.0</v>
      </c>
      <c r="L467" s="5"/>
      <c r="M467" s="9" t="s">
        <v>403</v>
      </c>
      <c r="N467" s="9" t="s">
        <v>23</v>
      </c>
      <c r="O467" s="10">
        <f>'data on outstanding creditors'!$E467*100/107</f>
        <v>17523.36449</v>
      </c>
      <c r="P467" s="10">
        <f>'data on outstanding creditors'!$E467-'data on outstanding creditors'!$O467</f>
        <v>1226.635514</v>
      </c>
      <c r="Q467" s="7">
        <f>DAY('data on outstanding creditors'!$B467)</f>
        <v>23</v>
      </c>
      <c r="R467" s="7">
        <f>MONTH('data on outstanding creditors'!$B467)</f>
        <v>5</v>
      </c>
      <c r="S467" s="7">
        <f>YEAR('data on outstanding creditors'!$B467)</f>
        <v>2025</v>
      </c>
      <c r="T467" s="11" t="str">
        <f>'data on outstanding creditors'!$C467&amp;" "&amp;'data on outstanding creditors'!$D467&amp;" "&amp;TEXT('data on outstanding creditors'!$E467,"#,##0.00")</f>
        <v>องค์การเภสัชกรรม 3001005042 18,750.00</v>
      </c>
      <c r="U467" s="12"/>
    </row>
    <row r="468" ht="13.5" customHeight="1">
      <c r="A468" s="1"/>
      <c r="B468" s="2">
        <v>45800.0</v>
      </c>
      <c r="C468" s="9" t="s">
        <v>401</v>
      </c>
      <c r="D468" s="1" t="s">
        <v>835</v>
      </c>
      <c r="E468" s="4">
        <v>109568.0</v>
      </c>
      <c r="F468" s="4"/>
      <c r="G468" s="4"/>
      <c r="H468" s="4">
        <f>'data on outstanding creditors'!$E468-'data on outstanding creditors'!$F468-'data on outstanding creditors'!$G468</f>
        <v>109568</v>
      </c>
      <c r="I468" s="2"/>
      <c r="J468" s="1" t="s">
        <v>646</v>
      </c>
      <c r="K468" s="2">
        <v>45826.0</v>
      </c>
      <c r="L468" s="5"/>
      <c r="M468" s="9" t="s">
        <v>403</v>
      </c>
      <c r="N468" s="9" t="s">
        <v>23</v>
      </c>
      <c r="O468" s="10">
        <f>'data on outstanding creditors'!$E468*100/107</f>
        <v>102400</v>
      </c>
      <c r="P468" s="10">
        <f>'data on outstanding creditors'!$E468-'data on outstanding creditors'!$O468</f>
        <v>7168</v>
      </c>
      <c r="Q468" s="7">
        <f>DAY('data on outstanding creditors'!$B468)</f>
        <v>23</v>
      </c>
      <c r="R468" s="7">
        <f>MONTH('data on outstanding creditors'!$B468)</f>
        <v>5</v>
      </c>
      <c r="S468" s="7">
        <f>YEAR('data on outstanding creditors'!$B468)</f>
        <v>2025</v>
      </c>
      <c r="T468" s="11" t="str">
        <f>'data on outstanding creditors'!$C468&amp;" "&amp;'data on outstanding creditors'!$D468&amp;" "&amp;TEXT('data on outstanding creditors'!$E468,"#,##0.00")</f>
        <v>องค์การเภสัชกรรม 3001005158 109,568.00</v>
      </c>
      <c r="U468" s="12"/>
    </row>
    <row r="469" ht="13.5" customHeight="1">
      <c r="A469" s="1"/>
      <c r="B469" s="2">
        <v>45800.0</v>
      </c>
      <c r="C469" s="9" t="s">
        <v>401</v>
      </c>
      <c r="D469" s="1" t="s">
        <v>836</v>
      </c>
      <c r="E469" s="4">
        <v>32100.0</v>
      </c>
      <c r="F469" s="4"/>
      <c r="G469" s="4"/>
      <c r="H469" s="4">
        <f>'data on outstanding creditors'!$E469-'data on outstanding creditors'!$F469-'data on outstanding creditors'!$G469</f>
        <v>32100</v>
      </c>
      <c r="I469" s="2"/>
      <c r="J469" s="1" t="s">
        <v>646</v>
      </c>
      <c r="K469" s="2">
        <v>45826.0</v>
      </c>
      <c r="L469" s="5"/>
      <c r="M469" s="9" t="s">
        <v>403</v>
      </c>
      <c r="N469" s="9" t="s">
        <v>23</v>
      </c>
      <c r="O469" s="10">
        <f>'data on outstanding creditors'!$E469*100/107</f>
        <v>30000</v>
      </c>
      <c r="P469" s="10">
        <f>'data on outstanding creditors'!$E469-'data on outstanding creditors'!$O469</f>
        <v>2100</v>
      </c>
      <c r="Q469" s="7">
        <f>DAY('data on outstanding creditors'!$B469)</f>
        <v>23</v>
      </c>
      <c r="R469" s="7">
        <f>MONTH('data on outstanding creditors'!$B469)</f>
        <v>5</v>
      </c>
      <c r="S469" s="7">
        <f>YEAR('data on outstanding creditors'!$B469)</f>
        <v>2025</v>
      </c>
      <c r="T469" s="11" t="str">
        <f>'data on outstanding creditors'!$C469&amp;" "&amp;'data on outstanding creditors'!$D469&amp;" "&amp;TEXT('data on outstanding creditors'!$E469,"#,##0.00")</f>
        <v>องค์การเภสัชกรรม 3001007727 32,100.00</v>
      </c>
      <c r="U469" s="12"/>
    </row>
    <row r="470" ht="13.5" customHeight="1">
      <c r="A470" s="1"/>
      <c r="B470" s="2">
        <v>45800.0</v>
      </c>
      <c r="C470" s="9" t="s">
        <v>401</v>
      </c>
      <c r="D470" s="1" t="s">
        <v>837</v>
      </c>
      <c r="E470" s="4">
        <v>10700.0</v>
      </c>
      <c r="F470" s="4"/>
      <c r="G470" s="4"/>
      <c r="H470" s="4">
        <f>'data on outstanding creditors'!$E470-'data on outstanding creditors'!$F470-'data on outstanding creditors'!$G470</f>
        <v>10700</v>
      </c>
      <c r="I470" s="2"/>
      <c r="J470" s="1" t="s">
        <v>646</v>
      </c>
      <c r="K470" s="2">
        <v>45826.0</v>
      </c>
      <c r="L470" s="5"/>
      <c r="M470" s="9" t="s">
        <v>403</v>
      </c>
      <c r="N470" s="9" t="s">
        <v>23</v>
      </c>
      <c r="O470" s="10">
        <f>'data on outstanding creditors'!$E470*100/107</f>
        <v>10000</v>
      </c>
      <c r="P470" s="10">
        <f>'data on outstanding creditors'!$E470-'data on outstanding creditors'!$O470</f>
        <v>700</v>
      </c>
      <c r="Q470" s="7">
        <f>DAY('data on outstanding creditors'!$B470)</f>
        <v>23</v>
      </c>
      <c r="R470" s="7">
        <f>MONTH('data on outstanding creditors'!$B470)</f>
        <v>5</v>
      </c>
      <c r="S470" s="7">
        <f>YEAR('data on outstanding creditors'!$B470)</f>
        <v>2025</v>
      </c>
      <c r="T470" s="11" t="str">
        <f>'data on outstanding creditors'!$C470&amp;" "&amp;'data on outstanding creditors'!$D470&amp;" "&amp;TEXT('data on outstanding creditors'!$E470,"#,##0.00")</f>
        <v>องค์การเภสัชกรรม 3001008462 10,700.00</v>
      </c>
      <c r="U470" s="12"/>
    </row>
    <row r="471" ht="13.5" customHeight="1">
      <c r="A471" s="1"/>
      <c r="B471" s="2">
        <v>45800.0</v>
      </c>
      <c r="C471" s="9" t="s">
        <v>401</v>
      </c>
      <c r="D471" s="1" t="s">
        <v>838</v>
      </c>
      <c r="E471" s="4">
        <v>20544.0</v>
      </c>
      <c r="F471" s="4"/>
      <c r="G471" s="4"/>
      <c r="H471" s="4">
        <f>'data on outstanding creditors'!$E471-'data on outstanding creditors'!$F471-'data on outstanding creditors'!$G471</f>
        <v>20544</v>
      </c>
      <c r="I471" s="2"/>
      <c r="J471" s="1" t="s">
        <v>646</v>
      </c>
      <c r="K471" s="2">
        <v>45826.0</v>
      </c>
      <c r="L471" s="5"/>
      <c r="M471" s="9" t="s">
        <v>403</v>
      </c>
      <c r="N471" s="9" t="s">
        <v>23</v>
      </c>
      <c r="O471" s="10">
        <f>'data on outstanding creditors'!$E471*100/107</f>
        <v>19200</v>
      </c>
      <c r="P471" s="10">
        <f>'data on outstanding creditors'!$E471-'data on outstanding creditors'!$O471</f>
        <v>1344</v>
      </c>
      <c r="Q471" s="7">
        <f>DAY('data on outstanding creditors'!$B471)</f>
        <v>23</v>
      </c>
      <c r="R471" s="7">
        <f>MONTH('data on outstanding creditors'!$B471)</f>
        <v>5</v>
      </c>
      <c r="S471" s="7">
        <f>YEAR('data on outstanding creditors'!$B471)</f>
        <v>2025</v>
      </c>
      <c r="T471" s="11" t="str">
        <f>'data on outstanding creditors'!$C471&amp;" "&amp;'data on outstanding creditors'!$D471&amp;" "&amp;TEXT('data on outstanding creditors'!$E471,"#,##0.00")</f>
        <v>องค์การเภสัชกรรม 3001008274 20,544.00</v>
      </c>
      <c r="U471" s="12"/>
    </row>
    <row r="472" ht="13.5" customHeight="1">
      <c r="A472" s="1"/>
      <c r="B472" s="2">
        <v>45804.0</v>
      </c>
      <c r="C472" s="9" t="s">
        <v>401</v>
      </c>
      <c r="D472" s="1" t="s">
        <v>839</v>
      </c>
      <c r="E472" s="4">
        <v>8988.0</v>
      </c>
      <c r="F472" s="4"/>
      <c r="G472" s="4"/>
      <c r="H472" s="4">
        <f>'data on outstanding creditors'!$E472-'data on outstanding creditors'!$F472-'data on outstanding creditors'!$G472</f>
        <v>8988</v>
      </c>
      <c r="I472" s="2"/>
      <c r="J472" s="1" t="s">
        <v>646</v>
      </c>
      <c r="K472" s="2">
        <v>45846.0</v>
      </c>
      <c r="L472" s="5"/>
      <c r="M472" s="9" t="s">
        <v>403</v>
      </c>
      <c r="N472" s="9" t="s">
        <v>23</v>
      </c>
      <c r="O472" s="10">
        <f>'data on outstanding creditors'!$E472*100/107</f>
        <v>8400</v>
      </c>
      <c r="P472" s="10">
        <f>'data on outstanding creditors'!$E472-'data on outstanding creditors'!$O472</f>
        <v>588</v>
      </c>
      <c r="Q472" s="7">
        <f>DAY('data on outstanding creditors'!$B472)</f>
        <v>27</v>
      </c>
      <c r="R472" s="7">
        <f>MONTH('data on outstanding creditors'!$B472)</f>
        <v>5</v>
      </c>
      <c r="S472" s="7">
        <f>YEAR('data on outstanding creditors'!$B472)</f>
        <v>2025</v>
      </c>
      <c r="T472" s="11" t="str">
        <f>'data on outstanding creditors'!$C472&amp;" "&amp;'data on outstanding creditors'!$D472&amp;" "&amp;TEXT('data on outstanding creditors'!$E472,"#,##0.00")</f>
        <v>องค์การเภสัชกรรม 3001007175 8,988.00</v>
      </c>
      <c r="U472" s="12"/>
    </row>
    <row r="473" ht="13.5" customHeight="1">
      <c r="A473" s="1"/>
      <c r="B473" s="2">
        <v>45805.0</v>
      </c>
      <c r="C473" s="9" t="s">
        <v>401</v>
      </c>
      <c r="D473" s="1" t="s">
        <v>840</v>
      </c>
      <c r="E473" s="4">
        <v>5350.0</v>
      </c>
      <c r="F473" s="4"/>
      <c r="G473" s="4"/>
      <c r="H473" s="4">
        <f>'data on outstanding creditors'!$E473-'data on outstanding creditors'!$F473-'data on outstanding creditors'!$G473</f>
        <v>5350</v>
      </c>
      <c r="I473" s="2"/>
      <c r="J473" s="1" t="s">
        <v>646</v>
      </c>
      <c r="K473" s="2">
        <v>45826.0</v>
      </c>
      <c r="L473" s="5"/>
      <c r="M473" s="9" t="s">
        <v>403</v>
      </c>
      <c r="N473" s="9" t="s">
        <v>23</v>
      </c>
      <c r="O473" s="10">
        <f>'data on outstanding creditors'!$E473*100/107</f>
        <v>5000</v>
      </c>
      <c r="P473" s="10">
        <f>'data on outstanding creditors'!$E473-'data on outstanding creditors'!$O473</f>
        <v>350</v>
      </c>
      <c r="Q473" s="7">
        <f>DAY('data on outstanding creditors'!$B473)</f>
        <v>28</v>
      </c>
      <c r="R473" s="7">
        <f>MONTH('data on outstanding creditors'!$B473)</f>
        <v>5</v>
      </c>
      <c r="S473" s="7">
        <f>YEAR('data on outstanding creditors'!$B473)</f>
        <v>2025</v>
      </c>
      <c r="T473" s="11" t="str">
        <f>'data on outstanding creditors'!$C473&amp;" "&amp;'data on outstanding creditors'!$D473&amp;" "&amp;TEXT('data on outstanding creditors'!$E473,"#,##0.00")</f>
        <v>องค์การเภสัชกรรม 3001011194 5,350.00</v>
      </c>
      <c r="U473" s="12"/>
    </row>
    <row r="474" ht="13.5" customHeight="1">
      <c r="A474" s="1"/>
      <c r="B474" s="2">
        <v>45805.0</v>
      </c>
      <c r="C474" s="9" t="s">
        <v>401</v>
      </c>
      <c r="D474" s="1" t="s">
        <v>841</v>
      </c>
      <c r="E474" s="4">
        <v>18297.0</v>
      </c>
      <c r="F474" s="4"/>
      <c r="G474" s="4"/>
      <c r="H474" s="4">
        <f>'data on outstanding creditors'!$E474-'data on outstanding creditors'!$F474-'data on outstanding creditors'!$G474</f>
        <v>18297</v>
      </c>
      <c r="I474" s="2"/>
      <c r="J474" s="1" t="s">
        <v>646</v>
      </c>
      <c r="K474" s="2">
        <v>45826.0</v>
      </c>
      <c r="L474" s="5"/>
      <c r="M474" s="9" t="s">
        <v>403</v>
      </c>
      <c r="N474" s="9" t="s">
        <v>23</v>
      </c>
      <c r="O474" s="10">
        <f>'data on outstanding creditors'!$E474*100/107</f>
        <v>17100</v>
      </c>
      <c r="P474" s="10">
        <f>'data on outstanding creditors'!$E474-'data on outstanding creditors'!$O474</f>
        <v>1197</v>
      </c>
      <c r="Q474" s="7">
        <f>DAY('data on outstanding creditors'!$B474)</f>
        <v>28</v>
      </c>
      <c r="R474" s="7">
        <f>MONTH('data on outstanding creditors'!$B474)</f>
        <v>5</v>
      </c>
      <c r="S474" s="7">
        <f>YEAR('data on outstanding creditors'!$B474)</f>
        <v>2025</v>
      </c>
      <c r="T474" s="11" t="str">
        <f>'data on outstanding creditors'!$C474&amp;" "&amp;'data on outstanding creditors'!$D474&amp;" "&amp;TEXT('data on outstanding creditors'!$E474,"#,##0.00")</f>
        <v>องค์การเภสัชกรรม 3001011785 18,297.00</v>
      </c>
      <c r="U474" s="12"/>
    </row>
    <row r="475" ht="13.5" customHeight="1">
      <c r="A475" s="1"/>
      <c r="B475" s="2">
        <v>45814.0</v>
      </c>
      <c r="C475" s="9" t="s">
        <v>401</v>
      </c>
      <c r="D475" s="1" t="s">
        <v>842</v>
      </c>
      <c r="E475" s="4">
        <v>115560.0</v>
      </c>
      <c r="F475" s="4"/>
      <c r="G475" s="4"/>
      <c r="H475" s="4">
        <f>'data on outstanding creditors'!$E475-'data on outstanding creditors'!$F475-'data on outstanding creditors'!$G475</f>
        <v>115560</v>
      </c>
      <c r="I475" s="2"/>
      <c r="J475" s="1" t="s">
        <v>646</v>
      </c>
      <c r="K475" s="2">
        <v>45846.0</v>
      </c>
      <c r="L475" s="5"/>
      <c r="M475" s="9" t="s">
        <v>403</v>
      </c>
      <c r="N475" s="9" t="s">
        <v>23</v>
      </c>
      <c r="O475" s="10">
        <f>'data on outstanding creditors'!$E475*100/107</f>
        <v>108000</v>
      </c>
      <c r="P475" s="10">
        <f>'data on outstanding creditors'!$E475-'data on outstanding creditors'!$O475</f>
        <v>7560</v>
      </c>
      <c r="Q475" s="7">
        <f>DAY('data on outstanding creditors'!$B475)</f>
        <v>6</v>
      </c>
      <c r="R475" s="7">
        <f>MONTH('data on outstanding creditors'!$B475)</f>
        <v>6</v>
      </c>
      <c r="S475" s="7">
        <f>YEAR('data on outstanding creditors'!$B475)</f>
        <v>2025</v>
      </c>
      <c r="T475" s="11" t="str">
        <f>'data on outstanding creditors'!$C475&amp;" "&amp;'data on outstanding creditors'!$D475&amp;" "&amp;TEXT('data on outstanding creditors'!$E475,"#,##0.00")</f>
        <v>องค์การเภสัชกรรม 3001013500 115,560.00</v>
      </c>
      <c r="U475" s="12"/>
    </row>
    <row r="476" ht="13.5" customHeight="1">
      <c r="A476" s="1"/>
      <c r="B476" s="2">
        <v>45814.0</v>
      </c>
      <c r="C476" s="9" t="s">
        <v>401</v>
      </c>
      <c r="D476" s="1" t="s">
        <v>843</v>
      </c>
      <c r="E476" s="4">
        <v>89880.0</v>
      </c>
      <c r="F476" s="4"/>
      <c r="G476" s="4"/>
      <c r="H476" s="4">
        <f>'data on outstanding creditors'!$E476-'data on outstanding creditors'!$F476-'data on outstanding creditors'!$G476</f>
        <v>89880</v>
      </c>
      <c r="I476" s="2"/>
      <c r="J476" s="1" t="s">
        <v>646</v>
      </c>
      <c r="K476" s="2">
        <v>45846.0</v>
      </c>
      <c r="L476" s="5"/>
      <c r="M476" s="9" t="s">
        <v>403</v>
      </c>
      <c r="N476" s="9" t="s">
        <v>23</v>
      </c>
      <c r="O476" s="10">
        <f>'data on outstanding creditors'!$E476*100/107</f>
        <v>84000</v>
      </c>
      <c r="P476" s="10">
        <f>'data on outstanding creditors'!$E476-'data on outstanding creditors'!$O476</f>
        <v>5880</v>
      </c>
      <c r="Q476" s="7">
        <f>DAY('data on outstanding creditors'!$B476)</f>
        <v>6</v>
      </c>
      <c r="R476" s="7">
        <f>MONTH('data on outstanding creditors'!$B476)</f>
        <v>6</v>
      </c>
      <c r="S476" s="7">
        <f>YEAR('data on outstanding creditors'!$B476)</f>
        <v>2025</v>
      </c>
      <c r="T476" s="11" t="str">
        <f>'data on outstanding creditors'!$C476&amp;" "&amp;'data on outstanding creditors'!$D476&amp;" "&amp;TEXT('data on outstanding creditors'!$E476,"#,##0.00")</f>
        <v>องค์การเภสัชกรรม 3001013634 89,880.00</v>
      </c>
      <c r="U476" s="12"/>
    </row>
    <row r="477" ht="13.5" customHeight="1">
      <c r="A477" s="1"/>
      <c r="B477" s="2">
        <v>45814.0</v>
      </c>
      <c r="C477" s="9" t="s">
        <v>401</v>
      </c>
      <c r="D477" s="1" t="s">
        <v>844</v>
      </c>
      <c r="E477" s="4">
        <v>32100.0</v>
      </c>
      <c r="F477" s="4"/>
      <c r="G477" s="4"/>
      <c r="H477" s="4">
        <f>'data on outstanding creditors'!$E477-'data on outstanding creditors'!$F477-'data on outstanding creditors'!$G477</f>
        <v>32100</v>
      </c>
      <c r="I477" s="2"/>
      <c r="J477" s="1" t="s">
        <v>646</v>
      </c>
      <c r="K477" s="2">
        <v>45846.0</v>
      </c>
      <c r="L477" s="5"/>
      <c r="M477" s="9" t="s">
        <v>403</v>
      </c>
      <c r="N477" s="9" t="s">
        <v>23</v>
      </c>
      <c r="O477" s="10">
        <f>'data on outstanding creditors'!$E477*100/107</f>
        <v>30000</v>
      </c>
      <c r="P477" s="10">
        <f>'data on outstanding creditors'!$E477-'data on outstanding creditors'!$O477</f>
        <v>2100</v>
      </c>
      <c r="Q477" s="7">
        <f>DAY('data on outstanding creditors'!$B477)</f>
        <v>6</v>
      </c>
      <c r="R477" s="7">
        <f>MONTH('data on outstanding creditors'!$B477)</f>
        <v>6</v>
      </c>
      <c r="S477" s="7">
        <f>YEAR('data on outstanding creditors'!$B477)</f>
        <v>2025</v>
      </c>
      <c r="T477" s="11" t="str">
        <f>'data on outstanding creditors'!$C477&amp;" "&amp;'data on outstanding creditors'!$D477&amp;" "&amp;TEXT('data on outstanding creditors'!$E477,"#,##0.00")</f>
        <v>องค์การเภสัชกรรม 3001013646 32,100.00</v>
      </c>
      <c r="U477" s="12"/>
    </row>
    <row r="478" ht="13.5" customHeight="1">
      <c r="A478" s="1"/>
      <c r="B478" s="2">
        <v>45819.0</v>
      </c>
      <c r="C478" s="9" t="s">
        <v>401</v>
      </c>
      <c r="D478" s="1" t="s">
        <v>845</v>
      </c>
      <c r="E478" s="4">
        <v>138672.0</v>
      </c>
      <c r="F478" s="4"/>
      <c r="G478" s="4"/>
      <c r="H478" s="4">
        <f>'data on outstanding creditors'!$E478-'data on outstanding creditors'!$F478-'data on outstanding creditors'!$G478</f>
        <v>138672</v>
      </c>
      <c r="I478" s="2"/>
      <c r="J478" s="1" t="s">
        <v>646</v>
      </c>
      <c r="K478" s="2">
        <v>45846.0</v>
      </c>
      <c r="L478" s="5"/>
      <c r="M478" s="9" t="s">
        <v>403</v>
      </c>
      <c r="N478" s="9" t="s">
        <v>23</v>
      </c>
      <c r="O478" s="10">
        <f>'data on outstanding creditors'!$E478*100/107</f>
        <v>129600</v>
      </c>
      <c r="P478" s="10">
        <f>'data on outstanding creditors'!$E478-'data on outstanding creditors'!$O478</f>
        <v>9072</v>
      </c>
      <c r="Q478" s="7">
        <f>DAY('data on outstanding creditors'!$B478)</f>
        <v>11</v>
      </c>
      <c r="R478" s="7">
        <f>MONTH('data on outstanding creditors'!$B478)</f>
        <v>6</v>
      </c>
      <c r="S478" s="7">
        <f>YEAR('data on outstanding creditors'!$B478)</f>
        <v>2025</v>
      </c>
      <c r="T478" s="11" t="str">
        <f>'data on outstanding creditors'!$C478&amp;" "&amp;'data on outstanding creditors'!$D478&amp;" "&amp;TEXT('data on outstanding creditors'!$E478,"#,##0.00")</f>
        <v>องค์การเภสัชกรรม 3001015896 138,672.00</v>
      </c>
      <c r="U478" s="12"/>
    </row>
    <row r="479" ht="13.5" customHeight="1">
      <c r="A479" s="1"/>
      <c r="B479" s="2">
        <v>45819.0</v>
      </c>
      <c r="C479" s="9" t="s">
        <v>401</v>
      </c>
      <c r="D479" s="1" t="s">
        <v>846</v>
      </c>
      <c r="E479" s="4">
        <v>18297.0</v>
      </c>
      <c r="F479" s="4"/>
      <c r="G479" s="4"/>
      <c r="H479" s="4">
        <f>'data on outstanding creditors'!$E479-'data on outstanding creditors'!$F479-'data on outstanding creditors'!$G479</f>
        <v>18297</v>
      </c>
      <c r="I479" s="2"/>
      <c r="J479" s="1" t="s">
        <v>646</v>
      </c>
      <c r="K479" s="2">
        <v>45876.0</v>
      </c>
      <c r="L479" s="5"/>
      <c r="M479" s="9" t="s">
        <v>403</v>
      </c>
      <c r="N479" s="9" t="s">
        <v>23</v>
      </c>
      <c r="O479" s="10">
        <f>'data on outstanding creditors'!$E479*100/107</f>
        <v>17100</v>
      </c>
      <c r="P479" s="10">
        <f>'data on outstanding creditors'!$E479-'data on outstanding creditors'!$O479</f>
        <v>1197</v>
      </c>
      <c r="Q479" s="7">
        <f>DAY('data on outstanding creditors'!$B479)</f>
        <v>11</v>
      </c>
      <c r="R479" s="7">
        <f>MONTH('data on outstanding creditors'!$B479)</f>
        <v>6</v>
      </c>
      <c r="S479" s="7">
        <f>YEAR('data on outstanding creditors'!$B479)</f>
        <v>2025</v>
      </c>
      <c r="T479" s="11" t="str">
        <f>'data on outstanding creditors'!$C479&amp;" "&amp;'data on outstanding creditors'!$D479&amp;" "&amp;TEXT('data on outstanding creditors'!$E479,"#,##0.00")</f>
        <v>องค์การเภสัชกรรม 3001014100 18,297.00</v>
      </c>
      <c r="U479" s="12"/>
    </row>
    <row r="480" ht="13.5" customHeight="1">
      <c r="A480" s="1"/>
      <c r="B480" s="2">
        <v>45819.0</v>
      </c>
      <c r="C480" s="9" t="s">
        <v>401</v>
      </c>
      <c r="D480" s="1" t="s">
        <v>847</v>
      </c>
      <c r="E480" s="4">
        <v>10978.2</v>
      </c>
      <c r="F480" s="4"/>
      <c r="G480" s="4"/>
      <c r="H480" s="4">
        <f>'data on outstanding creditors'!$E480-'data on outstanding creditors'!$F480-'data on outstanding creditors'!$G480</f>
        <v>10978.2</v>
      </c>
      <c r="I480" s="2"/>
      <c r="J480" s="1" t="s">
        <v>646</v>
      </c>
      <c r="K480" s="2">
        <v>45876.0</v>
      </c>
      <c r="L480" s="5"/>
      <c r="M480" s="9" t="s">
        <v>403</v>
      </c>
      <c r="N480" s="9" t="s">
        <v>23</v>
      </c>
      <c r="O480" s="10">
        <f>'data on outstanding creditors'!$E480*100/107</f>
        <v>10260</v>
      </c>
      <c r="P480" s="10">
        <f>'data on outstanding creditors'!$E480-'data on outstanding creditors'!$O480</f>
        <v>718.2</v>
      </c>
      <c r="Q480" s="7">
        <f>DAY('data on outstanding creditors'!$B480)</f>
        <v>11</v>
      </c>
      <c r="R480" s="7">
        <f>MONTH('data on outstanding creditors'!$B480)</f>
        <v>6</v>
      </c>
      <c r="S480" s="7">
        <f>YEAR('data on outstanding creditors'!$B480)</f>
        <v>2025</v>
      </c>
      <c r="T480" s="11" t="str">
        <f>'data on outstanding creditors'!$C480&amp;" "&amp;'data on outstanding creditors'!$D480&amp;" "&amp;TEXT('data on outstanding creditors'!$E480,"#,##0.00")</f>
        <v>องค์การเภสัชกรรม 3001016535 10,978.20</v>
      </c>
      <c r="U480" s="12"/>
    </row>
    <row r="481" ht="13.5" customHeight="1">
      <c r="A481" s="1"/>
      <c r="B481" s="2">
        <v>45819.0</v>
      </c>
      <c r="C481" s="9" t="s">
        <v>401</v>
      </c>
      <c r="D481" s="1" t="s">
        <v>848</v>
      </c>
      <c r="E481" s="4">
        <v>10978.2</v>
      </c>
      <c r="F481" s="4"/>
      <c r="G481" s="4"/>
      <c r="H481" s="4">
        <f>'data on outstanding creditors'!$E481-'data on outstanding creditors'!$F481-'data on outstanding creditors'!$G481</f>
        <v>10978.2</v>
      </c>
      <c r="I481" s="2"/>
      <c r="J481" s="1" t="s">
        <v>646</v>
      </c>
      <c r="K481" s="2">
        <v>45876.0</v>
      </c>
      <c r="L481" s="5"/>
      <c r="M481" s="9" t="s">
        <v>403</v>
      </c>
      <c r="N481" s="9" t="s">
        <v>23</v>
      </c>
      <c r="O481" s="10">
        <f>'data on outstanding creditors'!$E481*100/107</f>
        <v>10260</v>
      </c>
      <c r="P481" s="10">
        <f>'data on outstanding creditors'!$E481-'data on outstanding creditors'!$O481</f>
        <v>718.2</v>
      </c>
      <c r="Q481" s="7">
        <f>DAY('data on outstanding creditors'!$B481)</f>
        <v>11</v>
      </c>
      <c r="R481" s="7">
        <f>MONTH('data on outstanding creditors'!$B481)</f>
        <v>6</v>
      </c>
      <c r="S481" s="7">
        <f>YEAR('data on outstanding creditors'!$B481)</f>
        <v>2025</v>
      </c>
      <c r="T481" s="11" t="str">
        <f>'data on outstanding creditors'!$C481&amp;" "&amp;'data on outstanding creditors'!$D481&amp;" "&amp;TEXT('data on outstanding creditors'!$E481,"#,##0.00")</f>
        <v>องค์การเภสัชกรรม 3001017918 10,978.20</v>
      </c>
      <c r="U481" s="12"/>
    </row>
    <row r="482" ht="13.5" customHeight="1">
      <c r="A482" s="1"/>
      <c r="B482" s="2">
        <v>45819.0</v>
      </c>
      <c r="C482" s="9" t="s">
        <v>401</v>
      </c>
      <c r="D482" s="1" t="s">
        <v>849</v>
      </c>
      <c r="E482" s="4">
        <v>10000.0</v>
      </c>
      <c r="F482" s="4"/>
      <c r="G482" s="4"/>
      <c r="H482" s="4">
        <f>'data on outstanding creditors'!$E482-'data on outstanding creditors'!$F482-'data on outstanding creditors'!$G482</f>
        <v>10000</v>
      </c>
      <c r="I482" s="2"/>
      <c r="J482" s="1" t="s">
        <v>646</v>
      </c>
      <c r="K482" s="2">
        <v>45846.0</v>
      </c>
      <c r="L482" s="5"/>
      <c r="M482" s="9" t="s">
        <v>403</v>
      </c>
      <c r="N482" s="9" t="s">
        <v>23</v>
      </c>
      <c r="O482" s="10">
        <f>'data on outstanding creditors'!$E482*100/107</f>
        <v>9345.794393</v>
      </c>
      <c r="P482" s="10">
        <f>'data on outstanding creditors'!$E482-'data on outstanding creditors'!$O482</f>
        <v>654.2056075</v>
      </c>
      <c r="Q482" s="7">
        <f>DAY('data on outstanding creditors'!$B482)</f>
        <v>11</v>
      </c>
      <c r="R482" s="7">
        <f>MONTH('data on outstanding creditors'!$B482)</f>
        <v>6</v>
      </c>
      <c r="S482" s="7">
        <f>YEAR('data on outstanding creditors'!$B482)</f>
        <v>2025</v>
      </c>
      <c r="T482" s="11" t="str">
        <f>'data on outstanding creditors'!$C482&amp;" "&amp;'data on outstanding creditors'!$D482&amp;" "&amp;TEXT('data on outstanding creditors'!$E482,"#,##0.00")</f>
        <v>องค์การเภสัชกรรม 3001016200 10,000.00</v>
      </c>
      <c r="U482" s="12"/>
    </row>
    <row r="483" ht="13.5" customHeight="1">
      <c r="A483" s="1"/>
      <c r="B483" s="2">
        <v>45820.0</v>
      </c>
      <c r="C483" s="9" t="s">
        <v>401</v>
      </c>
      <c r="D483" s="1" t="s">
        <v>850</v>
      </c>
      <c r="E483" s="4">
        <v>10700.0</v>
      </c>
      <c r="F483" s="4"/>
      <c r="G483" s="4"/>
      <c r="H483" s="4">
        <f>'data on outstanding creditors'!$E483-'data on outstanding creditors'!$F483-'data on outstanding creditors'!$G483</f>
        <v>10700</v>
      </c>
      <c r="I483" s="2"/>
      <c r="J483" s="1" t="s">
        <v>646</v>
      </c>
      <c r="K483" s="2">
        <v>45846.0</v>
      </c>
      <c r="L483" s="5"/>
      <c r="M483" s="9" t="s">
        <v>403</v>
      </c>
      <c r="N483" s="9" t="s">
        <v>23</v>
      </c>
      <c r="O483" s="10">
        <f>'data on outstanding creditors'!$E483*100/107</f>
        <v>10000</v>
      </c>
      <c r="P483" s="10">
        <f>'data on outstanding creditors'!$E483-'data on outstanding creditors'!$O483</f>
        <v>700</v>
      </c>
      <c r="Q483" s="7">
        <f>DAY('data on outstanding creditors'!$B483)</f>
        <v>12</v>
      </c>
      <c r="R483" s="7">
        <f>MONTH('data on outstanding creditors'!$B483)</f>
        <v>6</v>
      </c>
      <c r="S483" s="7">
        <f>YEAR('data on outstanding creditors'!$B483)</f>
        <v>2025</v>
      </c>
      <c r="T483" s="11" t="str">
        <f>'data on outstanding creditors'!$C483&amp;" "&amp;'data on outstanding creditors'!$D483&amp;" "&amp;TEXT('data on outstanding creditors'!$E483,"#,##0.00")</f>
        <v>องค์การเภสัชกรรม 3001019788 10,700.00</v>
      </c>
      <c r="U483" s="12"/>
    </row>
    <row r="484" ht="13.5" customHeight="1">
      <c r="A484" s="1"/>
      <c r="B484" s="2">
        <v>45827.0</v>
      </c>
      <c r="C484" s="9" t="s">
        <v>401</v>
      </c>
      <c r="D484" s="1" t="s">
        <v>851</v>
      </c>
      <c r="E484" s="4">
        <v>129000.0</v>
      </c>
      <c r="F484" s="4"/>
      <c r="G484" s="4"/>
      <c r="H484" s="4">
        <f>'data on outstanding creditors'!$E484-'data on outstanding creditors'!$F484-'data on outstanding creditors'!$G484</f>
        <v>129000</v>
      </c>
      <c r="I484" s="2"/>
      <c r="J484" s="1" t="s">
        <v>646</v>
      </c>
      <c r="K484" s="2">
        <v>45876.0</v>
      </c>
      <c r="L484" s="5"/>
      <c r="M484" s="9" t="s">
        <v>403</v>
      </c>
      <c r="N484" s="9" t="s">
        <v>23</v>
      </c>
      <c r="O484" s="10">
        <f>'data on outstanding creditors'!$E484*100/107</f>
        <v>120560.7477</v>
      </c>
      <c r="P484" s="10">
        <f>'data on outstanding creditors'!$E484-'data on outstanding creditors'!$O484</f>
        <v>8439.252336</v>
      </c>
      <c r="Q484" s="7">
        <f>DAY('data on outstanding creditors'!$B484)</f>
        <v>19</v>
      </c>
      <c r="R484" s="7">
        <f>MONTH('data on outstanding creditors'!$B484)</f>
        <v>6</v>
      </c>
      <c r="S484" s="7">
        <f>YEAR('data on outstanding creditors'!$B484)</f>
        <v>2025</v>
      </c>
      <c r="T484" s="11" t="str">
        <f>'data on outstanding creditors'!$C484&amp;" "&amp;'data on outstanding creditors'!$D484&amp;" "&amp;TEXT('data on outstanding creditors'!$E484,"#,##0.00")</f>
        <v>องค์การเภสัชกรรม 3001020023 129,000.00</v>
      </c>
      <c r="U484" s="12"/>
    </row>
    <row r="485" ht="13.5" customHeight="1">
      <c r="A485" s="1"/>
      <c r="B485" s="2">
        <v>45827.0</v>
      </c>
      <c r="C485" s="9" t="s">
        <v>401</v>
      </c>
      <c r="D485" s="1" t="s">
        <v>852</v>
      </c>
      <c r="E485" s="4">
        <v>31000.0</v>
      </c>
      <c r="F485" s="4"/>
      <c r="G485" s="4"/>
      <c r="H485" s="4">
        <f>'data on outstanding creditors'!$E485-'data on outstanding creditors'!$F485-'data on outstanding creditors'!$G485</f>
        <v>31000</v>
      </c>
      <c r="I485" s="2"/>
      <c r="J485" s="1" t="s">
        <v>646</v>
      </c>
      <c r="K485" s="2">
        <v>45876.0</v>
      </c>
      <c r="L485" s="5"/>
      <c r="M485" s="9" t="s">
        <v>403</v>
      </c>
      <c r="N485" s="9" t="s">
        <v>23</v>
      </c>
      <c r="O485" s="10">
        <f>'data on outstanding creditors'!$E485*100/107</f>
        <v>28971.96262</v>
      </c>
      <c r="P485" s="10">
        <f>'data on outstanding creditors'!$E485-'data on outstanding creditors'!$O485</f>
        <v>2028.037383</v>
      </c>
      <c r="Q485" s="7">
        <f>DAY('data on outstanding creditors'!$B485)</f>
        <v>19</v>
      </c>
      <c r="R485" s="7">
        <f>MONTH('data on outstanding creditors'!$B485)</f>
        <v>6</v>
      </c>
      <c r="S485" s="7">
        <f>YEAR('data on outstanding creditors'!$B485)</f>
        <v>2025</v>
      </c>
      <c r="T485" s="11" t="str">
        <f>'data on outstanding creditors'!$C485&amp;" "&amp;'data on outstanding creditors'!$D485&amp;" "&amp;TEXT('data on outstanding creditors'!$E485,"#,##0.00")</f>
        <v>องค์การเภสัชกรรม 3001022799 31,000.00</v>
      </c>
      <c r="U485" s="12"/>
    </row>
    <row r="486" ht="13.5" customHeight="1">
      <c r="A486" s="1"/>
      <c r="B486" s="2">
        <v>45827.0</v>
      </c>
      <c r="C486" s="9" t="s">
        <v>401</v>
      </c>
      <c r="D486" s="1" t="s">
        <v>853</v>
      </c>
      <c r="E486" s="4">
        <v>3531.0</v>
      </c>
      <c r="F486" s="4"/>
      <c r="G486" s="4"/>
      <c r="H486" s="4">
        <f>'data on outstanding creditors'!$E486-'data on outstanding creditors'!$F486-'data on outstanding creditors'!$G486</f>
        <v>3531</v>
      </c>
      <c r="I486" s="2"/>
      <c r="J486" s="1" t="s">
        <v>646</v>
      </c>
      <c r="K486" s="2">
        <v>45876.0</v>
      </c>
      <c r="L486" s="5"/>
      <c r="M486" s="9" t="s">
        <v>403</v>
      </c>
      <c r="N486" s="9" t="s">
        <v>23</v>
      </c>
      <c r="O486" s="10">
        <f>'data on outstanding creditors'!$E486*100/107</f>
        <v>3300</v>
      </c>
      <c r="P486" s="10">
        <f>'data on outstanding creditors'!$E486-'data on outstanding creditors'!$O486</f>
        <v>231</v>
      </c>
      <c r="Q486" s="7">
        <f>DAY('data on outstanding creditors'!$B486)</f>
        <v>19</v>
      </c>
      <c r="R486" s="7">
        <f>MONTH('data on outstanding creditors'!$B486)</f>
        <v>6</v>
      </c>
      <c r="S486" s="7">
        <f>YEAR('data on outstanding creditors'!$B486)</f>
        <v>2025</v>
      </c>
      <c r="T486" s="11" t="str">
        <f>'data on outstanding creditors'!$C486&amp;" "&amp;'data on outstanding creditors'!$D486&amp;" "&amp;TEXT('data on outstanding creditors'!$E486,"#,##0.00")</f>
        <v>องค์การเภสัชกรรม 3001021552 3,531.00</v>
      </c>
      <c r="U486" s="12"/>
    </row>
    <row r="487" ht="13.5" customHeight="1">
      <c r="A487" s="1"/>
      <c r="B487" s="2">
        <v>45827.0</v>
      </c>
      <c r="C487" s="9" t="s">
        <v>401</v>
      </c>
      <c r="D487" s="1" t="s">
        <v>854</v>
      </c>
      <c r="E487" s="4">
        <v>14980.0</v>
      </c>
      <c r="F487" s="4"/>
      <c r="G487" s="4"/>
      <c r="H487" s="4">
        <f>'data on outstanding creditors'!$E487-'data on outstanding creditors'!$F487-'data on outstanding creditors'!$G487</f>
        <v>14980</v>
      </c>
      <c r="I487" s="2"/>
      <c r="J487" s="1" t="s">
        <v>646</v>
      </c>
      <c r="K487" s="2">
        <v>45876.0</v>
      </c>
      <c r="L487" s="5"/>
      <c r="M487" s="9" t="s">
        <v>403</v>
      </c>
      <c r="N487" s="9" t="s">
        <v>23</v>
      </c>
      <c r="O487" s="10">
        <f>'data on outstanding creditors'!$E487*100/107</f>
        <v>14000</v>
      </c>
      <c r="P487" s="10">
        <f>'data on outstanding creditors'!$E487-'data on outstanding creditors'!$O487</f>
        <v>980</v>
      </c>
      <c r="Q487" s="7">
        <f>DAY('data on outstanding creditors'!$B487)</f>
        <v>19</v>
      </c>
      <c r="R487" s="7">
        <f>MONTH('data on outstanding creditors'!$B487)</f>
        <v>6</v>
      </c>
      <c r="S487" s="7">
        <f>YEAR('data on outstanding creditors'!$B487)</f>
        <v>2025</v>
      </c>
      <c r="T487" s="11" t="str">
        <f>'data on outstanding creditors'!$C487&amp;" "&amp;'data on outstanding creditors'!$D487&amp;" "&amp;TEXT('data on outstanding creditors'!$E487,"#,##0.00")</f>
        <v>องค์การเภสัชกรรม 3001019323 14,980.00</v>
      </c>
      <c r="U487" s="12"/>
    </row>
    <row r="488" ht="13.5" customHeight="1">
      <c r="A488" s="1"/>
      <c r="B488" s="2">
        <v>45827.0</v>
      </c>
      <c r="C488" s="9" t="s">
        <v>401</v>
      </c>
      <c r="D488" s="1" t="s">
        <v>855</v>
      </c>
      <c r="E488" s="4">
        <v>29425.0</v>
      </c>
      <c r="F488" s="4"/>
      <c r="G488" s="4"/>
      <c r="H488" s="4">
        <f>'data on outstanding creditors'!$E488-'data on outstanding creditors'!$F488-'data on outstanding creditors'!$G488</f>
        <v>29425</v>
      </c>
      <c r="I488" s="2"/>
      <c r="J488" s="1" t="s">
        <v>646</v>
      </c>
      <c r="K488" s="2">
        <v>45876.0</v>
      </c>
      <c r="L488" s="5"/>
      <c r="M488" s="9" t="s">
        <v>403</v>
      </c>
      <c r="N488" s="9" t="s">
        <v>23</v>
      </c>
      <c r="O488" s="10">
        <f>'data on outstanding creditors'!$E488*100/107</f>
        <v>27500</v>
      </c>
      <c r="P488" s="10">
        <f>'data on outstanding creditors'!$E488-'data on outstanding creditors'!$O488</f>
        <v>1925</v>
      </c>
      <c r="Q488" s="7">
        <f>DAY('data on outstanding creditors'!$B488)</f>
        <v>19</v>
      </c>
      <c r="R488" s="7">
        <f>MONTH('data on outstanding creditors'!$B488)</f>
        <v>6</v>
      </c>
      <c r="S488" s="7">
        <f>YEAR('data on outstanding creditors'!$B488)</f>
        <v>2025</v>
      </c>
      <c r="T488" s="11" t="str">
        <f>'data on outstanding creditors'!$C488&amp;" "&amp;'data on outstanding creditors'!$D488&amp;" "&amp;TEXT('data on outstanding creditors'!$E488,"#,##0.00")</f>
        <v>องค์การเภสัชกรรม 3001020524 29,425.00</v>
      </c>
      <c r="U488" s="12"/>
    </row>
    <row r="489" ht="13.5" customHeight="1">
      <c r="A489" s="1"/>
      <c r="B489" s="2">
        <v>45827.0</v>
      </c>
      <c r="C489" s="9" t="s">
        <v>401</v>
      </c>
      <c r="D489" s="1" t="s">
        <v>856</v>
      </c>
      <c r="E489" s="4">
        <v>85600.0</v>
      </c>
      <c r="F489" s="4"/>
      <c r="G489" s="4"/>
      <c r="H489" s="4">
        <f>'data on outstanding creditors'!$E489-'data on outstanding creditors'!$F489-'data on outstanding creditors'!$G489</f>
        <v>85600</v>
      </c>
      <c r="I489" s="2"/>
      <c r="J489" s="1" t="s">
        <v>646</v>
      </c>
      <c r="K489" s="2">
        <v>45876.0</v>
      </c>
      <c r="L489" s="5"/>
      <c r="M489" s="9" t="s">
        <v>403</v>
      </c>
      <c r="N489" s="9" t="s">
        <v>23</v>
      </c>
      <c r="O489" s="10">
        <f>'data on outstanding creditors'!$E489*100/107</f>
        <v>80000</v>
      </c>
      <c r="P489" s="10">
        <f>'data on outstanding creditors'!$E489-'data on outstanding creditors'!$O489</f>
        <v>5600</v>
      </c>
      <c r="Q489" s="7">
        <f>DAY('data on outstanding creditors'!$B489)</f>
        <v>19</v>
      </c>
      <c r="R489" s="7">
        <f>MONTH('data on outstanding creditors'!$B489)</f>
        <v>6</v>
      </c>
      <c r="S489" s="7">
        <f>YEAR('data on outstanding creditors'!$B489)</f>
        <v>2025</v>
      </c>
      <c r="T489" s="11" t="str">
        <f>'data on outstanding creditors'!$C489&amp;" "&amp;'data on outstanding creditors'!$D489&amp;" "&amp;TEXT('data on outstanding creditors'!$E489,"#,##0.00")</f>
        <v>องค์การเภสัชกรรม 3001019809 85,600.00</v>
      </c>
      <c r="U489" s="12"/>
    </row>
    <row r="490" ht="13.5" customHeight="1">
      <c r="A490" s="1"/>
      <c r="B490" s="2">
        <v>45827.0</v>
      </c>
      <c r="C490" s="9" t="s">
        <v>401</v>
      </c>
      <c r="D490" s="1" t="s">
        <v>857</v>
      </c>
      <c r="E490" s="4">
        <v>105930.0</v>
      </c>
      <c r="F490" s="4"/>
      <c r="G490" s="4"/>
      <c r="H490" s="4">
        <f>'data on outstanding creditors'!$E490-'data on outstanding creditors'!$F490-'data on outstanding creditors'!$G490</f>
        <v>105930</v>
      </c>
      <c r="I490" s="2"/>
      <c r="J490" s="1" t="s">
        <v>646</v>
      </c>
      <c r="K490" s="2">
        <v>45876.0</v>
      </c>
      <c r="L490" s="5"/>
      <c r="M490" s="9" t="s">
        <v>403</v>
      </c>
      <c r="N490" s="9" t="s">
        <v>23</v>
      </c>
      <c r="O490" s="10">
        <f>'data on outstanding creditors'!$E490*100/107</f>
        <v>99000</v>
      </c>
      <c r="P490" s="10">
        <f>'data on outstanding creditors'!$E490-'data on outstanding creditors'!$O490</f>
        <v>6930</v>
      </c>
      <c r="Q490" s="7">
        <f>DAY('data on outstanding creditors'!$B490)</f>
        <v>19</v>
      </c>
      <c r="R490" s="7">
        <f>MONTH('data on outstanding creditors'!$B490)</f>
        <v>6</v>
      </c>
      <c r="S490" s="7">
        <f>YEAR('data on outstanding creditors'!$B490)</f>
        <v>2025</v>
      </c>
      <c r="T490" s="11" t="str">
        <f>'data on outstanding creditors'!$C490&amp;" "&amp;'data on outstanding creditors'!$D490&amp;" "&amp;TEXT('data on outstanding creditors'!$E490,"#,##0.00")</f>
        <v>องค์การเภสัชกรรม 3001021513 105,930.00</v>
      </c>
      <c r="U490" s="12"/>
    </row>
    <row r="491" ht="13.5" customHeight="1">
      <c r="A491" s="1"/>
      <c r="B491" s="2">
        <v>45841.0</v>
      </c>
      <c r="C491" s="9" t="s">
        <v>401</v>
      </c>
      <c r="D491" s="1" t="s">
        <v>858</v>
      </c>
      <c r="E491" s="4">
        <v>7909.44</v>
      </c>
      <c r="F491" s="4"/>
      <c r="G491" s="4"/>
      <c r="H491" s="4">
        <f>'data on outstanding creditors'!$E491-'data on outstanding creditors'!$F491-'data on outstanding creditors'!$G491</f>
        <v>7909.44</v>
      </c>
      <c r="I491" s="2"/>
      <c r="J491" s="1" t="s">
        <v>646</v>
      </c>
      <c r="K491" s="2">
        <v>45876.0</v>
      </c>
      <c r="L491" s="5"/>
      <c r="M491" s="9" t="s">
        <v>403</v>
      </c>
      <c r="N491" s="9" t="s">
        <v>23</v>
      </c>
      <c r="O491" s="10">
        <f>'data on outstanding creditors'!$E491*100/107</f>
        <v>7392</v>
      </c>
      <c r="P491" s="10">
        <f>'data on outstanding creditors'!$E491-'data on outstanding creditors'!$O491</f>
        <v>517.44</v>
      </c>
      <c r="Q491" s="7">
        <f>DAY('data on outstanding creditors'!$B491)</f>
        <v>3</v>
      </c>
      <c r="R491" s="7">
        <f>MONTH('data on outstanding creditors'!$B491)</f>
        <v>7</v>
      </c>
      <c r="S491" s="7">
        <f>YEAR('data on outstanding creditors'!$B491)</f>
        <v>2025</v>
      </c>
      <c r="T491" s="11" t="str">
        <f>'data on outstanding creditors'!$C491&amp;" "&amp;'data on outstanding creditors'!$D491&amp;" "&amp;TEXT('data on outstanding creditors'!$E491,"#,##0.00")</f>
        <v>องค์การเภสัชกรรม 3001021117 7,909.44</v>
      </c>
      <c r="U491" s="12"/>
    </row>
    <row r="492" ht="13.5" customHeight="1">
      <c r="A492" s="1"/>
      <c r="B492" s="2">
        <v>45841.0</v>
      </c>
      <c r="C492" s="9" t="s">
        <v>401</v>
      </c>
      <c r="D492" s="1" t="s">
        <v>859</v>
      </c>
      <c r="E492" s="4">
        <v>16906.0</v>
      </c>
      <c r="F492" s="4"/>
      <c r="G492" s="4"/>
      <c r="H492" s="4">
        <f>'data on outstanding creditors'!$E492-'data on outstanding creditors'!$F492-'data on outstanding creditors'!$G492</f>
        <v>16906</v>
      </c>
      <c r="I492" s="2"/>
      <c r="J492" s="1" t="s">
        <v>646</v>
      </c>
      <c r="K492" s="2">
        <v>45876.0</v>
      </c>
      <c r="L492" s="5"/>
      <c r="M492" s="9" t="s">
        <v>403</v>
      </c>
      <c r="N492" s="9" t="s">
        <v>23</v>
      </c>
      <c r="O492" s="10">
        <f>'data on outstanding creditors'!$E492*100/107</f>
        <v>15800</v>
      </c>
      <c r="P492" s="10">
        <f>'data on outstanding creditors'!$E492-'data on outstanding creditors'!$O492</f>
        <v>1106</v>
      </c>
      <c r="Q492" s="7">
        <f>DAY('data on outstanding creditors'!$B492)</f>
        <v>3</v>
      </c>
      <c r="R492" s="7">
        <f>MONTH('data on outstanding creditors'!$B492)</f>
        <v>7</v>
      </c>
      <c r="S492" s="7">
        <f>YEAR('data on outstanding creditors'!$B492)</f>
        <v>2025</v>
      </c>
      <c r="T492" s="11" t="str">
        <f>'data on outstanding creditors'!$C492&amp;" "&amp;'data on outstanding creditors'!$D492&amp;" "&amp;TEXT('data on outstanding creditors'!$E492,"#,##0.00")</f>
        <v>องค์การเภสัชกรรม 3001028678 16,906.00</v>
      </c>
      <c r="U492" s="12"/>
    </row>
    <row r="493" ht="13.5" customHeight="1">
      <c r="A493" s="1"/>
      <c r="B493" s="2">
        <v>45841.0</v>
      </c>
      <c r="C493" s="9" t="s">
        <v>401</v>
      </c>
      <c r="D493" s="1" t="s">
        <v>860</v>
      </c>
      <c r="E493" s="4">
        <v>13910.0</v>
      </c>
      <c r="F493" s="4"/>
      <c r="G493" s="4"/>
      <c r="H493" s="4">
        <f>'data on outstanding creditors'!$E493-'data on outstanding creditors'!$F493-'data on outstanding creditors'!$G493</f>
        <v>13910</v>
      </c>
      <c r="I493" s="2"/>
      <c r="J493" s="1" t="s">
        <v>646</v>
      </c>
      <c r="K493" s="2">
        <v>45876.0</v>
      </c>
      <c r="L493" s="5"/>
      <c r="M493" s="9" t="s">
        <v>403</v>
      </c>
      <c r="N493" s="9" t="s">
        <v>23</v>
      </c>
      <c r="O493" s="10">
        <f>'data on outstanding creditors'!$E493*100/107</f>
        <v>13000</v>
      </c>
      <c r="P493" s="10">
        <f>'data on outstanding creditors'!$E493-'data on outstanding creditors'!$O493</f>
        <v>910</v>
      </c>
      <c r="Q493" s="7">
        <f>DAY('data on outstanding creditors'!$B493)</f>
        <v>3</v>
      </c>
      <c r="R493" s="7">
        <f>MONTH('data on outstanding creditors'!$B493)</f>
        <v>7</v>
      </c>
      <c r="S493" s="7">
        <f>YEAR('data on outstanding creditors'!$B493)</f>
        <v>2025</v>
      </c>
      <c r="T493" s="11" t="str">
        <f>'data on outstanding creditors'!$C493&amp;" "&amp;'data on outstanding creditors'!$D493&amp;" "&amp;TEXT('data on outstanding creditors'!$E493,"#,##0.00")</f>
        <v>องค์การเภสัชกรรม 3001026047 13,910.00</v>
      </c>
      <c r="U493" s="12"/>
    </row>
    <row r="494" ht="13.5" customHeight="1">
      <c r="A494" s="1"/>
      <c r="B494" s="2">
        <v>45841.0</v>
      </c>
      <c r="C494" s="9" t="s">
        <v>401</v>
      </c>
      <c r="D494" s="1" t="s">
        <v>861</v>
      </c>
      <c r="E494" s="4">
        <v>21400.0</v>
      </c>
      <c r="F494" s="4"/>
      <c r="G494" s="4"/>
      <c r="H494" s="4">
        <f>'data on outstanding creditors'!$E494-'data on outstanding creditors'!$F494-'data on outstanding creditors'!$G494</f>
        <v>21400</v>
      </c>
      <c r="I494" s="2"/>
      <c r="J494" s="1" t="s">
        <v>646</v>
      </c>
      <c r="K494" s="2">
        <v>45876.0</v>
      </c>
      <c r="L494" s="5"/>
      <c r="M494" s="9" t="s">
        <v>403</v>
      </c>
      <c r="N494" s="9" t="s">
        <v>23</v>
      </c>
      <c r="O494" s="10">
        <f>'data on outstanding creditors'!$E494*100/107</f>
        <v>20000</v>
      </c>
      <c r="P494" s="10">
        <f>'data on outstanding creditors'!$E494-'data on outstanding creditors'!$O494</f>
        <v>1400</v>
      </c>
      <c r="Q494" s="7">
        <f>DAY('data on outstanding creditors'!$B494)</f>
        <v>3</v>
      </c>
      <c r="R494" s="7">
        <f>MONTH('data on outstanding creditors'!$B494)</f>
        <v>7</v>
      </c>
      <c r="S494" s="7">
        <f>YEAR('data on outstanding creditors'!$B494)</f>
        <v>2025</v>
      </c>
      <c r="T494" s="11" t="str">
        <f>'data on outstanding creditors'!$C494&amp;" "&amp;'data on outstanding creditors'!$D494&amp;" "&amp;TEXT('data on outstanding creditors'!$E494,"#,##0.00")</f>
        <v>องค์การเภสัชกรรม 3001030613 21,400.00</v>
      </c>
      <c r="U494" s="12"/>
    </row>
    <row r="495" ht="13.5" customHeight="1">
      <c r="A495" s="1"/>
      <c r="B495" s="2">
        <v>45841.0</v>
      </c>
      <c r="C495" s="9" t="s">
        <v>401</v>
      </c>
      <c r="D495" s="1" t="s">
        <v>862</v>
      </c>
      <c r="E495" s="4">
        <v>32100.0</v>
      </c>
      <c r="F495" s="4"/>
      <c r="G495" s="4"/>
      <c r="H495" s="4">
        <f>'data on outstanding creditors'!$E495-'data on outstanding creditors'!$F495-'data on outstanding creditors'!$G495</f>
        <v>32100</v>
      </c>
      <c r="I495" s="2"/>
      <c r="J495" s="1" t="s">
        <v>646</v>
      </c>
      <c r="K495" s="2">
        <v>45876.0</v>
      </c>
      <c r="L495" s="5"/>
      <c r="M495" s="9" t="s">
        <v>403</v>
      </c>
      <c r="N495" s="9" t="s">
        <v>23</v>
      </c>
      <c r="O495" s="10">
        <f>'data on outstanding creditors'!$E495*100/107</f>
        <v>30000</v>
      </c>
      <c r="P495" s="10">
        <f>'data on outstanding creditors'!$E495-'data on outstanding creditors'!$O495</f>
        <v>2100</v>
      </c>
      <c r="Q495" s="7">
        <f>DAY('data on outstanding creditors'!$B495)</f>
        <v>3</v>
      </c>
      <c r="R495" s="7">
        <f>MONTH('data on outstanding creditors'!$B495)</f>
        <v>7</v>
      </c>
      <c r="S495" s="7">
        <f>YEAR('data on outstanding creditors'!$B495)</f>
        <v>2025</v>
      </c>
      <c r="T495" s="11" t="str">
        <f>'data on outstanding creditors'!$C495&amp;" "&amp;'data on outstanding creditors'!$D495&amp;" "&amp;TEXT('data on outstanding creditors'!$E495,"#,##0.00")</f>
        <v>องค์การเภสัชกรรม 3001026741 32,100.00</v>
      </c>
      <c r="U495" s="12"/>
    </row>
    <row r="496" ht="13.5" customHeight="1">
      <c r="A496" s="1"/>
      <c r="B496" s="2">
        <v>45841.0</v>
      </c>
      <c r="C496" s="9" t="s">
        <v>401</v>
      </c>
      <c r="D496" s="1" t="s">
        <v>863</v>
      </c>
      <c r="E496" s="4">
        <v>10058.0</v>
      </c>
      <c r="F496" s="4"/>
      <c r="G496" s="4"/>
      <c r="H496" s="4">
        <f>'data on outstanding creditors'!$E496-'data on outstanding creditors'!$F496-'data on outstanding creditors'!$G496</f>
        <v>10058</v>
      </c>
      <c r="I496" s="2"/>
      <c r="J496" s="1" t="s">
        <v>646</v>
      </c>
      <c r="K496" s="2">
        <v>45876.0</v>
      </c>
      <c r="L496" s="5"/>
      <c r="M496" s="9" t="s">
        <v>403</v>
      </c>
      <c r="N496" s="9" t="s">
        <v>23</v>
      </c>
      <c r="O496" s="10">
        <f>'data on outstanding creditors'!$E496*100/107</f>
        <v>9400</v>
      </c>
      <c r="P496" s="10">
        <f>'data on outstanding creditors'!$E496-'data on outstanding creditors'!$O496</f>
        <v>658</v>
      </c>
      <c r="Q496" s="7">
        <f>DAY('data on outstanding creditors'!$B496)</f>
        <v>3</v>
      </c>
      <c r="R496" s="7">
        <f>MONTH('data on outstanding creditors'!$B496)</f>
        <v>7</v>
      </c>
      <c r="S496" s="7">
        <f>YEAR('data on outstanding creditors'!$B496)</f>
        <v>2025</v>
      </c>
      <c r="T496" s="11" t="str">
        <f>'data on outstanding creditors'!$C496&amp;" "&amp;'data on outstanding creditors'!$D496&amp;" "&amp;TEXT('data on outstanding creditors'!$E496,"#,##0.00")</f>
        <v>องค์การเภสัชกรรม 3001030920 10,058.00</v>
      </c>
      <c r="U496" s="12"/>
    </row>
    <row r="497" ht="13.5" customHeight="1">
      <c r="A497" s="1"/>
      <c r="B497" s="2">
        <v>45841.0</v>
      </c>
      <c r="C497" s="9" t="s">
        <v>401</v>
      </c>
      <c r="D497" s="1" t="s">
        <v>864</v>
      </c>
      <c r="E497" s="4">
        <v>5350.0</v>
      </c>
      <c r="F497" s="4"/>
      <c r="G497" s="4"/>
      <c r="H497" s="4">
        <f>'data on outstanding creditors'!$E497-'data on outstanding creditors'!$F497-'data on outstanding creditors'!$G497</f>
        <v>5350</v>
      </c>
      <c r="I497" s="2"/>
      <c r="J497" s="1" t="s">
        <v>646</v>
      </c>
      <c r="K497" s="2">
        <v>45876.0</v>
      </c>
      <c r="L497" s="5"/>
      <c r="M497" s="9" t="s">
        <v>403</v>
      </c>
      <c r="N497" s="9" t="s">
        <v>23</v>
      </c>
      <c r="O497" s="10">
        <f>'data on outstanding creditors'!$E497*100/107</f>
        <v>5000</v>
      </c>
      <c r="P497" s="10">
        <f>'data on outstanding creditors'!$E497-'data on outstanding creditors'!$O497</f>
        <v>350</v>
      </c>
      <c r="Q497" s="7">
        <f>DAY('data on outstanding creditors'!$B497)</f>
        <v>3</v>
      </c>
      <c r="R497" s="7">
        <f>MONTH('data on outstanding creditors'!$B497)</f>
        <v>7</v>
      </c>
      <c r="S497" s="7">
        <f>YEAR('data on outstanding creditors'!$B497)</f>
        <v>2025</v>
      </c>
      <c r="T497" s="11" t="str">
        <f>'data on outstanding creditors'!$C497&amp;" "&amp;'data on outstanding creditors'!$D497&amp;" "&amp;TEXT('data on outstanding creditors'!$E497,"#,##0.00")</f>
        <v>องค์การเภสัชกรรม 3001030819 5,350.00</v>
      </c>
      <c r="U497" s="12"/>
    </row>
    <row r="498" ht="13.5" customHeight="1">
      <c r="A498" s="1"/>
      <c r="B498" s="2">
        <v>45841.0</v>
      </c>
      <c r="C498" s="9" t="s">
        <v>401</v>
      </c>
      <c r="D498" s="1" t="s">
        <v>865</v>
      </c>
      <c r="E498" s="4">
        <v>132000.0</v>
      </c>
      <c r="F498" s="4"/>
      <c r="G498" s="4"/>
      <c r="H498" s="4">
        <f>'data on outstanding creditors'!$E498-'data on outstanding creditors'!$F498-'data on outstanding creditors'!$G498</f>
        <v>132000</v>
      </c>
      <c r="I498" s="2"/>
      <c r="J498" s="1" t="s">
        <v>646</v>
      </c>
      <c r="K498" s="2">
        <v>45876.0</v>
      </c>
      <c r="L498" s="5"/>
      <c r="M498" s="9" t="s">
        <v>403</v>
      </c>
      <c r="N498" s="9" t="s">
        <v>23</v>
      </c>
      <c r="O498" s="10">
        <f>'data on outstanding creditors'!$E498*100/107</f>
        <v>123364.486</v>
      </c>
      <c r="P498" s="10">
        <f>'data on outstanding creditors'!$E498-'data on outstanding creditors'!$O498</f>
        <v>8635.514019</v>
      </c>
      <c r="Q498" s="7">
        <f>DAY('data on outstanding creditors'!$B498)</f>
        <v>3</v>
      </c>
      <c r="R498" s="7">
        <f>MONTH('data on outstanding creditors'!$B498)</f>
        <v>7</v>
      </c>
      <c r="S498" s="7">
        <f>YEAR('data on outstanding creditors'!$B498)</f>
        <v>2025</v>
      </c>
      <c r="T498" s="11" t="str">
        <f>'data on outstanding creditors'!$C498&amp;" "&amp;'data on outstanding creditors'!$D498&amp;" "&amp;TEXT('data on outstanding creditors'!$E498,"#,##0.00")</f>
        <v>องค์การเภสัชกรรม 3001030503 132,000.00</v>
      </c>
      <c r="U498" s="12"/>
    </row>
    <row r="499" ht="13.5" customHeight="1">
      <c r="A499" s="1"/>
      <c r="B499" s="2">
        <v>45841.0</v>
      </c>
      <c r="C499" s="9" t="s">
        <v>401</v>
      </c>
      <c r="D499" s="1" t="s">
        <v>866</v>
      </c>
      <c r="E499" s="4">
        <v>21069.6</v>
      </c>
      <c r="F499" s="4"/>
      <c r="G499" s="4"/>
      <c r="H499" s="4">
        <f>'data on outstanding creditors'!$E499-'data on outstanding creditors'!$F499-'data on outstanding creditors'!$G499</f>
        <v>21069.6</v>
      </c>
      <c r="I499" s="2"/>
      <c r="J499" s="1" t="s">
        <v>646</v>
      </c>
      <c r="K499" s="2">
        <v>45876.0</v>
      </c>
      <c r="L499" s="5"/>
      <c r="M499" s="9" t="s">
        <v>403</v>
      </c>
      <c r="N499" s="9" t="s">
        <v>23</v>
      </c>
      <c r="O499" s="10">
        <f>'data on outstanding creditors'!$E499*100/107</f>
        <v>19691.21495</v>
      </c>
      <c r="P499" s="10">
        <f>'data on outstanding creditors'!$E499-'data on outstanding creditors'!$O499</f>
        <v>1378.385047</v>
      </c>
      <c r="Q499" s="7">
        <f>DAY('data on outstanding creditors'!$B499)</f>
        <v>3</v>
      </c>
      <c r="R499" s="7">
        <f>MONTH('data on outstanding creditors'!$B499)</f>
        <v>7</v>
      </c>
      <c r="S499" s="7">
        <f>YEAR('data on outstanding creditors'!$B499)</f>
        <v>2025</v>
      </c>
      <c r="T499" s="11" t="str">
        <f>'data on outstanding creditors'!$C499&amp;" "&amp;'data on outstanding creditors'!$D499&amp;" "&amp;TEXT('data on outstanding creditors'!$E499,"#,##0.00")</f>
        <v>องค์การเภสัชกรรม 3001030647 21,069.60</v>
      </c>
      <c r="U499" s="12"/>
    </row>
    <row r="500" ht="13.5" customHeight="1">
      <c r="A500" s="1"/>
      <c r="B500" s="2">
        <v>45841.0</v>
      </c>
      <c r="C500" s="9" t="s">
        <v>401</v>
      </c>
      <c r="D500" s="1" t="s">
        <v>867</v>
      </c>
      <c r="E500" s="4">
        <v>1605.0</v>
      </c>
      <c r="F500" s="4"/>
      <c r="G500" s="4"/>
      <c r="H500" s="4">
        <f>'data on outstanding creditors'!$E500-'data on outstanding creditors'!$F500-'data on outstanding creditors'!$G500</f>
        <v>1605</v>
      </c>
      <c r="I500" s="2"/>
      <c r="J500" s="1" t="s">
        <v>646</v>
      </c>
      <c r="K500" s="2">
        <v>45876.0</v>
      </c>
      <c r="L500" s="5"/>
      <c r="M500" s="9" t="s">
        <v>403</v>
      </c>
      <c r="N500" s="9" t="s">
        <v>23</v>
      </c>
      <c r="O500" s="10">
        <f>'data on outstanding creditors'!$E500*100/107</f>
        <v>1500</v>
      </c>
      <c r="P500" s="10">
        <f>'data on outstanding creditors'!$E500-'data on outstanding creditors'!$O500</f>
        <v>105</v>
      </c>
      <c r="Q500" s="7">
        <f>DAY('data on outstanding creditors'!$B500)</f>
        <v>3</v>
      </c>
      <c r="R500" s="7">
        <f>MONTH('data on outstanding creditors'!$B500)</f>
        <v>7</v>
      </c>
      <c r="S500" s="7">
        <f>YEAR('data on outstanding creditors'!$B500)</f>
        <v>2025</v>
      </c>
      <c r="T500" s="11" t="str">
        <f>'data on outstanding creditors'!$C500&amp;" "&amp;'data on outstanding creditors'!$D500&amp;" "&amp;TEXT('data on outstanding creditors'!$E500,"#,##0.00")</f>
        <v>องค์การเภสัชกรรม 3001030581 1,605.00</v>
      </c>
      <c r="U500" s="12"/>
    </row>
    <row r="501" ht="13.5" customHeight="1">
      <c r="A501" s="1"/>
      <c r="B501" s="2">
        <v>45841.0</v>
      </c>
      <c r="C501" s="9" t="s">
        <v>401</v>
      </c>
      <c r="D501" s="1" t="s">
        <v>868</v>
      </c>
      <c r="E501" s="4">
        <v>21000.0</v>
      </c>
      <c r="F501" s="4"/>
      <c r="G501" s="4"/>
      <c r="H501" s="4">
        <f>'data on outstanding creditors'!$E501-'data on outstanding creditors'!$F501-'data on outstanding creditors'!$G501</f>
        <v>21000</v>
      </c>
      <c r="I501" s="2"/>
      <c r="J501" s="1" t="s">
        <v>646</v>
      </c>
      <c r="K501" s="2">
        <v>45876.0</v>
      </c>
      <c r="L501" s="5"/>
      <c r="M501" s="9" t="s">
        <v>403</v>
      </c>
      <c r="N501" s="9" t="s">
        <v>23</v>
      </c>
      <c r="O501" s="10">
        <f>'data on outstanding creditors'!$E501*100/107</f>
        <v>19626.16822</v>
      </c>
      <c r="P501" s="10">
        <f>'data on outstanding creditors'!$E501-'data on outstanding creditors'!$O501</f>
        <v>1373.831776</v>
      </c>
      <c r="Q501" s="7">
        <f>DAY('data on outstanding creditors'!$B501)</f>
        <v>3</v>
      </c>
      <c r="R501" s="7">
        <f>MONTH('data on outstanding creditors'!$B501)</f>
        <v>7</v>
      </c>
      <c r="S501" s="7">
        <f>YEAR('data on outstanding creditors'!$B501)</f>
        <v>2025</v>
      </c>
      <c r="T501" s="11" t="str">
        <f>'data on outstanding creditors'!$C501&amp;" "&amp;'data on outstanding creditors'!$D501&amp;" "&amp;TEXT('data on outstanding creditors'!$E501,"#,##0.00")</f>
        <v>องค์การเภสัชกรรม 3001030818 21,000.00</v>
      </c>
      <c r="U501" s="12"/>
    </row>
    <row r="502" ht="13.5" customHeight="1">
      <c r="A502" s="1"/>
      <c r="B502" s="2">
        <v>45846.0</v>
      </c>
      <c r="C502" s="9" t="s">
        <v>401</v>
      </c>
      <c r="D502" s="1" t="s">
        <v>869</v>
      </c>
      <c r="E502" s="4">
        <v>17660.0</v>
      </c>
      <c r="F502" s="4"/>
      <c r="G502" s="4"/>
      <c r="H502" s="4">
        <f>'data on outstanding creditors'!$E502-'data on outstanding creditors'!$F502-'data on outstanding creditors'!$G502</f>
        <v>17660</v>
      </c>
      <c r="I502" s="2"/>
      <c r="J502" s="1" t="s">
        <v>646</v>
      </c>
      <c r="K502" s="2">
        <v>45876.0</v>
      </c>
      <c r="L502" s="5"/>
      <c r="M502" s="9" t="s">
        <v>403</v>
      </c>
      <c r="N502" s="9" t="s">
        <v>23</v>
      </c>
      <c r="O502" s="10">
        <f>'data on outstanding creditors'!$E502*100/107</f>
        <v>16504.6729</v>
      </c>
      <c r="P502" s="10">
        <f>'data on outstanding creditors'!$E502-'data on outstanding creditors'!$O502</f>
        <v>1155.327103</v>
      </c>
      <c r="Q502" s="7">
        <f>DAY('data on outstanding creditors'!$B502)</f>
        <v>8</v>
      </c>
      <c r="R502" s="7">
        <f>MONTH('data on outstanding creditors'!$B502)</f>
        <v>7</v>
      </c>
      <c r="S502" s="7">
        <f>YEAR('data on outstanding creditors'!$B502)</f>
        <v>2025</v>
      </c>
      <c r="T502" s="11" t="str">
        <f>'data on outstanding creditors'!$C502&amp;" "&amp;'data on outstanding creditors'!$D502&amp;" "&amp;TEXT('data on outstanding creditors'!$E502,"#,##0.00")</f>
        <v>องค์การเภสัชกรรม 3001032408 17,660.00</v>
      </c>
      <c r="U502" s="12"/>
    </row>
    <row r="503" ht="13.5" customHeight="1">
      <c r="A503" s="1"/>
      <c r="B503" s="2">
        <v>45853.0</v>
      </c>
      <c r="C503" s="9" t="s">
        <v>401</v>
      </c>
      <c r="D503" s="1" t="s">
        <v>870</v>
      </c>
      <c r="E503" s="4">
        <v>12807.9</v>
      </c>
      <c r="F503" s="4"/>
      <c r="G503" s="4"/>
      <c r="H503" s="4">
        <f>'data on outstanding creditors'!$E503-'data on outstanding creditors'!$F503-'data on outstanding creditors'!$G503</f>
        <v>12807.9</v>
      </c>
      <c r="I503" s="2"/>
      <c r="J503" s="1" t="s">
        <v>646</v>
      </c>
      <c r="K503" s="2">
        <v>45876.0</v>
      </c>
      <c r="L503" s="5"/>
      <c r="M503" s="9" t="s">
        <v>403</v>
      </c>
      <c r="N503" s="9" t="s">
        <v>23</v>
      </c>
      <c r="O503" s="10">
        <f>'data on outstanding creditors'!$E503*100/107</f>
        <v>11970</v>
      </c>
      <c r="P503" s="10">
        <f>'data on outstanding creditors'!$E503-'data on outstanding creditors'!$O503</f>
        <v>837.9</v>
      </c>
      <c r="Q503" s="7">
        <f>DAY('data on outstanding creditors'!$B503)</f>
        <v>15</v>
      </c>
      <c r="R503" s="7">
        <f>MONTH('data on outstanding creditors'!$B503)</f>
        <v>7</v>
      </c>
      <c r="S503" s="7">
        <f>YEAR('data on outstanding creditors'!$B503)</f>
        <v>2025</v>
      </c>
      <c r="T503" s="11" t="str">
        <f>'data on outstanding creditors'!$C503&amp;" "&amp;'data on outstanding creditors'!$D503&amp;" "&amp;TEXT('data on outstanding creditors'!$E503,"#,##0.00")</f>
        <v>องค์การเภสัชกรรม 3001022753 12,807.90</v>
      </c>
      <c r="U503" s="12"/>
    </row>
    <row r="504" ht="13.5" customHeight="1">
      <c r="A504" s="1"/>
      <c r="B504" s="2">
        <v>45853.0</v>
      </c>
      <c r="C504" s="9" t="s">
        <v>401</v>
      </c>
      <c r="D504" s="1" t="s">
        <v>871</v>
      </c>
      <c r="E504" s="4">
        <v>12807.9</v>
      </c>
      <c r="F504" s="4"/>
      <c r="G504" s="4"/>
      <c r="H504" s="4">
        <f>'data on outstanding creditors'!$E504-'data on outstanding creditors'!$F504-'data on outstanding creditors'!$G504</f>
        <v>12807.9</v>
      </c>
      <c r="I504" s="2"/>
      <c r="J504" s="1" t="s">
        <v>646</v>
      </c>
      <c r="K504" s="2">
        <v>45876.0</v>
      </c>
      <c r="L504" s="5"/>
      <c r="M504" s="9" t="s">
        <v>403</v>
      </c>
      <c r="N504" s="9" t="s">
        <v>23</v>
      </c>
      <c r="O504" s="10">
        <f>'data on outstanding creditors'!$E504*100/107</f>
        <v>11970</v>
      </c>
      <c r="P504" s="10">
        <f>'data on outstanding creditors'!$E504-'data on outstanding creditors'!$O504</f>
        <v>837.9</v>
      </c>
      <c r="Q504" s="7">
        <f>DAY('data on outstanding creditors'!$B504)</f>
        <v>15</v>
      </c>
      <c r="R504" s="7">
        <f>MONTH('data on outstanding creditors'!$B504)</f>
        <v>7</v>
      </c>
      <c r="S504" s="7">
        <f>YEAR('data on outstanding creditors'!$B504)</f>
        <v>2025</v>
      </c>
      <c r="T504" s="11" t="str">
        <f>'data on outstanding creditors'!$C504&amp;" "&amp;'data on outstanding creditors'!$D504&amp;" "&amp;TEXT('data on outstanding creditors'!$E504,"#,##0.00")</f>
        <v>องค์การเภสัชกรรม 3001034546 12,807.90</v>
      </c>
      <c r="U504" s="12"/>
    </row>
    <row r="505" ht="13.5" customHeight="1">
      <c r="A505" s="1"/>
      <c r="B505" s="2">
        <v>45853.0</v>
      </c>
      <c r="C505" s="9" t="s">
        <v>401</v>
      </c>
      <c r="D505" s="1" t="s">
        <v>872</v>
      </c>
      <c r="E505" s="4">
        <v>7318.8</v>
      </c>
      <c r="F505" s="4"/>
      <c r="G505" s="4"/>
      <c r="H505" s="4">
        <f>'data on outstanding creditors'!$E505-'data on outstanding creditors'!$F505-'data on outstanding creditors'!$G505</f>
        <v>7318.8</v>
      </c>
      <c r="I505" s="2"/>
      <c r="J505" s="1" t="s">
        <v>646</v>
      </c>
      <c r="K505" s="2">
        <v>45876.0</v>
      </c>
      <c r="L505" s="5"/>
      <c r="M505" s="9" t="s">
        <v>403</v>
      </c>
      <c r="N505" s="9" t="s">
        <v>23</v>
      </c>
      <c r="O505" s="10">
        <f>'data on outstanding creditors'!$E505*100/107</f>
        <v>6840</v>
      </c>
      <c r="P505" s="10">
        <f>'data on outstanding creditors'!$E505-'data on outstanding creditors'!$O505</f>
        <v>478.8</v>
      </c>
      <c r="Q505" s="7">
        <f>DAY('data on outstanding creditors'!$B505)</f>
        <v>15</v>
      </c>
      <c r="R505" s="7">
        <f>MONTH('data on outstanding creditors'!$B505)</f>
        <v>7</v>
      </c>
      <c r="S505" s="7">
        <f>YEAR('data on outstanding creditors'!$B505)</f>
        <v>2025</v>
      </c>
      <c r="T505" s="11" t="str">
        <f>'data on outstanding creditors'!$C505&amp;" "&amp;'data on outstanding creditors'!$D505&amp;" "&amp;TEXT('data on outstanding creditors'!$E505,"#,##0.00")</f>
        <v>องค์การเภสัชกรรม 3001036301 7,318.80</v>
      </c>
      <c r="U505" s="12"/>
    </row>
    <row r="506" ht="13.5" customHeight="1">
      <c r="A506" s="1"/>
      <c r="B506" s="2">
        <v>45853.0</v>
      </c>
      <c r="C506" s="9" t="s">
        <v>401</v>
      </c>
      <c r="D506" s="1" t="s">
        <v>873</v>
      </c>
      <c r="E506" s="4">
        <v>64200.0</v>
      </c>
      <c r="F506" s="4"/>
      <c r="G506" s="4"/>
      <c r="H506" s="4">
        <f>'data on outstanding creditors'!$E506-'data on outstanding creditors'!$F506-'data on outstanding creditors'!$G506</f>
        <v>64200</v>
      </c>
      <c r="I506" s="2"/>
      <c r="J506" s="1" t="s">
        <v>646</v>
      </c>
      <c r="K506" s="2">
        <v>45876.0</v>
      </c>
      <c r="L506" s="5"/>
      <c r="M506" s="9" t="s">
        <v>403</v>
      </c>
      <c r="N506" s="9" t="s">
        <v>23</v>
      </c>
      <c r="O506" s="10">
        <f>'data on outstanding creditors'!$E506*100/107</f>
        <v>60000</v>
      </c>
      <c r="P506" s="10">
        <f>'data on outstanding creditors'!$E506-'data on outstanding creditors'!$O506</f>
        <v>4200</v>
      </c>
      <c r="Q506" s="7">
        <f>DAY('data on outstanding creditors'!$B506)</f>
        <v>15</v>
      </c>
      <c r="R506" s="7">
        <f>MONTH('data on outstanding creditors'!$B506)</f>
        <v>7</v>
      </c>
      <c r="S506" s="7">
        <f>YEAR('data on outstanding creditors'!$B506)</f>
        <v>2025</v>
      </c>
      <c r="T506" s="11" t="str">
        <f>'data on outstanding creditors'!$C506&amp;" "&amp;'data on outstanding creditors'!$D506&amp;" "&amp;TEXT('data on outstanding creditors'!$E506,"#,##0.00")</f>
        <v>องค์การเภสัชกรรม 3001035278 64,200.00</v>
      </c>
      <c r="U506" s="12"/>
    </row>
    <row r="507" ht="13.5" customHeight="1">
      <c r="A507" s="1"/>
      <c r="B507" s="2">
        <v>45854.0</v>
      </c>
      <c r="C507" s="9" t="s">
        <v>401</v>
      </c>
      <c r="D507" s="1" t="s">
        <v>874</v>
      </c>
      <c r="E507" s="4">
        <v>36915.0</v>
      </c>
      <c r="F507" s="4"/>
      <c r="G507" s="4"/>
      <c r="H507" s="4">
        <f>'data on outstanding creditors'!$E507-'data on outstanding creditors'!$F507-'data on outstanding creditors'!$G507</f>
        <v>36915</v>
      </c>
      <c r="I507" s="2"/>
      <c r="J507" s="1" t="s">
        <v>646</v>
      </c>
      <c r="K507" s="2">
        <v>45876.0</v>
      </c>
      <c r="L507" s="5"/>
      <c r="M507" s="9" t="s">
        <v>403</v>
      </c>
      <c r="N507" s="9" t="s">
        <v>23</v>
      </c>
      <c r="O507" s="10">
        <f>'data on outstanding creditors'!$E507*100/107</f>
        <v>34500</v>
      </c>
      <c r="P507" s="10">
        <f>'data on outstanding creditors'!$E507-'data on outstanding creditors'!$O507</f>
        <v>2415</v>
      </c>
      <c r="Q507" s="7">
        <f>DAY('data on outstanding creditors'!$B507)</f>
        <v>16</v>
      </c>
      <c r="R507" s="7">
        <f>MONTH('data on outstanding creditors'!$B507)</f>
        <v>7</v>
      </c>
      <c r="S507" s="7">
        <f>YEAR('data on outstanding creditors'!$B507)</f>
        <v>2025</v>
      </c>
      <c r="T507" s="11" t="str">
        <f>'data on outstanding creditors'!$C507&amp;" "&amp;'data on outstanding creditors'!$D507&amp;" "&amp;TEXT('data on outstanding creditors'!$E507,"#,##0.00")</f>
        <v>องค์การเภสัชกรรม 3001037678 36,915.00</v>
      </c>
      <c r="U507" s="12"/>
    </row>
    <row r="508" ht="13.5" customHeight="1">
      <c r="A508" s="1"/>
      <c r="B508" s="2">
        <v>45854.0</v>
      </c>
      <c r="C508" s="9" t="s">
        <v>401</v>
      </c>
      <c r="D508" s="1" t="s">
        <v>875</v>
      </c>
      <c r="E508" s="4">
        <v>14980.0</v>
      </c>
      <c r="F508" s="4"/>
      <c r="G508" s="4"/>
      <c r="H508" s="4">
        <f>'data on outstanding creditors'!$E508-'data on outstanding creditors'!$F508-'data on outstanding creditors'!$G508</f>
        <v>14980</v>
      </c>
      <c r="I508" s="2"/>
      <c r="J508" s="1" t="s">
        <v>646</v>
      </c>
      <c r="K508" s="2">
        <v>45876.0</v>
      </c>
      <c r="L508" s="5"/>
      <c r="M508" s="9" t="s">
        <v>403</v>
      </c>
      <c r="N508" s="9" t="s">
        <v>23</v>
      </c>
      <c r="O508" s="10">
        <f>'data on outstanding creditors'!$E508*100/107</f>
        <v>14000</v>
      </c>
      <c r="P508" s="10">
        <f>'data on outstanding creditors'!$E508-'data on outstanding creditors'!$O508</f>
        <v>980</v>
      </c>
      <c r="Q508" s="7">
        <f>DAY('data on outstanding creditors'!$B508)</f>
        <v>16</v>
      </c>
      <c r="R508" s="7">
        <f>MONTH('data on outstanding creditors'!$B508)</f>
        <v>7</v>
      </c>
      <c r="S508" s="7">
        <f>YEAR('data on outstanding creditors'!$B508)</f>
        <v>2025</v>
      </c>
      <c r="T508" s="11" t="str">
        <f>'data on outstanding creditors'!$C508&amp;" "&amp;'data on outstanding creditors'!$D508&amp;" "&amp;TEXT('data on outstanding creditors'!$E508,"#,##0.00")</f>
        <v>องค์การเภสัชกรรม 3001035902 14,980.00</v>
      </c>
      <c r="U508" s="12"/>
    </row>
    <row r="509" ht="13.5" customHeight="1">
      <c r="A509" s="1"/>
      <c r="B509" s="2">
        <v>45854.0</v>
      </c>
      <c r="C509" s="9" t="s">
        <v>401</v>
      </c>
      <c r="D509" s="1" t="s">
        <v>876</v>
      </c>
      <c r="E509" s="4">
        <v>29600.0</v>
      </c>
      <c r="F509" s="4"/>
      <c r="G509" s="4"/>
      <c r="H509" s="4">
        <f>'data on outstanding creditors'!$E509-'data on outstanding creditors'!$F509-'data on outstanding creditors'!$G509</f>
        <v>29600</v>
      </c>
      <c r="I509" s="2"/>
      <c r="J509" s="1" t="s">
        <v>646</v>
      </c>
      <c r="K509" s="2">
        <v>45876.0</v>
      </c>
      <c r="L509" s="5"/>
      <c r="M509" s="9" t="s">
        <v>403</v>
      </c>
      <c r="N509" s="9" t="s">
        <v>23</v>
      </c>
      <c r="O509" s="10">
        <f>'data on outstanding creditors'!$E509*100/107</f>
        <v>27663.5514</v>
      </c>
      <c r="P509" s="10">
        <f>'data on outstanding creditors'!$E509-'data on outstanding creditors'!$O509</f>
        <v>1936.448598</v>
      </c>
      <c r="Q509" s="7">
        <f>DAY('data on outstanding creditors'!$B509)</f>
        <v>16</v>
      </c>
      <c r="R509" s="7">
        <f>MONTH('data on outstanding creditors'!$B509)</f>
        <v>7</v>
      </c>
      <c r="S509" s="7">
        <f>YEAR('data on outstanding creditors'!$B509)</f>
        <v>2025</v>
      </c>
      <c r="T509" s="11" t="str">
        <f>'data on outstanding creditors'!$C509&amp;" "&amp;'data on outstanding creditors'!$D509&amp;" "&amp;TEXT('data on outstanding creditors'!$E509,"#,##0.00")</f>
        <v>องค์การเภสัชกรรม 3001035302 29,600.00</v>
      </c>
      <c r="U509" s="12"/>
    </row>
    <row r="510" ht="13.5" customHeight="1">
      <c r="A510" s="1"/>
      <c r="B510" s="2">
        <v>45854.0</v>
      </c>
      <c r="C510" s="9" t="s">
        <v>401</v>
      </c>
      <c r="D510" s="1" t="s">
        <v>877</v>
      </c>
      <c r="E510" s="4">
        <v>6000.0</v>
      </c>
      <c r="F510" s="4"/>
      <c r="G510" s="4"/>
      <c r="H510" s="4">
        <f>'data on outstanding creditors'!$E510-'data on outstanding creditors'!$F510-'data on outstanding creditors'!$G510</f>
        <v>6000</v>
      </c>
      <c r="I510" s="2"/>
      <c r="J510" s="1" t="s">
        <v>646</v>
      </c>
      <c r="K510" s="2">
        <v>45876.0</v>
      </c>
      <c r="L510" s="5"/>
      <c r="M510" s="9" t="s">
        <v>403</v>
      </c>
      <c r="N510" s="9" t="s">
        <v>23</v>
      </c>
      <c r="O510" s="10">
        <f>'data on outstanding creditors'!$E510*100/107</f>
        <v>5607.476636</v>
      </c>
      <c r="P510" s="10">
        <f>'data on outstanding creditors'!$E510-'data on outstanding creditors'!$O510</f>
        <v>392.5233645</v>
      </c>
      <c r="Q510" s="7">
        <f>DAY('data on outstanding creditors'!$B510)</f>
        <v>16</v>
      </c>
      <c r="R510" s="7">
        <f>MONTH('data on outstanding creditors'!$B510)</f>
        <v>7</v>
      </c>
      <c r="S510" s="7">
        <f>YEAR('data on outstanding creditors'!$B510)</f>
        <v>2025</v>
      </c>
      <c r="T510" s="11" t="str">
        <f>'data on outstanding creditors'!$C510&amp;" "&amp;'data on outstanding creditors'!$D510&amp;" "&amp;TEXT('data on outstanding creditors'!$E510,"#,##0.00")</f>
        <v>องค์การเภสัชกรรม 3001035379 6,000.00</v>
      </c>
      <c r="U510" s="12"/>
    </row>
    <row r="511" ht="13.5" customHeight="1">
      <c r="A511" s="1"/>
      <c r="B511" s="2">
        <v>45854.0</v>
      </c>
      <c r="C511" s="9" t="s">
        <v>401</v>
      </c>
      <c r="D511" s="1" t="s">
        <v>878</v>
      </c>
      <c r="E511" s="4">
        <v>802.5</v>
      </c>
      <c r="F511" s="4"/>
      <c r="G511" s="4"/>
      <c r="H511" s="4">
        <f>'data on outstanding creditors'!$E511-'data on outstanding creditors'!$F511-'data on outstanding creditors'!$G511</f>
        <v>802.5</v>
      </c>
      <c r="I511" s="2"/>
      <c r="J511" s="1" t="s">
        <v>646</v>
      </c>
      <c r="K511" s="2">
        <v>45876.0</v>
      </c>
      <c r="L511" s="5"/>
      <c r="M511" s="9" t="s">
        <v>403</v>
      </c>
      <c r="N511" s="9" t="s">
        <v>23</v>
      </c>
      <c r="O511" s="10">
        <f>'data on outstanding creditors'!$E511*100/107</f>
        <v>750</v>
      </c>
      <c r="P511" s="10">
        <f>'data on outstanding creditors'!$E511-'data on outstanding creditors'!$O511</f>
        <v>52.5</v>
      </c>
      <c r="Q511" s="7">
        <f>DAY('data on outstanding creditors'!$B511)</f>
        <v>16</v>
      </c>
      <c r="R511" s="7">
        <f>MONTH('data on outstanding creditors'!$B511)</f>
        <v>7</v>
      </c>
      <c r="S511" s="7">
        <f>YEAR('data on outstanding creditors'!$B511)</f>
        <v>2025</v>
      </c>
      <c r="T511" s="11" t="str">
        <f>'data on outstanding creditors'!$C511&amp;" "&amp;'data on outstanding creditors'!$D511&amp;" "&amp;TEXT('data on outstanding creditors'!$E511,"#,##0.00")</f>
        <v>องค์การเภสัชกรรม 3001035363 802.50</v>
      </c>
      <c r="U511" s="12"/>
    </row>
    <row r="512" ht="13.5" customHeight="1">
      <c r="A512" s="1"/>
      <c r="B512" s="2">
        <v>45860.0</v>
      </c>
      <c r="C512" s="9" t="s">
        <v>401</v>
      </c>
      <c r="D512" s="1" t="s">
        <v>879</v>
      </c>
      <c r="E512" s="4">
        <v>137940.12</v>
      </c>
      <c r="F512" s="4"/>
      <c r="G512" s="4"/>
      <c r="H512" s="4">
        <f>'data on outstanding creditors'!$E512-'data on outstanding creditors'!$F512-'data on outstanding creditors'!$G512</f>
        <v>137940.12</v>
      </c>
      <c r="I512" s="2"/>
      <c r="J512" s="1" t="s">
        <v>646</v>
      </c>
      <c r="K512" s="2">
        <v>45889.0</v>
      </c>
      <c r="L512" s="5"/>
      <c r="M512" s="9" t="s">
        <v>403</v>
      </c>
      <c r="N512" s="9" t="s">
        <v>23</v>
      </c>
      <c r="O512" s="10">
        <f>'data on outstanding creditors'!$E512*100/107</f>
        <v>128916</v>
      </c>
      <c r="P512" s="10">
        <f>'data on outstanding creditors'!$E512-'data on outstanding creditors'!$O512</f>
        <v>9024.12</v>
      </c>
      <c r="Q512" s="7">
        <f>DAY('data on outstanding creditors'!$B512)</f>
        <v>22</v>
      </c>
      <c r="R512" s="7">
        <f>MONTH('data on outstanding creditors'!$B512)</f>
        <v>7</v>
      </c>
      <c r="S512" s="7">
        <f>YEAR('data on outstanding creditors'!$B512)</f>
        <v>2025</v>
      </c>
      <c r="T512" s="11" t="str">
        <f>'data on outstanding creditors'!$C512&amp;" "&amp;'data on outstanding creditors'!$D512&amp;" "&amp;TEXT('data on outstanding creditors'!$E512,"#,##0.00")</f>
        <v>องค์การเภสัชกรรม 3001040206 137,940.12</v>
      </c>
      <c r="U512" s="12"/>
    </row>
    <row r="513" ht="13.5" customHeight="1">
      <c r="A513" s="1"/>
      <c r="B513" s="2">
        <v>45860.0</v>
      </c>
      <c r="C513" s="9" t="s">
        <v>401</v>
      </c>
      <c r="D513" s="1" t="s">
        <v>880</v>
      </c>
      <c r="E513" s="4">
        <v>731.88</v>
      </c>
      <c r="F513" s="4"/>
      <c r="G513" s="4"/>
      <c r="H513" s="4">
        <f>'data on outstanding creditors'!$E513-'data on outstanding creditors'!$F513-'data on outstanding creditors'!$G513</f>
        <v>731.88</v>
      </c>
      <c r="I513" s="2"/>
      <c r="J513" s="1" t="s">
        <v>646</v>
      </c>
      <c r="K513" s="2">
        <v>45889.0</v>
      </c>
      <c r="L513" s="5"/>
      <c r="M513" s="9" t="s">
        <v>403</v>
      </c>
      <c r="N513" s="9" t="s">
        <v>23</v>
      </c>
      <c r="O513" s="10">
        <f>'data on outstanding creditors'!$E513*100/107</f>
        <v>684</v>
      </c>
      <c r="P513" s="10">
        <f>'data on outstanding creditors'!$E513-'data on outstanding creditors'!$O513</f>
        <v>47.88</v>
      </c>
      <c r="Q513" s="7">
        <f>DAY('data on outstanding creditors'!$B513)</f>
        <v>22</v>
      </c>
      <c r="R513" s="7">
        <f>MONTH('data on outstanding creditors'!$B513)</f>
        <v>7</v>
      </c>
      <c r="S513" s="7">
        <f>YEAR('data on outstanding creditors'!$B513)</f>
        <v>2025</v>
      </c>
      <c r="T513" s="11" t="str">
        <f>'data on outstanding creditors'!$C513&amp;" "&amp;'data on outstanding creditors'!$D513&amp;" "&amp;TEXT('data on outstanding creditors'!$E513,"#,##0.00")</f>
        <v>องค์การเภสัชกรรม 3001040226 731.88</v>
      </c>
      <c r="U513" s="12"/>
    </row>
    <row r="514" ht="13.5" customHeight="1">
      <c r="A514" s="1"/>
      <c r="B514" s="2">
        <v>45860.0</v>
      </c>
      <c r="C514" s="9" t="s">
        <v>401</v>
      </c>
      <c r="D514" s="1" t="s">
        <v>881</v>
      </c>
      <c r="E514" s="4">
        <v>14400.0</v>
      </c>
      <c r="F514" s="4"/>
      <c r="G514" s="4"/>
      <c r="H514" s="4">
        <f>'data on outstanding creditors'!$E514-'data on outstanding creditors'!$F514-'data on outstanding creditors'!$G514</f>
        <v>14400</v>
      </c>
      <c r="I514" s="2"/>
      <c r="J514" s="1" t="s">
        <v>646</v>
      </c>
      <c r="K514" s="2">
        <v>45889.0</v>
      </c>
      <c r="L514" s="5"/>
      <c r="M514" s="9" t="s">
        <v>403</v>
      </c>
      <c r="N514" s="9" t="s">
        <v>23</v>
      </c>
      <c r="O514" s="10">
        <f>'data on outstanding creditors'!$E514*100/107</f>
        <v>13457.94393</v>
      </c>
      <c r="P514" s="10">
        <f>'data on outstanding creditors'!$E514-'data on outstanding creditors'!$O514</f>
        <v>942.0560748</v>
      </c>
      <c r="Q514" s="7">
        <f>DAY('data on outstanding creditors'!$B514)</f>
        <v>22</v>
      </c>
      <c r="R514" s="7">
        <f>MONTH('data on outstanding creditors'!$B514)</f>
        <v>7</v>
      </c>
      <c r="S514" s="7">
        <f>YEAR('data on outstanding creditors'!$B514)</f>
        <v>2025</v>
      </c>
      <c r="T514" s="11" t="str">
        <f>'data on outstanding creditors'!$C514&amp;" "&amp;'data on outstanding creditors'!$D514&amp;" "&amp;TEXT('data on outstanding creditors'!$E514,"#,##0.00")</f>
        <v>องค์การเภสัชกรรม 3001036488 14,400.00</v>
      </c>
      <c r="U514" s="12"/>
    </row>
    <row r="515" ht="13.5" customHeight="1">
      <c r="A515" s="1"/>
      <c r="B515" s="2">
        <v>45861.0</v>
      </c>
      <c r="C515" s="9" t="s">
        <v>401</v>
      </c>
      <c r="D515" s="1" t="s">
        <v>882</v>
      </c>
      <c r="E515" s="4">
        <v>11864.16</v>
      </c>
      <c r="F515" s="4"/>
      <c r="G515" s="4"/>
      <c r="H515" s="4">
        <f>'data on outstanding creditors'!$E515-'data on outstanding creditors'!$F515-'data on outstanding creditors'!$G515</f>
        <v>11864.16</v>
      </c>
      <c r="I515" s="2"/>
      <c r="J515" s="1" t="s">
        <v>646</v>
      </c>
      <c r="K515" s="2">
        <v>45889.0</v>
      </c>
      <c r="L515" s="5"/>
      <c r="M515" s="9" t="s">
        <v>403</v>
      </c>
      <c r="N515" s="9" t="s">
        <v>23</v>
      </c>
      <c r="O515" s="10">
        <f>'data on outstanding creditors'!$E515*100/107</f>
        <v>11088</v>
      </c>
      <c r="P515" s="10">
        <f>'data on outstanding creditors'!$E515-'data on outstanding creditors'!$O515</f>
        <v>776.16</v>
      </c>
      <c r="Q515" s="7">
        <f>DAY('data on outstanding creditors'!$B515)</f>
        <v>23</v>
      </c>
      <c r="R515" s="7">
        <f>MONTH('data on outstanding creditors'!$B515)</f>
        <v>7</v>
      </c>
      <c r="S515" s="7">
        <f>YEAR('data on outstanding creditors'!$B515)</f>
        <v>2025</v>
      </c>
      <c r="T515" s="11" t="str">
        <f>'data on outstanding creditors'!$C515&amp;" "&amp;'data on outstanding creditors'!$D515&amp;" "&amp;TEXT('data on outstanding creditors'!$E515,"#,##0.00")</f>
        <v>องค์การเภสัชกรรม 3001038614 11,864.16</v>
      </c>
      <c r="U515" s="12"/>
    </row>
    <row r="516" ht="13.5" customHeight="1">
      <c r="A516" s="1"/>
      <c r="B516" s="2">
        <v>45863.0</v>
      </c>
      <c r="C516" s="9" t="s">
        <v>256</v>
      </c>
      <c r="D516" s="1" t="s">
        <v>883</v>
      </c>
      <c r="E516" s="4">
        <v>80000.0</v>
      </c>
      <c r="F516" s="4"/>
      <c r="G516" s="4"/>
      <c r="H516" s="4">
        <f>'data on outstanding creditors'!$E516-'data on outstanding creditors'!$F516-'data on outstanding creditors'!$G516</f>
        <v>80000</v>
      </c>
      <c r="I516" s="2"/>
      <c r="J516" s="1" t="s">
        <v>757</v>
      </c>
      <c r="K516" s="2">
        <v>45882.0</v>
      </c>
      <c r="L516" s="5"/>
      <c r="M516" s="9" t="s">
        <v>403</v>
      </c>
      <c r="N516" s="9" t="s">
        <v>23</v>
      </c>
      <c r="O516" s="10">
        <f>'data on outstanding creditors'!$E516*100/107</f>
        <v>74766.35514</v>
      </c>
      <c r="P516" s="10">
        <f>'data on outstanding creditors'!$E516-'data on outstanding creditors'!$O516</f>
        <v>5233.64486</v>
      </c>
      <c r="Q516" s="7">
        <f>DAY('data on outstanding creditors'!$B516)</f>
        <v>25</v>
      </c>
      <c r="R516" s="7">
        <f>MONTH('data on outstanding creditors'!$B516)</f>
        <v>7</v>
      </c>
      <c r="S516" s="7">
        <f>YEAR('data on outstanding creditors'!$B516)</f>
        <v>2025</v>
      </c>
      <c r="T516" s="11" t="str">
        <f>'data on outstanding creditors'!$C516&amp;" "&amp;'data on outstanding creditors'!$D516&amp;" "&amp;TEXT('data on outstanding creditors'!$E516,"#,##0.00")</f>
        <v>บ.พาตาร์แลบ(2517) INV125071034 80,000.00</v>
      </c>
      <c r="U516" s="12"/>
    </row>
    <row r="517" ht="13.5" customHeight="1">
      <c r="A517" s="1"/>
      <c r="B517" s="2">
        <v>45863.0</v>
      </c>
      <c r="C517" s="9" t="s">
        <v>884</v>
      </c>
      <c r="D517" s="1" t="s">
        <v>885</v>
      </c>
      <c r="E517" s="4">
        <v>96150.0</v>
      </c>
      <c r="F517" s="4"/>
      <c r="G517" s="4"/>
      <c r="H517" s="4">
        <f>'data on outstanding creditors'!$E517-'data on outstanding creditors'!$F517-'data on outstanding creditors'!$G517</f>
        <v>96150</v>
      </c>
      <c r="I517" s="2"/>
      <c r="J517" s="1" t="s">
        <v>646</v>
      </c>
      <c r="K517" s="2">
        <v>45929.0</v>
      </c>
      <c r="L517" s="5"/>
      <c r="M517" s="9" t="s">
        <v>403</v>
      </c>
      <c r="N517" s="9" t="s">
        <v>23</v>
      </c>
      <c r="O517" s="10">
        <f>'data on outstanding creditors'!$E517*100/107</f>
        <v>89859.81308</v>
      </c>
      <c r="P517" s="10">
        <f>'data on outstanding creditors'!$E517-'data on outstanding creditors'!$O517</f>
        <v>6290.186916</v>
      </c>
      <c r="Q517" s="7">
        <f>DAY('data on outstanding creditors'!$B517)</f>
        <v>25</v>
      </c>
      <c r="R517" s="7">
        <f>MONTH('data on outstanding creditors'!$B517)</f>
        <v>7</v>
      </c>
      <c r="S517" s="7">
        <f>YEAR('data on outstanding creditors'!$B517)</f>
        <v>2025</v>
      </c>
      <c r="T517" s="11" t="str">
        <f>'data on outstanding creditors'!$C517&amp;" "&amp;'data on outstanding creditors'!$D517&amp;" "&amp;TEXT('data on outstanding creditors'!$E517,"#,##0.00")</f>
        <v>บ.เอสพีเอส เมดิคอล 112507002206 96,150.00</v>
      </c>
      <c r="U517" s="12"/>
    </row>
    <row r="518" ht="13.5" customHeight="1">
      <c r="A518" s="1"/>
      <c r="B518" s="2">
        <v>45863.0</v>
      </c>
      <c r="C518" s="9" t="s">
        <v>886</v>
      </c>
      <c r="D518" s="1" t="s">
        <v>887</v>
      </c>
      <c r="E518" s="4">
        <v>98000.0</v>
      </c>
      <c r="F518" s="4"/>
      <c r="G518" s="4"/>
      <c r="H518" s="4">
        <f>'data on outstanding creditors'!$E518-'data on outstanding creditors'!$F518-'data on outstanding creditors'!$G518</f>
        <v>98000</v>
      </c>
      <c r="I518" s="2"/>
      <c r="J518" s="1" t="s">
        <v>646</v>
      </c>
      <c r="K518" s="2">
        <v>45954.0</v>
      </c>
      <c r="L518" s="5"/>
      <c r="M518" s="9" t="s">
        <v>403</v>
      </c>
      <c r="N518" s="9" t="s">
        <v>23</v>
      </c>
      <c r="O518" s="10">
        <f>'data on outstanding creditors'!$E518*100/107</f>
        <v>91588.78505</v>
      </c>
      <c r="P518" s="10">
        <f>'data on outstanding creditors'!$E518-'data on outstanding creditors'!$O518</f>
        <v>6411.214953</v>
      </c>
      <c r="Q518" s="7">
        <f>DAY('data on outstanding creditors'!$B518)</f>
        <v>25</v>
      </c>
      <c r="R518" s="7">
        <f>MONTH('data on outstanding creditors'!$B518)</f>
        <v>7</v>
      </c>
      <c r="S518" s="7">
        <f>YEAR('data on outstanding creditors'!$B518)</f>
        <v>2025</v>
      </c>
      <c r="T518" s="11" t="str">
        <f>'data on outstanding creditors'!$C518&amp;" "&amp;'data on outstanding creditors'!$D518&amp;" "&amp;TEXT('data on outstanding creditors'!$E518,"#,##0.00")</f>
        <v>บ.ไบโอวาลิส IV12514169 98,000.00</v>
      </c>
      <c r="U518" s="12"/>
    </row>
    <row r="519" ht="13.5" customHeight="1">
      <c r="A519" s="1"/>
      <c r="B519" s="2">
        <v>45863.0</v>
      </c>
      <c r="C519" s="9" t="s">
        <v>520</v>
      </c>
      <c r="D519" s="1" t="s">
        <v>888</v>
      </c>
      <c r="E519" s="4">
        <v>91592.0</v>
      </c>
      <c r="F519" s="4"/>
      <c r="G519" s="4"/>
      <c r="H519" s="4">
        <f>'data on outstanding creditors'!$E519-'data on outstanding creditors'!$F519-'data on outstanding creditors'!$G519</f>
        <v>91592</v>
      </c>
      <c r="I519" s="2"/>
      <c r="J519" s="1" t="s">
        <v>646</v>
      </c>
      <c r="K519" s="2">
        <v>45943.0</v>
      </c>
      <c r="L519" s="5"/>
      <c r="M519" s="9" t="s">
        <v>403</v>
      </c>
      <c r="N519" s="9" t="s">
        <v>23</v>
      </c>
      <c r="O519" s="10">
        <f>'data on outstanding creditors'!$E519*100/107</f>
        <v>85600</v>
      </c>
      <c r="P519" s="10">
        <f>'data on outstanding creditors'!$E519-'data on outstanding creditors'!$O519</f>
        <v>5992</v>
      </c>
      <c r="Q519" s="7">
        <f>DAY('data on outstanding creditors'!$B519)</f>
        <v>25</v>
      </c>
      <c r="R519" s="7">
        <f>MONTH('data on outstanding creditors'!$B519)</f>
        <v>7</v>
      </c>
      <c r="S519" s="7">
        <f>YEAR('data on outstanding creditors'!$B519)</f>
        <v>2025</v>
      </c>
      <c r="T519" s="11" t="str">
        <f>'data on outstanding creditors'!$C519&amp;" "&amp;'data on outstanding creditors'!$D519&amp;" "&amp;TEXT('data on outstanding creditors'!$E519,"#,##0.00")</f>
        <v>บ.ซิลลิคฟาร์มา 1317683453 91,592.00</v>
      </c>
      <c r="U519" s="12"/>
    </row>
    <row r="520" ht="13.5" customHeight="1">
      <c r="A520" s="1"/>
      <c r="B520" s="2">
        <v>45863.0</v>
      </c>
      <c r="C520" s="9" t="s">
        <v>520</v>
      </c>
      <c r="D520" s="1" t="s">
        <v>889</v>
      </c>
      <c r="E520" s="4">
        <v>98440.0</v>
      </c>
      <c r="F520" s="4"/>
      <c r="G520" s="4"/>
      <c r="H520" s="4">
        <f>'data on outstanding creditors'!$E520-'data on outstanding creditors'!$F520-'data on outstanding creditors'!$G520</f>
        <v>98440</v>
      </c>
      <c r="I520" s="2"/>
      <c r="J520" s="1" t="s">
        <v>646</v>
      </c>
      <c r="K520" s="2">
        <v>45943.0</v>
      </c>
      <c r="L520" s="5"/>
      <c r="M520" s="9" t="s">
        <v>403</v>
      </c>
      <c r="N520" s="9" t="s">
        <v>23</v>
      </c>
      <c r="O520" s="10">
        <f>'data on outstanding creditors'!$E520*100/107</f>
        <v>92000</v>
      </c>
      <c r="P520" s="10">
        <f>'data on outstanding creditors'!$E520-'data on outstanding creditors'!$O520</f>
        <v>6440</v>
      </c>
      <c r="Q520" s="7">
        <f>DAY('data on outstanding creditors'!$B520)</f>
        <v>25</v>
      </c>
      <c r="R520" s="7">
        <f>MONTH('data on outstanding creditors'!$B520)</f>
        <v>7</v>
      </c>
      <c r="S520" s="7">
        <f>YEAR('data on outstanding creditors'!$B520)</f>
        <v>2025</v>
      </c>
      <c r="T520" s="11" t="str">
        <f>'data on outstanding creditors'!$C520&amp;" "&amp;'data on outstanding creditors'!$D520&amp;" "&amp;TEXT('data on outstanding creditors'!$E520,"#,##0.00")</f>
        <v>บ.ซิลลิคฟาร์มา 1317686572 98,440.00</v>
      </c>
      <c r="U520" s="12"/>
    </row>
    <row r="521" ht="13.5" customHeight="1">
      <c r="A521" s="1"/>
      <c r="B521" s="2">
        <v>45870.0</v>
      </c>
      <c r="C521" s="9" t="s">
        <v>401</v>
      </c>
      <c r="D521" s="1" t="s">
        <v>890</v>
      </c>
      <c r="E521" s="4">
        <v>19260.0</v>
      </c>
      <c r="F521" s="4"/>
      <c r="G521" s="4"/>
      <c r="H521" s="4">
        <f>'data on outstanding creditors'!$E521-'data on outstanding creditors'!$F521-'data on outstanding creditors'!$G521</f>
        <v>19260</v>
      </c>
      <c r="I521" s="2"/>
      <c r="J521" s="1" t="s">
        <v>646</v>
      </c>
      <c r="K521" s="2">
        <v>45915.0</v>
      </c>
      <c r="L521" s="5"/>
      <c r="M521" s="9" t="s">
        <v>403</v>
      </c>
      <c r="N521" s="9" t="s">
        <v>23</v>
      </c>
      <c r="O521" s="10">
        <f>'data on outstanding creditors'!$E521*100/107</f>
        <v>18000</v>
      </c>
      <c r="P521" s="10">
        <f>'data on outstanding creditors'!$E521-'data on outstanding creditors'!$O521</f>
        <v>1260</v>
      </c>
      <c r="Q521" s="7">
        <f>DAY('data on outstanding creditors'!$B521)</f>
        <v>1</v>
      </c>
      <c r="R521" s="7">
        <f>MONTH('data on outstanding creditors'!$B521)</f>
        <v>8</v>
      </c>
      <c r="S521" s="7">
        <f>YEAR('data on outstanding creditors'!$B521)</f>
        <v>2025</v>
      </c>
      <c r="T521" s="11" t="str">
        <f>'data on outstanding creditors'!$C521&amp;" "&amp;'data on outstanding creditors'!$D521&amp;" "&amp;TEXT('data on outstanding creditors'!$E521,"#,##0.00")</f>
        <v>องค์การเภสัชกรรม 3001042006 19,260.00</v>
      </c>
      <c r="U521" s="12"/>
    </row>
    <row r="522" ht="13.5" customHeight="1">
      <c r="A522" s="1"/>
      <c r="B522" s="2">
        <v>45870.0</v>
      </c>
      <c r="C522" s="9" t="s">
        <v>401</v>
      </c>
      <c r="D522" s="1" t="s">
        <v>891</v>
      </c>
      <c r="E522" s="4">
        <v>66340.0</v>
      </c>
      <c r="F522" s="4"/>
      <c r="G522" s="4"/>
      <c r="H522" s="4">
        <f>'data on outstanding creditors'!$E522-'data on outstanding creditors'!$F522-'data on outstanding creditors'!$G522</f>
        <v>66340</v>
      </c>
      <c r="I522" s="2"/>
      <c r="J522" s="1" t="s">
        <v>646</v>
      </c>
      <c r="K522" s="2">
        <v>45915.0</v>
      </c>
      <c r="L522" s="5"/>
      <c r="M522" s="9" t="s">
        <v>403</v>
      </c>
      <c r="N522" s="9" t="s">
        <v>23</v>
      </c>
      <c r="O522" s="10">
        <f>'data on outstanding creditors'!$E522*100/107</f>
        <v>62000</v>
      </c>
      <c r="P522" s="10">
        <f>'data on outstanding creditors'!$E522-'data on outstanding creditors'!$O522</f>
        <v>4340</v>
      </c>
      <c r="Q522" s="7">
        <f>DAY('data on outstanding creditors'!$B522)</f>
        <v>1</v>
      </c>
      <c r="R522" s="7">
        <f>MONTH('data on outstanding creditors'!$B522)</f>
        <v>8</v>
      </c>
      <c r="S522" s="7">
        <f>YEAR('data on outstanding creditors'!$B522)</f>
        <v>2025</v>
      </c>
      <c r="T522" s="11" t="str">
        <f>'data on outstanding creditors'!$C522&amp;" "&amp;'data on outstanding creditors'!$D522&amp;" "&amp;TEXT('data on outstanding creditors'!$E522,"#,##0.00")</f>
        <v>องค์การเภสัชกรรม 3001042024 66,340.00</v>
      </c>
      <c r="U522" s="12"/>
    </row>
    <row r="523" ht="13.5" customHeight="1">
      <c r="A523" s="1"/>
      <c r="B523" s="2">
        <v>45874.0</v>
      </c>
      <c r="C523" s="9" t="s">
        <v>401</v>
      </c>
      <c r="D523" s="1" t="s">
        <v>892</v>
      </c>
      <c r="E523" s="4">
        <v>33384.0</v>
      </c>
      <c r="F523" s="4"/>
      <c r="G523" s="4"/>
      <c r="H523" s="4">
        <f>'data on outstanding creditors'!$E523-'data on outstanding creditors'!$F523-'data on outstanding creditors'!$G523</f>
        <v>33384</v>
      </c>
      <c r="I523" s="2"/>
      <c r="J523" s="1" t="s">
        <v>646</v>
      </c>
      <c r="K523" s="2">
        <v>45915.0</v>
      </c>
      <c r="L523" s="5"/>
      <c r="M523" s="9" t="s">
        <v>403</v>
      </c>
      <c r="N523" s="9" t="s">
        <v>23</v>
      </c>
      <c r="O523" s="10">
        <f>'data on outstanding creditors'!$E523*100/107</f>
        <v>31200</v>
      </c>
      <c r="P523" s="10">
        <f>'data on outstanding creditors'!$E523-'data on outstanding creditors'!$O523</f>
        <v>2184</v>
      </c>
      <c r="Q523" s="7">
        <f>DAY('data on outstanding creditors'!$B523)</f>
        <v>5</v>
      </c>
      <c r="R523" s="7">
        <f>MONTH('data on outstanding creditors'!$B523)</f>
        <v>8</v>
      </c>
      <c r="S523" s="7">
        <f>YEAR('data on outstanding creditors'!$B523)</f>
        <v>2025</v>
      </c>
      <c r="T523" s="11" t="str">
        <f>'data on outstanding creditors'!$C523&amp;" "&amp;'data on outstanding creditors'!$D523&amp;" "&amp;TEXT('data on outstanding creditors'!$E523,"#,##0.00")</f>
        <v>องค์การเภสัชกรรม 3001042019 33,384.00</v>
      </c>
      <c r="U523" s="12"/>
    </row>
    <row r="524" ht="13.5" customHeight="1">
      <c r="A524" s="1"/>
      <c r="B524" s="2">
        <v>45874.0</v>
      </c>
      <c r="C524" s="9" t="s">
        <v>401</v>
      </c>
      <c r="D524" s="1" t="s">
        <v>893</v>
      </c>
      <c r="E524" s="4">
        <v>5564.0</v>
      </c>
      <c r="F524" s="4"/>
      <c r="G524" s="4"/>
      <c r="H524" s="4">
        <f>'data on outstanding creditors'!$E524-'data on outstanding creditors'!$F524-'data on outstanding creditors'!$G524</f>
        <v>5564</v>
      </c>
      <c r="I524" s="2"/>
      <c r="J524" s="1" t="s">
        <v>646</v>
      </c>
      <c r="K524" s="2">
        <v>45915.0</v>
      </c>
      <c r="L524" s="5"/>
      <c r="M524" s="9" t="s">
        <v>403</v>
      </c>
      <c r="N524" s="9" t="s">
        <v>23</v>
      </c>
      <c r="O524" s="10">
        <f>'data on outstanding creditors'!$E524*100/107</f>
        <v>5200</v>
      </c>
      <c r="P524" s="10">
        <f>'data on outstanding creditors'!$E524-'data on outstanding creditors'!$O524</f>
        <v>364</v>
      </c>
      <c r="Q524" s="7">
        <f>DAY('data on outstanding creditors'!$B524)</f>
        <v>5</v>
      </c>
      <c r="R524" s="7">
        <f>MONTH('data on outstanding creditors'!$B524)</f>
        <v>8</v>
      </c>
      <c r="S524" s="7">
        <f>YEAR('data on outstanding creditors'!$B524)</f>
        <v>2025</v>
      </c>
      <c r="T524" s="11" t="str">
        <f>'data on outstanding creditors'!$C524&amp;" "&amp;'data on outstanding creditors'!$D524&amp;" "&amp;TEXT('data on outstanding creditors'!$E524,"#,##0.00")</f>
        <v>องค์การเภสัชกรรม 3001039910 5,564.00</v>
      </c>
      <c r="U524" s="12"/>
    </row>
    <row r="525" ht="13.5" customHeight="1">
      <c r="A525" s="1"/>
      <c r="B525" s="2">
        <v>45874.0</v>
      </c>
      <c r="C525" s="9" t="s">
        <v>401</v>
      </c>
      <c r="D525" s="1" t="s">
        <v>894</v>
      </c>
      <c r="E525" s="4">
        <v>17120.0</v>
      </c>
      <c r="F525" s="4"/>
      <c r="G525" s="4"/>
      <c r="H525" s="4">
        <f>'data on outstanding creditors'!$E525-'data on outstanding creditors'!$F525-'data on outstanding creditors'!$G525</f>
        <v>17120</v>
      </c>
      <c r="I525" s="2"/>
      <c r="J525" s="1" t="s">
        <v>646</v>
      </c>
      <c r="K525" s="2">
        <v>45915.0</v>
      </c>
      <c r="L525" s="5"/>
      <c r="M525" s="9" t="s">
        <v>403</v>
      </c>
      <c r="N525" s="9" t="s">
        <v>23</v>
      </c>
      <c r="O525" s="10">
        <f>'data on outstanding creditors'!$E525*100/107</f>
        <v>16000</v>
      </c>
      <c r="P525" s="10">
        <f>'data on outstanding creditors'!$E525-'data on outstanding creditors'!$O525</f>
        <v>1120</v>
      </c>
      <c r="Q525" s="7">
        <f>DAY('data on outstanding creditors'!$B525)</f>
        <v>5</v>
      </c>
      <c r="R525" s="7">
        <f>MONTH('data on outstanding creditors'!$B525)</f>
        <v>8</v>
      </c>
      <c r="S525" s="7">
        <f>YEAR('data on outstanding creditors'!$B525)</f>
        <v>2025</v>
      </c>
      <c r="T525" s="11" t="str">
        <f>'data on outstanding creditors'!$C525&amp;" "&amp;'data on outstanding creditors'!$D525&amp;" "&amp;TEXT('data on outstanding creditors'!$E525,"#,##0.00")</f>
        <v>องค์การเภสัชกรรม 3001039274 17,120.00</v>
      </c>
      <c r="U525" s="12"/>
    </row>
    <row r="526" ht="13.5" customHeight="1">
      <c r="A526" s="1"/>
      <c r="B526" s="2">
        <v>45874.0</v>
      </c>
      <c r="C526" s="9" t="s">
        <v>401</v>
      </c>
      <c r="D526" s="1" t="s">
        <v>895</v>
      </c>
      <c r="E526" s="4">
        <v>52000.0</v>
      </c>
      <c r="F526" s="4"/>
      <c r="G526" s="4"/>
      <c r="H526" s="4">
        <f>'data on outstanding creditors'!$E526-'data on outstanding creditors'!$F526-'data on outstanding creditors'!$G526</f>
        <v>52000</v>
      </c>
      <c r="I526" s="2"/>
      <c r="J526" s="1" t="s">
        <v>646</v>
      </c>
      <c r="K526" s="2">
        <v>45915.0</v>
      </c>
      <c r="L526" s="5"/>
      <c r="M526" s="9" t="s">
        <v>403</v>
      </c>
      <c r="N526" s="9" t="s">
        <v>23</v>
      </c>
      <c r="O526" s="10">
        <f>'data on outstanding creditors'!$E526*100/107</f>
        <v>48598.13084</v>
      </c>
      <c r="P526" s="10">
        <f>'data on outstanding creditors'!$E526-'data on outstanding creditors'!$O526</f>
        <v>3401.869159</v>
      </c>
      <c r="Q526" s="7">
        <f>DAY('data on outstanding creditors'!$B526)</f>
        <v>5</v>
      </c>
      <c r="R526" s="7">
        <f>MONTH('data on outstanding creditors'!$B526)</f>
        <v>8</v>
      </c>
      <c r="S526" s="7">
        <f>YEAR('data on outstanding creditors'!$B526)</f>
        <v>2025</v>
      </c>
      <c r="T526" s="11" t="str">
        <f>'data on outstanding creditors'!$C526&amp;" "&amp;'data on outstanding creditors'!$D526&amp;" "&amp;TEXT('data on outstanding creditors'!$E526,"#,##0.00")</f>
        <v>องค์การเภสัชกรรม 3001043830 52,000.00</v>
      </c>
      <c r="U526" s="12"/>
    </row>
    <row r="527" ht="13.5" customHeight="1">
      <c r="A527" s="1"/>
      <c r="B527" s="2">
        <v>45874.0</v>
      </c>
      <c r="C527" s="9" t="s">
        <v>401</v>
      </c>
      <c r="D527" s="1" t="s">
        <v>896</v>
      </c>
      <c r="E527" s="4">
        <v>20340.0</v>
      </c>
      <c r="F527" s="4"/>
      <c r="G527" s="4"/>
      <c r="H527" s="4">
        <f>'data on outstanding creditors'!$E527-'data on outstanding creditors'!$F527-'data on outstanding creditors'!$G527</f>
        <v>20340</v>
      </c>
      <c r="I527" s="2"/>
      <c r="J527" s="1" t="s">
        <v>646</v>
      </c>
      <c r="K527" s="2">
        <v>45915.0</v>
      </c>
      <c r="L527" s="5"/>
      <c r="M527" s="9" t="s">
        <v>403</v>
      </c>
      <c r="N527" s="9" t="s">
        <v>23</v>
      </c>
      <c r="O527" s="10">
        <f>'data on outstanding creditors'!$E527*100/107</f>
        <v>19009.34579</v>
      </c>
      <c r="P527" s="10">
        <f>'data on outstanding creditors'!$E527-'data on outstanding creditors'!$O527</f>
        <v>1330.654206</v>
      </c>
      <c r="Q527" s="7">
        <f>DAY('data on outstanding creditors'!$B527)</f>
        <v>5</v>
      </c>
      <c r="R527" s="7">
        <f>MONTH('data on outstanding creditors'!$B527)</f>
        <v>8</v>
      </c>
      <c r="S527" s="7">
        <f>YEAR('data on outstanding creditors'!$B527)</f>
        <v>2025</v>
      </c>
      <c r="T527" s="11" t="str">
        <f>'data on outstanding creditors'!$C527&amp;" "&amp;'data on outstanding creditors'!$D527&amp;" "&amp;TEXT('data on outstanding creditors'!$E527,"#,##0.00")</f>
        <v>องค์การเภสัชกรรม 3001038632 20,340.00</v>
      </c>
      <c r="U527" s="12"/>
    </row>
    <row r="528" ht="13.5" customHeight="1">
      <c r="A528" s="1"/>
      <c r="B528" s="2">
        <v>45874.0</v>
      </c>
      <c r="C528" s="9" t="s">
        <v>401</v>
      </c>
      <c r="D528" s="1" t="s">
        <v>897</v>
      </c>
      <c r="E528" s="4">
        <v>27600.0</v>
      </c>
      <c r="F528" s="4"/>
      <c r="G528" s="4"/>
      <c r="H528" s="4">
        <f>'data on outstanding creditors'!$E528-'data on outstanding creditors'!$F528-'data on outstanding creditors'!$G528</f>
        <v>27600</v>
      </c>
      <c r="I528" s="2"/>
      <c r="J528" s="1" t="s">
        <v>646</v>
      </c>
      <c r="K528" s="2">
        <v>45915.0</v>
      </c>
      <c r="L528" s="5"/>
      <c r="M528" s="9" t="s">
        <v>403</v>
      </c>
      <c r="N528" s="9" t="s">
        <v>23</v>
      </c>
      <c r="O528" s="10">
        <f>'data on outstanding creditors'!$E528*100/107</f>
        <v>25794.39252</v>
      </c>
      <c r="P528" s="10">
        <f>'data on outstanding creditors'!$E528-'data on outstanding creditors'!$O528</f>
        <v>1805.607477</v>
      </c>
      <c r="Q528" s="7">
        <f>DAY('data on outstanding creditors'!$B528)</f>
        <v>5</v>
      </c>
      <c r="R528" s="7">
        <f>MONTH('data on outstanding creditors'!$B528)</f>
        <v>8</v>
      </c>
      <c r="S528" s="7">
        <f>YEAR('data on outstanding creditors'!$B528)</f>
        <v>2025</v>
      </c>
      <c r="T528" s="11" t="str">
        <f>'data on outstanding creditors'!$C528&amp;" "&amp;'data on outstanding creditors'!$D528&amp;" "&amp;TEXT('data on outstanding creditors'!$E528,"#,##0.00")</f>
        <v>องค์การเภสัชกรรม 3001041534 27,600.00</v>
      </c>
      <c r="U528" s="12"/>
    </row>
    <row r="529" ht="13.5" customHeight="1">
      <c r="A529" s="1"/>
      <c r="B529" s="2">
        <v>45874.0</v>
      </c>
      <c r="C529" s="9" t="s">
        <v>401</v>
      </c>
      <c r="D529" s="1" t="s">
        <v>898</v>
      </c>
      <c r="E529" s="4">
        <v>20433.0</v>
      </c>
      <c r="F529" s="4"/>
      <c r="G529" s="4"/>
      <c r="H529" s="4">
        <f>'data on outstanding creditors'!$E529-'data on outstanding creditors'!$F529-'data on outstanding creditors'!$G529</f>
        <v>20433</v>
      </c>
      <c r="I529" s="2"/>
      <c r="J529" s="1" t="s">
        <v>646</v>
      </c>
      <c r="K529" s="2">
        <v>45915.0</v>
      </c>
      <c r="L529" s="5"/>
      <c r="M529" s="9" t="s">
        <v>403</v>
      </c>
      <c r="N529" s="9" t="s">
        <v>23</v>
      </c>
      <c r="O529" s="10">
        <f>'data on outstanding creditors'!$E529*100/107</f>
        <v>19096.26168</v>
      </c>
      <c r="P529" s="10">
        <f>'data on outstanding creditors'!$E529-'data on outstanding creditors'!$O529</f>
        <v>1336.738318</v>
      </c>
      <c r="Q529" s="7">
        <f>DAY('data on outstanding creditors'!$B529)</f>
        <v>5</v>
      </c>
      <c r="R529" s="7">
        <f>MONTH('data on outstanding creditors'!$B529)</f>
        <v>8</v>
      </c>
      <c r="S529" s="7">
        <f>YEAR('data on outstanding creditors'!$B529)</f>
        <v>2025</v>
      </c>
      <c r="T529" s="11" t="str">
        <f>'data on outstanding creditors'!$C529&amp;" "&amp;'data on outstanding creditors'!$D529&amp;" "&amp;TEXT('data on outstanding creditors'!$E529,"#,##0.00")</f>
        <v>องค์การเภสัชกรรม 3001040230 20,433.00</v>
      </c>
      <c r="U529" s="12"/>
    </row>
    <row r="530" ht="13.5" customHeight="1">
      <c r="A530" s="1"/>
      <c r="B530" s="2">
        <v>45874.0</v>
      </c>
      <c r="C530" s="9" t="s">
        <v>401</v>
      </c>
      <c r="D530" s="1" t="s">
        <v>899</v>
      </c>
      <c r="E530" s="4">
        <v>105930.0</v>
      </c>
      <c r="F530" s="4"/>
      <c r="G530" s="4"/>
      <c r="H530" s="4">
        <f>'data on outstanding creditors'!$E530-'data on outstanding creditors'!$F530-'data on outstanding creditors'!$G530</f>
        <v>105930</v>
      </c>
      <c r="I530" s="2"/>
      <c r="J530" s="1" t="s">
        <v>646</v>
      </c>
      <c r="K530" s="2">
        <v>45915.0</v>
      </c>
      <c r="L530" s="5"/>
      <c r="M530" s="9" t="s">
        <v>403</v>
      </c>
      <c r="N530" s="9" t="s">
        <v>23</v>
      </c>
      <c r="O530" s="10">
        <f>'data on outstanding creditors'!$E530*100/107</f>
        <v>99000</v>
      </c>
      <c r="P530" s="10">
        <f>'data on outstanding creditors'!$E530-'data on outstanding creditors'!$O530</f>
        <v>6930</v>
      </c>
      <c r="Q530" s="7">
        <f>DAY('data on outstanding creditors'!$B530)</f>
        <v>5</v>
      </c>
      <c r="R530" s="7">
        <f>MONTH('data on outstanding creditors'!$B530)</f>
        <v>8</v>
      </c>
      <c r="S530" s="7">
        <f>YEAR('data on outstanding creditors'!$B530)</f>
        <v>2025</v>
      </c>
      <c r="T530" s="11" t="str">
        <f>'data on outstanding creditors'!$C530&amp;" "&amp;'data on outstanding creditors'!$D530&amp;" "&amp;TEXT('data on outstanding creditors'!$E530,"#,##0.00")</f>
        <v>องค์การเภสัชกรรม 3001041966 105,930.00</v>
      </c>
      <c r="U530" s="12"/>
    </row>
    <row r="531" ht="13.5" customHeight="1">
      <c r="A531" s="1"/>
      <c r="B531" s="2">
        <v>45874.0</v>
      </c>
      <c r="C531" s="9" t="s">
        <v>401</v>
      </c>
      <c r="D531" s="1" t="s">
        <v>900</v>
      </c>
      <c r="E531" s="4">
        <v>6000.0</v>
      </c>
      <c r="F531" s="4"/>
      <c r="G531" s="4"/>
      <c r="H531" s="4">
        <f>'data on outstanding creditors'!$E531-'data on outstanding creditors'!$F531-'data on outstanding creditors'!$G531</f>
        <v>6000</v>
      </c>
      <c r="I531" s="2"/>
      <c r="J531" s="1" t="s">
        <v>646</v>
      </c>
      <c r="K531" s="2">
        <v>45906.0</v>
      </c>
      <c r="L531" s="5"/>
      <c r="M531" s="9" t="s">
        <v>403</v>
      </c>
      <c r="N531" s="9" t="s">
        <v>23</v>
      </c>
      <c r="O531" s="10">
        <f>'data on outstanding creditors'!$E531*100/107</f>
        <v>5607.476636</v>
      </c>
      <c r="P531" s="10">
        <f>'data on outstanding creditors'!$E531-'data on outstanding creditors'!$O531</f>
        <v>392.5233645</v>
      </c>
      <c r="Q531" s="7">
        <f>DAY('data on outstanding creditors'!$B531)</f>
        <v>5</v>
      </c>
      <c r="R531" s="7">
        <f>MONTH('data on outstanding creditors'!$B531)</f>
        <v>8</v>
      </c>
      <c r="S531" s="7">
        <f>YEAR('data on outstanding creditors'!$B531)</f>
        <v>2025</v>
      </c>
      <c r="T531" s="11" t="str">
        <f>'data on outstanding creditors'!$C531&amp;" "&amp;'data on outstanding creditors'!$D531&amp;" "&amp;TEXT('data on outstanding creditors'!$E531,"#,##0.00")</f>
        <v>องค์การเภสัชกรรม 3001043559 6,000.00</v>
      </c>
      <c r="U531" s="12"/>
    </row>
    <row r="532" ht="13.5" customHeight="1">
      <c r="A532" s="1"/>
      <c r="B532" s="2">
        <v>45874.0</v>
      </c>
      <c r="C532" s="9" t="s">
        <v>401</v>
      </c>
      <c r="D532" s="1" t="s">
        <v>901</v>
      </c>
      <c r="E532" s="4">
        <v>9844.0</v>
      </c>
      <c r="F532" s="4"/>
      <c r="G532" s="4"/>
      <c r="H532" s="4">
        <f>'data on outstanding creditors'!$E532-'data on outstanding creditors'!$F532-'data on outstanding creditors'!$G532</f>
        <v>9844</v>
      </c>
      <c r="I532" s="2"/>
      <c r="J532" s="1" t="s">
        <v>646</v>
      </c>
      <c r="K532" s="2">
        <v>45906.0</v>
      </c>
      <c r="L532" s="5"/>
      <c r="M532" s="9" t="s">
        <v>403</v>
      </c>
      <c r="N532" s="9" t="s">
        <v>23</v>
      </c>
      <c r="O532" s="10">
        <f>'data on outstanding creditors'!$E532*100/107</f>
        <v>9200</v>
      </c>
      <c r="P532" s="10">
        <f>'data on outstanding creditors'!$E532-'data on outstanding creditors'!$O532</f>
        <v>644</v>
      </c>
      <c r="Q532" s="7">
        <f>DAY('data on outstanding creditors'!$B532)</f>
        <v>5</v>
      </c>
      <c r="R532" s="7">
        <f>MONTH('data on outstanding creditors'!$B532)</f>
        <v>8</v>
      </c>
      <c r="S532" s="7">
        <f>YEAR('data on outstanding creditors'!$B532)</f>
        <v>2025</v>
      </c>
      <c r="T532" s="11" t="str">
        <f>'data on outstanding creditors'!$C532&amp;" "&amp;'data on outstanding creditors'!$D532&amp;" "&amp;TEXT('data on outstanding creditors'!$E532,"#,##0.00")</f>
        <v>องค์การเภสัชกรรม 3001043841 9,844.00</v>
      </c>
      <c r="U532" s="12"/>
    </row>
    <row r="533" ht="13.5" customHeight="1">
      <c r="A533" s="1"/>
      <c r="B533" s="2">
        <v>45874.0</v>
      </c>
      <c r="C533" s="9" t="s">
        <v>401</v>
      </c>
      <c r="D533" s="1" t="s">
        <v>902</v>
      </c>
      <c r="E533" s="4">
        <v>7383.0</v>
      </c>
      <c r="F533" s="4"/>
      <c r="G533" s="4"/>
      <c r="H533" s="4">
        <f>'data on outstanding creditors'!$E533-'data on outstanding creditors'!$F533-'data on outstanding creditors'!$G533</f>
        <v>7383</v>
      </c>
      <c r="I533" s="2"/>
      <c r="J533" s="1" t="s">
        <v>646</v>
      </c>
      <c r="K533" s="2">
        <v>45906.0</v>
      </c>
      <c r="L533" s="5"/>
      <c r="M533" s="9" t="s">
        <v>403</v>
      </c>
      <c r="N533" s="9" t="s">
        <v>23</v>
      </c>
      <c r="O533" s="10">
        <f>'data on outstanding creditors'!$E533*100/107</f>
        <v>6900</v>
      </c>
      <c r="P533" s="10">
        <f>'data on outstanding creditors'!$E533-'data on outstanding creditors'!$O533</f>
        <v>483</v>
      </c>
      <c r="Q533" s="7">
        <f>DAY('data on outstanding creditors'!$B533)</f>
        <v>5</v>
      </c>
      <c r="R533" s="7">
        <f>MONTH('data on outstanding creditors'!$B533)</f>
        <v>8</v>
      </c>
      <c r="S533" s="7">
        <f>YEAR('data on outstanding creditors'!$B533)</f>
        <v>2025</v>
      </c>
      <c r="T533" s="11" t="str">
        <f>'data on outstanding creditors'!$C533&amp;" "&amp;'data on outstanding creditors'!$D533&amp;" "&amp;TEXT('data on outstanding creditors'!$E533,"#,##0.00")</f>
        <v>องค์การเภสัชกรรม 3001044814 7,383.00</v>
      </c>
      <c r="U533" s="12"/>
    </row>
    <row r="534" ht="13.5" customHeight="1">
      <c r="A534" s="1"/>
      <c r="B534" s="2">
        <v>45874.0</v>
      </c>
      <c r="C534" s="9" t="s">
        <v>401</v>
      </c>
      <c r="D534" s="1" t="s">
        <v>903</v>
      </c>
      <c r="E534" s="4">
        <v>18750.0</v>
      </c>
      <c r="F534" s="4"/>
      <c r="G534" s="4"/>
      <c r="H534" s="4">
        <f>'data on outstanding creditors'!$E534-'data on outstanding creditors'!$F534-'data on outstanding creditors'!$G534</f>
        <v>18750</v>
      </c>
      <c r="I534" s="2"/>
      <c r="J534" s="1" t="s">
        <v>646</v>
      </c>
      <c r="K534" s="2">
        <v>45906.0</v>
      </c>
      <c r="L534" s="5"/>
      <c r="M534" s="9" t="s">
        <v>403</v>
      </c>
      <c r="N534" s="9" t="s">
        <v>23</v>
      </c>
      <c r="O534" s="10">
        <f>'data on outstanding creditors'!$E534*100/107</f>
        <v>17523.36449</v>
      </c>
      <c r="P534" s="10">
        <f>'data on outstanding creditors'!$E534-'data on outstanding creditors'!$O534</f>
        <v>1226.635514</v>
      </c>
      <c r="Q534" s="7">
        <f>DAY('data on outstanding creditors'!$B534)</f>
        <v>5</v>
      </c>
      <c r="R534" s="7">
        <f>MONTH('data on outstanding creditors'!$B534)</f>
        <v>8</v>
      </c>
      <c r="S534" s="7">
        <f>YEAR('data on outstanding creditors'!$B534)</f>
        <v>2025</v>
      </c>
      <c r="T534" s="11" t="str">
        <f>'data on outstanding creditors'!$C534&amp;" "&amp;'data on outstanding creditors'!$D534&amp;" "&amp;TEXT('data on outstanding creditors'!$E534,"#,##0.00")</f>
        <v>องค์การเภสัชกรรม 3001045041 18,750.00</v>
      </c>
      <c r="U534" s="12"/>
    </row>
    <row r="535" ht="13.5" customHeight="1">
      <c r="A535" s="1"/>
      <c r="B535" s="2">
        <v>45874.0</v>
      </c>
      <c r="C535" s="9" t="s">
        <v>401</v>
      </c>
      <c r="D535" s="1" t="s">
        <v>904</v>
      </c>
      <c r="E535" s="4">
        <v>11400.0</v>
      </c>
      <c r="F535" s="4"/>
      <c r="G535" s="4"/>
      <c r="H535" s="4">
        <f>'data on outstanding creditors'!$E535-'data on outstanding creditors'!$F535-'data on outstanding creditors'!$G535</f>
        <v>11400</v>
      </c>
      <c r="I535" s="2"/>
      <c r="J535" s="1" t="s">
        <v>646</v>
      </c>
      <c r="K535" s="2">
        <v>45906.0</v>
      </c>
      <c r="L535" s="5"/>
      <c r="M535" s="9" t="s">
        <v>403</v>
      </c>
      <c r="N535" s="9" t="s">
        <v>23</v>
      </c>
      <c r="O535" s="10">
        <f>'data on outstanding creditors'!$E535*100/107</f>
        <v>10654.20561</v>
      </c>
      <c r="P535" s="10">
        <f>'data on outstanding creditors'!$E535-'data on outstanding creditors'!$O535</f>
        <v>745.7943925</v>
      </c>
      <c r="Q535" s="7">
        <f>DAY('data on outstanding creditors'!$B535)</f>
        <v>5</v>
      </c>
      <c r="R535" s="7">
        <f>MONTH('data on outstanding creditors'!$B535)</f>
        <v>8</v>
      </c>
      <c r="S535" s="7">
        <f>YEAR('data on outstanding creditors'!$B535)</f>
        <v>2025</v>
      </c>
      <c r="T535" s="11" t="str">
        <f>'data on outstanding creditors'!$C535&amp;" "&amp;'data on outstanding creditors'!$D535&amp;" "&amp;TEXT('data on outstanding creditors'!$E535,"#,##0.00")</f>
        <v>องค์การเภสัชกรรม 3001045298 11,400.00</v>
      </c>
      <c r="U535" s="12"/>
    </row>
    <row r="536" ht="13.5" customHeight="1">
      <c r="A536" s="1"/>
      <c r="B536" s="2">
        <v>45876.0</v>
      </c>
      <c r="C536" s="9" t="s">
        <v>401</v>
      </c>
      <c r="D536" s="1" t="s">
        <v>905</v>
      </c>
      <c r="E536" s="4">
        <v>20715.2</v>
      </c>
      <c r="F536" s="4"/>
      <c r="G536" s="4"/>
      <c r="H536" s="4">
        <f>'data on outstanding creditors'!$E536-'data on outstanding creditors'!$F536-'data on outstanding creditors'!$G536</f>
        <v>20715.2</v>
      </c>
      <c r="I536" s="2"/>
      <c r="J536" s="1" t="s">
        <v>646</v>
      </c>
      <c r="K536" s="2">
        <v>45915.0</v>
      </c>
      <c r="L536" s="5"/>
      <c r="M536" s="9" t="s">
        <v>403</v>
      </c>
      <c r="N536" s="9" t="s">
        <v>23</v>
      </c>
      <c r="O536" s="10">
        <f>'data on outstanding creditors'!$E536*100/107</f>
        <v>19360</v>
      </c>
      <c r="P536" s="10">
        <f>'data on outstanding creditors'!$E536-'data on outstanding creditors'!$O536</f>
        <v>1355.2</v>
      </c>
      <c r="Q536" s="7">
        <f>DAY('data on outstanding creditors'!$B536)</f>
        <v>7</v>
      </c>
      <c r="R536" s="7">
        <f>MONTH('data on outstanding creditors'!$B536)</f>
        <v>8</v>
      </c>
      <c r="S536" s="7">
        <f>YEAR('data on outstanding creditors'!$B536)</f>
        <v>2025</v>
      </c>
      <c r="T536" s="11" t="str">
        <f>'data on outstanding creditors'!$C536&amp;" "&amp;'data on outstanding creditors'!$D536&amp;" "&amp;TEXT('data on outstanding creditors'!$E536,"#,##0.00")</f>
        <v>องค์การเภสัชกรรม 3001046605 20,715.20</v>
      </c>
      <c r="U536" s="12"/>
    </row>
    <row r="537" ht="13.5" customHeight="1">
      <c r="A537" s="1"/>
      <c r="B537" s="2">
        <v>45876.0</v>
      </c>
      <c r="C537" s="9" t="s">
        <v>401</v>
      </c>
      <c r="D537" s="1" t="s">
        <v>906</v>
      </c>
      <c r="E537" s="4">
        <v>26364.8</v>
      </c>
      <c r="F537" s="4"/>
      <c r="G537" s="4"/>
      <c r="H537" s="4">
        <f>'data on outstanding creditors'!$E537-'data on outstanding creditors'!$F537-'data on outstanding creditors'!$G537</f>
        <v>26364.8</v>
      </c>
      <c r="I537" s="2"/>
      <c r="J537" s="1" t="s">
        <v>646</v>
      </c>
      <c r="K537" s="2">
        <v>45915.0</v>
      </c>
      <c r="L537" s="5"/>
      <c r="M537" s="9" t="s">
        <v>403</v>
      </c>
      <c r="N537" s="9" t="s">
        <v>23</v>
      </c>
      <c r="O537" s="10">
        <f>'data on outstanding creditors'!$E537*100/107</f>
        <v>24640</v>
      </c>
      <c r="P537" s="10">
        <f>'data on outstanding creditors'!$E537-'data on outstanding creditors'!$O537</f>
        <v>1724.8</v>
      </c>
      <c r="Q537" s="7">
        <f>DAY('data on outstanding creditors'!$B537)</f>
        <v>7</v>
      </c>
      <c r="R537" s="7">
        <f>MONTH('data on outstanding creditors'!$B537)</f>
        <v>8</v>
      </c>
      <c r="S537" s="7">
        <f>YEAR('data on outstanding creditors'!$B537)</f>
        <v>2025</v>
      </c>
      <c r="T537" s="11" t="str">
        <f>'data on outstanding creditors'!$C537&amp;" "&amp;'data on outstanding creditors'!$D537&amp;" "&amp;TEXT('data on outstanding creditors'!$E537,"#,##0.00")</f>
        <v>องค์การเภสัชกรรม 3001049526 26,364.80</v>
      </c>
      <c r="U537" s="12"/>
    </row>
    <row r="538" ht="13.5" customHeight="1">
      <c r="A538" s="1"/>
      <c r="B538" s="2">
        <v>45876.0</v>
      </c>
      <c r="C538" s="9" t="s">
        <v>401</v>
      </c>
      <c r="D538" s="1" t="s">
        <v>907</v>
      </c>
      <c r="E538" s="4">
        <v>20962.0</v>
      </c>
      <c r="F538" s="4"/>
      <c r="G538" s="4"/>
      <c r="H538" s="4">
        <f>'data on outstanding creditors'!$E538-'data on outstanding creditors'!$F538-'data on outstanding creditors'!$G538</f>
        <v>20962</v>
      </c>
      <c r="I538" s="2"/>
      <c r="J538" s="1" t="s">
        <v>646</v>
      </c>
      <c r="K538" s="2">
        <v>45915.0</v>
      </c>
      <c r="L538" s="5"/>
      <c r="M538" s="9" t="s">
        <v>403</v>
      </c>
      <c r="N538" s="9" t="s">
        <v>23</v>
      </c>
      <c r="O538" s="10">
        <f>'data on outstanding creditors'!$E538*100/107</f>
        <v>19590.65421</v>
      </c>
      <c r="P538" s="10">
        <f>'data on outstanding creditors'!$E538-'data on outstanding creditors'!$O538</f>
        <v>1371.345794</v>
      </c>
      <c r="Q538" s="7">
        <f>DAY('data on outstanding creditors'!$B538)</f>
        <v>7</v>
      </c>
      <c r="R538" s="7">
        <f>MONTH('data on outstanding creditors'!$B538)</f>
        <v>8</v>
      </c>
      <c r="S538" s="7">
        <f>YEAR('data on outstanding creditors'!$B538)</f>
        <v>2025</v>
      </c>
      <c r="T538" s="11" t="str">
        <f>'data on outstanding creditors'!$C538&amp;" "&amp;'data on outstanding creditors'!$D538&amp;" "&amp;TEXT('data on outstanding creditors'!$E538,"#,##0.00")</f>
        <v>องค์การเภสัชกรรม 3001049436 20,962.00</v>
      </c>
      <c r="U538" s="12"/>
    </row>
    <row r="539" ht="13.5" customHeight="1">
      <c r="A539" s="1"/>
      <c r="B539" s="2">
        <v>45876.0</v>
      </c>
      <c r="C539" s="9" t="s">
        <v>401</v>
      </c>
      <c r="D539" s="1" t="s">
        <v>908</v>
      </c>
      <c r="E539" s="4">
        <v>5125.0</v>
      </c>
      <c r="F539" s="4"/>
      <c r="G539" s="4"/>
      <c r="H539" s="4">
        <f>'data on outstanding creditors'!$E539-'data on outstanding creditors'!$F539-'data on outstanding creditors'!$G539</f>
        <v>5125</v>
      </c>
      <c r="I539" s="2"/>
      <c r="J539" s="1" t="s">
        <v>646</v>
      </c>
      <c r="K539" s="2">
        <v>45915.0</v>
      </c>
      <c r="L539" s="5"/>
      <c r="M539" s="9" t="s">
        <v>403</v>
      </c>
      <c r="N539" s="9" t="s">
        <v>23</v>
      </c>
      <c r="O539" s="10">
        <f>'data on outstanding creditors'!$E539*100/107</f>
        <v>4789.719626</v>
      </c>
      <c r="P539" s="10">
        <f>'data on outstanding creditors'!$E539-'data on outstanding creditors'!$O539</f>
        <v>335.2803738</v>
      </c>
      <c r="Q539" s="7">
        <f>DAY('data on outstanding creditors'!$B539)</f>
        <v>7</v>
      </c>
      <c r="R539" s="7">
        <f>MONTH('data on outstanding creditors'!$B539)</f>
        <v>8</v>
      </c>
      <c r="S539" s="7">
        <f>YEAR('data on outstanding creditors'!$B539)</f>
        <v>2025</v>
      </c>
      <c r="T539" s="11" t="str">
        <f>'data on outstanding creditors'!$C539&amp;" "&amp;'data on outstanding creditors'!$D539&amp;" "&amp;TEXT('data on outstanding creditors'!$E539,"#,##0.00")</f>
        <v>องค์การเภสัชกรรม 3001049105 5,125.00</v>
      </c>
      <c r="U539" s="12"/>
    </row>
    <row r="540" ht="13.5" customHeight="1">
      <c r="A540" s="1"/>
      <c r="B540" s="2">
        <v>45877.0</v>
      </c>
      <c r="C540" s="9" t="s">
        <v>520</v>
      </c>
      <c r="D540" s="1" t="s">
        <v>909</v>
      </c>
      <c r="E540" s="4">
        <v>74900.0</v>
      </c>
      <c r="F540" s="4"/>
      <c r="G540" s="4"/>
      <c r="H540" s="4">
        <f>'data on outstanding creditors'!$E540-'data on outstanding creditors'!$F540-'data on outstanding creditors'!$G540</f>
        <v>74900</v>
      </c>
      <c r="I540" s="2"/>
      <c r="J540" s="1" t="s">
        <v>646</v>
      </c>
      <c r="K540" s="2">
        <v>45943.0</v>
      </c>
      <c r="L540" s="5"/>
      <c r="M540" s="9" t="s">
        <v>403</v>
      </c>
      <c r="N540" s="9" t="s">
        <v>23</v>
      </c>
      <c r="O540" s="10">
        <f>'data on outstanding creditors'!$E540*100/107</f>
        <v>70000</v>
      </c>
      <c r="P540" s="10">
        <f>'data on outstanding creditors'!$E540-'data on outstanding creditors'!$O540</f>
        <v>4900</v>
      </c>
      <c r="Q540" s="7">
        <f>DAY('data on outstanding creditors'!$B540)</f>
        <v>8</v>
      </c>
      <c r="R540" s="7">
        <f>MONTH('data on outstanding creditors'!$B540)</f>
        <v>8</v>
      </c>
      <c r="S540" s="7">
        <f>YEAR('data on outstanding creditors'!$B540)</f>
        <v>2025</v>
      </c>
      <c r="T540" s="11" t="str">
        <f>'data on outstanding creditors'!$C540&amp;" "&amp;'data on outstanding creditors'!$D540&amp;" "&amp;TEXT('data on outstanding creditors'!$E540,"#,##0.00")</f>
        <v>บ.ซิลลิคฟาร์มา 1317775223 74,900.00</v>
      </c>
      <c r="U540" s="12"/>
    </row>
    <row r="541" ht="13.5" customHeight="1">
      <c r="A541" s="1"/>
      <c r="B541" s="2">
        <v>45877.0</v>
      </c>
      <c r="C541" s="9" t="s">
        <v>263</v>
      </c>
      <c r="D541" s="1" t="s">
        <v>910</v>
      </c>
      <c r="E541" s="4">
        <v>78000.0</v>
      </c>
      <c r="F541" s="4"/>
      <c r="G541" s="4"/>
      <c r="H541" s="4">
        <f>'data on outstanding creditors'!$E541-'data on outstanding creditors'!$F541-'data on outstanding creditors'!$G541</f>
        <v>78000</v>
      </c>
      <c r="I541" s="2"/>
      <c r="J541" s="1" t="s">
        <v>757</v>
      </c>
      <c r="K541" s="2">
        <v>45911.0</v>
      </c>
      <c r="L541" s="5"/>
      <c r="M541" s="9" t="s">
        <v>403</v>
      </c>
      <c r="N541" s="9" t="s">
        <v>23</v>
      </c>
      <c r="O541" s="10">
        <f>'data on outstanding creditors'!$E541*100/107</f>
        <v>72897.19626</v>
      </c>
      <c r="P541" s="10">
        <f>'data on outstanding creditors'!$E541-'data on outstanding creditors'!$O541</f>
        <v>5102.803738</v>
      </c>
      <c r="Q541" s="7">
        <f>DAY('data on outstanding creditors'!$B541)</f>
        <v>8</v>
      </c>
      <c r="R541" s="7">
        <f>MONTH('data on outstanding creditors'!$B541)</f>
        <v>8</v>
      </c>
      <c r="S541" s="7">
        <f>YEAR('data on outstanding creditors'!$B541)</f>
        <v>2025</v>
      </c>
      <c r="T541" s="11" t="str">
        <f>'data on outstanding creditors'!$C541&amp;" "&amp;'data on outstanding creditors'!$D541&amp;" "&amp;TEXT('data on outstanding creditors'!$E541,"#,##0.00")</f>
        <v>บ.เอเบิ้ล เมดิคอล B2507/0734 78,000.00</v>
      </c>
      <c r="U541" s="12"/>
    </row>
    <row r="542" ht="13.5" customHeight="1">
      <c r="A542" s="1"/>
      <c r="B542" s="2">
        <v>45882.0</v>
      </c>
      <c r="C542" s="9" t="s">
        <v>401</v>
      </c>
      <c r="D542" s="1" t="s">
        <v>911</v>
      </c>
      <c r="E542" s="4">
        <v>4840.0</v>
      </c>
      <c r="F542" s="4"/>
      <c r="G542" s="4"/>
      <c r="H542" s="4">
        <f>'data on outstanding creditors'!$E542-'data on outstanding creditors'!$F542-'data on outstanding creditors'!$G542</f>
        <v>4840</v>
      </c>
      <c r="I542" s="2"/>
      <c r="J542" s="1" t="s">
        <v>646</v>
      </c>
      <c r="K542" s="2">
        <v>45915.0</v>
      </c>
      <c r="L542" s="5"/>
      <c r="M542" s="9" t="s">
        <v>403</v>
      </c>
      <c r="N542" s="9" t="s">
        <v>23</v>
      </c>
      <c r="O542" s="10">
        <f>'data on outstanding creditors'!$E542*100/107</f>
        <v>4523.364486</v>
      </c>
      <c r="P542" s="10">
        <f>'data on outstanding creditors'!$E542-'data on outstanding creditors'!$O542</f>
        <v>316.635514</v>
      </c>
      <c r="Q542" s="7">
        <f>DAY('data on outstanding creditors'!$B542)</f>
        <v>13</v>
      </c>
      <c r="R542" s="7">
        <f>MONTH('data on outstanding creditors'!$B542)</f>
        <v>8</v>
      </c>
      <c r="S542" s="7">
        <f>YEAR('data on outstanding creditors'!$B542)</f>
        <v>2025</v>
      </c>
      <c r="T542" s="11" t="str">
        <f>'data on outstanding creditors'!$C542&amp;" "&amp;'data on outstanding creditors'!$D542&amp;" "&amp;TEXT('data on outstanding creditors'!$E542,"#,##0.00")</f>
        <v>องค์การเภสัชกรรม 3001047436 4,840.00</v>
      </c>
      <c r="U542" s="12"/>
    </row>
    <row r="543" ht="13.5" customHeight="1">
      <c r="A543" s="1"/>
      <c r="B543" s="2">
        <v>45882.0</v>
      </c>
      <c r="C543" s="9" t="s">
        <v>401</v>
      </c>
      <c r="D543" s="1" t="s">
        <v>912</v>
      </c>
      <c r="E543" s="4">
        <v>41730.0</v>
      </c>
      <c r="F543" s="4"/>
      <c r="G543" s="4"/>
      <c r="H543" s="4">
        <f>'data on outstanding creditors'!$E543-'data on outstanding creditors'!$F543-'data on outstanding creditors'!$G543</f>
        <v>41730</v>
      </c>
      <c r="I543" s="2"/>
      <c r="J543" s="1" t="s">
        <v>646</v>
      </c>
      <c r="K543" s="2">
        <v>45915.0</v>
      </c>
      <c r="L543" s="5"/>
      <c r="M543" s="9" t="s">
        <v>403</v>
      </c>
      <c r="N543" s="9" t="s">
        <v>23</v>
      </c>
      <c r="O543" s="10">
        <f>'data on outstanding creditors'!$E543*100/107</f>
        <v>39000</v>
      </c>
      <c r="P543" s="10">
        <f>'data on outstanding creditors'!$E543-'data on outstanding creditors'!$O543</f>
        <v>2730</v>
      </c>
      <c r="Q543" s="7">
        <f>DAY('data on outstanding creditors'!$B543)</f>
        <v>13</v>
      </c>
      <c r="R543" s="7">
        <f>MONTH('data on outstanding creditors'!$B543)</f>
        <v>8</v>
      </c>
      <c r="S543" s="7">
        <f>YEAR('data on outstanding creditors'!$B543)</f>
        <v>2025</v>
      </c>
      <c r="T543" s="11" t="str">
        <f>'data on outstanding creditors'!$C543&amp;" "&amp;'data on outstanding creditors'!$D543&amp;" "&amp;TEXT('data on outstanding creditors'!$E543,"#,##0.00")</f>
        <v>องค์การเภสัชกรรม 3001050552 41,730.00</v>
      </c>
      <c r="U543" s="12"/>
    </row>
    <row r="544" ht="13.5" customHeight="1">
      <c r="A544" s="1"/>
      <c r="B544" s="2">
        <v>45882.0</v>
      </c>
      <c r="C544" s="9" t="s">
        <v>401</v>
      </c>
      <c r="D544" s="1" t="s">
        <v>913</v>
      </c>
      <c r="E544" s="4">
        <v>89880.0</v>
      </c>
      <c r="F544" s="4"/>
      <c r="G544" s="4"/>
      <c r="H544" s="4">
        <f>'data on outstanding creditors'!$E544-'data on outstanding creditors'!$F544-'data on outstanding creditors'!$G544</f>
        <v>89880</v>
      </c>
      <c r="I544" s="2"/>
      <c r="J544" s="1" t="s">
        <v>646</v>
      </c>
      <c r="K544" s="2">
        <v>45915.0</v>
      </c>
      <c r="L544" s="5"/>
      <c r="M544" s="9" t="s">
        <v>403</v>
      </c>
      <c r="N544" s="9" t="s">
        <v>23</v>
      </c>
      <c r="O544" s="10">
        <f>'data on outstanding creditors'!$E544*100/107</f>
        <v>84000</v>
      </c>
      <c r="P544" s="10">
        <f>'data on outstanding creditors'!$E544-'data on outstanding creditors'!$O544</f>
        <v>5880</v>
      </c>
      <c r="Q544" s="7">
        <f>DAY('data on outstanding creditors'!$B544)</f>
        <v>13</v>
      </c>
      <c r="R544" s="7">
        <f>MONTH('data on outstanding creditors'!$B544)</f>
        <v>8</v>
      </c>
      <c r="S544" s="7">
        <f>YEAR('data on outstanding creditors'!$B544)</f>
        <v>2025</v>
      </c>
      <c r="T544" s="11" t="str">
        <f>'data on outstanding creditors'!$C544&amp;" "&amp;'data on outstanding creditors'!$D544&amp;" "&amp;TEXT('data on outstanding creditors'!$E544,"#,##0.00")</f>
        <v>องค์การเภสัชกรรม 3001049946 89,880.00</v>
      </c>
      <c r="U544" s="12"/>
    </row>
    <row r="545" ht="13.5" customHeight="1">
      <c r="A545" s="1"/>
      <c r="B545" s="2">
        <v>45882.0</v>
      </c>
      <c r="C545" s="9" t="s">
        <v>401</v>
      </c>
      <c r="D545" s="1" t="s">
        <v>914</v>
      </c>
      <c r="E545" s="4">
        <v>68400.0</v>
      </c>
      <c r="F545" s="4"/>
      <c r="G545" s="4"/>
      <c r="H545" s="4">
        <f>'data on outstanding creditors'!$E545-'data on outstanding creditors'!$F545-'data on outstanding creditors'!$G545</f>
        <v>68400</v>
      </c>
      <c r="I545" s="2"/>
      <c r="J545" s="1" t="s">
        <v>646</v>
      </c>
      <c r="K545" s="2">
        <v>45915.0</v>
      </c>
      <c r="L545" s="5"/>
      <c r="M545" s="9" t="s">
        <v>403</v>
      </c>
      <c r="N545" s="9" t="s">
        <v>23</v>
      </c>
      <c r="O545" s="10">
        <f>'data on outstanding creditors'!$E545*100/107</f>
        <v>63925.23364</v>
      </c>
      <c r="P545" s="10">
        <f>'data on outstanding creditors'!$E545-'data on outstanding creditors'!$O545</f>
        <v>4474.766355</v>
      </c>
      <c r="Q545" s="7">
        <f>DAY('data on outstanding creditors'!$B545)</f>
        <v>13</v>
      </c>
      <c r="R545" s="7">
        <f>MONTH('data on outstanding creditors'!$B545)</f>
        <v>8</v>
      </c>
      <c r="S545" s="7">
        <f>YEAR('data on outstanding creditors'!$B545)</f>
        <v>2025</v>
      </c>
      <c r="T545" s="11" t="str">
        <f>'data on outstanding creditors'!$C545&amp;" "&amp;'data on outstanding creditors'!$D545&amp;" "&amp;TEXT('data on outstanding creditors'!$E545,"#,##0.00")</f>
        <v>องค์การเภสัชกรรม 3001049983 68,400.00</v>
      </c>
      <c r="U545" s="12"/>
    </row>
    <row r="546" ht="13.5" customHeight="1">
      <c r="A546" s="1"/>
      <c r="B546" s="2">
        <v>45882.0</v>
      </c>
      <c r="C546" s="9" t="s">
        <v>401</v>
      </c>
      <c r="D546" s="1" t="s">
        <v>915</v>
      </c>
      <c r="E546" s="4">
        <v>70620.0</v>
      </c>
      <c r="F546" s="4"/>
      <c r="G546" s="4"/>
      <c r="H546" s="4">
        <f>'data on outstanding creditors'!$E546-'data on outstanding creditors'!$F546-'data on outstanding creditors'!$G546</f>
        <v>70620</v>
      </c>
      <c r="I546" s="2"/>
      <c r="J546" s="1" t="s">
        <v>646</v>
      </c>
      <c r="K546" s="2">
        <v>45915.0</v>
      </c>
      <c r="L546" s="5"/>
      <c r="M546" s="9" t="s">
        <v>403</v>
      </c>
      <c r="N546" s="9" t="s">
        <v>23</v>
      </c>
      <c r="O546" s="10">
        <f>'data on outstanding creditors'!$E546*100/107</f>
        <v>66000</v>
      </c>
      <c r="P546" s="10">
        <f>'data on outstanding creditors'!$E546-'data on outstanding creditors'!$O546</f>
        <v>4620</v>
      </c>
      <c r="Q546" s="7">
        <f>DAY('data on outstanding creditors'!$B546)</f>
        <v>13</v>
      </c>
      <c r="R546" s="7">
        <f>MONTH('data on outstanding creditors'!$B546)</f>
        <v>8</v>
      </c>
      <c r="S546" s="7">
        <f>YEAR('data on outstanding creditors'!$B546)</f>
        <v>2025</v>
      </c>
      <c r="T546" s="11" t="str">
        <f>'data on outstanding creditors'!$C546&amp;" "&amp;'data on outstanding creditors'!$D546&amp;" "&amp;TEXT('data on outstanding creditors'!$E546,"#,##0.00")</f>
        <v>องค์การเภสัชกรรม 3001049908 70,620.00</v>
      </c>
      <c r="U546" s="12"/>
    </row>
    <row r="547" ht="13.5" customHeight="1">
      <c r="A547" s="1"/>
      <c r="B547" s="2">
        <v>45882.0</v>
      </c>
      <c r="C547" s="9" t="s">
        <v>399</v>
      </c>
      <c r="D547" s="1" t="s">
        <v>916</v>
      </c>
      <c r="E547" s="4">
        <v>84530.0</v>
      </c>
      <c r="F547" s="4"/>
      <c r="G547" s="4"/>
      <c r="H547" s="4">
        <f>'data on outstanding creditors'!$E547-'data on outstanding creditors'!$F547-'data on outstanding creditors'!$G547</f>
        <v>84530</v>
      </c>
      <c r="I547" s="2"/>
      <c r="J547" s="1" t="s">
        <v>646</v>
      </c>
      <c r="K547" s="2">
        <v>45943.0</v>
      </c>
      <c r="L547" s="5"/>
      <c r="M547" s="9" t="s">
        <v>403</v>
      </c>
      <c r="N547" s="9" t="s">
        <v>23</v>
      </c>
      <c r="O547" s="10">
        <f>'data on outstanding creditors'!$E547*100/107</f>
        <v>79000</v>
      </c>
      <c r="P547" s="10">
        <f>'data on outstanding creditors'!$E547-'data on outstanding creditors'!$O547</f>
        <v>5530</v>
      </c>
      <c r="Q547" s="7">
        <f>DAY('data on outstanding creditors'!$B547)</f>
        <v>13</v>
      </c>
      <c r="R547" s="7">
        <f>MONTH('data on outstanding creditors'!$B547)</f>
        <v>8</v>
      </c>
      <c r="S547" s="7">
        <f>YEAR('data on outstanding creditors'!$B547)</f>
        <v>2025</v>
      </c>
      <c r="T547" s="11" t="str">
        <f>'data on outstanding creditors'!$C547&amp;" "&amp;'data on outstanding creditors'!$D547&amp;" "&amp;TEXT('data on outstanding creditors'!$E547,"#,##0.00")</f>
        <v>บ.ดีเคเอสเอช(ประเทศไทย) 5344093657 84,530.00</v>
      </c>
      <c r="U547" s="12"/>
    </row>
    <row r="548" ht="13.5" customHeight="1">
      <c r="A548" s="1"/>
      <c r="B548" s="2">
        <v>45882.0</v>
      </c>
      <c r="C548" s="9" t="s">
        <v>520</v>
      </c>
      <c r="D548" s="1" t="s">
        <v>917</v>
      </c>
      <c r="E548" s="4">
        <v>80292.8</v>
      </c>
      <c r="F548" s="4"/>
      <c r="G548" s="4"/>
      <c r="H548" s="4">
        <f>'data on outstanding creditors'!$E548-'data on outstanding creditors'!$F548-'data on outstanding creditors'!$G548</f>
        <v>80292.8</v>
      </c>
      <c r="I548" s="2"/>
      <c r="J548" s="1" t="s">
        <v>646</v>
      </c>
      <c r="K548" s="2">
        <v>45943.0</v>
      </c>
      <c r="L548" s="5"/>
      <c r="M548" s="9" t="s">
        <v>403</v>
      </c>
      <c r="N548" s="9" t="s">
        <v>23</v>
      </c>
      <c r="O548" s="10">
        <f>'data on outstanding creditors'!$E548*100/107</f>
        <v>75040</v>
      </c>
      <c r="P548" s="10">
        <f>'data on outstanding creditors'!$E548-'data on outstanding creditors'!$O548</f>
        <v>5252.8</v>
      </c>
      <c r="Q548" s="7">
        <f>DAY('data on outstanding creditors'!$B548)</f>
        <v>13</v>
      </c>
      <c r="R548" s="7">
        <f>MONTH('data on outstanding creditors'!$B548)</f>
        <v>8</v>
      </c>
      <c r="S548" s="7">
        <f>YEAR('data on outstanding creditors'!$B548)</f>
        <v>2025</v>
      </c>
      <c r="T548" s="11" t="str">
        <f>'data on outstanding creditors'!$C548&amp;" "&amp;'data on outstanding creditors'!$D548&amp;" "&amp;TEXT('data on outstanding creditors'!$E548,"#,##0.00")</f>
        <v>บ.ซิลลิคฟาร์มา 1317780266 80,292.80</v>
      </c>
      <c r="U548" s="12"/>
    </row>
    <row r="549" ht="13.5" customHeight="1">
      <c r="A549" s="1"/>
      <c r="B549" s="2">
        <v>45882.0</v>
      </c>
      <c r="C549" s="9" t="s">
        <v>399</v>
      </c>
      <c r="D549" s="1" t="s">
        <v>918</v>
      </c>
      <c r="E549" s="4">
        <v>77040.0</v>
      </c>
      <c r="F549" s="4"/>
      <c r="G549" s="4"/>
      <c r="H549" s="4">
        <f>'data on outstanding creditors'!$E549-'data on outstanding creditors'!$F549-'data on outstanding creditors'!$G549</f>
        <v>77040</v>
      </c>
      <c r="I549" s="2"/>
      <c r="J549" s="1" t="s">
        <v>646</v>
      </c>
      <c r="K549" s="2">
        <v>45943.0</v>
      </c>
      <c r="L549" s="5"/>
      <c r="M549" s="9" t="s">
        <v>403</v>
      </c>
      <c r="N549" s="9" t="s">
        <v>23</v>
      </c>
      <c r="O549" s="10">
        <f>'data on outstanding creditors'!$E549*100/107</f>
        <v>72000</v>
      </c>
      <c r="P549" s="10">
        <f>'data on outstanding creditors'!$E549-'data on outstanding creditors'!$O549</f>
        <v>5040</v>
      </c>
      <c r="Q549" s="7">
        <f>DAY('data on outstanding creditors'!$B549)</f>
        <v>13</v>
      </c>
      <c r="R549" s="7">
        <f>MONTH('data on outstanding creditors'!$B549)</f>
        <v>8</v>
      </c>
      <c r="S549" s="7">
        <f>YEAR('data on outstanding creditors'!$B549)</f>
        <v>2025</v>
      </c>
      <c r="T549" s="11" t="str">
        <f>'data on outstanding creditors'!$C549&amp;" "&amp;'data on outstanding creditors'!$D549&amp;" "&amp;TEXT('data on outstanding creditors'!$E549,"#,##0.00")</f>
        <v>บ.ดีเคเอสเอช(ประเทศไทย) 5344111062 77,040.00</v>
      </c>
      <c r="U549" s="12"/>
    </row>
    <row r="550" ht="13.5" customHeight="1">
      <c r="A550" s="1"/>
      <c r="B550" s="2">
        <v>45882.0</v>
      </c>
      <c r="C550" s="9" t="s">
        <v>520</v>
      </c>
      <c r="D550" s="1" t="s">
        <v>919</v>
      </c>
      <c r="E550" s="4">
        <v>73830.0</v>
      </c>
      <c r="F550" s="4"/>
      <c r="G550" s="4"/>
      <c r="H550" s="4">
        <f>'data on outstanding creditors'!$E550-'data on outstanding creditors'!$F550-'data on outstanding creditors'!$G550</f>
        <v>73830</v>
      </c>
      <c r="I550" s="2"/>
      <c r="J550" s="1" t="s">
        <v>646</v>
      </c>
      <c r="K550" s="2">
        <v>45943.0</v>
      </c>
      <c r="L550" s="5"/>
      <c r="M550" s="9" t="s">
        <v>403</v>
      </c>
      <c r="N550" s="9" t="s">
        <v>23</v>
      </c>
      <c r="O550" s="10">
        <f>'data on outstanding creditors'!$E550*100/107</f>
        <v>69000</v>
      </c>
      <c r="P550" s="10">
        <f>'data on outstanding creditors'!$E550-'data on outstanding creditors'!$O550</f>
        <v>4830</v>
      </c>
      <c r="Q550" s="7">
        <f>DAY('data on outstanding creditors'!$B550)</f>
        <v>13</v>
      </c>
      <c r="R550" s="7">
        <f>MONTH('data on outstanding creditors'!$B550)</f>
        <v>8</v>
      </c>
      <c r="S550" s="7">
        <f>YEAR('data on outstanding creditors'!$B550)</f>
        <v>2025</v>
      </c>
      <c r="T550" s="11" t="str">
        <f>'data on outstanding creditors'!$C550&amp;" "&amp;'data on outstanding creditors'!$D550&amp;" "&amp;TEXT('data on outstanding creditors'!$E550,"#,##0.00")</f>
        <v>บ.ซิลลิคฟาร์มา 1317795528 73,830.00</v>
      </c>
      <c r="U550" s="12"/>
    </row>
    <row r="551" ht="13.5" customHeight="1">
      <c r="A551" s="1"/>
      <c r="B551" s="2">
        <v>45882.0</v>
      </c>
      <c r="C551" s="9" t="s">
        <v>920</v>
      </c>
      <c r="D551" s="1" t="s">
        <v>921</v>
      </c>
      <c r="E551" s="4">
        <v>98000.0</v>
      </c>
      <c r="F551" s="4"/>
      <c r="G551" s="4"/>
      <c r="H551" s="4">
        <f>'data on outstanding creditors'!$E551-'data on outstanding creditors'!$F551-'data on outstanding creditors'!$G551</f>
        <v>98000</v>
      </c>
      <c r="I551" s="2"/>
      <c r="J551" s="1" t="s">
        <v>646</v>
      </c>
      <c r="K551" s="2">
        <v>45954.0</v>
      </c>
      <c r="L551" s="5"/>
      <c r="M551" s="9" t="s">
        <v>403</v>
      </c>
      <c r="N551" s="9" t="s">
        <v>23</v>
      </c>
      <c r="O551" s="10">
        <f>'data on outstanding creditors'!$E551*100/107</f>
        <v>91588.78505</v>
      </c>
      <c r="P551" s="10">
        <f>'data on outstanding creditors'!$E551-'data on outstanding creditors'!$O551</f>
        <v>6411.214953</v>
      </c>
      <c r="Q551" s="7">
        <f>DAY('data on outstanding creditors'!$B551)</f>
        <v>13</v>
      </c>
      <c r="R551" s="7">
        <f>MONTH('data on outstanding creditors'!$B551)</f>
        <v>8</v>
      </c>
      <c r="S551" s="7">
        <f>YEAR('data on outstanding creditors'!$B551)</f>
        <v>2025</v>
      </c>
      <c r="T551" s="11" t="str">
        <f>'data on outstanding creditors'!$C551&amp;" "&amp;'data on outstanding creditors'!$D551&amp;" "&amp;TEXT('data on outstanding creditors'!$E551,"#,##0.00")</f>
        <v>บ.โปลิฟาร์ม IVU-68034031 98,000.00</v>
      </c>
      <c r="U551" s="12"/>
    </row>
    <row r="552" ht="13.5" customHeight="1">
      <c r="A552" s="1"/>
      <c r="B552" s="2">
        <v>45883.0</v>
      </c>
      <c r="C552" s="9" t="s">
        <v>922</v>
      </c>
      <c r="D552" s="1" t="s">
        <v>923</v>
      </c>
      <c r="E552" s="4">
        <v>71640.0</v>
      </c>
      <c r="F552" s="4"/>
      <c r="G552" s="4"/>
      <c r="H552" s="4">
        <f>'data on outstanding creditors'!$E552-'data on outstanding creditors'!$F552-'data on outstanding creditors'!$G552</f>
        <v>71640</v>
      </c>
      <c r="I552" s="2"/>
      <c r="J552" s="1" t="s">
        <v>757</v>
      </c>
      <c r="K552" s="2">
        <v>45911.0</v>
      </c>
      <c r="L552" s="5"/>
      <c r="M552" s="9" t="s">
        <v>403</v>
      </c>
      <c r="N552" s="9" t="s">
        <v>23</v>
      </c>
      <c r="O552" s="10">
        <f>'data on outstanding creditors'!$E552*100/107</f>
        <v>66953.27103</v>
      </c>
      <c r="P552" s="10">
        <f>'data on outstanding creditors'!$E552-'data on outstanding creditors'!$O552</f>
        <v>4686.728972</v>
      </c>
      <c r="Q552" s="7">
        <f>DAY('data on outstanding creditors'!$B552)</f>
        <v>14</v>
      </c>
      <c r="R552" s="7">
        <f>MONTH('data on outstanding creditors'!$B552)</f>
        <v>8</v>
      </c>
      <c r="S552" s="7">
        <f>YEAR('data on outstanding creditors'!$B552)</f>
        <v>2025</v>
      </c>
      <c r="T552" s="11" t="str">
        <f>'data on outstanding creditors'!$C552&amp;" "&amp;'data on outstanding creditors'!$D552&amp;" "&amp;TEXT('data on outstanding creditors'!$E552,"#,##0.00")</f>
        <v>บ.เบอร์ลินฟาร์มาซูติคอลอินดัสตรี้ 6810801391 71,640.00</v>
      </c>
      <c r="U552" s="12"/>
    </row>
    <row r="553" ht="13.5" customHeight="1">
      <c r="A553" s="1"/>
      <c r="B553" s="2">
        <v>45883.0</v>
      </c>
      <c r="C553" s="9" t="s">
        <v>401</v>
      </c>
      <c r="D553" s="1" t="s">
        <v>924</v>
      </c>
      <c r="E553" s="4">
        <v>53500.0</v>
      </c>
      <c r="F553" s="4"/>
      <c r="G553" s="4"/>
      <c r="H553" s="4">
        <f>'data on outstanding creditors'!$E553-'data on outstanding creditors'!$F553-'data on outstanding creditors'!$G553</f>
        <v>53500</v>
      </c>
      <c r="I553" s="2"/>
      <c r="J553" s="1" t="s">
        <v>646</v>
      </c>
      <c r="K553" s="2">
        <v>45915.0</v>
      </c>
      <c r="L553" s="5"/>
      <c r="M553" s="9" t="s">
        <v>403</v>
      </c>
      <c r="N553" s="9" t="s">
        <v>23</v>
      </c>
      <c r="O553" s="10">
        <f>'data on outstanding creditors'!$E553*100/107</f>
        <v>50000</v>
      </c>
      <c r="P553" s="10">
        <f>'data on outstanding creditors'!$E553-'data on outstanding creditors'!$O553</f>
        <v>3500</v>
      </c>
      <c r="Q553" s="7">
        <f>DAY('data on outstanding creditors'!$B553)</f>
        <v>14</v>
      </c>
      <c r="R553" s="7">
        <f>MONTH('data on outstanding creditors'!$B553)</f>
        <v>8</v>
      </c>
      <c r="S553" s="7">
        <f>YEAR('data on outstanding creditors'!$B553)</f>
        <v>2025</v>
      </c>
      <c r="T553" s="11" t="str">
        <f>'data on outstanding creditors'!$C553&amp;" "&amp;'data on outstanding creditors'!$D553&amp;" "&amp;TEXT('data on outstanding creditors'!$E553,"#,##0.00")</f>
        <v>องค์การเภสัชกรรม 3001051390 53,500.00</v>
      </c>
      <c r="U553" s="12"/>
    </row>
    <row r="554" ht="13.5" customHeight="1">
      <c r="A554" s="1"/>
      <c r="B554" s="2">
        <v>45883.0</v>
      </c>
      <c r="C554" s="9" t="s">
        <v>401</v>
      </c>
      <c r="D554" s="1" t="s">
        <v>925</v>
      </c>
      <c r="E554" s="4">
        <v>17660.0</v>
      </c>
      <c r="F554" s="4"/>
      <c r="G554" s="4"/>
      <c r="H554" s="4">
        <f>'data on outstanding creditors'!$E554-'data on outstanding creditors'!$F554-'data on outstanding creditors'!$G554</f>
        <v>17660</v>
      </c>
      <c r="I554" s="2"/>
      <c r="J554" s="1" t="s">
        <v>646</v>
      </c>
      <c r="K554" s="2">
        <v>45915.0</v>
      </c>
      <c r="L554" s="5"/>
      <c r="M554" s="9" t="s">
        <v>403</v>
      </c>
      <c r="N554" s="9" t="s">
        <v>23</v>
      </c>
      <c r="O554" s="10">
        <f>'data on outstanding creditors'!$E554*100/107</f>
        <v>16504.6729</v>
      </c>
      <c r="P554" s="10">
        <f>'data on outstanding creditors'!$E554-'data on outstanding creditors'!$O554</f>
        <v>1155.327103</v>
      </c>
      <c r="Q554" s="7">
        <f>DAY('data on outstanding creditors'!$B554)</f>
        <v>14</v>
      </c>
      <c r="R554" s="7">
        <f>MONTH('data on outstanding creditors'!$B554)</f>
        <v>8</v>
      </c>
      <c r="S554" s="7">
        <f>YEAR('data on outstanding creditors'!$B554)</f>
        <v>2025</v>
      </c>
      <c r="T554" s="11" t="str">
        <f>'data on outstanding creditors'!$C554&amp;" "&amp;'data on outstanding creditors'!$D554&amp;" "&amp;TEXT('data on outstanding creditors'!$E554,"#,##0.00")</f>
        <v>องค์การเภสัชกรรม 3001051762 17,660.00</v>
      </c>
      <c r="U554" s="12"/>
    </row>
    <row r="555" ht="13.5" customHeight="1">
      <c r="A555" s="1"/>
      <c r="B555" s="2">
        <v>45887.0</v>
      </c>
      <c r="C555" s="9" t="s">
        <v>520</v>
      </c>
      <c r="D555" s="1" t="s">
        <v>926</v>
      </c>
      <c r="E555" s="4">
        <v>98440.0</v>
      </c>
      <c r="F555" s="4"/>
      <c r="G555" s="4"/>
      <c r="H555" s="4">
        <f>'data on outstanding creditors'!$E555-'data on outstanding creditors'!$F555-'data on outstanding creditors'!$G555</f>
        <v>98440</v>
      </c>
      <c r="I555" s="2"/>
      <c r="J555" s="1" t="s">
        <v>646</v>
      </c>
      <c r="K555" s="2">
        <v>45943.0</v>
      </c>
      <c r="L555" s="5"/>
      <c r="M555" s="9" t="s">
        <v>403</v>
      </c>
      <c r="N555" s="9" t="s">
        <v>23</v>
      </c>
      <c r="O555" s="10">
        <f>'data on outstanding creditors'!$E555*100/107</f>
        <v>92000</v>
      </c>
      <c r="P555" s="10">
        <f>'data on outstanding creditors'!$E555-'data on outstanding creditors'!$O555</f>
        <v>6440</v>
      </c>
      <c r="Q555" s="7">
        <f>DAY('data on outstanding creditors'!$B555)</f>
        <v>18</v>
      </c>
      <c r="R555" s="7">
        <f>MONTH('data on outstanding creditors'!$B555)</f>
        <v>8</v>
      </c>
      <c r="S555" s="7">
        <f>YEAR('data on outstanding creditors'!$B555)</f>
        <v>2025</v>
      </c>
      <c r="T555" s="11" t="str">
        <f>'data on outstanding creditors'!$C555&amp;" "&amp;'data on outstanding creditors'!$D555&amp;" "&amp;TEXT('data on outstanding creditors'!$E555,"#,##0.00")</f>
        <v>บ.ซิลลิคฟาร์มา 1317865024 98,440.00</v>
      </c>
      <c r="U555" s="12"/>
    </row>
    <row r="556" ht="13.5" customHeight="1">
      <c r="A556" s="1"/>
      <c r="B556" s="2">
        <v>45888.0</v>
      </c>
      <c r="C556" s="9" t="s">
        <v>520</v>
      </c>
      <c r="D556" s="1" t="s">
        <v>927</v>
      </c>
      <c r="E556" s="4">
        <v>89987.0</v>
      </c>
      <c r="F556" s="4"/>
      <c r="G556" s="4"/>
      <c r="H556" s="4">
        <f>'data on outstanding creditors'!$E556-'data on outstanding creditors'!$F556-'data on outstanding creditors'!$G556</f>
        <v>89987</v>
      </c>
      <c r="I556" s="2"/>
      <c r="J556" s="1" t="s">
        <v>646</v>
      </c>
      <c r="K556" s="2">
        <v>45943.0</v>
      </c>
      <c r="L556" s="5"/>
      <c r="M556" s="9" t="s">
        <v>403</v>
      </c>
      <c r="N556" s="9" t="s">
        <v>23</v>
      </c>
      <c r="O556" s="10">
        <f>'data on outstanding creditors'!$E556*100/107</f>
        <v>84100</v>
      </c>
      <c r="P556" s="10">
        <f>'data on outstanding creditors'!$E556-'data on outstanding creditors'!$O556</f>
        <v>5887</v>
      </c>
      <c r="Q556" s="7">
        <f>DAY('data on outstanding creditors'!$B556)</f>
        <v>19</v>
      </c>
      <c r="R556" s="7">
        <f>MONTH('data on outstanding creditors'!$B556)</f>
        <v>8</v>
      </c>
      <c r="S556" s="7">
        <f>YEAR('data on outstanding creditors'!$B556)</f>
        <v>2025</v>
      </c>
      <c r="T556" s="11" t="str">
        <f>'data on outstanding creditors'!$C556&amp;" "&amp;'data on outstanding creditors'!$D556&amp;" "&amp;TEXT('data on outstanding creditors'!$E556,"#,##0.00")</f>
        <v>บ.ซิลลิคฟาร์มา 1317833940 89,987.00</v>
      </c>
      <c r="U556" s="12"/>
    </row>
    <row r="557" ht="13.5" customHeight="1">
      <c r="A557" s="1"/>
      <c r="B557" s="2">
        <v>45888.0</v>
      </c>
      <c r="C557" s="9" t="s">
        <v>259</v>
      </c>
      <c r="D557" s="1" t="s">
        <v>928</v>
      </c>
      <c r="E557" s="4">
        <v>76800.0</v>
      </c>
      <c r="F557" s="4"/>
      <c r="G557" s="4"/>
      <c r="H557" s="4">
        <f>'data on outstanding creditors'!$E557-'data on outstanding creditors'!$F557-'data on outstanding creditors'!$G557</f>
        <v>76800</v>
      </c>
      <c r="I557" s="2"/>
      <c r="J557" s="1" t="s">
        <v>757</v>
      </c>
      <c r="K557" s="2">
        <v>45911.0</v>
      </c>
      <c r="L557" s="5"/>
      <c r="M557" s="9" t="s">
        <v>403</v>
      </c>
      <c r="N557" s="9" t="s">
        <v>23</v>
      </c>
      <c r="O557" s="10">
        <f>'data on outstanding creditors'!$E557*100/107</f>
        <v>71775.70093</v>
      </c>
      <c r="P557" s="10">
        <f>'data on outstanding creditors'!$E557-'data on outstanding creditors'!$O557</f>
        <v>5024.299065</v>
      </c>
      <c r="Q557" s="7">
        <f>DAY('data on outstanding creditors'!$B557)</f>
        <v>19</v>
      </c>
      <c r="R557" s="7">
        <f>MONTH('data on outstanding creditors'!$B557)</f>
        <v>8</v>
      </c>
      <c r="S557" s="7">
        <f>YEAR('data on outstanding creditors'!$B557)</f>
        <v>2025</v>
      </c>
      <c r="T557" s="11" t="str">
        <f>'data on outstanding creditors'!$C557&amp;" "&amp;'data on outstanding creditors'!$D557&amp;" "&amp;TEXT('data on outstanding creditors'!$E557,"#,##0.00")</f>
        <v>บ.ที.โอ.เคมีคอลส์(1979) T6808/20087 76,800.00</v>
      </c>
      <c r="U557" s="12"/>
    </row>
    <row r="558" ht="13.5" customHeight="1">
      <c r="A558" s="1"/>
      <c r="B558" s="2">
        <v>45888.0</v>
      </c>
      <c r="C558" s="9" t="s">
        <v>929</v>
      </c>
      <c r="D558" s="1" t="s">
        <v>930</v>
      </c>
      <c r="E558" s="4">
        <v>65000.0</v>
      </c>
      <c r="F558" s="4"/>
      <c r="G558" s="4"/>
      <c r="H558" s="4">
        <f>'data on outstanding creditors'!$E558-'data on outstanding creditors'!$F558-'data on outstanding creditors'!$G558</f>
        <v>65000</v>
      </c>
      <c r="I558" s="2"/>
      <c r="J558" s="1" t="s">
        <v>757</v>
      </c>
      <c r="K558" s="2">
        <v>45911.0</v>
      </c>
      <c r="L558" s="5"/>
      <c r="M558" s="9" t="s">
        <v>403</v>
      </c>
      <c r="N558" s="9" t="s">
        <v>23</v>
      </c>
      <c r="O558" s="10">
        <f>'data on outstanding creditors'!$E558*100/107</f>
        <v>60747.66355</v>
      </c>
      <c r="P558" s="10">
        <f>'data on outstanding creditors'!$E558-'data on outstanding creditors'!$O558</f>
        <v>4252.336449</v>
      </c>
      <c r="Q558" s="7">
        <f>DAY('data on outstanding creditors'!$B558)</f>
        <v>19</v>
      </c>
      <c r="R558" s="7">
        <f>MONTH('data on outstanding creditors'!$B558)</f>
        <v>8</v>
      </c>
      <c r="S558" s="7">
        <f>YEAR('data on outstanding creditors'!$B558)</f>
        <v>2025</v>
      </c>
      <c r="T558" s="11" t="str">
        <f>'data on outstanding creditors'!$C558&amp;" "&amp;'data on outstanding creditors'!$D558&amp;" "&amp;TEXT('data on outstanding creditors'!$E558,"#,##0.00")</f>
        <v>บ.เยนเนอร์ราลดรั๊กส์เฮ้าส์ 25108256 65,000.00</v>
      </c>
      <c r="U558" s="12"/>
    </row>
    <row r="559" ht="13.5" customHeight="1">
      <c r="A559" s="1"/>
      <c r="B559" s="2">
        <v>45888.0</v>
      </c>
      <c r="C559" s="9" t="s">
        <v>771</v>
      </c>
      <c r="D559" s="1" t="s">
        <v>931</v>
      </c>
      <c r="E559" s="4">
        <v>82000.0</v>
      </c>
      <c r="F559" s="4"/>
      <c r="G559" s="4"/>
      <c r="H559" s="4">
        <f>'data on outstanding creditors'!$E559-'data on outstanding creditors'!$F559-'data on outstanding creditors'!$G559</f>
        <v>82000</v>
      </c>
      <c r="I559" s="2"/>
      <c r="J559" s="1" t="s">
        <v>757</v>
      </c>
      <c r="K559" s="2">
        <v>45911.0</v>
      </c>
      <c r="L559" s="5"/>
      <c r="M559" s="9" t="s">
        <v>403</v>
      </c>
      <c r="N559" s="9" t="s">
        <v>23</v>
      </c>
      <c r="O559" s="10">
        <f>'data on outstanding creditors'!$E559*100/107</f>
        <v>76635.51402</v>
      </c>
      <c r="P559" s="10">
        <f>'data on outstanding creditors'!$E559-'data on outstanding creditors'!$O559</f>
        <v>5364.485981</v>
      </c>
      <c r="Q559" s="7">
        <f>DAY('data on outstanding creditors'!$B559)</f>
        <v>19</v>
      </c>
      <c r="R559" s="7">
        <f>MONTH('data on outstanding creditors'!$B559)</f>
        <v>8</v>
      </c>
      <c r="S559" s="7">
        <f>YEAR('data on outstanding creditors'!$B559)</f>
        <v>2025</v>
      </c>
      <c r="T559" s="11" t="str">
        <f>'data on outstanding creditors'!$C559&amp;" "&amp;'data on outstanding creditors'!$D559&amp;" "&amp;TEXT('data on outstanding creditors'!$E559,"#,##0.00")</f>
        <v>หจก.ภิญโญฟาร์มาซี IV6841657 82,000.00</v>
      </c>
      <c r="U559" s="12"/>
    </row>
    <row r="560" ht="13.5" customHeight="1">
      <c r="A560" s="1"/>
      <c r="B560" s="2">
        <v>45888.0</v>
      </c>
      <c r="C560" s="9" t="s">
        <v>520</v>
      </c>
      <c r="D560" s="1" t="s">
        <v>932</v>
      </c>
      <c r="E560" s="4">
        <v>51360.0</v>
      </c>
      <c r="F560" s="4"/>
      <c r="G560" s="4"/>
      <c r="H560" s="4">
        <f>'data on outstanding creditors'!$E560-'data on outstanding creditors'!$F560-'data on outstanding creditors'!$G560</f>
        <v>51360</v>
      </c>
      <c r="I560" s="2"/>
      <c r="J560" s="1" t="s">
        <v>646</v>
      </c>
      <c r="K560" s="2">
        <v>45943.0</v>
      </c>
      <c r="L560" s="5"/>
      <c r="M560" s="9" t="s">
        <v>403</v>
      </c>
      <c r="N560" s="9" t="s">
        <v>23</v>
      </c>
      <c r="O560" s="10">
        <f>'data on outstanding creditors'!$E560*100/107</f>
        <v>48000</v>
      </c>
      <c r="P560" s="10">
        <f>'data on outstanding creditors'!$E560-'data on outstanding creditors'!$O560</f>
        <v>3360</v>
      </c>
      <c r="Q560" s="7">
        <f>DAY('data on outstanding creditors'!$B560)</f>
        <v>19</v>
      </c>
      <c r="R560" s="7">
        <f>MONTH('data on outstanding creditors'!$B560)</f>
        <v>8</v>
      </c>
      <c r="S560" s="7">
        <f>YEAR('data on outstanding creditors'!$B560)</f>
        <v>2025</v>
      </c>
      <c r="T560" s="11" t="str">
        <f>'data on outstanding creditors'!$C560&amp;" "&amp;'data on outstanding creditors'!$D560&amp;" "&amp;TEXT('data on outstanding creditors'!$E560,"#,##0.00")</f>
        <v>บ.ซิลลิคฟาร์มา 1317897137 51,360.00</v>
      </c>
      <c r="U560" s="12"/>
    </row>
    <row r="561" ht="13.5" customHeight="1">
      <c r="A561" s="1"/>
      <c r="B561" s="2">
        <v>45888.0</v>
      </c>
      <c r="C561" s="9" t="s">
        <v>259</v>
      </c>
      <c r="D561" s="1" t="s">
        <v>933</v>
      </c>
      <c r="E561" s="4">
        <v>102000.0</v>
      </c>
      <c r="F561" s="4"/>
      <c r="G561" s="4"/>
      <c r="H561" s="4">
        <f>'data on outstanding creditors'!$E561-'data on outstanding creditors'!$F561-'data on outstanding creditors'!$G561</f>
        <v>102000</v>
      </c>
      <c r="I561" s="2"/>
      <c r="J561" s="1"/>
      <c r="K561" s="2"/>
      <c r="L561" s="5"/>
      <c r="M561" s="9" t="s">
        <v>403</v>
      </c>
      <c r="N561" s="9" t="s">
        <v>23</v>
      </c>
      <c r="O561" s="10">
        <f>'data on outstanding creditors'!$E561*100/107</f>
        <v>95327.1028</v>
      </c>
      <c r="P561" s="10">
        <f>'data on outstanding creditors'!$E561-'data on outstanding creditors'!$O561</f>
        <v>6672.897196</v>
      </c>
      <c r="Q561" s="7">
        <f>DAY('data on outstanding creditors'!$B561)</f>
        <v>19</v>
      </c>
      <c r="R561" s="7">
        <f>MONTH('data on outstanding creditors'!$B561)</f>
        <v>8</v>
      </c>
      <c r="S561" s="7">
        <f>YEAR('data on outstanding creditors'!$B561)</f>
        <v>2025</v>
      </c>
      <c r="T561" s="11" t="str">
        <f>'data on outstanding creditors'!$C561&amp;" "&amp;'data on outstanding creditors'!$D561&amp;" "&amp;TEXT('data on outstanding creditors'!$E561,"#,##0.00")</f>
        <v>บ.ที.โอ.เคมีคอลส์(1979) T6808/20140 102,000.00</v>
      </c>
      <c r="U561" s="12"/>
    </row>
    <row r="562" ht="13.5" customHeight="1">
      <c r="A562" s="1"/>
      <c r="B562" s="2">
        <v>45888.0</v>
      </c>
      <c r="C562" s="9" t="s">
        <v>263</v>
      </c>
      <c r="D562" s="1" t="s">
        <v>934</v>
      </c>
      <c r="E562" s="4">
        <v>75000.0</v>
      </c>
      <c r="F562" s="4"/>
      <c r="G562" s="4"/>
      <c r="H562" s="4">
        <f>'data on outstanding creditors'!$E562-'data on outstanding creditors'!$F562-'data on outstanding creditors'!$G562</f>
        <v>75000</v>
      </c>
      <c r="I562" s="2"/>
      <c r="J562" s="1" t="s">
        <v>757</v>
      </c>
      <c r="K562" s="2">
        <v>45911.0</v>
      </c>
      <c r="L562" s="5"/>
      <c r="M562" s="9" t="s">
        <v>403</v>
      </c>
      <c r="N562" s="9" t="s">
        <v>23</v>
      </c>
      <c r="O562" s="10">
        <f>'data on outstanding creditors'!$E562*100/107</f>
        <v>70093.45794</v>
      </c>
      <c r="P562" s="10">
        <f>'data on outstanding creditors'!$E562-'data on outstanding creditors'!$O562</f>
        <v>4906.542056</v>
      </c>
      <c r="Q562" s="7">
        <f>DAY('data on outstanding creditors'!$B562)</f>
        <v>19</v>
      </c>
      <c r="R562" s="7">
        <f>MONTH('data on outstanding creditors'!$B562)</f>
        <v>8</v>
      </c>
      <c r="S562" s="7">
        <f>YEAR('data on outstanding creditors'!$B562)</f>
        <v>2025</v>
      </c>
      <c r="T562" s="11" t="str">
        <f>'data on outstanding creditors'!$C562&amp;" "&amp;'data on outstanding creditors'!$D562&amp;" "&amp;TEXT('data on outstanding creditors'!$E562,"#,##0.00")</f>
        <v>บ.เอเบิ้ล เมดิคอล B2508/0206 75,000.00</v>
      </c>
      <c r="U562" s="12"/>
    </row>
    <row r="563" ht="13.5" customHeight="1">
      <c r="A563" s="1"/>
      <c r="B563" s="2">
        <v>45888.0</v>
      </c>
      <c r="C563" s="9" t="s">
        <v>401</v>
      </c>
      <c r="D563" s="1" t="s">
        <v>935</v>
      </c>
      <c r="E563" s="4">
        <v>20544.0</v>
      </c>
      <c r="F563" s="4"/>
      <c r="G563" s="4"/>
      <c r="H563" s="4">
        <f>'data on outstanding creditors'!$E563-'data on outstanding creditors'!$F563-'data on outstanding creditors'!$G563</f>
        <v>20544</v>
      </c>
      <c r="I563" s="2"/>
      <c r="J563" s="1" t="s">
        <v>646</v>
      </c>
      <c r="K563" s="2">
        <v>45915.0</v>
      </c>
      <c r="L563" s="5"/>
      <c r="M563" s="9" t="s">
        <v>403</v>
      </c>
      <c r="N563" s="9" t="s">
        <v>23</v>
      </c>
      <c r="O563" s="10">
        <f>'data on outstanding creditors'!$E563*100/107</f>
        <v>19200</v>
      </c>
      <c r="P563" s="10">
        <f>'data on outstanding creditors'!$E563-'data on outstanding creditors'!$O563</f>
        <v>1344</v>
      </c>
      <c r="Q563" s="7">
        <f>DAY('data on outstanding creditors'!$B563)</f>
        <v>19</v>
      </c>
      <c r="R563" s="7">
        <f>MONTH('data on outstanding creditors'!$B563)</f>
        <v>8</v>
      </c>
      <c r="S563" s="7">
        <f>YEAR('data on outstanding creditors'!$B563)</f>
        <v>2025</v>
      </c>
      <c r="T563" s="11" t="str">
        <f>'data on outstanding creditors'!$C563&amp;" "&amp;'data on outstanding creditors'!$D563&amp;" "&amp;TEXT('data on outstanding creditors'!$E563,"#,##0.00")</f>
        <v>องค์การเภสัชกรรม 3001053077 20,544.00</v>
      </c>
      <c r="U563" s="12"/>
    </row>
    <row r="564" ht="13.5" customHeight="1">
      <c r="A564" s="1"/>
      <c r="B564" s="2">
        <v>45888.0</v>
      </c>
      <c r="C564" s="9" t="s">
        <v>401</v>
      </c>
      <c r="D564" s="1" t="s">
        <v>936</v>
      </c>
      <c r="E564" s="4">
        <v>11864.16</v>
      </c>
      <c r="F564" s="4"/>
      <c r="G564" s="4"/>
      <c r="H564" s="4">
        <f>'data on outstanding creditors'!$E564-'data on outstanding creditors'!$F564-'data on outstanding creditors'!$G564</f>
        <v>11864.16</v>
      </c>
      <c r="I564" s="2"/>
      <c r="J564" s="1" t="s">
        <v>646</v>
      </c>
      <c r="K564" s="2">
        <v>45915.0</v>
      </c>
      <c r="L564" s="5"/>
      <c r="M564" s="9" t="s">
        <v>403</v>
      </c>
      <c r="N564" s="9" t="s">
        <v>23</v>
      </c>
      <c r="O564" s="10">
        <f>'data on outstanding creditors'!$E564*100/107</f>
        <v>11088</v>
      </c>
      <c r="P564" s="10">
        <f>'data on outstanding creditors'!$E564-'data on outstanding creditors'!$O564</f>
        <v>776.16</v>
      </c>
      <c r="Q564" s="7">
        <f>DAY('data on outstanding creditors'!$B564)</f>
        <v>19</v>
      </c>
      <c r="R564" s="7">
        <f>MONTH('data on outstanding creditors'!$B564)</f>
        <v>8</v>
      </c>
      <c r="S564" s="7">
        <f>YEAR('data on outstanding creditors'!$B564)</f>
        <v>2025</v>
      </c>
      <c r="T564" s="11" t="str">
        <f>'data on outstanding creditors'!$C564&amp;" "&amp;'data on outstanding creditors'!$D564&amp;" "&amp;TEXT('data on outstanding creditors'!$E564,"#,##0.00")</f>
        <v>องค์การเภสัชกรรม 3001053341 11,864.16</v>
      </c>
      <c r="U564" s="12"/>
    </row>
    <row r="565" ht="13.5" customHeight="1">
      <c r="A565" s="1"/>
      <c r="B565" s="2">
        <v>45888.0</v>
      </c>
      <c r="C565" s="9" t="s">
        <v>401</v>
      </c>
      <c r="D565" s="1" t="s">
        <v>937</v>
      </c>
      <c r="E565" s="4">
        <v>12000.0</v>
      </c>
      <c r="F565" s="4"/>
      <c r="G565" s="4"/>
      <c r="H565" s="4">
        <f>'data on outstanding creditors'!$E565-'data on outstanding creditors'!$F565-'data on outstanding creditors'!$G565</f>
        <v>12000</v>
      </c>
      <c r="I565" s="2"/>
      <c r="J565" s="1" t="s">
        <v>646</v>
      </c>
      <c r="K565" s="2">
        <v>45915.0</v>
      </c>
      <c r="L565" s="5"/>
      <c r="M565" s="9" t="s">
        <v>403</v>
      </c>
      <c r="N565" s="9" t="s">
        <v>23</v>
      </c>
      <c r="O565" s="10">
        <f>'data on outstanding creditors'!$E565*100/107</f>
        <v>11214.95327</v>
      </c>
      <c r="P565" s="10">
        <f>'data on outstanding creditors'!$E565-'data on outstanding creditors'!$O565</f>
        <v>785.046729</v>
      </c>
      <c r="Q565" s="7">
        <f>DAY('data on outstanding creditors'!$B565)</f>
        <v>19</v>
      </c>
      <c r="R565" s="7">
        <f>MONTH('data on outstanding creditors'!$B565)</f>
        <v>8</v>
      </c>
      <c r="S565" s="7">
        <f>YEAR('data on outstanding creditors'!$B565)</f>
        <v>2025</v>
      </c>
      <c r="T565" s="11" t="str">
        <f>'data on outstanding creditors'!$C565&amp;" "&amp;'data on outstanding creditors'!$D565&amp;" "&amp;TEXT('data on outstanding creditors'!$E565,"#,##0.00")</f>
        <v>องค์การเภสัชกรรม 3001053896 12,000.00</v>
      </c>
      <c r="U565" s="12"/>
    </row>
    <row r="566" ht="13.5" customHeight="1">
      <c r="A566" s="1"/>
      <c r="B566" s="2">
        <v>45888.0</v>
      </c>
      <c r="C566" s="9" t="s">
        <v>401</v>
      </c>
      <c r="D566" s="1" t="s">
        <v>938</v>
      </c>
      <c r="E566" s="4">
        <v>14980.0</v>
      </c>
      <c r="F566" s="4"/>
      <c r="G566" s="4"/>
      <c r="H566" s="4">
        <f>'data on outstanding creditors'!$E566-'data on outstanding creditors'!$F566-'data on outstanding creditors'!$G566</f>
        <v>14980</v>
      </c>
      <c r="I566" s="2"/>
      <c r="J566" s="1" t="s">
        <v>646</v>
      </c>
      <c r="K566" s="2">
        <v>45915.0</v>
      </c>
      <c r="L566" s="5"/>
      <c r="M566" s="9" t="s">
        <v>403</v>
      </c>
      <c r="N566" s="9" t="s">
        <v>23</v>
      </c>
      <c r="O566" s="10">
        <f>'data on outstanding creditors'!$E566*100/107</f>
        <v>14000</v>
      </c>
      <c r="P566" s="10">
        <f>'data on outstanding creditors'!$E566-'data on outstanding creditors'!$O566</f>
        <v>980</v>
      </c>
      <c r="Q566" s="7">
        <f>DAY('data on outstanding creditors'!$B566)</f>
        <v>19</v>
      </c>
      <c r="R566" s="7">
        <f>MONTH('data on outstanding creditors'!$B566)</f>
        <v>8</v>
      </c>
      <c r="S566" s="7">
        <f>YEAR('data on outstanding creditors'!$B566)</f>
        <v>2025</v>
      </c>
      <c r="T566" s="11" t="str">
        <f>'data on outstanding creditors'!$C566&amp;" "&amp;'data on outstanding creditors'!$D566&amp;" "&amp;TEXT('data on outstanding creditors'!$E566,"#,##0.00")</f>
        <v>องค์การเภสัชกรรม 3001053262 14,980.00</v>
      </c>
      <c r="U566" s="12"/>
    </row>
    <row r="567" ht="13.5" customHeight="1">
      <c r="A567" s="1"/>
      <c r="B567" s="2">
        <v>45888.0</v>
      </c>
      <c r="C567" s="9" t="s">
        <v>401</v>
      </c>
      <c r="D567" s="1" t="s">
        <v>939</v>
      </c>
      <c r="E567" s="4">
        <v>85600.0</v>
      </c>
      <c r="F567" s="4"/>
      <c r="G567" s="4"/>
      <c r="H567" s="4">
        <f>'data on outstanding creditors'!$E567-'data on outstanding creditors'!$F567-'data on outstanding creditors'!$G567</f>
        <v>85600</v>
      </c>
      <c r="I567" s="2"/>
      <c r="J567" s="1" t="s">
        <v>646</v>
      </c>
      <c r="K567" s="2">
        <v>45915.0</v>
      </c>
      <c r="L567" s="5"/>
      <c r="M567" s="9" t="s">
        <v>403</v>
      </c>
      <c r="N567" s="9" t="s">
        <v>23</v>
      </c>
      <c r="O567" s="10">
        <f>'data on outstanding creditors'!$E567*100/107</f>
        <v>80000</v>
      </c>
      <c r="P567" s="10">
        <f>'data on outstanding creditors'!$E567-'data on outstanding creditors'!$O567</f>
        <v>5600</v>
      </c>
      <c r="Q567" s="7">
        <f>DAY('data on outstanding creditors'!$B567)</f>
        <v>19</v>
      </c>
      <c r="R567" s="7">
        <f>MONTH('data on outstanding creditors'!$B567)</f>
        <v>8</v>
      </c>
      <c r="S567" s="7">
        <f>YEAR('data on outstanding creditors'!$B567)</f>
        <v>2025</v>
      </c>
      <c r="T567" s="11" t="str">
        <f>'data on outstanding creditors'!$C567&amp;" "&amp;'data on outstanding creditors'!$D567&amp;" "&amp;TEXT('data on outstanding creditors'!$E567,"#,##0.00")</f>
        <v>องค์การเภสัชกรรม 3001053543 85,600.00</v>
      </c>
      <c r="U567" s="12"/>
    </row>
    <row r="568" ht="13.5" customHeight="1">
      <c r="A568" s="1"/>
      <c r="B568" s="2">
        <v>45889.0</v>
      </c>
      <c r="C568" s="9" t="s">
        <v>401</v>
      </c>
      <c r="D568" s="1" t="s">
        <v>940</v>
      </c>
      <c r="E568" s="4">
        <v>25615.8</v>
      </c>
      <c r="F568" s="4"/>
      <c r="G568" s="4"/>
      <c r="H568" s="4">
        <f>'data on outstanding creditors'!$E568-'data on outstanding creditors'!$F568-'data on outstanding creditors'!$G568</f>
        <v>25615.8</v>
      </c>
      <c r="I568" s="2"/>
      <c r="J568" s="1" t="s">
        <v>646</v>
      </c>
      <c r="K568" s="2">
        <v>45915.0</v>
      </c>
      <c r="L568" s="5"/>
      <c r="M568" s="9" t="s">
        <v>403</v>
      </c>
      <c r="N568" s="9" t="s">
        <v>23</v>
      </c>
      <c r="O568" s="10">
        <f>'data on outstanding creditors'!$E568*100/107</f>
        <v>23940</v>
      </c>
      <c r="P568" s="10">
        <f>'data on outstanding creditors'!$E568-'data on outstanding creditors'!$O568</f>
        <v>1675.8</v>
      </c>
      <c r="Q568" s="7">
        <f>DAY('data on outstanding creditors'!$B568)</f>
        <v>20</v>
      </c>
      <c r="R568" s="7">
        <f>MONTH('data on outstanding creditors'!$B568)</f>
        <v>8</v>
      </c>
      <c r="S568" s="7">
        <f>YEAR('data on outstanding creditors'!$B568)</f>
        <v>2025</v>
      </c>
      <c r="T568" s="11" t="str">
        <f>'data on outstanding creditors'!$C568&amp;" "&amp;'data on outstanding creditors'!$D568&amp;" "&amp;TEXT('data on outstanding creditors'!$E568,"#,##0.00")</f>
        <v>องค์การเภสัชกรรม 3001039602 25,615.80</v>
      </c>
      <c r="U568" s="12"/>
    </row>
    <row r="569" ht="13.5" customHeight="1">
      <c r="A569" s="1"/>
      <c r="B569" s="2">
        <v>45889.0</v>
      </c>
      <c r="C569" s="9" t="s">
        <v>401</v>
      </c>
      <c r="D569" s="1" t="s">
        <v>941</v>
      </c>
      <c r="E569" s="4">
        <v>10978.2</v>
      </c>
      <c r="F569" s="4"/>
      <c r="G569" s="4"/>
      <c r="H569" s="4">
        <f>'data on outstanding creditors'!$E569-'data on outstanding creditors'!$F569-'data on outstanding creditors'!$G569</f>
        <v>10978.2</v>
      </c>
      <c r="I569" s="2"/>
      <c r="J569" s="1" t="s">
        <v>646</v>
      </c>
      <c r="K569" s="2">
        <v>45915.0</v>
      </c>
      <c r="L569" s="5"/>
      <c r="M569" s="9" t="s">
        <v>403</v>
      </c>
      <c r="N569" s="9" t="s">
        <v>23</v>
      </c>
      <c r="O569" s="10">
        <f>'data on outstanding creditors'!$E569*100/107</f>
        <v>10260</v>
      </c>
      <c r="P569" s="10">
        <f>'data on outstanding creditors'!$E569-'data on outstanding creditors'!$O569</f>
        <v>718.2</v>
      </c>
      <c r="Q569" s="7">
        <f>DAY('data on outstanding creditors'!$B569)</f>
        <v>20</v>
      </c>
      <c r="R569" s="7">
        <f>MONTH('data on outstanding creditors'!$B569)</f>
        <v>8</v>
      </c>
      <c r="S569" s="7">
        <f>YEAR('data on outstanding creditors'!$B569)</f>
        <v>2025</v>
      </c>
      <c r="T569" s="11" t="str">
        <f>'data on outstanding creditors'!$C569&amp;" "&amp;'data on outstanding creditors'!$D569&amp;" "&amp;TEXT('data on outstanding creditors'!$E569,"#,##0.00")</f>
        <v>องค์การเภสัชกรรม 3001054232 10,978.20</v>
      </c>
      <c r="U569" s="12"/>
    </row>
    <row r="570" ht="13.5" customHeight="1">
      <c r="A570" s="1"/>
      <c r="B570" s="2">
        <v>45889.0</v>
      </c>
      <c r="C570" s="9" t="s">
        <v>401</v>
      </c>
      <c r="D570" s="1" t="s">
        <v>942</v>
      </c>
      <c r="E570" s="4">
        <v>5350.0</v>
      </c>
      <c r="F570" s="4"/>
      <c r="G570" s="4"/>
      <c r="H570" s="4">
        <f>'data on outstanding creditors'!$E570-'data on outstanding creditors'!$F570-'data on outstanding creditors'!$G570</f>
        <v>5350</v>
      </c>
      <c r="I570" s="2"/>
      <c r="J570" s="1" t="s">
        <v>646</v>
      </c>
      <c r="K570" s="2">
        <v>45915.0</v>
      </c>
      <c r="L570" s="5"/>
      <c r="M570" s="9" t="s">
        <v>403</v>
      </c>
      <c r="N570" s="9" t="s">
        <v>23</v>
      </c>
      <c r="O570" s="10">
        <f>'data on outstanding creditors'!$E570*100/107</f>
        <v>5000</v>
      </c>
      <c r="P570" s="10">
        <f>'data on outstanding creditors'!$E570-'data on outstanding creditors'!$O570</f>
        <v>350</v>
      </c>
      <c r="Q570" s="7">
        <f>DAY('data on outstanding creditors'!$B570)</f>
        <v>20</v>
      </c>
      <c r="R570" s="7">
        <f>MONTH('data on outstanding creditors'!$B570)</f>
        <v>8</v>
      </c>
      <c r="S570" s="7">
        <f>YEAR('data on outstanding creditors'!$B570)</f>
        <v>2025</v>
      </c>
      <c r="T570" s="11" t="str">
        <f>'data on outstanding creditors'!$C570&amp;" "&amp;'data on outstanding creditors'!$D570&amp;" "&amp;TEXT('data on outstanding creditors'!$E570,"#,##0.00")</f>
        <v>องค์การเภสัชกรรม 3001054235 5,350.00</v>
      </c>
      <c r="U570" s="12"/>
    </row>
    <row r="571" ht="13.5" customHeight="1">
      <c r="A571" s="1"/>
      <c r="B571" s="2">
        <v>45889.0</v>
      </c>
      <c r="C571" s="9" t="s">
        <v>401</v>
      </c>
      <c r="D571" s="1" t="s">
        <v>943</v>
      </c>
      <c r="E571" s="4">
        <v>17600.0</v>
      </c>
      <c r="F571" s="4"/>
      <c r="G571" s="4"/>
      <c r="H571" s="4">
        <f>'data on outstanding creditors'!$E571-'data on outstanding creditors'!$F571-'data on outstanding creditors'!$G571</f>
        <v>17600</v>
      </c>
      <c r="I571" s="2"/>
      <c r="J571" s="1" t="s">
        <v>646</v>
      </c>
      <c r="K571" s="2">
        <v>45915.0</v>
      </c>
      <c r="L571" s="5"/>
      <c r="M571" s="9" t="s">
        <v>403</v>
      </c>
      <c r="N571" s="9" t="s">
        <v>23</v>
      </c>
      <c r="O571" s="10">
        <f>'data on outstanding creditors'!$E571*100/107</f>
        <v>16448.59813</v>
      </c>
      <c r="P571" s="10">
        <f>'data on outstanding creditors'!$E571-'data on outstanding creditors'!$O571</f>
        <v>1151.401869</v>
      </c>
      <c r="Q571" s="7">
        <f>DAY('data on outstanding creditors'!$B571)</f>
        <v>20</v>
      </c>
      <c r="R571" s="7">
        <f>MONTH('data on outstanding creditors'!$B571)</f>
        <v>8</v>
      </c>
      <c r="S571" s="7">
        <f>YEAR('data on outstanding creditors'!$B571)</f>
        <v>2025</v>
      </c>
      <c r="T571" s="11" t="str">
        <f>'data on outstanding creditors'!$C571&amp;" "&amp;'data on outstanding creditors'!$D571&amp;" "&amp;TEXT('data on outstanding creditors'!$E571,"#,##0.00")</f>
        <v>องค์การเภสัชกรรม 3001053813 17,600.00</v>
      </c>
      <c r="U571" s="12"/>
    </row>
    <row r="572" ht="13.5" customHeight="1">
      <c r="A572" s="1"/>
      <c r="B572" s="2">
        <v>45889.0</v>
      </c>
      <c r="C572" s="9" t="s">
        <v>401</v>
      </c>
      <c r="D572" s="1" t="s">
        <v>944</v>
      </c>
      <c r="E572" s="4">
        <v>62595.0</v>
      </c>
      <c r="F572" s="4"/>
      <c r="G572" s="4"/>
      <c r="H572" s="4">
        <f>'data on outstanding creditors'!$E572-'data on outstanding creditors'!$F572-'data on outstanding creditors'!$G572</f>
        <v>62595</v>
      </c>
      <c r="I572" s="2"/>
      <c r="J572" s="1" t="s">
        <v>646</v>
      </c>
      <c r="K572" s="2">
        <v>45915.0</v>
      </c>
      <c r="L572" s="5"/>
      <c r="M572" s="9" t="s">
        <v>403</v>
      </c>
      <c r="N572" s="9" t="s">
        <v>23</v>
      </c>
      <c r="O572" s="10">
        <f>'data on outstanding creditors'!$E572*100/107</f>
        <v>58500</v>
      </c>
      <c r="P572" s="10">
        <f>'data on outstanding creditors'!$E572-'data on outstanding creditors'!$O572</f>
        <v>4095</v>
      </c>
      <c r="Q572" s="7">
        <f>DAY('data on outstanding creditors'!$B572)</f>
        <v>20</v>
      </c>
      <c r="R572" s="7">
        <f>MONTH('data on outstanding creditors'!$B572)</f>
        <v>8</v>
      </c>
      <c r="S572" s="7">
        <f>YEAR('data on outstanding creditors'!$B572)</f>
        <v>2025</v>
      </c>
      <c r="T572" s="11" t="str">
        <f>'data on outstanding creditors'!$C572&amp;" "&amp;'data on outstanding creditors'!$D572&amp;" "&amp;TEXT('data on outstanding creditors'!$E572,"#,##0.00")</f>
        <v>องค์การเภสัชกรรม 3001054470 62,595.00</v>
      </c>
      <c r="U572" s="12"/>
    </row>
    <row r="573" ht="13.5" customHeight="1">
      <c r="A573" s="1"/>
      <c r="B573" s="2">
        <v>45889.0</v>
      </c>
      <c r="C573" s="9" t="s">
        <v>399</v>
      </c>
      <c r="D573" s="1" t="s">
        <v>945</v>
      </c>
      <c r="E573" s="4">
        <v>72225.0</v>
      </c>
      <c r="F573" s="4"/>
      <c r="G573" s="4"/>
      <c r="H573" s="4">
        <f>'data on outstanding creditors'!$E573-'data on outstanding creditors'!$F573-'data on outstanding creditors'!$G573</f>
        <v>72225</v>
      </c>
      <c r="I573" s="2"/>
      <c r="J573" s="1" t="s">
        <v>646</v>
      </c>
      <c r="K573" s="2">
        <v>45943.0</v>
      </c>
      <c r="L573" s="5"/>
      <c r="M573" s="9" t="s">
        <v>403</v>
      </c>
      <c r="N573" s="9" t="s">
        <v>23</v>
      </c>
      <c r="O573" s="10">
        <f>'data on outstanding creditors'!$E573*100/107</f>
        <v>67500</v>
      </c>
      <c r="P573" s="10">
        <f>'data on outstanding creditors'!$E573-'data on outstanding creditors'!$O573</f>
        <v>4725</v>
      </c>
      <c r="Q573" s="7">
        <f>DAY('data on outstanding creditors'!$B573)</f>
        <v>20</v>
      </c>
      <c r="R573" s="7">
        <f>MONTH('data on outstanding creditors'!$B573)</f>
        <v>8</v>
      </c>
      <c r="S573" s="7">
        <f>YEAR('data on outstanding creditors'!$B573)</f>
        <v>2025</v>
      </c>
      <c r="T573" s="11" t="str">
        <f>'data on outstanding creditors'!$C573&amp;" "&amp;'data on outstanding creditors'!$D573&amp;" "&amp;TEXT('data on outstanding creditors'!$E573,"#,##0.00")</f>
        <v>บ.ดีเคเอสเอช(ประเทศไทย) 5344155641 72,225.00</v>
      </c>
      <c r="U573" s="12"/>
    </row>
    <row r="574" ht="13.5" customHeight="1">
      <c r="A574" s="1"/>
      <c r="B574" s="2">
        <v>45889.0</v>
      </c>
      <c r="C574" s="9" t="s">
        <v>520</v>
      </c>
      <c r="D574" s="1" t="s">
        <v>946</v>
      </c>
      <c r="E574" s="4">
        <v>77040.0</v>
      </c>
      <c r="F574" s="4"/>
      <c r="G574" s="4"/>
      <c r="H574" s="4">
        <f>'data on outstanding creditors'!$E574-'data on outstanding creditors'!$F574-'data on outstanding creditors'!$G574</f>
        <v>77040</v>
      </c>
      <c r="I574" s="2"/>
      <c r="J574" s="1" t="s">
        <v>646</v>
      </c>
      <c r="K574" s="2">
        <v>45943.0</v>
      </c>
      <c r="L574" s="5"/>
      <c r="M574" s="9" t="s">
        <v>403</v>
      </c>
      <c r="N574" s="9" t="s">
        <v>23</v>
      </c>
      <c r="O574" s="10">
        <f>'data on outstanding creditors'!$E574*100/107</f>
        <v>72000</v>
      </c>
      <c r="P574" s="10">
        <f>'data on outstanding creditors'!$E574-'data on outstanding creditors'!$O574</f>
        <v>5040</v>
      </c>
      <c r="Q574" s="7">
        <f>DAY('data on outstanding creditors'!$B574)</f>
        <v>20</v>
      </c>
      <c r="R574" s="7">
        <f>MONTH('data on outstanding creditors'!$B574)</f>
        <v>8</v>
      </c>
      <c r="S574" s="7">
        <f>YEAR('data on outstanding creditors'!$B574)</f>
        <v>2025</v>
      </c>
      <c r="T574" s="11" t="str">
        <f>'data on outstanding creditors'!$C574&amp;" "&amp;'data on outstanding creditors'!$D574&amp;" "&amp;TEXT('data on outstanding creditors'!$E574,"#,##0.00")</f>
        <v>บ.ซิลลิคฟาร์มา 1317861954 77,040.00</v>
      </c>
      <c r="U574" s="12"/>
    </row>
    <row r="575" ht="13.5" customHeight="1">
      <c r="A575" s="1"/>
      <c r="B575" s="2">
        <v>45889.0</v>
      </c>
      <c r="C575" s="9" t="s">
        <v>520</v>
      </c>
      <c r="D575" s="1" t="s">
        <v>947</v>
      </c>
      <c r="E575" s="4">
        <v>46010.0</v>
      </c>
      <c r="F575" s="4"/>
      <c r="G575" s="4"/>
      <c r="H575" s="4">
        <f>'data on outstanding creditors'!$E575-'data on outstanding creditors'!$F575-'data on outstanding creditors'!$G575</f>
        <v>46010</v>
      </c>
      <c r="I575" s="2"/>
      <c r="J575" s="1" t="s">
        <v>646</v>
      </c>
      <c r="K575" s="2">
        <v>45943.0</v>
      </c>
      <c r="L575" s="5"/>
      <c r="M575" s="9" t="s">
        <v>403</v>
      </c>
      <c r="N575" s="9" t="s">
        <v>23</v>
      </c>
      <c r="O575" s="10">
        <f>'data on outstanding creditors'!$E575*100/107</f>
        <v>43000</v>
      </c>
      <c r="P575" s="10">
        <f>'data on outstanding creditors'!$E575-'data on outstanding creditors'!$O575</f>
        <v>3010</v>
      </c>
      <c r="Q575" s="7">
        <f>DAY('data on outstanding creditors'!$B575)</f>
        <v>20</v>
      </c>
      <c r="R575" s="7">
        <f>MONTH('data on outstanding creditors'!$B575)</f>
        <v>8</v>
      </c>
      <c r="S575" s="7">
        <f>YEAR('data on outstanding creditors'!$B575)</f>
        <v>2025</v>
      </c>
      <c r="T575" s="11" t="str">
        <f>'data on outstanding creditors'!$C575&amp;" "&amp;'data on outstanding creditors'!$D575&amp;" "&amp;TEXT('data on outstanding creditors'!$E575,"#,##0.00")</f>
        <v>บ.ซิลลิคฟาร์มา 1317917428 46,010.00</v>
      </c>
      <c r="U575" s="12"/>
    </row>
    <row r="576" ht="13.5" customHeight="1">
      <c r="A576" s="1"/>
      <c r="B576" s="2">
        <v>45889.0</v>
      </c>
      <c r="C576" s="9" t="s">
        <v>399</v>
      </c>
      <c r="D576" s="1" t="s">
        <v>948</v>
      </c>
      <c r="E576" s="4">
        <v>49755.0</v>
      </c>
      <c r="F576" s="4"/>
      <c r="G576" s="4"/>
      <c r="H576" s="4">
        <f>'data on outstanding creditors'!$E576-'data on outstanding creditors'!$F576-'data on outstanding creditors'!$G576</f>
        <v>49755</v>
      </c>
      <c r="I576" s="2"/>
      <c r="J576" s="1" t="s">
        <v>646</v>
      </c>
      <c r="K576" s="2">
        <v>45943.0</v>
      </c>
      <c r="L576" s="5"/>
      <c r="M576" s="9" t="s">
        <v>403</v>
      </c>
      <c r="N576" s="9" t="s">
        <v>23</v>
      </c>
      <c r="O576" s="10">
        <f>'data on outstanding creditors'!$E576*100/107</f>
        <v>46500</v>
      </c>
      <c r="P576" s="10">
        <f>'data on outstanding creditors'!$E576-'data on outstanding creditors'!$O576</f>
        <v>3255</v>
      </c>
      <c r="Q576" s="7">
        <f>DAY('data on outstanding creditors'!$B576)</f>
        <v>20</v>
      </c>
      <c r="R576" s="7">
        <f>MONTH('data on outstanding creditors'!$B576)</f>
        <v>8</v>
      </c>
      <c r="S576" s="7">
        <f>YEAR('data on outstanding creditors'!$B576)</f>
        <v>2025</v>
      </c>
      <c r="T576" s="11" t="str">
        <f>'data on outstanding creditors'!$C576&amp;" "&amp;'data on outstanding creditors'!$D576&amp;" "&amp;TEXT('data on outstanding creditors'!$E576,"#,##0.00")</f>
        <v>บ.ดีเคเอสเอช(ประเทศไทย) 5344180109 49,755.00</v>
      </c>
      <c r="U576" s="12"/>
    </row>
    <row r="577" ht="13.5" customHeight="1">
      <c r="A577" s="1"/>
      <c r="B577" s="2">
        <v>45890.0</v>
      </c>
      <c r="C577" s="9" t="s">
        <v>401</v>
      </c>
      <c r="D577" s="1" t="s">
        <v>949</v>
      </c>
      <c r="E577" s="4">
        <v>42372.0</v>
      </c>
      <c r="F577" s="4"/>
      <c r="G577" s="4"/>
      <c r="H577" s="4">
        <f>'data on outstanding creditors'!$E577-'data on outstanding creditors'!$F577-'data on outstanding creditors'!$G577</f>
        <v>42372</v>
      </c>
      <c r="I577" s="2"/>
      <c r="J577" s="1" t="s">
        <v>646</v>
      </c>
      <c r="K577" s="2">
        <v>45915.0</v>
      </c>
      <c r="L577" s="5"/>
      <c r="M577" s="9" t="s">
        <v>403</v>
      </c>
      <c r="N577" s="9" t="s">
        <v>23</v>
      </c>
      <c r="O577" s="10">
        <f>'data on outstanding creditors'!$E577*100/107</f>
        <v>39600</v>
      </c>
      <c r="P577" s="10">
        <f>'data on outstanding creditors'!$E577-'data on outstanding creditors'!$O577</f>
        <v>2772</v>
      </c>
      <c r="Q577" s="7">
        <f>DAY('data on outstanding creditors'!$B577)</f>
        <v>21</v>
      </c>
      <c r="R577" s="7">
        <f>MONTH('data on outstanding creditors'!$B577)</f>
        <v>8</v>
      </c>
      <c r="S577" s="7">
        <f>YEAR('data on outstanding creditors'!$B577)</f>
        <v>2025</v>
      </c>
      <c r="T577" s="11" t="str">
        <f>'data on outstanding creditors'!$C577&amp;" "&amp;'data on outstanding creditors'!$D577&amp;" "&amp;TEXT('data on outstanding creditors'!$E577,"#,##0.00")</f>
        <v>องค์การเภสัชกรรม 3001055498 42,372.00</v>
      </c>
      <c r="U577" s="12"/>
    </row>
    <row r="578" ht="13.5" customHeight="1">
      <c r="A578" s="1"/>
      <c r="B578" s="2">
        <v>45891.0</v>
      </c>
      <c r="C578" s="9" t="s">
        <v>401</v>
      </c>
      <c r="D578" s="1" t="s">
        <v>950</v>
      </c>
      <c r="E578" s="4">
        <v>132000.0</v>
      </c>
      <c r="F578" s="4"/>
      <c r="G578" s="4"/>
      <c r="H578" s="4">
        <f>'data on outstanding creditors'!$E578-'data on outstanding creditors'!$F578-'data on outstanding creditors'!$G578</f>
        <v>132000</v>
      </c>
      <c r="I578" s="2"/>
      <c r="J578" s="1" t="s">
        <v>646</v>
      </c>
      <c r="K578" s="2">
        <v>45915.0</v>
      </c>
      <c r="L578" s="5"/>
      <c r="M578" s="9" t="s">
        <v>403</v>
      </c>
      <c r="N578" s="9" t="s">
        <v>23</v>
      </c>
      <c r="O578" s="10">
        <f>'data on outstanding creditors'!$E578*100/107</f>
        <v>123364.486</v>
      </c>
      <c r="P578" s="10">
        <f>'data on outstanding creditors'!$E578-'data on outstanding creditors'!$O578</f>
        <v>8635.514019</v>
      </c>
      <c r="Q578" s="7">
        <f>DAY('data on outstanding creditors'!$B578)</f>
        <v>22</v>
      </c>
      <c r="R578" s="7">
        <f>MONTH('data on outstanding creditors'!$B578)</f>
        <v>8</v>
      </c>
      <c r="S578" s="7">
        <f>YEAR('data on outstanding creditors'!$B578)</f>
        <v>2025</v>
      </c>
      <c r="T578" s="11" t="str">
        <f>'data on outstanding creditors'!$C578&amp;" "&amp;'data on outstanding creditors'!$D578&amp;" "&amp;TEXT('data on outstanding creditors'!$E578,"#,##0.00")</f>
        <v>องค์การเภสัชกรรม 3001054482 132,000.00</v>
      </c>
      <c r="U578" s="12"/>
    </row>
    <row r="579" ht="13.5" customHeight="1">
      <c r="A579" s="1"/>
      <c r="B579" s="2">
        <v>45891.0</v>
      </c>
      <c r="C579" s="9" t="s">
        <v>401</v>
      </c>
      <c r="D579" s="1" t="s">
        <v>951</v>
      </c>
      <c r="E579" s="4">
        <v>11640.0</v>
      </c>
      <c r="F579" s="4"/>
      <c r="G579" s="4"/>
      <c r="H579" s="4">
        <f>'data on outstanding creditors'!$E579-'data on outstanding creditors'!$F579-'data on outstanding creditors'!$G579</f>
        <v>11640</v>
      </c>
      <c r="I579" s="2"/>
      <c r="J579" s="1" t="s">
        <v>646</v>
      </c>
      <c r="K579" s="2">
        <v>45915.0</v>
      </c>
      <c r="L579" s="5"/>
      <c r="M579" s="9" t="s">
        <v>403</v>
      </c>
      <c r="N579" s="9" t="s">
        <v>23</v>
      </c>
      <c r="O579" s="10">
        <f>'data on outstanding creditors'!$E579*100/107</f>
        <v>10878.50467</v>
      </c>
      <c r="P579" s="10">
        <f>'data on outstanding creditors'!$E579-'data on outstanding creditors'!$O579</f>
        <v>761.4953271</v>
      </c>
      <c r="Q579" s="7">
        <f>DAY('data on outstanding creditors'!$B579)</f>
        <v>22</v>
      </c>
      <c r="R579" s="7">
        <f>MONTH('data on outstanding creditors'!$B579)</f>
        <v>8</v>
      </c>
      <c r="S579" s="7">
        <f>YEAR('data on outstanding creditors'!$B579)</f>
        <v>2025</v>
      </c>
      <c r="T579" s="11" t="str">
        <f>'data on outstanding creditors'!$C579&amp;" "&amp;'data on outstanding creditors'!$D579&amp;" "&amp;TEXT('data on outstanding creditors'!$E579,"#,##0.00")</f>
        <v>องค์การเภสัชกรรม 3001056095 11,640.00</v>
      </c>
      <c r="U579" s="12"/>
    </row>
    <row r="580" ht="13.5" customHeight="1">
      <c r="A580" s="1"/>
      <c r="B580" s="2">
        <v>45891.0</v>
      </c>
      <c r="C580" s="9" t="s">
        <v>520</v>
      </c>
      <c r="D580" s="1" t="s">
        <v>952</v>
      </c>
      <c r="E580" s="4">
        <v>59920.0</v>
      </c>
      <c r="F580" s="4"/>
      <c r="G580" s="4"/>
      <c r="H580" s="4">
        <f>'data on outstanding creditors'!$E580-'data on outstanding creditors'!$F580-'data on outstanding creditors'!$G580</f>
        <v>59920</v>
      </c>
      <c r="I580" s="2"/>
      <c r="J580" s="1" t="s">
        <v>646</v>
      </c>
      <c r="K580" s="2">
        <v>45943.0</v>
      </c>
      <c r="L580" s="5"/>
      <c r="M580" s="9" t="s">
        <v>403</v>
      </c>
      <c r="N580" s="9" t="s">
        <v>23</v>
      </c>
      <c r="O580" s="10">
        <f>'data on outstanding creditors'!$E580*100/107</f>
        <v>56000</v>
      </c>
      <c r="P580" s="10">
        <f>'data on outstanding creditors'!$E580-'data on outstanding creditors'!$O580</f>
        <v>3920</v>
      </c>
      <c r="Q580" s="7">
        <f>DAY('data on outstanding creditors'!$B580)</f>
        <v>22</v>
      </c>
      <c r="R580" s="7">
        <f>MONTH('data on outstanding creditors'!$B580)</f>
        <v>8</v>
      </c>
      <c r="S580" s="7">
        <f>YEAR('data on outstanding creditors'!$B580)</f>
        <v>2025</v>
      </c>
      <c r="T580" s="11" t="str">
        <f>'data on outstanding creditors'!$C580&amp;" "&amp;'data on outstanding creditors'!$D580&amp;" "&amp;TEXT('data on outstanding creditors'!$E580,"#,##0.00")</f>
        <v>บ.ซิลลิคฟาร์มา 1317932662 59,920.00</v>
      </c>
      <c r="U580" s="12"/>
    </row>
    <row r="581" ht="13.5" customHeight="1">
      <c r="A581" s="1"/>
      <c r="B581" s="2">
        <v>45891.0</v>
      </c>
      <c r="C581" s="9" t="s">
        <v>780</v>
      </c>
      <c r="D581" s="1" t="s">
        <v>953</v>
      </c>
      <c r="E581" s="4">
        <v>73188.0</v>
      </c>
      <c r="F581" s="4"/>
      <c r="G581" s="4"/>
      <c r="H581" s="4">
        <f>'data on outstanding creditors'!$E581-'data on outstanding creditors'!$F581-'data on outstanding creditors'!$G581</f>
        <v>73188</v>
      </c>
      <c r="I581" s="2"/>
      <c r="J581" s="1" t="s">
        <v>646</v>
      </c>
      <c r="K581" s="2">
        <v>45929.0</v>
      </c>
      <c r="L581" s="5"/>
      <c r="M581" s="9" t="s">
        <v>403</v>
      </c>
      <c r="N581" s="9" t="s">
        <v>23</v>
      </c>
      <c r="O581" s="10">
        <f>'data on outstanding creditors'!$E581*100/107</f>
        <v>68400</v>
      </c>
      <c r="P581" s="10">
        <f>'data on outstanding creditors'!$E581-'data on outstanding creditors'!$O581</f>
        <v>4788</v>
      </c>
      <c r="Q581" s="7">
        <f>DAY('data on outstanding creditors'!$B581)</f>
        <v>22</v>
      </c>
      <c r="R581" s="7">
        <f>MONTH('data on outstanding creditors'!$B581)</f>
        <v>8</v>
      </c>
      <c r="S581" s="7">
        <f>YEAR('data on outstanding creditors'!$B581)</f>
        <v>2025</v>
      </c>
      <c r="T581" s="11" t="str">
        <f>'data on outstanding creditors'!$C581&amp;" "&amp;'data on outstanding creditors'!$D581&amp;" "&amp;TEXT('data on outstanding creditors'!$E581,"#,##0.00")</f>
        <v>บ.แคสป้า ฟาร์มาซูติคอล(ประเทศไทย) C68080329 73,188.00</v>
      </c>
      <c r="U581" s="12"/>
    </row>
    <row r="582" ht="13.5" customHeight="1">
      <c r="A582" s="1"/>
      <c r="B582" s="2">
        <v>45895.0</v>
      </c>
      <c r="C582" s="9" t="s">
        <v>401</v>
      </c>
      <c r="D582" s="1" t="s">
        <v>954</v>
      </c>
      <c r="E582" s="4">
        <v>48792.0</v>
      </c>
      <c r="F582" s="4"/>
      <c r="G582" s="4"/>
      <c r="H582" s="4">
        <f>'data on outstanding creditors'!$E582-'data on outstanding creditors'!$F582-'data on outstanding creditors'!$G582</f>
        <v>48792</v>
      </c>
      <c r="I582" s="2"/>
      <c r="J582" s="1" t="s">
        <v>646</v>
      </c>
      <c r="K582" s="2">
        <v>45915.0</v>
      </c>
      <c r="L582" s="5"/>
      <c r="M582" s="9" t="s">
        <v>403</v>
      </c>
      <c r="N582" s="9" t="s">
        <v>23</v>
      </c>
      <c r="O582" s="10">
        <f>'data on outstanding creditors'!$E582*100/107</f>
        <v>45600</v>
      </c>
      <c r="P582" s="10">
        <f>'data on outstanding creditors'!$E582-'data on outstanding creditors'!$O582</f>
        <v>3192</v>
      </c>
      <c r="Q582" s="7">
        <f>DAY('data on outstanding creditors'!$B582)</f>
        <v>26</v>
      </c>
      <c r="R582" s="7">
        <f>MONTH('data on outstanding creditors'!$B582)</f>
        <v>8</v>
      </c>
      <c r="S582" s="7">
        <f>YEAR('data on outstanding creditors'!$B582)</f>
        <v>2025</v>
      </c>
      <c r="T582" s="11" t="str">
        <f>'data on outstanding creditors'!$C582&amp;" "&amp;'data on outstanding creditors'!$D582&amp;" "&amp;TEXT('data on outstanding creditors'!$E582,"#,##0.00")</f>
        <v>องค์การเภสัชกรรม 3001052049 48,792.00</v>
      </c>
      <c r="U582" s="12"/>
    </row>
    <row r="583" ht="13.5" customHeight="1">
      <c r="A583" s="1"/>
      <c r="B583" s="2">
        <v>45895.0</v>
      </c>
      <c r="C583" s="9" t="s">
        <v>401</v>
      </c>
      <c r="D583" s="1" t="s">
        <v>955</v>
      </c>
      <c r="E583" s="4">
        <v>11235.0</v>
      </c>
      <c r="F583" s="4"/>
      <c r="G583" s="4"/>
      <c r="H583" s="4">
        <f>'data on outstanding creditors'!$E583-'data on outstanding creditors'!$F583-'data on outstanding creditors'!$G583</f>
        <v>11235</v>
      </c>
      <c r="I583" s="2"/>
      <c r="J583" s="1" t="s">
        <v>646</v>
      </c>
      <c r="K583" s="2">
        <v>45915.0</v>
      </c>
      <c r="L583" s="5"/>
      <c r="M583" s="9" t="s">
        <v>403</v>
      </c>
      <c r="N583" s="9" t="s">
        <v>23</v>
      </c>
      <c r="O583" s="10">
        <f>'data on outstanding creditors'!$E583*100/107</f>
        <v>10500</v>
      </c>
      <c r="P583" s="10">
        <f>'data on outstanding creditors'!$E583-'data on outstanding creditors'!$O583</f>
        <v>735</v>
      </c>
      <c r="Q583" s="7">
        <f>DAY('data on outstanding creditors'!$B583)</f>
        <v>26</v>
      </c>
      <c r="R583" s="7">
        <f>MONTH('data on outstanding creditors'!$B583)</f>
        <v>8</v>
      </c>
      <c r="S583" s="7">
        <f>YEAR('data on outstanding creditors'!$B583)</f>
        <v>2025</v>
      </c>
      <c r="T583" s="11" t="str">
        <f>'data on outstanding creditors'!$C583&amp;" "&amp;'data on outstanding creditors'!$D583&amp;" "&amp;TEXT('data on outstanding creditors'!$E583,"#,##0.00")</f>
        <v>องค์การเภสัชกรรม 3001054234 11,235.00</v>
      </c>
      <c r="U583" s="12"/>
    </row>
    <row r="584" ht="13.5" customHeight="1">
      <c r="A584" s="1"/>
      <c r="B584" s="2">
        <v>45895.0</v>
      </c>
      <c r="C584" s="9" t="s">
        <v>401</v>
      </c>
      <c r="D584" s="1" t="s">
        <v>956</v>
      </c>
      <c r="E584" s="4">
        <v>1605.0</v>
      </c>
      <c r="F584" s="4"/>
      <c r="G584" s="4"/>
      <c r="H584" s="4">
        <f>'data on outstanding creditors'!$E584-'data on outstanding creditors'!$F584-'data on outstanding creditors'!$G584</f>
        <v>1605</v>
      </c>
      <c r="I584" s="2"/>
      <c r="J584" s="1" t="s">
        <v>646</v>
      </c>
      <c r="K584" s="2">
        <v>45915.0</v>
      </c>
      <c r="L584" s="5"/>
      <c r="M584" s="9" t="s">
        <v>403</v>
      </c>
      <c r="N584" s="9" t="s">
        <v>23</v>
      </c>
      <c r="O584" s="10">
        <f>'data on outstanding creditors'!$E584*100/107</f>
        <v>1500</v>
      </c>
      <c r="P584" s="10">
        <f>'data on outstanding creditors'!$E584-'data on outstanding creditors'!$O584</f>
        <v>105</v>
      </c>
      <c r="Q584" s="7">
        <f>DAY('data on outstanding creditors'!$B584)</f>
        <v>26</v>
      </c>
      <c r="R584" s="7">
        <f>MONTH('data on outstanding creditors'!$B584)</f>
        <v>8</v>
      </c>
      <c r="S584" s="7">
        <f>YEAR('data on outstanding creditors'!$B584)</f>
        <v>2025</v>
      </c>
      <c r="T584" s="11" t="str">
        <f>'data on outstanding creditors'!$C584&amp;" "&amp;'data on outstanding creditors'!$D584&amp;" "&amp;TEXT('data on outstanding creditors'!$E584,"#,##0.00")</f>
        <v>องค์การเภสัชกรรม 3001057843 1,605.00</v>
      </c>
      <c r="U584" s="12"/>
    </row>
    <row r="585" ht="13.5" customHeight="1">
      <c r="A585" s="1"/>
      <c r="B585" s="2">
        <v>45895.0</v>
      </c>
      <c r="C585" s="9" t="s">
        <v>401</v>
      </c>
      <c r="D585" s="1" t="s">
        <v>957</v>
      </c>
      <c r="E585" s="4">
        <v>115560.0</v>
      </c>
      <c r="F585" s="4"/>
      <c r="G585" s="4"/>
      <c r="H585" s="4">
        <f>'data on outstanding creditors'!$E585-'data on outstanding creditors'!$F585-'data on outstanding creditors'!$G585</f>
        <v>115560</v>
      </c>
      <c r="I585" s="2"/>
      <c r="J585" s="1" t="s">
        <v>646</v>
      </c>
      <c r="K585" s="2">
        <v>45915.0</v>
      </c>
      <c r="L585" s="5"/>
      <c r="M585" s="9" t="s">
        <v>403</v>
      </c>
      <c r="N585" s="9" t="s">
        <v>23</v>
      </c>
      <c r="O585" s="10">
        <f>'data on outstanding creditors'!$E585*100/107</f>
        <v>108000</v>
      </c>
      <c r="P585" s="10">
        <f>'data on outstanding creditors'!$E585-'data on outstanding creditors'!$O585</f>
        <v>7560</v>
      </c>
      <c r="Q585" s="7">
        <f>DAY('data on outstanding creditors'!$B585)</f>
        <v>26</v>
      </c>
      <c r="R585" s="7">
        <f>MONTH('data on outstanding creditors'!$B585)</f>
        <v>8</v>
      </c>
      <c r="S585" s="7">
        <f>YEAR('data on outstanding creditors'!$B585)</f>
        <v>2025</v>
      </c>
      <c r="T585" s="11" t="str">
        <f>'data on outstanding creditors'!$C585&amp;" "&amp;'data on outstanding creditors'!$D585&amp;" "&amp;TEXT('data on outstanding creditors'!$E585,"#,##0.00")</f>
        <v>องค์การเภสัชกรรม 3001056821 115,560.00</v>
      </c>
      <c r="U585" s="12"/>
    </row>
    <row r="586" ht="13.5" customHeight="1">
      <c r="A586" s="1"/>
      <c r="B586" s="2">
        <v>45902.0</v>
      </c>
      <c r="C586" s="9" t="s">
        <v>401</v>
      </c>
      <c r="D586" s="1" t="s">
        <v>958</v>
      </c>
      <c r="E586" s="4">
        <v>138672.0</v>
      </c>
      <c r="F586" s="4"/>
      <c r="G586" s="4"/>
      <c r="H586" s="4">
        <f>'data on outstanding creditors'!$E586-'data on outstanding creditors'!$F586-'data on outstanding creditors'!$G586</f>
        <v>138672</v>
      </c>
      <c r="I586" s="2"/>
      <c r="J586" s="1" t="s">
        <v>646</v>
      </c>
      <c r="K586" s="2">
        <v>45929.0</v>
      </c>
      <c r="L586" s="5"/>
      <c r="M586" s="9" t="s">
        <v>403</v>
      </c>
      <c r="N586" s="9" t="s">
        <v>23</v>
      </c>
      <c r="O586" s="10">
        <f>'data on outstanding creditors'!$E586*100/107</f>
        <v>129600</v>
      </c>
      <c r="P586" s="10">
        <f>'data on outstanding creditors'!$E586-'data on outstanding creditors'!$O586</f>
        <v>9072</v>
      </c>
      <c r="Q586" s="7">
        <f>DAY('data on outstanding creditors'!$B586)</f>
        <v>2</v>
      </c>
      <c r="R586" s="7">
        <f>MONTH('data on outstanding creditors'!$B586)</f>
        <v>9</v>
      </c>
      <c r="S586" s="7">
        <f>YEAR('data on outstanding creditors'!$B586)</f>
        <v>2025</v>
      </c>
      <c r="T586" s="11" t="str">
        <f>'data on outstanding creditors'!$C586&amp;" "&amp;'data on outstanding creditors'!$D586&amp;" "&amp;TEXT('data on outstanding creditors'!$E586,"#,##0.00")</f>
        <v>องค์การเภสัชกรรม 3001060460 138,672.00</v>
      </c>
      <c r="U586" s="12"/>
    </row>
    <row r="587" ht="13.5" customHeight="1">
      <c r="A587" s="1"/>
      <c r="B587" s="2">
        <v>45902.0</v>
      </c>
      <c r="C587" s="9" t="s">
        <v>401</v>
      </c>
      <c r="D587" s="1" t="s">
        <v>959</v>
      </c>
      <c r="E587" s="4">
        <v>711.55</v>
      </c>
      <c r="F587" s="4"/>
      <c r="G587" s="4"/>
      <c r="H587" s="4">
        <f>'data on outstanding creditors'!$E587-'data on outstanding creditors'!$F587-'data on outstanding creditors'!$G587</f>
        <v>711.55</v>
      </c>
      <c r="I587" s="2"/>
      <c r="J587" s="1" t="s">
        <v>646</v>
      </c>
      <c r="K587" s="2">
        <v>45929.0</v>
      </c>
      <c r="L587" s="5"/>
      <c r="M587" s="9" t="s">
        <v>403</v>
      </c>
      <c r="N587" s="9" t="s">
        <v>23</v>
      </c>
      <c r="O587" s="10">
        <f>'data on outstanding creditors'!$E587*100/107</f>
        <v>665</v>
      </c>
      <c r="P587" s="10">
        <f>'data on outstanding creditors'!$E587-'data on outstanding creditors'!$O587</f>
        <v>46.55</v>
      </c>
      <c r="Q587" s="7">
        <f>DAY('data on outstanding creditors'!$B587)</f>
        <v>2</v>
      </c>
      <c r="R587" s="7">
        <f>MONTH('data on outstanding creditors'!$B587)</f>
        <v>9</v>
      </c>
      <c r="S587" s="7">
        <f>YEAR('data on outstanding creditors'!$B587)</f>
        <v>2025</v>
      </c>
      <c r="T587" s="11" t="str">
        <f>'data on outstanding creditors'!$C587&amp;" "&amp;'data on outstanding creditors'!$D587&amp;" "&amp;TEXT('data on outstanding creditors'!$E587,"#,##0.00")</f>
        <v>องค์การเภสัชกรรม 3001060170 711.55</v>
      </c>
      <c r="U587" s="12"/>
    </row>
    <row r="588" ht="13.5" customHeight="1">
      <c r="A588" s="1"/>
      <c r="B588" s="2">
        <v>45902.0</v>
      </c>
      <c r="C588" s="9" t="s">
        <v>399</v>
      </c>
      <c r="D588" s="1" t="s">
        <v>960</v>
      </c>
      <c r="E588" s="4">
        <v>80730.0</v>
      </c>
      <c r="F588" s="4"/>
      <c r="G588" s="4"/>
      <c r="H588" s="4">
        <f>'data on outstanding creditors'!$E588-'data on outstanding creditors'!$F588-'data on outstanding creditors'!$G588</f>
        <v>80730</v>
      </c>
      <c r="I588" s="2"/>
      <c r="J588" s="1" t="s">
        <v>646</v>
      </c>
      <c r="K588" s="2">
        <v>45943.0</v>
      </c>
      <c r="L588" s="5"/>
      <c r="M588" s="9" t="s">
        <v>403</v>
      </c>
      <c r="N588" s="9" t="s">
        <v>23</v>
      </c>
      <c r="O588" s="10">
        <f>'data on outstanding creditors'!$E588*100/107</f>
        <v>75448.59813</v>
      </c>
      <c r="P588" s="10">
        <f>'data on outstanding creditors'!$E588-'data on outstanding creditors'!$O588</f>
        <v>5281.401869</v>
      </c>
      <c r="Q588" s="7">
        <f>DAY('data on outstanding creditors'!$B588)</f>
        <v>2</v>
      </c>
      <c r="R588" s="7">
        <f>MONTH('data on outstanding creditors'!$B588)</f>
        <v>9</v>
      </c>
      <c r="S588" s="7">
        <f>YEAR('data on outstanding creditors'!$B588)</f>
        <v>2025</v>
      </c>
      <c r="T588" s="11" t="str">
        <f>'data on outstanding creditors'!$C588&amp;" "&amp;'data on outstanding creditors'!$D588&amp;" "&amp;TEXT('data on outstanding creditors'!$E588,"#,##0.00")</f>
        <v>บ.ดีเคเอสเอช(ประเทศไทย) 5344245616 80,730.00</v>
      </c>
      <c r="U588" s="12"/>
    </row>
    <row r="589" ht="13.5" customHeight="1">
      <c r="A589" s="1"/>
      <c r="B589" s="2">
        <v>45902.0</v>
      </c>
      <c r="C589" s="9" t="s">
        <v>399</v>
      </c>
      <c r="D589" s="1" t="s">
        <v>961</v>
      </c>
      <c r="E589" s="4">
        <v>139100.0</v>
      </c>
      <c r="F589" s="4"/>
      <c r="G589" s="4"/>
      <c r="H589" s="4">
        <f>'data on outstanding creditors'!$E589-'data on outstanding creditors'!$F589-'data on outstanding creditors'!$G589</f>
        <v>139100</v>
      </c>
      <c r="I589" s="2"/>
      <c r="J589" s="1" t="s">
        <v>646</v>
      </c>
      <c r="K589" s="2">
        <v>45943.0</v>
      </c>
      <c r="L589" s="5"/>
      <c r="M589" s="9" t="s">
        <v>403</v>
      </c>
      <c r="N589" s="9" t="s">
        <v>23</v>
      </c>
      <c r="O589" s="10">
        <f>'data on outstanding creditors'!$E589*100/107</f>
        <v>130000</v>
      </c>
      <c r="P589" s="10">
        <f>'data on outstanding creditors'!$E589-'data on outstanding creditors'!$O589</f>
        <v>9100</v>
      </c>
      <c r="Q589" s="7">
        <f>DAY('data on outstanding creditors'!$B589)</f>
        <v>2</v>
      </c>
      <c r="R589" s="7">
        <f>MONTH('data on outstanding creditors'!$B589)</f>
        <v>9</v>
      </c>
      <c r="S589" s="7">
        <f>YEAR('data on outstanding creditors'!$B589)</f>
        <v>2025</v>
      </c>
      <c r="T589" s="11" t="str">
        <f>'data on outstanding creditors'!$C589&amp;" "&amp;'data on outstanding creditors'!$D589&amp;" "&amp;TEXT('data on outstanding creditors'!$E589,"#,##0.00")</f>
        <v>บ.ดีเคเอสเอช(ประเทศไทย) 5344233103 139,100.00</v>
      </c>
      <c r="U589" s="12"/>
    </row>
    <row r="590" ht="13.5" customHeight="1">
      <c r="A590" s="1"/>
      <c r="B590" s="2">
        <v>45902.0</v>
      </c>
      <c r="C590" s="9" t="s">
        <v>520</v>
      </c>
      <c r="D590" s="1" t="s">
        <v>962</v>
      </c>
      <c r="E590" s="4">
        <v>98440.0</v>
      </c>
      <c r="F590" s="4"/>
      <c r="G590" s="4"/>
      <c r="H590" s="4">
        <f>'data on outstanding creditors'!$E590-'data on outstanding creditors'!$F590-'data on outstanding creditors'!$G590</f>
        <v>98440</v>
      </c>
      <c r="I590" s="2"/>
      <c r="J590" s="1" t="s">
        <v>646</v>
      </c>
      <c r="K590" s="2">
        <v>45943.0</v>
      </c>
      <c r="L590" s="5"/>
      <c r="M590" s="9" t="s">
        <v>403</v>
      </c>
      <c r="N590" s="9" t="s">
        <v>23</v>
      </c>
      <c r="O590" s="10">
        <f>'data on outstanding creditors'!$E590*100/107</f>
        <v>92000</v>
      </c>
      <c r="P590" s="10">
        <f>'data on outstanding creditors'!$E590-'data on outstanding creditors'!$O590</f>
        <v>6440</v>
      </c>
      <c r="Q590" s="7">
        <f>DAY('data on outstanding creditors'!$B590)</f>
        <v>2</v>
      </c>
      <c r="R590" s="7">
        <f>MONTH('data on outstanding creditors'!$B590)</f>
        <v>9</v>
      </c>
      <c r="S590" s="7">
        <f>YEAR('data on outstanding creditors'!$B590)</f>
        <v>2025</v>
      </c>
      <c r="T590" s="11" t="str">
        <f>'data on outstanding creditors'!$C590&amp;" "&amp;'data on outstanding creditors'!$D590&amp;" "&amp;TEXT('data on outstanding creditors'!$E590,"#,##0.00")</f>
        <v>บ.ซิลลิคฟาร์มา 1318011952 98,440.00</v>
      </c>
      <c r="U590" s="12"/>
    </row>
    <row r="591" ht="13.5" customHeight="1">
      <c r="A591" s="1"/>
      <c r="B591" s="2">
        <v>45902.0</v>
      </c>
      <c r="C591" s="9" t="s">
        <v>520</v>
      </c>
      <c r="D591" s="1" t="s">
        <v>963</v>
      </c>
      <c r="E591" s="4">
        <v>80292.8</v>
      </c>
      <c r="F591" s="4"/>
      <c r="G591" s="4"/>
      <c r="H591" s="4">
        <f>'data on outstanding creditors'!$E591-'data on outstanding creditors'!$F591-'data on outstanding creditors'!$G591</f>
        <v>80292.8</v>
      </c>
      <c r="I591" s="2"/>
      <c r="J591" s="1" t="s">
        <v>646</v>
      </c>
      <c r="K591" s="2">
        <v>45943.0</v>
      </c>
      <c r="L591" s="5"/>
      <c r="M591" s="9" t="s">
        <v>403</v>
      </c>
      <c r="N591" s="9" t="s">
        <v>23</v>
      </c>
      <c r="O591" s="10">
        <f>'data on outstanding creditors'!$E591*100/107</f>
        <v>75040</v>
      </c>
      <c r="P591" s="10">
        <f>'data on outstanding creditors'!$E591-'data on outstanding creditors'!$O591</f>
        <v>5252.8</v>
      </c>
      <c r="Q591" s="7">
        <f>DAY('data on outstanding creditors'!$B591)</f>
        <v>2</v>
      </c>
      <c r="R591" s="7">
        <f>MONTH('data on outstanding creditors'!$B591)</f>
        <v>9</v>
      </c>
      <c r="S591" s="7">
        <f>YEAR('data on outstanding creditors'!$B591)</f>
        <v>2025</v>
      </c>
      <c r="T591" s="11" t="str">
        <f>'data on outstanding creditors'!$C591&amp;" "&amp;'data on outstanding creditors'!$D591&amp;" "&amp;TEXT('data on outstanding creditors'!$E591,"#,##0.00")</f>
        <v>บ.ซิลลิคฟาร์มา 1318029450 80,292.80</v>
      </c>
      <c r="U591" s="12"/>
    </row>
    <row r="592" ht="13.5" customHeight="1">
      <c r="A592" s="1"/>
      <c r="B592" s="2">
        <v>45902.0</v>
      </c>
      <c r="C592" s="9" t="s">
        <v>780</v>
      </c>
      <c r="D592" s="1" t="s">
        <v>964</v>
      </c>
      <c r="E592" s="4">
        <v>85065.0</v>
      </c>
      <c r="F592" s="4"/>
      <c r="G592" s="4"/>
      <c r="H592" s="4">
        <f>'data on outstanding creditors'!$E592-'data on outstanding creditors'!$F592-'data on outstanding creditors'!$G592</f>
        <v>85065</v>
      </c>
      <c r="I592" s="2"/>
      <c r="J592" s="1" t="s">
        <v>646</v>
      </c>
      <c r="K592" s="2">
        <v>45954.0</v>
      </c>
      <c r="L592" s="5"/>
      <c r="M592" s="9" t="s">
        <v>403</v>
      </c>
      <c r="N592" s="9" t="s">
        <v>23</v>
      </c>
      <c r="O592" s="10">
        <f>'data on outstanding creditors'!$E592*100/107</f>
        <v>79500</v>
      </c>
      <c r="P592" s="10">
        <f>'data on outstanding creditors'!$E592-'data on outstanding creditors'!$O592</f>
        <v>5565</v>
      </c>
      <c r="Q592" s="7">
        <f>DAY('data on outstanding creditors'!$B592)</f>
        <v>2</v>
      </c>
      <c r="R592" s="7">
        <f>MONTH('data on outstanding creditors'!$B592)</f>
        <v>9</v>
      </c>
      <c r="S592" s="7">
        <f>YEAR('data on outstanding creditors'!$B592)</f>
        <v>2025</v>
      </c>
      <c r="T592" s="11" t="str">
        <f>'data on outstanding creditors'!$C592&amp;" "&amp;'data on outstanding creditors'!$D592&amp;" "&amp;TEXT('data on outstanding creditors'!$E592,"#,##0.00")</f>
        <v>บ.แคสป้า ฟาร์มาซูติคอล(ประเทศไทย) C68080558 85,065.00</v>
      </c>
      <c r="U592" s="12"/>
    </row>
    <row r="593" ht="13.5" customHeight="1">
      <c r="A593" s="1"/>
      <c r="B593" s="2">
        <v>45902.0</v>
      </c>
      <c r="C593" s="9" t="s">
        <v>965</v>
      </c>
      <c r="D593" s="1" t="s">
        <v>966</v>
      </c>
      <c r="E593" s="4">
        <v>50022.6</v>
      </c>
      <c r="F593" s="4"/>
      <c r="G593" s="4"/>
      <c r="H593" s="4">
        <f>'data on outstanding creditors'!$E593-'data on outstanding creditors'!$F593-'data on outstanding creditors'!$G593</f>
        <v>50022.6</v>
      </c>
      <c r="I593" s="2"/>
      <c r="J593" s="1" t="s">
        <v>646</v>
      </c>
      <c r="K593" s="2">
        <v>45954.0</v>
      </c>
      <c r="L593" s="5"/>
      <c r="M593" s="9" t="s">
        <v>403</v>
      </c>
      <c r="N593" s="9" t="s">
        <v>23</v>
      </c>
      <c r="O593" s="10">
        <f>'data on outstanding creditors'!$E593*100/107</f>
        <v>46750.09346</v>
      </c>
      <c r="P593" s="10">
        <f>'data on outstanding creditors'!$E593-'data on outstanding creditors'!$O593</f>
        <v>3272.506542</v>
      </c>
      <c r="Q593" s="7">
        <f>DAY('data on outstanding creditors'!$B593)</f>
        <v>2</v>
      </c>
      <c r="R593" s="7">
        <f>MONTH('data on outstanding creditors'!$B593)</f>
        <v>9</v>
      </c>
      <c r="S593" s="7">
        <f>YEAR('data on outstanding creditors'!$B593)</f>
        <v>2025</v>
      </c>
      <c r="T593" s="11" t="str">
        <f>'data on outstanding creditors'!$C593&amp;" "&amp;'data on outstanding creditors'!$D593&amp;" "&amp;TEXT('data on outstanding creditors'!$E593,"#,##0.00")</f>
        <v>บ.แปซิฟิค เฮลธ์แคร์(ไทยแลนด์) 68042664 50,022.60</v>
      </c>
      <c r="U593" s="12"/>
    </row>
    <row r="594" ht="13.5" customHeight="1">
      <c r="A594" s="1"/>
      <c r="B594" s="2">
        <v>45902.0</v>
      </c>
      <c r="C594" s="9" t="s">
        <v>399</v>
      </c>
      <c r="D594" s="1" t="s">
        <v>967</v>
      </c>
      <c r="E594" s="4">
        <v>76237.5</v>
      </c>
      <c r="F594" s="4"/>
      <c r="G594" s="4"/>
      <c r="H594" s="4">
        <f>'data on outstanding creditors'!$E594-'data on outstanding creditors'!$F594-'data on outstanding creditors'!$G594</f>
        <v>76237.5</v>
      </c>
      <c r="I594" s="2"/>
      <c r="J594" s="1" t="s">
        <v>646</v>
      </c>
      <c r="K594" s="2">
        <v>45943.0</v>
      </c>
      <c r="L594" s="5"/>
      <c r="M594" s="9" t="s">
        <v>403</v>
      </c>
      <c r="N594" s="9" t="s">
        <v>23</v>
      </c>
      <c r="O594" s="10">
        <f>'data on outstanding creditors'!$E594*100/107</f>
        <v>71250</v>
      </c>
      <c r="P594" s="10">
        <f>'data on outstanding creditors'!$E594-'data on outstanding creditors'!$O594</f>
        <v>4987.5</v>
      </c>
      <c r="Q594" s="7">
        <f>DAY('data on outstanding creditors'!$B594)</f>
        <v>2</v>
      </c>
      <c r="R594" s="7">
        <f>MONTH('data on outstanding creditors'!$B594)</f>
        <v>9</v>
      </c>
      <c r="S594" s="7">
        <f>YEAR('data on outstanding creditors'!$B594)</f>
        <v>2025</v>
      </c>
      <c r="T594" s="11" t="str">
        <f>'data on outstanding creditors'!$C594&amp;" "&amp;'data on outstanding creditors'!$D594&amp;" "&amp;TEXT('data on outstanding creditors'!$E594,"#,##0.00")</f>
        <v>บ.ดีเคเอสเอช(ประเทศไทย) 5344269355 76,237.50</v>
      </c>
      <c r="U594" s="12"/>
    </row>
    <row r="595" ht="13.5" customHeight="1">
      <c r="A595" s="1"/>
      <c r="B595" s="2">
        <v>45903.0</v>
      </c>
      <c r="C595" s="9" t="s">
        <v>401</v>
      </c>
      <c r="D595" s="1" t="s">
        <v>968</v>
      </c>
      <c r="E595" s="4">
        <v>22256.0</v>
      </c>
      <c r="F595" s="4"/>
      <c r="G595" s="4"/>
      <c r="H595" s="4">
        <f>'data on outstanding creditors'!$E595-'data on outstanding creditors'!$F595-'data on outstanding creditors'!$G595</f>
        <v>22256</v>
      </c>
      <c r="I595" s="2"/>
      <c r="J595" s="1" t="s">
        <v>646</v>
      </c>
      <c r="K595" s="2">
        <v>45929.0</v>
      </c>
      <c r="L595" s="5"/>
      <c r="M595" s="9" t="s">
        <v>403</v>
      </c>
      <c r="N595" s="9" t="s">
        <v>23</v>
      </c>
      <c r="O595" s="10">
        <f>'data on outstanding creditors'!$E595*100/107</f>
        <v>20800</v>
      </c>
      <c r="P595" s="10">
        <f>'data on outstanding creditors'!$E595-'data on outstanding creditors'!$O595</f>
        <v>1456</v>
      </c>
      <c r="Q595" s="7">
        <f>DAY('data on outstanding creditors'!$B595)</f>
        <v>3</v>
      </c>
      <c r="R595" s="7">
        <f>MONTH('data on outstanding creditors'!$B595)</f>
        <v>9</v>
      </c>
      <c r="S595" s="7">
        <f>YEAR('data on outstanding creditors'!$B595)</f>
        <v>2025</v>
      </c>
      <c r="T595" s="11" t="str">
        <f>'data on outstanding creditors'!$C595&amp;" "&amp;'data on outstanding creditors'!$D595&amp;" "&amp;TEXT('data on outstanding creditors'!$E595,"#,##0.00")</f>
        <v>องค์การเภสัชกรรม 3001058450 22,256.00</v>
      </c>
      <c r="U595" s="12"/>
    </row>
    <row r="596" ht="13.5" customHeight="1">
      <c r="A596" s="1"/>
      <c r="B596" s="2">
        <v>45903.0</v>
      </c>
      <c r="C596" s="9" t="s">
        <v>401</v>
      </c>
      <c r="D596" s="1" t="s">
        <v>969</v>
      </c>
      <c r="E596" s="4">
        <v>21069.6</v>
      </c>
      <c r="F596" s="4"/>
      <c r="G596" s="4"/>
      <c r="H596" s="4">
        <f>'data on outstanding creditors'!$E596-'data on outstanding creditors'!$F596-'data on outstanding creditors'!$G596</f>
        <v>21069.6</v>
      </c>
      <c r="I596" s="2"/>
      <c r="J596" s="1" t="s">
        <v>646</v>
      </c>
      <c r="K596" s="2">
        <v>45929.0</v>
      </c>
      <c r="L596" s="5"/>
      <c r="M596" s="9" t="s">
        <v>403</v>
      </c>
      <c r="N596" s="9" t="s">
        <v>23</v>
      </c>
      <c r="O596" s="10">
        <f>'data on outstanding creditors'!$E596*100/107</f>
        <v>19691.21495</v>
      </c>
      <c r="P596" s="10">
        <f>'data on outstanding creditors'!$E596-'data on outstanding creditors'!$O596</f>
        <v>1378.385047</v>
      </c>
      <c r="Q596" s="7">
        <f>DAY('data on outstanding creditors'!$B596)</f>
        <v>3</v>
      </c>
      <c r="R596" s="7">
        <f>MONTH('data on outstanding creditors'!$B596)</f>
        <v>9</v>
      </c>
      <c r="S596" s="7">
        <f>YEAR('data on outstanding creditors'!$B596)</f>
        <v>2025</v>
      </c>
      <c r="T596" s="11" t="str">
        <f>'data on outstanding creditors'!$C596&amp;" "&amp;'data on outstanding creditors'!$D596&amp;" "&amp;TEXT('data on outstanding creditors'!$E596,"#,##0.00")</f>
        <v>องค์การเภสัชกรรม 3001060074 21,069.60</v>
      </c>
      <c r="U596" s="12"/>
    </row>
    <row r="597" ht="13.5" customHeight="1">
      <c r="A597" s="1"/>
      <c r="B597" s="2">
        <v>45903.0</v>
      </c>
      <c r="C597" s="9" t="s">
        <v>401</v>
      </c>
      <c r="D597" s="1" t="s">
        <v>970</v>
      </c>
      <c r="E597" s="4">
        <v>48150.0</v>
      </c>
      <c r="F597" s="4"/>
      <c r="G597" s="4"/>
      <c r="H597" s="4">
        <f>'data on outstanding creditors'!$E597-'data on outstanding creditors'!$F597-'data on outstanding creditors'!$G597</f>
        <v>48150</v>
      </c>
      <c r="I597" s="2"/>
      <c r="J597" s="1" t="s">
        <v>646</v>
      </c>
      <c r="K597" s="2">
        <v>45929.0</v>
      </c>
      <c r="L597" s="5"/>
      <c r="M597" s="9" t="s">
        <v>403</v>
      </c>
      <c r="N597" s="9" t="s">
        <v>23</v>
      </c>
      <c r="O597" s="10">
        <f>'data on outstanding creditors'!$E597*100/107</f>
        <v>45000</v>
      </c>
      <c r="P597" s="10">
        <f>'data on outstanding creditors'!$E597-'data on outstanding creditors'!$O597</f>
        <v>3150</v>
      </c>
      <c r="Q597" s="7">
        <f>DAY('data on outstanding creditors'!$B597)</f>
        <v>3</v>
      </c>
      <c r="R597" s="7">
        <f>MONTH('data on outstanding creditors'!$B597)</f>
        <v>9</v>
      </c>
      <c r="S597" s="7">
        <f>YEAR('data on outstanding creditors'!$B597)</f>
        <v>2025</v>
      </c>
      <c r="T597" s="11" t="str">
        <f>'data on outstanding creditors'!$C597&amp;" "&amp;'data on outstanding creditors'!$D597&amp;" "&amp;TEXT('data on outstanding creditors'!$E597,"#,##0.00")</f>
        <v>องค์การเภสัชกรรม 3001060914 48,150.00</v>
      </c>
      <c r="U597" s="12"/>
    </row>
    <row r="598" ht="13.5" customHeight="1">
      <c r="A598" s="1"/>
      <c r="B598" s="2">
        <v>45904.0</v>
      </c>
      <c r="C598" s="9" t="s">
        <v>401</v>
      </c>
      <c r="D598" s="1" t="s">
        <v>971</v>
      </c>
      <c r="E598" s="4">
        <v>160000.0</v>
      </c>
      <c r="F598" s="4"/>
      <c r="G598" s="4"/>
      <c r="H598" s="4">
        <f>'data on outstanding creditors'!$E598-'data on outstanding creditors'!$F598-'data on outstanding creditors'!$G598</f>
        <v>160000</v>
      </c>
      <c r="I598" s="2"/>
      <c r="J598" s="1" t="s">
        <v>646</v>
      </c>
      <c r="K598" s="2">
        <v>45929.0</v>
      </c>
      <c r="L598" s="5"/>
      <c r="M598" s="9" t="s">
        <v>403</v>
      </c>
      <c r="N598" s="9" t="s">
        <v>23</v>
      </c>
      <c r="O598" s="10">
        <f>'data on outstanding creditors'!$E598*100/107</f>
        <v>149532.7103</v>
      </c>
      <c r="P598" s="10">
        <f>'data on outstanding creditors'!$E598-'data on outstanding creditors'!$O598</f>
        <v>10467.28972</v>
      </c>
      <c r="Q598" s="7">
        <f>DAY('data on outstanding creditors'!$B598)</f>
        <v>4</v>
      </c>
      <c r="R598" s="7">
        <f>MONTH('data on outstanding creditors'!$B598)</f>
        <v>9</v>
      </c>
      <c r="S598" s="7">
        <f>YEAR('data on outstanding creditors'!$B598)</f>
        <v>2025</v>
      </c>
      <c r="T598" s="11" t="str">
        <f>'data on outstanding creditors'!$C598&amp;" "&amp;'data on outstanding creditors'!$D598&amp;" "&amp;TEXT('data on outstanding creditors'!$E598,"#,##0.00")</f>
        <v>องค์การเภสัชกรรม 3001062410 160,000.00</v>
      </c>
      <c r="U598" s="12"/>
    </row>
    <row r="599" ht="13.5" customHeight="1">
      <c r="A599" s="1"/>
      <c r="B599" s="2">
        <v>45905.0</v>
      </c>
      <c r="C599" s="9" t="s">
        <v>399</v>
      </c>
      <c r="D599" s="1" t="s">
        <v>972</v>
      </c>
      <c r="E599" s="4">
        <v>55019.4</v>
      </c>
      <c r="F599" s="4"/>
      <c r="G599" s="4"/>
      <c r="H599" s="4">
        <f>'data on outstanding creditors'!$E599-'data on outstanding creditors'!$F599-'data on outstanding creditors'!$G599</f>
        <v>55019.4</v>
      </c>
      <c r="I599" s="2"/>
      <c r="J599" s="1" t="s">
        <v>646</v>
      </c>
      <c r="K599" s="2">
        <v>45943.0</v>
      </c>
      <c r="L599" s="5"/>
      <c r="M599" s="9" t="s">
        <v>403</v>
      </c>
      <c r="N599" s="9" t="s">
        <v>23</v>
      </c>
      <c r="O599" s="10">
        <f>'data on outstanding creditors'!$E599*100/107</f>
        <v>51420</v>
      </c>
      <c r="P599" s="10">
        <f>'data on outstanding creditors'!$E599-'data on outstanding creditors'!$O599</f>
        <v>3599.4</v>
      </c>
      <c r="Q599" s="7">
        <f>DAY('data on outstanding creditors'!$B599)</f>
        <v>5</v>
      </c>
      <c r="R599" s="7">
        <f>MONTH('data on outstanding creditors'!$B599)</f>
        <v>9</v>
      </c>
      <c r="S599" s="7">
        <f>YEAR('data on outstanding creditors'!$B599)</f>
        <v>2025</v>
      </c>
      <c r="T599" s="11" t="str">
        <f>'data on outstanding creditors'!$C599&amp;" "&amp;'data on outstanding creditors'!$D599&amp;" "&amp;TEXT('data on outstanding creditors'!$E599,"#,##0.00")</f>
        <v>บ.ดีเคเอสเอช(ประเทศไทย) 5344300473 55,019.40</v>
      </c>
      <c r="U599" s="12"/>
    </row>
    <row r="600" ht="13.5" customHeight="1">
      <c r="A600" s="1"/>
      <c r="B600" s="2">
        <v>45905.0</v>
      </c>
      <c r="C600" s="9" t="s">
        <v>413</v>
      </c>
      <c r="D600" s="1" t="s">
        <v>973</v>
      </c>
      <c r="E600" s="4">
        <v>180000.0</v>
      </c>
      <c r="F600" s="4"/>
      <c r="G600" s="4"/>
      <c r="H600" s="4">
        <f>'data on outstanding creditors'!$E600-'data on outstanding creditors'!$F600-'data on outstanding creditors'!$G600</f>
        <v>180000</v>
      </c>
      <c r="I600" s="2"/>
      <c r="J600" s="1" t="s">
        <v>646</v>
      </c>
      <c r="K600" s="2">
        <v>45929.0</v>
      </c>
      <c r="L600" s="5"/>
      <c r="M600" s="9" t="s">
        <v>403</v>
      </c>
      <c r="N600" s="9" t="s">
        <v>23</v>
      </c>
      <c r="O600" s="10">
        <f>'data on outstanding creditors'!$E600*100/107</f>
        <v>168224.2991</v>
      </c>
      <c r="P600" s="10">
        <f>'data on outstanding creditors'!$E600-'data on outstanding creditors'!$O600</f>
        <v>11775.70093</v>
      </c>
      <c r="Q600" s="7">
        <f>DAY('data on outstanding creditors'!$B600)</f>
        <v>5</v>
      </c>
      <c r="R600" s="7">
        <f>MONTH('data on outstanding creditors'!$B600)</f>
        <v>9</v>
      </c>
      <c r="S600" s="7">
        <f>YEAR('data on outstanding creditors'!$B600)</f>
        <v>2025</v>
      </c>
      <c r="T600" s="11" t="str">
        <f>'data on outstanding creditors'!$C600&amp;" "&amp;'data on outstanding creditors'!$D600&amp;" "&amp;TEXT('data on outstanding creditors'!$E600,"#,##0.00")</f>
        <v>ศูนย์บริการโลหิตแห่งชาติ สภากาชาดไทย 0041/004100 180,000.00</v>
      </c>
      <c r="U600" s="12"/>
    </row>
    <row r="601" ht="13.5" customHeight="1">
      <c r="A601" s="1"/>
      <c r="B601" s="2">
        <v>45909.0</v>
      </c>
      <c r="C601" s="9" t="s">
        <v>401</v>
      </c>
      <c r="D601" s="1" t="s">
        <v>974</v>
      </c>
      <c r="E601" s="4">
        <v>10000.0</v>
      </c>
      <c r="F601" s="4"/>
      <c r="G601" s="4"/>
      <c r="H601" s="4">
        <f>'data on outstanding creditors'!$E601-'data on outstanding creditors'!$F601-'data on outstanding creditors'!$G601</f>
        <v>10000</v>
      </c>
      <c r="I601" s="2"/>
      <c r="J601" s="1" t="s">
        <v>646</v>
      </c>
      <c r="K601" s="2">
        <v>45943.0</v>
      </c>
      <c r="L601" s="5"/>
      <c r="M601" s="9" t="s">
        <v>403</v>
      </c>
      <c r="N601" s="9" t="s">
        <v>23</v>
      </c>
      <c r="O601" s="10">
        <f>'data on outstanding creditors'!$E601*100/107</f>
        <v>9345.794393</v>
      </c>
      <c r="P601" s="10">
        <f>'data on outstanding creditors'!$E601-'data on outstanding creditors'!$O601</f>
        <v>654.2056075</v>
      </c>
      <c r="Q601" s="7">
        <f>DAY('data on outstanding creditors'!$B601)</f>
        <v>9</v>
      </c>
      <c r="R601" s="7">
        <f>MONTH('data on outstanding creditors'!$B601)</f>
        <v>9</v>
      </c>
      <c r="S601" s="7">
        <f>YEAR('data on outstanding creditors'!$B601)</f>
        <v>2025</v>
      </c>
      <c r="T601" s="11" t="str">
        <f>'data on outstanding creditors'!$C601&amp;" "&amp;'data on outstanding creditors'!$D601&amp;" "&amp;TEXT('data on outstanding creditors'!$E601,"#,##0.00")</f>
        <v>องค์การเภสัชกรรม 3001063178 10,000.00</v>
      </c>
      <c r="U601" s="12"/>
    </row>
    <row r="602" ht="13.5" customHeight="1">
      <c r="A602" s="1"/>
      <c r="B602" s="2">
        <v>45911.0</v>
      </c>
      <c r="C602" s="9" t="s">
        <v>256</v>
      </c>
      <c r="D602" s="1" t="s">
        <v>975</v>
      </c>
      <c r="E602" s="4">
        <v>60000.0</v>
      </c>
      <c r="F602" s="4"/>
      <c r="G602" s="4"/>
      <c r="H602" s="4">
        <f>'data on outstanding creditors'!$E602-'data on outstanding creditors'!$F602-'data on outstanding creditors'!$G602</f>
        <v>60000</v>
      </c>
      <c r="I602" s="2"/>
      <c r="J602" s="1" t="s">
        <v>757</v>
      </c>
      <c r="K602" s="2">
        <v>45939.0</v>
      </c>
      <c r="L602" s="5"/>
      <c r="M602" s="9" t="s">
        <v>403</v>
      </c>
      <c r="N602" s="9" t="s">
        <v>23</v>
      </c>
      <c r="O602" s="10">
        <f>'data on outstanding creditors'!$E602*100/107</f>
        <v>56074.76636</v>
      </c>
      <c r="P602" s="10">
        <f>'data on outstanding creditors'!$E602-'data on outstanding creditors'!$O602</f>
        <v>3925.233645</v>
      </c>
      <c r="Q602" s="7">
        <f>DAY('data on outstanding creditors'!$B602)</f>
        <v>11</v>
      </c>
      <c r="R602" s="7">
        <f>MONTH('data on outstanding creditors'!$B602)</f>
        <v>9</v>
      </c>
      <c r="S602" s="7">
        <f>YEAR('data on outstanding creditors'!$B602)</f>
        <v>2025</v>
      </c>
      <c r="T602" s="11" t="str">
        <f>'data on outstanding creditors'!$C602&amp;" "&amp;'data on outstanding creditors'!$D602&amp;" "&amp;TEXT('data on outstanding creditors'!$E602,"#,##0.00")</f>
        <v>บ.พาตาร์แลบ(2517) INV125090235 60,000.00</v>
      </c>
      <c r="U602" s="12"/>
    </row>
    <row r="603" ht="13.5" customHeight="1">
      <c r="A603" s="1"/>
      <c r="B603" s="2">
        <v>45911.0</v>
      </c>
      <c r="C603" s="9" t="s">
        <v>886</v>
      </c>
      <c r="D603" s="1" t="s">
        <v>976</v>
      </c>
      <c r="E603" s="4">
        <v>98000.0</v>
      </c>
      <c r="F603" s="4"/>
      <c r="G603" s="4"/>
      <c r="H603" s="4">
        <f>'data on outstanding creditors'!$E603-'data on outstanding creditors'!$F603-'data on outstanding creditors'!$G603</f>
        <v>98000</v>
      </c>
      <c r="I603" s="2"/>
      <c r="J603" s="1" t="s">
        <v>757</v>
      </c>
      <c r="K603" s="2">
        <v>45939.0</v>
      </c>
      <c r="L603" s="5"/>
      <c r="M603" s="9" t="s">
        <v>403</v>
      </c>
      <c r="N603" s="9" t="s">
        <v>23</v>
      </c>
      <c r="O603" s="10">
        <f>'data on outstanding creditors'!$E603*100/107</f>
        <v>91588.78505</v>
      </c>
      <c r="P603" s="10">
        <f>'data on outstanding creditors'!$E603-'data on outstanding creditors'!$O603</f>
        <v>6411.214953</v>
      </c>
      <c r="Q603" s="7">
        <f>DAY('data on outstanding creditors'!$B603)</f>
        <v>11</v>
      </c>
      <c r="R603" s="7">
        <f>MONTH('data on outstanding creditors'!$B603)</f>
        <v>9</v>
      </c>
      <c r="S603" s="7">
        <f>YEAR('data on outstanding creditors'!$B603)</f>
        <v>2025</v>
      </c>
      <c r="T603" s="11" t="str">
        <f>'data on outstanding creditors'!$C603&amp;" "&amp;'data on outstanding creditors'!$D603&amp;" "&amp;TEXT('data on outstanding creditors'!$E603,"#,##0.00")</f>
        <v>บ.ไบโอวาลิส IV12517583 98,000.00</v>
      </c>
      <c r="U603" s="12"/>
    </row>
    <row r="604" ht="13.5" customHeight="1">
      <c r="A604" s="1"/>
      <c r="B604" s="2">
        <v>45911.0</v>
      </c>
      <c r="C604" s="9" t="s">
        <v>520</v>
      </c>
      <c r="D604" s="1" t="s">
        <v>977</v>
      </c>
      <c r="E604" s="4">
        <v>80250.0</v>
      </c>
      <c r="F604" s="4"/>
      <c r="G604" s="4"/>
      <c r="H604" s="4">
        <f>'data on outstanding creditors'!$E604-'data on outstanding creditors'!$F604-'data on outstanding creditors'!$G604</f>
        <v>80250</v>
      </c>
      <c r="I604" s="2"/>
      <c r="J604" s="1" t="s">
        <v>757</v>
      </c>
      <c r="K604" s="2">
        <v>45943.0</v>
      </c>
      <c r="L604" s="5"/>
      <c r="M604" s="9" t="s">
        <v>403</v>
      </c>
      <c r="N604" s="9" t="s">
        <v>23</v>
      </c>
      <c r="O604" s="10">
        <f>'data on outstanding creditors'!$E604*100/107</f>
        <v>75000</v>
      </c>
      <c r="P604" s="10">
        <f>'data on outstanding creditors'!$E604-'data on outstanding creditors'!$O604</f>
        <v>5250</v>
      </c>
      <c r="Q604" s="7">
        <f>DAY('data on outstanding creditors'!$B604)</f>
        <v>11</v>
      </c>
      <c r="R604" s="7">
        <f>MONTH('data on outstanding creditors'!$B604)</f>
        <v>9</v>
      </c>
      <c r="S604" s="7">
        <f>YEAR('data on outstanding creditors'!$B604)</f>
        <v>2025</v>
      </c>
      <c r="T604" s="11" t="str">
        <f>'data on outstanding creditors'!$C604&amp;" "&amp;'data on outstanding creditors'!$D604&amp;" "&amp;TEXT('data on outstanding creditors'!$E604,"#,##0.00")</f>
        <v>บ.ซิลลิคฟาร์มา 1318087852 80,250.00</v>
      </c>
      <c r="U604" s="12"/>
    </row>
    <row r="605" ht="13.5" customHeight="1">
      <c r="A605" s="1"/>
      <c r="B605" s="2">
        <v>45911.0</v>
      </c>
      <c r="C605" s="9" t="s">
        <v>541</v>
      </c>
      <c r="D605" s="1" t="s">
        <v>978</v>
      </c>
      <c r="E605" s="4">
        <v>50076.0</v>
      </c>
      <c r="F605" s="4"/>
      <c r="G605" s="4"/>
      <c r="H605" s="4">
        <f>'data on outstanding creditors'!$E605-'data on outstanding creditors'!$F605-'data on outstanding creditors'!$G605</f>
        <v>50076</v>
      </c>
      <c r="I605" s="2"/>
      <c r="J605" s="1" t="s">
        <v>757</v>
      </c>
      <c r="K605" s="2">
        <v>45939.0</v>
      </c>
      <c r="L605" s="5"/>
      <c r="M605" s="9" t="s">
        <v>403</v>
      </c>
      <c r="N605" s="9" t="s">
        <v>23</v>
      </c>
      <c r="O605" s="10">
        <f>'data on outstanding creditors'!$E605*100/107</f>
        <v>46800</v>
      </c>
      <c r="P605" s="10">
        <f>'data on outstanding creditors'!$E605-'data on outstanding creditors'!$O605</f>
        <v>3276</v>
      </c>
      <c r="Q605" s="7">
        <f>DAY('data on outstanding creditors'!$B605)</f>
        <v>11</v>
      </c>
      <c r="R605" s="7">
        <f>MONTH('data on outstanding creditors'!$B605)</f>
        <v>9</v>
      </c>
      <c r="S605" s="7">
        <f>YEAR('data on outstanding creditors'!$B605)</f>
        <v>2025</v>
      </c>
      <c r="T605" s="11" t="str">
        <f>'data on outstanding creditors'!$C605&amp;" "&amp;'data on outstanding creditors'!$D605&amp;" "&amp;TEXT('data on outstanding creditors'!$E605,"#,##0.00")</f>
        <v>บ.ดีทแฮล์ม เคลเลอร์ โลจิสติกส์ 5449301024 50,076.00</v>
      </c>
      <c r="U605" s="12"/>
    </row>
    <row r="606" ht="13.5" customHeight="1">
      <c r="A606" s="1"/>
      <c r="B606" s="2">
        <v>45911.0</v>
      </c>
      <c r="C606" s="9" t="s">
        <v>520</v>
      </c>
      <c r="D606" s="1" t="s">
        <v>979</v>
      </c>
      <c r="E606" s="4">
        <v>62990.9</v>
      </c>
      <c r="F606" s="4"/>
      <c r="G606" s="4"/>
      <c r="H606" s="4">
        <f>'data on outstanding creditors'!$E606-'data on outstanding creditors'!$F606-'data on outstanding creditors'!$G606</f>
        <v>62990.9</v>
      </c>
      <c r="I606" s="2"/>
      <c r="J606" s="1" t="s">
        <v>757</v>
      </c>
      <c r="K606" s="2">
        <v>45943.0</v>
      </c>
      <c r="L606" s="5"/>
      <c r="M606" s="9" t="s">
        <v>403</v>
      </c>
      <c r="N606" s="9" t="s">
        <v>23</v>
      </c>
      <c r="O606" s="10">
        <f>'data on outstanding creditors'!$E606*100/107</f>
        <v>58870</v>
      </c>
      <c r="P606" s="10">
        <f>'data on outstanding creditors'!$E606-'data on outstanding creditors'!$O606</f>
        <v>4120.9</v>
      </c>
      <c r="Q606" s="7">
        <f>DAY('data on outstanding creditors'!$B606)</f>
        <v>11</v>
      </c>
      <c r="R606" s="7">
        <f>MONTH('data on outstanding creditors'!$B606)</f>
        <v>9</v>
      </c>
      <c r="S606" s="7">
        <f>YEAR('data on outstanding creditors'!$B606)</f>
        <v>2025</v>
      </c>
      <c r="T606" s="11" t="str">
        <f>'data on outstanding creditors'!$C606&amp;" "&amp;'data on outstanding creditors'!$D606&amp;" "&amp;TEXT('data on outstanding creditors'!$E606,"#,##0.00")</f>
        <v>บ.ซิลลิคฟาร์มา 1318106866 62,990.90</v>
      </c>
      <c r="U606" s="12"/>
    </row>
    <row r="607" ht="13.5" customHeight="1">
      <c r="A607" s="1"/>
      <c r="B607" s="2">
        <v>45912.0</v>
      </c>
      <c r="C607" s="9" t="s">
        <v>401</v>
      </c>
      <c r="D607" s="1" t="s">
        <v>980</v>
      </c>
      <c r="E607" s="4">
        <v>5400.0</v>
      </c>
      <c r="F607" s="4"/>
      <c r="G607" s="4"/>
      <c r="H607" s="4">
        <f>'data on outstanding creditors'!$E607-'data on outstanding creditors'!$F607-'data on outstanding creditors'!$G607</f>
        <v>5400</v>
      </c>
      <c r="I607" s="2"/>
      <c r="J607" s="1" t="s">
        <v>646</v>
      </c>
      <c r="K607" s="2">
        <v>45943.0</v>
      </c>
      <c r="L607" s="5"/>
      <c r="M607" s="9" t="s">
        <v>403</v>
      </c>
      <c r="N607" s="9" t="s">
        <v>23</v>
      </c>
      <c r="O607" s="10">
        <f>'data on outstanding creditors'!$E607*100/107</f>
        <v>5046.728972</v>
      </c>
      <c r="P607" s="10">
        <f>'data on outstanding creditors'!$E607-'data on outstanding creditors'!$O607</f>
        <v>353.271028</v>
      </c>
      <c r="Q607" s="7">
        <f>DAY('data on outstanding creditors'!$B607)</f>
        <v>12</v>
      </c>
      <c r="R607" s="7">
        <f>MONTH('data on outstanding creditors'!$B607)</f>
        <v>9</v>
      </c>
      <c r="S607" s="7">
        <f>YEAR('data on outstanding creditors'!$B607)</f>
        <v>2025</v>
      </c>
      <c r="T607" s="11" t="str">
        <f>'data on outstanding creditors'!$C607&amp;" "&amp;'data on outstanding creditors'!$D607&amp;" "&amp;TEXT('data on outstanding creditors'!$E607,"#,##0.00")</f>
        <v>องค์การเภสัชกรรม 3001065674 5,400.00</v>
      </c>
      <c r="U607" s="12"/>
    </row>
    <row r="608" ht="13.5" customHeight="1">
      <c r="A608" s="1"/>
      <c r="B608" s="2">
        <v>45912.0</v>
      </c>
      <c r="C608" s="9" t="s">
        <v>920</v>
      </c>
      <c r="D608" s="1" t="s">
        <v>981</v>
      </c>
      <c r="E608" s="4">
        <v>87000.0</v>
      </c>
      <c r="F608" s="4"/>
      <c r="G608" s="4"/>
      <c r="H608" s="4">
        <f>'data on outstanding creditors'!$E608-'data on outstanding creditors'!$F608-'data on outstanding creditors'!$G608</f>
        <v>87000</v>
      </c>
      <c r="I608" s="2"/>
      <c r="J608" s="1" t="s">
        <v>757</v>
      </c>
      <c r="K608" s="2">
        <v>45939.0</v>
      </c>
      <c r="L608" s="5"/>
      <c r="M608" s="9" t="s">
        <v>403</v>
      </c>
      <c r="N608" s="9" t="s">
        <v>23</v>
      </c>
      <c r="O608" s="10">
        <f>'data on outstanding creditors'!$E608*100/107</f>
        <v>81308.41121</v>
      </c>
      <c r="P608" s="10">
        <f>'data on outstanding creditors'!$E608-'data on outstanding creditors'!$O608</f>
        <v>5691.588785</v>
      </c>
      <c r="Q608" s="7">
        <f>DAY('data on outstanding creditors'!$B608)</f>
        <v>12</v>
      </c>
      <c r="R608" s="7">
        <f>MONTH('data on outstanding creditors'!$B608)</f>
        <v>9</v>
      </c>
      <c r="S608" s="7">
        <f>YEAR('data on outstanding creditors'!$B608)</f>
        <v>2025</v>
      </c>
      <c r="T608" s="11" t="str">
        <f>'data on outstanding creditors'!$C608&amp;" "&amp;'data on outstanding creditors'!$D608&amp;" "&amp;TEXT('data on outstanding creditors'!$E608,"#,##0.00")</f>
        <v>บ.โปลิฟาร์ม IVU-68039186 87,000.00</v>
      </c>
      <c r="U608" s="12"/>
    </row>
    <row r="609" ht="13.5" customHeight="1">
      <c r="A609" s="1"/>
      <c r="B609" s="2">
        <v>45912.0</v>
      </c>
      <c r="C609" s="9" t="s">
        <v>401</v>
      </c>
      <c r="D609" s="1" t="s">
        <v>982</v>
      </c>
      <c r="E609" s="4">
        <v>6600.0</v>
      </c>
      <c r="F609" s="4"/>
      <c r="G609" s="4"/>
      <c r="H609" s="4">
        <f>'data on outstanding creditors'!$E609-'data on outstanding creditors'!$F609-'data on outstanding creditors'!$G609</f>
        <v>6600</v>
      </c>
      <c r="I609" s="2"/>
      <c r="J609" s="1" t="s">
        <v>646</v>
      </c>
      <c r="K609" s="2">
        <v>45943.0</v>
      </c>
      <c r="L609" s="5"/>
      <c r="M609" s="9" t="s">
        <v>403</v>
      </c>
      <c r="N609" s="9" t="s">
        <v>23</v>
      </c>
      <c r="O609" s="10">
        <f>'data on outstanding creditors'!$E609*100/107</f>
        <v>6168.224299</v>
      </c>
      <c r="P609" s="10">
        <f>'data on outstanding creditors'!$E609-'data on outstanding creditors'!$O609</f>
        <v>431.7757009</v>
      </c>
      <c r="Q609" s="7">
        <f>DAY('data on outstanding creditors'!$B609)</f>
        <v>12</v>
      </c>
      <c r="R609" s="7">
        <f>MONTH('data on outstanding creditors'!$B609)</f>
        <v>9</v>
      </c>
      <c r="S609" s="7">
        <f>YEAR('data on outstanding creditors'!$B609)</f>
        <v>2025</v>
      </c>
      <c r="T609" s="11" t="str">
        <f>'data on outstanding creditors'!$C609&amp;" "&amp;'data on outstanding creditors'!$D609&amp;" "&amp;TEXT('data on outstanding creditors'!$E609,"#,##0.00")</f>
        <v>องค์การเภสัชกรรม 3001065714 6,600.00</v>
      </c>
      <c r="U609" s="12"/>
    </row>
    <row r="610" ht="13.5" customHeight="1">
      <c r="A610" s="1"/>
      <c r="B610" s="2">
        <v>45916.0</v>
      </c>
      <c r="C610" s="9" t="s">
        <v>401</v>
      </c>
      <c r="D610" s="1" t="s">
        <v>983</v>
      </c>
      <c r="E610" s="4">
        <v>32100.0</v>
      </c>
      <c r="F610" s="4"/>
      <c r="G610" s="4"/>
      <c r="H610" s="4">
        <f>'data on outstanding creditors'!$E610-'data on outstanding creditors'!$F610-'data on outstanding creditors'!$G610</f>
        <v>32100</v>
      </c>
      <c r="I610" s="2"/>
      <c r="J610" s="1" t="s">
        <v>646</v>
      </c>
      <c r="K610" s="2">
        <v>45943.0</v>
      </c>
      <c r="L610" s="5"/>
      <c r="M610" s="9" t="s">
        <v>403</v>
      </c>
      <c r="N610" s="9" t="s">
        <v>23</v>
      </c>
      <c r="O610" s="10">
        <f>'data on outstanding creditors'!$E610*100/107</f>
        <v>30000</v>
      </c>
      <c r="P610" s="10">
        <f>'data on outstanding creditors'!$E610-'data on outstanding creditors'!$O610</f>
        <v>2100</v>
      </c>
      <c r="Q610" s="7">
        <f>DAY('data on outstanding creditors'!$B610)</f>
        <v>16</v>
      </c>
      <c r="R610" s="7">
        <f>MONTH('data on outstanding creditors'!$B610)</f>
        <v>9</v>
      </c>
      <c r="S610" s="7">
        <f>YEAR('data on outstanding creditors'!$B610)</f>
        <v>2025</v>
      </c>
      <c r="T610" s="11" t="str">
        <f>'data on outstanding creditors'!$C610&amp;" "&amp;'data on outstanding creditors'!$D610&amp;" "&amp;TEXT('data on outstanding creditors'!$E610,"#,##0.00")</f>
        <v>องค์การเภสัชกรรม 3001065711 32,100.00</v>
      </c>
      <c r="U610" s="12"/>
    </row>
    <row r="611" ht="13.5" customHeight="1">
      <c r="A611" s="1"/>
      <c r="B611" s="2">
        <v>45916.0</v>
      </c>
      <c r="C611" s="9" t="s">
        <v>401</v>
      </c>
      <c r="D611" s="1" t="s">
        <v>984</v>
      </c>
      <c r="E611" s="4">
        <v>105930.0</v>
      </c>
      <c r="F611" s="4"/>
      <c r="G611" s="4"/>
      <c r="H611" s="4">
        <f>'data on outstanding creditors'!$E611-'data on outstanding creditors'!$F611-'data on outstanding creditors'!$G611</f>
        <v>105930</v>
      </c>
      <c r="I611" s="2"/>
      <c r="J611" s="1" t="s">
        <v>646</v>
      </c>
      <c r="K611" s="2">
        <v>45943.0</v>
      </c>
      <c r="L611" s="5"/>
      <c r="M611" s="9" t="s">
        <v>403</v>
      </c>
      <c r="N611" s="9" t="s">
        <v>23</v>
      </c>
      <c r="O611" s="10">
        <f>'data on outstanding creditors'!$E611*100/107</f>
        <v>99000</v>
      </c>
      <c r="P611" s="10">
        <f>'data on outstanding creditors'!$E611-'data on outstanding creditors'!$O611</f>
        <v>6930</v>
      </c>
      <c r="Q611" s="7">
        <f>DAY('data on outstanding creditors'!$B611)</f>
        <v>16</v>
      </c>
      <c r="R611" s="7">
        <f>MONTH('data on outstanding creditors'!$B611)</f>
        <v>9</v>
      </c>
      <c r="S611" s="7">
        <f>YEAR('data on outstanding creditors'!$B611)</f>
        <v>2025</v>
      </c>
      <c r="T611" s="11" t="str">
        <f>'data on outstanding creditors'!$C611&amp;" "&amp;'data on outstanding creditors'!$D611&amp;" "&amp;TEXT('data on outstanding creditors'!$E611,"#,##0.00")</f>
        <v>องค์การเภสัชกรรม 3001066619 105,930.00</v>
      </c>
      <c r="U611" s="12"/>
    </row>
    <row r="612" ht="13.5" customHeight="1">
      <c r="A612" s="1"/>
      <c r="B612" s="2">
        <v>45917.0</v>
      </c>
      <c r="C612" s="9" t="s">
        <v>767</v>
      </c>
      <c r="D612" s="1" t="s">
        <v>985</v>
      </c>
      <c r="E612" s="4">
        <v>72000.0</v>
      </c>
      <c r="F612" s="4"/>
      <c r="G612" s="4"/>
      <c r="H612" s="4">
        <f>'data on outstanding creditors'!$E612-'data on outstanding creditors'!$F612-'data on outstanding creditors'!$G612</f>
        <v>72000</v>
      </c>
      <c r="I612" s="2"/>
      <c r="J612" s="1" t="s">
        <v>646</v>
      </c>
      <c r="K612" s="2">
        <v>45954.0</v>
      </c>
      <c r="L612" s="5"/>
      <c r="M612" s="9" t="s">
        <v>403</v>
      </c>
      <c r="N612" s="9" t="s">
        <v>23</v>
      </c>
      <c r="O612" s="10">
        <f>'data on outstanding creditors'!$E612*100/107</f>
        <v>67289.71963</v>
      </c>
      <c r="P612" s="10">
        <f>'data on outstanding creditors'!$E612-'data on outstanding creditors'!$O612</f>
        <v>4710.280374</v>
      </c>
      <c r="Q612" s="7">
        <f>DAY('data on outstanding creditors'!$B612)</f>
        <v>17</v>
      </c>
      <c r="R612" s="7">
        <f>MONTH('data on outstanding creditors'!$B612)</f>
        <v>9</v>
      </c>
      <c r="S612" s="7">
        <f>YEAR('data on outstanding creditors'!$B612)</f>
        <v>2025</v>
      </c>
      <c r="T612" s="11" t="str">
        <f>'data on outstanding creditors'!$C612&amp;" "&amp;'data on outstanding creditors'!$D612&amp;" "&amp;TEXT('data on outstanding creditors'!$E612,"#,##0.00")</f>
        <v>บ.คอสม่า เทรดดิ้ง 310957400557 72,000.00</v>
      </c>
      <c r="U612" s="12"/>
    </row>
    <row r="613" ht="13.5" customHeight="1">
      <c r="A613" s="1"/>
      <c r="B613" s="2">
        <v>45918.0</v>
      </c>
      <c r="C613" s="9" t="s">
        <v>401</v>
      </c>
      <c r="D613" s="1" t="s">
        <v>986</v>
      </c>
      <c r="E613" s="4">
        <v>14980.0</v>
      </c>
      <c r="F613" s="4"/>
      <c r="G613" s="4"/>
      <c r="H613" s="4">
        <f>'data on outstanding creditors'!$E613-'data on outstanding creditors'!$F613-'data on outstanding creditors'!$G613</f>
        <v>14980</v>
      </c>
      <c r="I613" s="2"/>
      <c r="J613" s="1" t="s">
        <v>646</v>
      </c>
      <c r="K613" s="2">
        <v>45943.0</v>
      </c>
      <c r="L613" s="5"/>
      <c r="M613" s="9" t="s">
        <v>403</v>
      </c>
      <c r="N613" s="9" t="s">
        <v>23</v>
      </c>
      <c r="O613" s="10">
        <f>'data on outstanding creditors'!$E613*100/107</f>
        <v>14000</v>
      </c>
      <c r="P613" s="10">
        <f>'data on outstanding creditors'!$E613-'data on outstanding creditors'!$O613</f>
        <v>980</v>
      </c>
      <c r="Q613" s="7">
        <f>DAY('data on outstanding creditors'!$B613)</f>
        <v>18</v>
      </c>
      <c r="R613" s="7">
        <f>MONTH('data on outstanding creditors'!$B613)</f>
        <v>9</v>
      </c>
      <c r="S613" s="7">
        <f>YEAR('data on outstanding creditors'!$B613)</f>
        <v>2025</v>
      </c>
      <c r="T613" s="11" t="str">
        <f>'data on outstanding creditors'!$C613&amp;" "&amp;'data on outstanding creditors'!$D613&amp;" "&amp;TEXT('data on outstanding creditors'!$E613,"#,##0.00")</f>
        <v>องค์การเภสัชกรรม 3001067438 14,980.00</v>
      </c>
      <c r="U613" s="12"/>
    </row>
    <row r="614" ht="13.5" customHeight="1">
      <c r="A614" s="1"/>
      <c r="B614" s="2">
        <v>45918.0</v>
      </c>
      <c r="C614" s="9" t="s">
        <v>401</v>
      </c>
      <c r="D614" s="1" t="s">
        <v>987</v>
      </c>
      <c r="E614" s="4">
        <v>1605.0</v>
      </c>
      <c r="F614" s="4"/>
      <c r="G614" s="4"/>
      <c r="H614" s="4">
        <f>'data on outstanding creditors'!$E614-'data on outstanding creditors'!$F614-'data on outstanding creditors'!$G614</f>
        <v>1605</v>
      </c>
      <c r="I614" s="2"/>
      <c r="J614" s="1" t="s">
        <v>646</v>
      </c>
      <c r="K614" s="2">
        <v>45943.0</v>
      </c>
      <c r="L614" s="5"/>
      <c r="M614" s="9" t="s">
        <v>403</v>
      </c>
      <c r="N614" s="9" t="s">
        <v>23</v>
      </c>
      <c r="O614" s="10">
        <f>'data on outstanding creditors'!$E614*100/107</f>
        <v>1500</v>
      </c>
      <c r="P614" s="10">
        <f>'data on outstanding creditors'!$E614-'data on outstanding creditors'!$O614</f>
        <v>105</v>
      </c>
      <c r="Q614" s="7">
        <f>DAY('data on outstanding creditors'!$B614)</f>
        <v>18</v>
      </c>
      <c r="R614" s="7">
        <f>MONTH('data on outstanding creditors'!$B614)</f>
        <v>9</v>
      </c>
      <c r="S614" s="7">
        <f>YEAR('data on outstanding creditors'!$B614)</f>
        <v>2025</v>
      </c>
      <c r="T614" s="11" t="str">
        <f>'data on outstanding creditors'!$C614&amp;" "&amp;'data on outstanding creditors'!$D614&amp;" "&amp;TEXT('data on outstanding creditors'!$E614,"#,##0.00")</f>
        <v>องค์การเภสัชกรรม 3001067151 1,605.00</v>
      </c>
      <c r="U614" s="12"/>
    </row>
    <row r="615" ht="13.5" customHeight="1">
      <c r="A615" s="1"/>
      <c r="B615" s="2">
        <v>45918.0</v>
      </c>
      <c r="C615" s="9" t="s">
        <v>401</v>
      </c>
      <c r="D615" s="1" t="s">
        <v>988</v>
      </c>
      <c r="E615" s="4">
        <v>11232.0</v>
      </c>
      <c r="F615" s="4"/>
      <c r="G615" s="4"/>
      <c r="H615" s="4">
        <f>'data on outstanding creditors'!$E615-'data on outstanding creditors'!$F615-'data on outstanding creditors'!$G615</f>
        <v>11232</v>
      </c>
      <c r="I615" s="2"/>
      <c r="J615" s="1" t="s">
        <v>646</v>
      </c>
      <c r="K615" s="2">
        <v>45943.0</v>
      </c>
      <c r="L615" s="5"/>
      <c r="M615" s="9" t="s">
        <v>403</v>
      </c>
      <c r="N615" s="9" t="s">
        <v>23</v>
      </c>
      <c r="O615" s="10">
        <f>'data on outstanding creditors'!$E615*100/107</f>
        <v>10497.19626</v>
      </c>
      <c r="P615" s="10">
        <f>'data on outstanding creditors'!$E615-'data on outstanding creditors'!$O615</f>
        <v>734.8037383</v>
      </c>
      <c r="Q615" s="7">
        <f>DAY('data on outstanding creditors'!$B615)</f>
        <v>18</v>
      </c>
      <c r="R615" s="7">
        <f>MONTH('data on outstanding creditors'!$B615)</f>
        <v>9</v>
      </c>
      <c r="S615" s="7">
        <f>YEAR('data on outstanding creditors'!$B615)</f>
        <v>2025</v>
      </c>
      <c r="T615" s="11" t="str">
        <f>'data on outstanding creditors'!$C615&amp;" "&amp;'data on outstanding creditors'!$D615&amp;" "&amp;TEXT('data on outstanding creditors'!$E615,"#,##0.00")</f>
        <v>องค์การเภสัชกรรม 3001067152 11,232.00</v>
      </c>
      <c r="U615" s="12"/>
    </row>
    <row r="616" ht="13.5" customHeight="1">
      <c r="A616" s="1"/>
      <c r="B616" s="2">
        <v>45918.0</v>
      </c>
      <c r="C616" s="9" t="s">
        <v>401</v>
      </c>
      <c r="D616" s="1" t="s">
        <v>989</v>
      </c>
      <c r="E616" s="4">
        <v>14400.0</v>
      </c>
      <c r="F616" s="4"/>
      <c r="G616" s="4"/>
      <c r="H616" s="4">
        <f>'data on outstanding creditors'!$E616-'data on outstanding creditors'!$F616-'data on outstanding creditors'!$G616</f>
        <v>14400</v>
      </c>
      <c r="I616" s="2"/>
      <c r="J616" s="1" t="s">
        <v>646</v>
      </c>
      <c r="K616" s="2">
        <v>45943.0</v>
      </c>
      <c r="L616" s="5"/>
      <c r="M616" s="9" t="s">
        <v>403</v>
      </c>
      <c r="N616" s="9" t="s">
        <v>23</v>
      </c>
      <c r="O616" s="10">
        <f>'data on outstanding creditors'!$E616*100/107</f>
        <v>13457.94393</v>
      </c>
      <c r="P616" s="10">
        <f>'data on outstanding creditors'!$E616-'data on outstanding creditors'!$O616</f>
        <v>942.0560748</v>
      </c>
      <c r="Q616" s="7">
        <f>DAY('data on outstanding creditors'!$B616)</f>
        <v>18</v>
      </c>
      <c r="R616" s="7">
        <f>MONTH('data on outstanding creditors'!$B616)</f>
        <v>9</v>
      </c>
      <c r="S616" s="7">
        <f>YEAR('data on outstanding creditors'!$B616)</f>
        <v>2025</v>
      </c>
      <c r="T616" s="11" t="str">
        <f>'data on outstanding creditors'!$C616&amp;" "&amp;'data on outstanding creditors'!$D616&amp;" "&amp;TEXT('data on outstanding creditors'!$E616,"#,##0.00")</f>
        <v>องค์การเภสัชกรรม 3001067150 14,400.00</v>
      </c>
      <c r="U616" s="12"/>
    </row>
    <row r="617" ht="13.5" customHeight="1">
      <c r="A617" s="1"/>
      <c r="B617" s="2">
        <v>45918.0</v>
      </c>
      <c r="C617" s="9" t="s">
        <v>922</v>
      </c>
      <c r="D617" s="1" t="s">
        <v>990</v>
      </c>
      <c r="E617" s="4">
        <v>76000.0</v>
      </c>
      <c r="F617" s="4"/>
      <c r="G617" s="4"/>
      <c r="H617" s="4">
        <f>'data on outstanding creditors'!$E617-'data on outstanding creditors'!$F617-'data on outstanding creditors'!$G617</f>
        <v>76000</v>
      </c>
      <c r="I617" s="2"/>
      <c r="J617" s="1" t="s">
        <v>757</v>
      </c>
      <c r="K617" s="2">
        <v>45939.0</v>
      </c>
      <c r="L617" s="5"/>
      <c r="M617" s="9" t="s">
        <v>403</v>
      </c>
      <c r="N617" s="9" t="s">
        <v>23</v>
      </c>
      <c r="O617" s="10">
        <f>'data on outstanding creditors'!$E617*100/107</f>
        <v>71028.03738</v>
      </c>
      <c r="P617" s="10">
        <f>'data on outstanding creditors'!$E617-'data on outstanding creditors'!$O617</f>
        <v>4971.962617</v>
      </c>
      <c r="Q617" s="7">
        <f>DAY('data on outstanding creditors'!$B617)</f>
        <v>18</v>
      </c>
      <c r="R617" s="7">
        <f>MONTH('data on outstanding creditors'!$B617)</f>
        <v>9</v>
      </c>
      <c r="S617" s="7">
        <f>YEAR('data on outstanding creditors'!$B617)</f>
        <v>2025</v>
      </c>
      <c r="T617" s="11" t="str">
        <f>'data on outstanding creditors'!$C617&amp;" "&amp;'data on outstanding creditors'!$D617&amp;" "&amp;TEXT('data on outstanding creditors'!$E617,"#,##0.00")</f>
        <v>บ.เบอร์ลินฟาร์มาซูติคอลอินดัสตรี้ 6810903460 76,000.00</v>
      </c>
      <c r="U617" s="12"/>
    </row>
    <row r="618" ht="13.5" customHeight="1">
      <c r="A618" s="1"/>
      <c r="B618" s="2">
        <v>45918.0</v>
      </c>
      <c r="C618" s="9" t="s">
        <v>520</v>
      </c>
      <c r="D618" s="1" t="s">
        <v>991</v>
      </c>
      <c r="E618" s="4">
        <v>98440.0</v>
      </c>
      <c r="F618" s="4"/>
      <c r="G618" s="4"/>
      <c r="H618" s="4">
        <f>'data on outstanding creditors'!$E618-'data on outstanding creditors'!$F618-'data on outstanding creditors'!$G618</f>
        <v>98440</v>
      </c>
      <c r="I618" s="2"/>
      <c r="J618" s="1" t="s">
        <v>757</v>
      </c>
      <c r="K618" s="2">
        <v>45943.0</v>
      </c>
      <c r="L618" s="5"/>
      <c r="M618" s="9" t="s">
        <v>403</v>
      </c>
      <c r="N618" s="9" t="s">
        <v>23</v>
      </c>
      <c r="O618" s="10">
        <f>'data on outstanding creditors'!$E618*100/107</f>
        <v>92000</v>
      </c>
      <c r="P618" s="10">
        <f>'data on outstanding creditors'!$E618-'data on outstanding creditors'!$O618</f>
        <v>6440</v>
      </c>
      <c r="Q618" s="7">
        <f>DAY('data on outstanding creditors'!$B618)</f>
        <v>18</v>
      </c>
      <c r="R618" s="7">
        <f>MONTH('data on outstanding creditors'!$B618)</f>
        <v>9</v>
      </c>
      <c r="S618" s="7">
        <f>YEAR('data on outstanding creditors'!$B618)</f>
        <v>2025</v>
      </c>
      <c r="T618" s="11" t="str">
        <f>'data on outstanding creditors'!$C618&amp;" "&amp;'data on outstanding creditors'!$D618&amp;" "&amp;TEXT('data on outstanding creditors'!$E618,"#,##0.00")</f>
        <v>บ.ซิลลิคฟาร์มา 1318181592 98,440.00</v>
      </c>
      <c r="U618" s="12"/>
    </row>
    <row r="619" ht="13.5" customHeight="1">
      <c r="A619" s="1"/>
      <c r="B619" s="2">
        <v>45918.0</v>
      </c>
      <c r="C619" s="9" t="s">
        <v>520</v>
      </c>
      <c r="D619" s="1" t="s">
        <v>992</v>
      </c>
      <c r="E619" s="4">
        <v>56710.0</v>
      </c>
      <c r="F619" s="4"/>
      <c r="G619" s="4"/>
      <c r="H619" s="4">
        <f>'data on outstanding creditors'!$E619-'data on outstanding creditors'!$F619-'data on outstanding creditors'!$G619</f>
        <v>56710</v>
      </c>
      <c r="I619" s="2"/>
      <c r="J619" s="1" t="s">
        <v>757</v>
      </c>
      <c r="K619" s="2">
        <v>45943.0</v>
      </c>
      <c r="L619" s="5"/>
      <c r="M619" s="9" t="s">
        <v>403</v>
      </c>
      <c r="N619" s="9" t="s">
        <v>23</v>
      </c>
      <c r="O619" s="10">
        <f>'data on outstanding creditors'!$E619*100/107</f>
        <v>53000</v>
      </c>
      <c r="P619" s="10">
        <f>'data on outstanding creditors'!$E619-'data on outstanding creditors'!$O619</f>
        <v>3710</v>
      </c>
      <c r="Q619" s="7">
        <f>DAY('data on outstanding creditors'!$B619)</f>
        <v>18</v>
      </c>
      <c r="R619" s="7">
        <f>MONTH('data on outstanding creditors'!$B619)</f>
        <v>9</v>
      </c>
      <c r="S619" s="7">
        <f>YEAR('data on outstanding creditors'!$B619)</f>
        <v>2025</v>
      </c>
      <c r="T619" s="11" t="str">
        <f>'data on outstanding creditors'!$C619&amp;" "&amp;'data on outstanding creditors'!$D619&amp;" "&amp;TEXT('data on outstanding creditors'!$E619,"#,##0.00")</f>
        <v>บ.ซิลลิคฟาร์มา 1318182535 56,710.00</v>
      </c>
      <c r="U619" s="12"/>
    </row>
    <row r="620" ht="13.5" customHeight="1">
      <c r="A620" s="1"/>
      <c r="B620" s="2">
        <v>45919.0</v>
      </c>
      <c r="C620" s="9" t="s">
        <v>413</v>
      </c>
      <c r="D620" s="1" t="s">
        <v>993</v>
      </c>
      <c r="E620" s="4">
        <v>180000.0</v>
      </c>
      <c r="F620" s="4"/>
      <c r="G620" s="4"/>
      <c r="H620" s="4">
        <f>'data on outstanding creditors'!$E620-'data on outstanding creditors'!$F620-'data on outstanding creditors'!$G620</f>
        <v>180000</v>
      </c>
      <c r="I620" s="2"/>
      <c r="J620" s="1" t="s">
        <v>646</v>
      </c>
      <c r="K620" s="2">
        <v>45943.0</v>
      </c>
      <c r="L620" s="5"/>
      <c r="M620" s="9" t="s">
        <v>403</v>
      </c>
      <c r="N620" s="9" t="s">
        <v>23</v>
      </c>
      <c r="O620" s="10">
        <f>'data on outstanding creditors'!$E620*100/107</f>
        <v>168224.2991</v>
      </c>
      <c r="P620" s="10">
        <f>'data on outstanding creditors'!$E620-'data on outstanding creditors'!$O620</f>
        <v>11775.70093</v>
      </c>
      <c r="Q620" s="7">
        <f>DAY('data on outstanding creditors'!$B620)</f>
        <v>19</v>
      </c>
      <c r="R620" s="7">
        <f>MONTH('data on outstanding creditors'!$B620)</f>
        <v>9</v>
      </c>
      <c r="S620" s="7">
        <f>YEAR('data on outstanding creditors'!$B620)</f>
        <v>2025</v>
      </c>
      <c r="T620" s="11" t="str">
        <f>'data on outstanding creditors'!$C620&amp;" "&amp;'data on outstanding creditors'!$D620&amp;" "&amp;TEXT('data on outstanding creditors'!$E620,"#,##0.00")</f>
        <v>ศูนย์บริการโลหิตแห่งชาติ สภากาชาดไทย 5160007558 180,000.00</v>
      </c>
      <c r="U620" s="12"/>
    </row>
    <row r="621" ht="13.5" customHeight="1">
      <c r="A621" s="1"/>
      <c r="B621" s="2">
        <v>45919.0</v>
      </c>
      <c r="C621" s="9" t="s">
        <v>399</v>
      </c>
      <c r="D621" s="1" t="s">
        <v>994</v>
      </c>
      <c r="E621" s="4">
        <v>139100.0</v>
      </c>
      <c r="F621" s="4"/>
      <c r="G621" s="4"/>
      <c r="H621" s="4">
        <f>'data on outstanding creditors'!$E621-'data on outstanding creditors'!$F621-'data on outstanding creditors'!$G621</f>
        <v>139100</v>
      </c>
      <c r="I621" s="2"/>
      <c r="J621" s="1" t="s">
        <v>757</v>
      </c>
      <c r="K621" s="2">
        <v>45965.0</v>
      </c>
      <c r="L621" s="5"/>
      <c r="M621" s="9" t="s">
        <v>403</v>
      </c>
      <c r="N621" s="9" t="s">
        <v>23</v>
      </c>
      <c r="O621" s="10">
        <f>'data on outstanding creditors'!$E621*100/107</f>
        <v>130000</v>
      </c>
      <c r="P621" s="10">
        <f>'data on outstanding creditors'!$E621-'data on outstanding creditors'!$O621</f>
        <v>9100</v>
      </c>
      <c r="Q621" s="7">
        <f>DAY('data on outstanding creditors'!$B621)</f>
        <v>19</v>
      </c>
      <c r="R621" s="7">
        <f>MONTH('data on outstanding creditors'!$B621)</f>
        <v>9</v>
      </c>
      <c r="S621" s="7">
        <f>YEAR('data on outstanding creditors'!$B621)</f>
        <v>2025</v>
      </c>
      <c r="T621" s="11" t="str">
        <f>'data on outstanding creditors'!$C621&amp;" "&amp;'data on outstanding creditors'!$D621&amp;" "&amp;TEXT('data on outstanding creditors'!$E621,"#,##0.00")</f>
        <v>บ.ดีเคเอสเอช(ประเทศไทย) 5344392273 139,100.00</v>
      </c>
      <c r="U621" s="12"/>
    </row>
    <row r="622" ht="13.5" customHeight="1">
      <c r="A622" s="1"/>
      <c r="B622" s="2">
        <v>45919.0</v>
      </c>
      <c r="C622" s="9" t="s">
        <v>401</v>
      </c>
      <c r="D622" s="1" t="s">
        <v>995</v>
      </c>
      <c r="E622" s="4">
        <v>54784.0</v>
      </c>
      <c r="F622" s="4"/>
      <c r="G622" s="4"/>
      <c r="H622" s="4">
        <f>'data on outstanding creditors'!$E622-'data on outstanding creditors'!$F622-'data on outstanding creditors'!$G622</f>
        <v>54784</v>
      </c>
      <c r="I622" s="2"/>
      <c r="J622" s="1" t="s">
        <v>646</v>
      </c>
      <c r="K622" s="2">
        <v>45943.0</v>
      </c>
      <c r="L622" s="5"/>
      <c r="M622" s="9" t="s">
        <v>403</v>
      </c>
      <c r="N622" s="9" t="s">
        <v>23</v>
      </c>
      <c r="O622" s="10">
        <f>'data on outstanding creditors'!$E622*100/107</f>
        <v>51200</v>
      </c>
      <c r="P622" s="10">
        <f>'data on outstanding creditors'!$E622-'data on outstanding creditors'!$O622</f>
        <v>3584</v>
      </c>
      <c r="Q622" s="7">
        <f>DAY('data on outstanding creditors'!$B622)</f>
        <v>19</v>
      </c>
      <c r="R622" s="7">
        <f>MONTH('data on outstanding creditors'!$B622)</f>
        <v>9</v>
      </c>
      <c r="S622" s="7">
        <f>YEAR('data on outstanding creditors'!$B622)</f>
        <v>2025</v>
      </c>
      <c r="T622" s="11" t="str">
        <f>'data on outstanding creditors'!$C622&amp;" "&amp;'data on outstanding creditors'!$D622&amp;" "&amp;TEXT('data on outstanding creditors'!$E622,"#,##0.00")</f>
        <v>องค์การเภสัชกรรม 3001068367 54,784.00</v>
      </c>
      <c r="U622" s="12"/>
    </row>
    <row r="623" ht="13.5" customHeight="1">
      <c r="A623" s="1"/>
      <c r="B623" s="2">
        <v>45923.0</v>
      </c>
      <c r="C623" s="9" t="s">
        <v>401</v>
      </c>
      <c r="D623" s="1" t="s">
        <v>996</v>
      </c>
      <c r="E623" s="4">
        <v>2996.0</v>
      </c>
      <c r="F623" s="4"/>
      <c r="G623" s="4"/>
      <c r="H623" s="4">
        <f>'data on outstanding creditors'!$E623-'data on outstanding creditors'!$F623-'data on outstanding creditors'!$G623</f>
        <v>2996</v>
      </c>
      <c r="I623" s="2"/>
      <c r="J623" s="1" t="s">
        <v>646</v>
      </c>
      <c r="K623" s="2">
        <v>45943.0</v>
      </c>
      <c r="L623" s="5"/>
      <c r="M623" s="9" t="s">
        <v>403</v>
      </c>
      <c r="N623" s="9" t="s">
        <v>23</v>
      </c>
      <c r="O623" s="10">
        <f>'data on outstanding creditors'!$E623*100/107</f>
        <v>2800</v>
      </c>
      <c r="P623" s="10">
        <f>'data on outstanding creditors'!$E623-'data on outstanding creditors'!$O623</f>
        <v>196</v>
      </c>
      <c r="Q623" s="7">
        <f>DAY('data on outstanding creditors'!$B623)</f>
        <v>23</v>
      </c>
      <c r="R623" s="7">
        <f>MONTH('data on outstanding creditors'!$B623)</f>
        <v>9</v>
      </c>
      <c r="S623" s="7">
        <f>YEAR('data on outstanding creditors'!$B623)</f>
        <v>2025</v>
      </c>
      <c r="T623" s="11" t="str">
        <f>'data on outstanding creditors'!$C623&amp;" "&amp;'data on outstanding creditors'!$D623&amp;" "&amp;TEXT('data on outstanding creditors'!$E623,"#,##0.00")</f>
        <v>องค์การเภสัชกรรม 3001054070 2,996.00</v>
      </c>
      <c r="U623" s="12"/>
    </row>
    <row r="624" ht="13.5" customHeight="1">
      <c r="A624" s="1"/>
      <c r="B624" s="2">
        <v>45923.0</v>
      </c>
      <c r="C624" s="9" t="s">
        <v>401</v>
      </c>
      <c r="D624" s="1" t="s">
        <v>997</v>
      </c>
      <c r="E624" s="4">
        <v>1498.0</v>
      </c>
      <c r="F624" s="4"/>
      <c r="G624" s="4"/>
      <c r="H624" s="4">
        <f>'data on outstanding creditors'!$E624-'data on outstanding creditors'!$F624-'data on outstanding creditors'!$G624</f>
        <v>1498</v>
      </c>
      <c r="I624" s="2"/>
      <c r="J624" s="1" t="s">
        <v>646</v>
      </c>
      <c r="K624" s="2">
        <v>45943.0</v>
      </c>
      <c r="L624" s="5"/>
      <c r="M624" s="9" t="s">
        <v>403</v>
      </c>
      <c r="N624" s="9" t="s">
        <v>23</v>
      </c>
      <c r="O624" s="10">
        <f>'data on outstanding creditors'!$E624*100/107</f>
        <v>1400</v>
      </c>
      <c r="P624" s="10">
        <f>'data on outstanding creditors'!$E624-'data on outstanding creditors'!$O624</f>
        <v>98</v>
      </c>
      <c r="Q624" s="7">
        <f>DAY('data on outstanding creditors'!$B624)</f>
        <v>23</v>
      </c>
      <c r="R624" s="7">
        <f>MONTH('data on outstanding creditors'!$B624)</f>
        <v>9</v>
      </c>
      <c r="S624" s="7">
        <f>YEAR('data on outstanding creditors'!$B624)</f>
        <v>2025</v>
      </c>
      <c r="T624" s="11" t="str">
        <f>'data on outstanding creditors'!$C624&amp;" "&amp;'data on outstanding creditors'!$D624&amp;" "&amp;TEXT('data on outstanding creditors'!$E624,"#,##0.00")</f>
        <v>องค์การเภสัชกรรม 3001059283 1,498.00</v>
      </c>
      <c r="U624" s="12"/>
    </row>
    <row r="625" ht="13.5" customHeight="1">
      <c r="A625" s="1"/>
      <c r="B625" s="2">
        <v>45923.0</v>
      </c>
      <c r="C625" s="9" t="s">
        <v>401</v>
      </c>
      <c r="D625" s="1" t="s">
        <v>998</v>
      </c>
      <c r="E625" s="4">
        <v>2247.0</v>
      </c>
      <c r="F625" s="4"/>
      <c r="G625" s="4"/>
      <c r="H625" s="4">
        <f>'data on outstanding creditors'!$E625-'data on outstanding creditors'!$F625-'data on outstanding creditors'!$G625</f>
        <v>2247</v>
      </c>
      <c r="I625" s="2"/>
      <c r="J625" s="1" t="s">
        <v>646</v>
      </c>
      <c r="K625" s="2">
        <v>45943.0</v>
      </c>
      <c r="L625" s="5"/>
      <c r="M625" s="9" t="s">
        <v>403</v>
      </c>
      <c r="N625" s="9" t="s">
        <v>23</v>
      </c>
      <c r="O625" s="10">
        <f>'data on outstanding creditors'!$E625*100/107</f>
        <v>2100</v>
      </c>
      <c r="P625" s="10">
        <f>'data on outstanding creditors'!$E625-'data on outstanding creditors'!$O625</f>
        <v>147</v>
      </c>
      <c r="Q625" s="7">
        <f>DAY('data on outstanding creditors'!$B625)</f>
        <v>23</v>
      </c>
      <c r="R625" s="7">
        <f>MONTH('data on outstanding creditors'!$B625)</f>
        <v>9</v>
      </c>
      <c r="S625" s="7">
        <f>YEAR('data on outstanding creditors'!$B625)</f>
        <v>2025</v>
      </c>
      <c r="T625" s="11" t="str">
        <f>'data on outstanding creditors'!$C625&amp;" "&amp;'data on outstanding creditors'!$D625&amp;" "&amp;TEXT('data on outstanding creditors'!$E625,"#,##0.00")</f>
        <v>องค์การเภสัชกรรม 3001064165 2,247.00</v>
      </c>
      <c r="U625" s="12"/>
    </row>
    <row r="626" ht="13.5" customHeight="1">
      <c r="A626" s="1"/>
      <c r="B626" s="2">
        <v>45923.0</v>
      </c>
      <c r="C626" s="9" t="s">
        <v>401</v>
      </c>
      <c r="D626" s="1" t="s">
        <v>999</v>
      </c>
      <c r="E626" s="4">
        <v>2247.0</v>
      </c>
      <c r="F626" s="4"/>
      <c r="G626" s="4"/>
      <c r="H626" s="4">
        <f>'data on outstanding creditors'!$E626-'data on outstanding creditors'!$F626-'data on outstanding creditors'!$G626</f>
        <v>2247</v>
      </c>
      <c r="I626" s="2"/>
      <c r="J626" s="1" t="s">
        <v>646</v>
      </c>
      <c r="K626" s="2">
        <v>45943.0</v>
      </c>
      <c r="L626" s="5"/>
      <c r="M626" s="9" t="s">
        <v>403</v>
      </c>
      <c r="N626" s="9" t="s">
        <v>23</v>
      </c>
      <c r="O626" s="10">
        <f>'data on outstanding creditors'!$E626*100/107</f>
        <v>2100</v>
      </c>
      <c r="P626" s="10">
        <f>'data on outstanding creditors'!$E626-'data on outstanding creditors'!$O626</f>
        <v>147</v>
      </c>
      <c r="Q626" s="7">
        <f>DAY('data on outstanding creditors'!$B626)</f>
        <v>23</v>
      </c>
      <c r="R626" s="7">
        <f>MONTH('data on outstanding creditors'!$B626)</f>
        <v>9</v>
      </c>
      <c r="S626" s="7">
        <f>YEAR('data on outstanding creditors'!$B626)</f>
        <v>2025</v>
      </c>
      <c r="T626" s="11" t="str">
        <f>'data on outstanding creditors'!$C626&amp;" "&amp;'data on outstanding creditors'!$D626&amp;" "&amp;TEXT('data on outstanding creditors'!$E626,"#,##0.00")</f>
        <v>องค์การเภสัชกรรม 3001069844 2,247.00</v>
      </c>
      <c r="U626" s="12"/>
    </row>
    <row r="627" ht="13.5" customHeight="1">
      <c r="A627" s="1"/>
      <c r="B627" s="2">
        <v>45923.0</v>
      </c>
      <c r="C627" s="9" t="s">
        <v>401</v>
      </c>
      <c r="D627" s="1" t="s">
        <v>1000</v>
      </c>
      <c r="E627" s="4">
        <v>21000.0</v>
      </c>
      <c r="F627" s="4"/>
      <c r="G627" s="4"/>
      <c r="H627" s="4">
        <f>'data on outstanding creditors'!$E627-'data on outstanding creditors'!$F627-'data on outstanding creditors'!$G627</f>
        <v>21000</v>
      </c>
      <c r="I627" s="2"/>
      <c r="J627" s="1" t="s">
        <v>646</v>
      </c>
      <c r="K627" s="2">
        <v>45943.0</v>
      </c>
      <c r="L627" s="5"/>
      <c r="M627" s="9" t="s">
        <v>403</v>
      </c>
      <c r="N627" s="9" t="s">
        <v>23</v>
      </c>
      <c r="O627" s="10">
        <f>'data on outstanding creditors'!$E627*100/107</f>
        <v>19626.16822</v>
      </c>
      <c r="P627" s="10">
        <f>'data on outstanding creditors'!$E627-'data on outstanding creditors'!$O627</f>
        <v>1373.831776</v>
      </c>
      <c r="Q627" s="7">
        <f>DAY('data on outstanding creditors'!$B627)</f>
        <v>23</v>
      </c>
      <c r="R627" s="7">
        <f>MONTH('data on outstanding creditors'!$B627)</f>
        <v>9</v>
      </c>
      <c r="S627" s="7">
        <f>YEAR('data on outstanding creditors'!$B627)</f>
        <v>2025</v>
      </c>
      <c r="T627" s="11" t="str">
        <f>'data on outstanding creditors'!$C627&amp;" "&amp;'data on outstanding creditors'!$D627&amp;" "&amp;TEXT('data on outstanding creditors'!$E627,"#,##0.00")</f>
        <v>องค์การเภสัชกรรม 3001070088 21,000.00</v>
      </c>
      <c r="U627" s="12"/>
    </row>
    <row r="628" ht="13.5" customHeight="1">
      <c r="A628" s="1"/>
      <c r="B628" s="2">
        <v>45923.0</v>
      </c>
      <c r="C628" s="9" t="s">
        <v>401</v>
      </c>
      <c r="D628" s="1" t="s">
        <v>1001</v>
      </c>
      <c r="E628" s="4">
        <v>4280.0</v>
      </c>
      <c r="F628" s="4"/>
      <c r="G628" s="4"/>
      <c r="H628" s="4">
        <f>'data on outstanding creditors'!$E628-'data on outstanding creditors'!$F628-'data on outstanding creditors'!$G628</f>
        <v>4280</v>
      </c>
      <c r="I628" s="2"/>
      <c r="J628" s="1" t="s">
        <v>646</v>
      </c>
      <c r="K628" s="2">
        <v>45943.0</v>
      </c>
      <c r="L628" s="5"/>
      <c r="M628" s="9" t="s">
        <v>403</v>
      </c>
      <c r="N628" s="9" t="s">
        <v>23</v>
      </c>
      <c r="O628" s="10">
        <f>'data on outstanding creditors'!$E628*100/107</f>
        <v>4000</v>
      </c>
      <c r="P628" s="10">
        <f>'data on outstanding creditors'!$E628-'data on outstanding creditors'!$O628</f>
        <v>280</v>
      </c>
      <c r="Q628" s="7">
        <f>DAY('data on outstanding creditors'!$B628)</f>
        <v>23</v>
      </c>
      <c r="R628" s="7">
        <f>MONTH('data on outstanding creditors'!$B628)</f>
        <v>9</v>
      </c>
      <c r="S628" s="7">
        <f>YEAR('data on outstanding creditors'!$B628)</f>
        <v>2025</v>
      </c>
      <c r="T628" s="11" t="str">
        <f>'data on outstanding creditors'!$C628&amp;" "&amp;'data on outstanding creditors'!$D628&amp;" "&amp;TEXT('data on outstanding creditors'!$E628,"#,##0.00")</f>
        <v>องค์การเภสัชกรรม 3001069092 4,280.00</v>
      </c>
      <c r="U628" s="12"/>
    </row>
    <row r="629" ht="13.5" customHeight="1">
      <c r="A629" s="1"/>
      <c r="B629" s="2">
        <v>45923.0</v>
      </c>
      <c r="C629" s="9" t="s">
        <v>401</v>
      </c>
      <c r="D629" s="1" t="s">
        <v>1002</v>
      </c>
      <c r="E629" s="4">
        <v>25038.0</v>
      </c>
      <c r="F629" s="4"/>
      <c r="G629" s="4"/>
      <c r="H629" s="4">
        <f>'data on outstanding creditors'!$E629-'data on outstanding creditors'!$F629-'data on outstanding creditors'!$G629</f>
        <v>25038</v>
      </c>
      <c r="I629" s="2"/>
      <c r="J629" s="1" t="s">
        <v>646</v>
      </c>
      <c r="K629" s="2">
        <v>45943.0</v>
      </c>
      <c r="L629" s="5"/>
      <c r="M629" s="9" t="s">
        <v>403</v>
      </c>
      <c r="N629" s="9" t="s">
        <v>23</v>
      </c>
      <c r="O629" s="10">
        <f>'data on outstanding creditors'!$E629*100/107</f>
        <v>23400</v>
      </c>
      <c r="P629" s="10">
        <f>'data on outstanding creditors'!$E629-'data on outstanding creditors'!$O629</f>
        <v>1638</v>
      </c>
      <c r="Q629" s="7">
        <f>DAY('data on outstanding creditors'!$B629)</f>
        <v>23</v>
      </c>
      <c r="R629" s="7">
        <f>MONTH('data on outstanding creditors'!$B629)</f>
        <v>9</v>
      </c>
      <c r="S629" s="7">
        <f>YEAR('data on outstanding creditors'!$B629)</f>
        <v>2025</v>
      </c>
      <c r="T629" s="11" t="str">
        <f>'data on outstanding creditors'!$C629&amp;" "&amp;'data on outstanding creditors'!$D629&amp;" "&amp;TEXT('data on outstanding creditors'!$E629,"#,##0.00")</f>
        <v>องค์การเภสัชกรรม 3001070311 25,038.00</v>
      </c>
      <c r="U629" s="12"/>
    </row>
    <row r="630" ht="13.5" customHeight="1">
      <c r="A630" s="1"/>
      <c r="B630" s="2">
        <v>45924.0</v>
      </c>
      <c r="C630" s="9" t="s">
        <v>401</v>
      </c>
      <c r="D630" s="1" t="s">
        <v>1003</v>
      </c>
      <c r="E630" s="4">
        <v>2200.0</v>
      </c>
      <c r="F630" s="4"/>
      <c r="G630" s="4"/>
      <c r="H630" s="4">
        <f>'data on outstanding creditors'!$E630-'data on outstanding creditors'!$F630-'data on outstanding creditors'!$G630</f>
        <v>2200</v>
      </c>
      <c r="I630" s="2"/>
      <c r="J630" s="1" t="s">
        <v>646</v>
      </c>
      <c r="K630" s="2">
        <v>45943.0</v>
      </c>
      <c r="L630" s="5"/>
      <c r="M630" s="9" t="s">
        <v>403</v>
      </c>
      <c r="N630" s="9" t="s">
        <v>23</v>
      </c>
      <c r="O630" s="10">
        <f>'data on outstanding creditors'!$E630*100/107</f>
        <v>2056.074766</v>
      </c>
      <c r="P630" s="10">
        <f>'data on outstanding creditors'!$E630-'data on outstanding creditors'!$O630</f>
        <v>143.9252336</v>
      </c>
      <c r="Q630" s="7">
        <f>DAY('data on outstanding creditors'!$B630)</f>
        <v>24</v>
      </c>
      <c r="R630" s="7">
        <f>MONTH('data on outstanding creditors'!$B630)</f>
        <v>9</v>
      </c>
      <c r="S630" s="7">
        <f>YEAR('data on outstanding creditors'!$B630)</f>
        <v>2025</v>
      </c>
      <c r="T630" s="11" t="str">
        <f>'data on outstanding creditors'!$C630&amp;" "&amp;'data on outstanding creditors'!$D630&amp;" "&amp;TEXT('data on outstanding creditors'!$E630,"#,##0.00")</f>
        <v>องค์การเภสัชกรรม 3001070853 2,200.00</v>
      </c>
      <c r="U630" s="12"/>
    </row>
    <row r="631" ht="13.5" customHeight="1">
      <c r="A631" s="1"/>
      <c r="B631" s="2">
        <v>45924.0</v>
      </c>
      <c r="C631" s="9" t="s">
        <v>401</v>
      </c>
      <c r="D631" s="1" t="s">
        <v>1004</v>
      </c>
      <c r="E631" s="4">
        <v>4840.0</v>
      </c>
      <c r="F631" s="4"/>
      <c r="G631" s="4"/>
      <c r="H631" s="4">
        <f>'data on outstanding creditors'!$E631-'data on outstanding creditors'!$F631-'data on outstanding creditors'!$G631</f>
        <v>4840</v>
      </c>
      <c r="I631" s="2"/>
      <c r="J631" s="1" t="s">
        <v>646</v>
      </c>
      <c r="K631" s="2">
        <v>45943.0</v>
      </c>
      <c r="L631" s="5"/>
      <c r="M631" s="9" t="s">
        <v>403</v>
      </c>
      <c r="N631" s="9" t="s">
        <v>23</v>
      </c>
      <c r="O631" s="10">
        <f>'data on outstanding creditors'!$E631*100/107</f>
        <v>4523.364486</v>
      </c>
      <c r="P631" s="10">
        <f>'data on outstanding creditors'!$E631-'data on outstanding creditors'!$O631</f>
        <v>316.635514</v>
      </c>
      <c r="Q631" s="7">
        <f>DAY('data on outstanding creditors'!$B631)</f>
        <v>24</v>
      </c>
      <c r="R631" s="7">
        <f>MONTH('data on outstanding creditors'!$B631)</f>
        <v>9</v>
      </c>
      <c r="S631" s="7">
        <f>YEAR('data on outstanding creditors'!$B631)</f>
        <v>2025</v>
      </c>
      <c r="T631" s="11" t="str">
        <f>'data on outstanding creditors'!$C631&amp;" "&amp;'data on outstanding creditors'!$D631&amp;" "&amp;TEXT('data on outstanding creditors'!$E631,"#,##0.00")</f>
        <v>องค์การเภสัชกรรม 3001069051 4,840.00</v>
      </c>
      <c r="U631" s="12"/>
    </row>
    <row r="632" ht="13.5" customHeight="1">
      <c r="A632" s="1"/>
      <c r="B632" s="2">
        <v>45924.0</v>
      </c>
      <c r="C632" s="9" t="s">
        <v>401</v>
      </c>
      <c r="D632" s="1" t="s">
        <v>1005</v>
      </c>
      <c r="E632" s="4">
        <v>438.7</v>
      </c>
      <c r="F632" s="4"/>
      <c r="G632" s="4"/>
      <c r="H632" s="4">
        <f>'data on outstanding creditors'!$E632-'data on outstanding creditors'!$F632-'data on outstanding creditors'!$G632</f>
        <v>438.7</v>
      </c>
      <c r="I632" s="2"/>
      <c r="J632" s="1" t="s">
        <v>757</v>
      </c>
      <c r="K632" s="2">
        <v>45965.0</v>
      </c>
      <c r="L632" s="5"/>
      <c r="M632" s="9" t="s">
        <v>403</v>
      </c>
      <c r="N632" s="9" t="s">
        <v>23</v>
      </c>
      <c r="O632" s="10">
        <f>'data on outstanding creditors'!$E632*100/107</f>
        <v>410</v>
      </c>
      <c r="P632" s="10">
        <f>'data on outstanding creditors'!$E632-'data on outstanding creditors'!$O632</f>
        <v>28.7</v>
      </c>
      <c r="Q632" s="7">
        <f>DAY('data on outstanding creditors'!$B632)</f>
        <v>24</v>
      </c>
      <c r="R632" s="7">
        <f>MONTH('data on outstanding creditors'!$B632)</f>
        <v>9</v>
      </c>
      <c r="S632" s="7">
        <f>YEAR('data on outstanding creditors'!$B632)</f>
        <v>2025</v>
      </c>
      <c r="T632" s="11" t="str">
        <f>'data on outstanding creditors'!$C632&amp;" "&amp;'data on outstanding creditors'!$D632&amp;" "&amp;TEXT('data on outstanding creditors'!$E632,"#,##0.00")</f>
        <v>องค์การเภสัชกรรม 3001070290 438.70</v>
      </c>
      <c r="U632" s="12"/>
    </row>
    <row r="633" ht="13.5" customHeight="1">
      <c r="A633" s="1"/>
      <c r="B633" s="2">
        <v>45924.0</v>
      </c>
      <c r="C633" s="9" t="s">
        <v>401</v>
      </c>
      <c r="D633" s="1" t="s">
        <v>1006</v>
      </c>
      <c r="E633" s="4">
        <v>4237.2</v>
      </c>
      <c r="F633" s="4"/>
      <c r="G633" s="4"/>
      <c r="H633" s="4">
        <f>'data on outstanding creditors'!$E633-'data on outstanding creditors'!$F633-'data on outstanding creditors'!$G633</f>
        <v>4237.2</v>
      </c>
      <c r="I633" s="2"/>
      <c r="J633" s="1" t="s">
        <v>646</v>
      </c>
      <c r="K633" s="2">
        <v>45943.0</v>
      </c>
      <c r="L633" s="5"/>
      <c r="M633" s="9" t="s">
        <v>403</v>
      </c>
      <c r="N633" s="9" t="s">
        <v>23</v>
      </c>
      <c r="O633" s="10">
        <f>'data on outstanding creditors'!$E633*100/107</f>
        <v>3960</v>
      </c>
      <c r="P633" s="10">
        <f>'data on outstanding creditors'!$E633-'data on outstanding creditors'!$O633</f>
        <v>277.2</v>
      </c>
      <c r="Q633" s="7">
        <f>DAY('data on outstanding creditors'!$B633)</f>
        <v>24</v>
      </c>
      <c r="R633" s="7">
        <f>MONTH('data on outstanding creditors'!$B633)</f>
        <v>9</v>
      </c>
      <c r="S633" s="7">
        <f>YEAR('data on outstanding creditors'!$B633)</f>
        <v>2025</v>
      </c>
      <c r="T633" s="11" t="str">
        <f>'data on outstanding creditors'!$C633&amp;" "&amp;'data on outstanding creditors'!$D633&amp;" "&amp;TEXT('data on outstanding creditors'!$E633,"#,##0.00")</f>
        <v>องค์การเภสัชกรรม 3001070289 4,237.20</v>
      </c>
      <c r="U633" s="12"/>
    </row>
    <row r="634" ht="13.5" customHeight="1">
      <c r="A634" s="1"/>
      <c r="B634" s="2">
        <v>45926.0</v>
      </c>
      <c r="C634" s="9" t="s">
        <v>401</v>
      </c>
      <c r="D634" s="1" t="s">
        <v>1007</v>
      </c>
      <c r="E634" s="4">
        <v>5400.0</v>
      </c>
      <c r="F634" s="4"/>
      <c r="G634" s="4"/>
      <c r="H634" s="4">
        <f>'data on outstanding creditors'!$E634-'data on outstanding creditors'!$F634-'data on outstanding creditors'!$G634</f>
        <v>5400</v>
      </c>
      <c r="I634" s="2"/>
      <c r="J634" s="1" t="s">
        <v>757</v>
      </c>
      <c r="K634" s="2">
        <v>45965.0</v>
      </c>
      <c r="L634" s="5"/>
      <c r="M634" s="9" t="s">
        <v>403</v>
      </c>
      <c r="N634" s="9" t="s">
        <v>23</v>
      </c>
      <c r="O634" s="10">
        <f>'data on outstanding creditors'!$E634*100/107</f>
        <v>5046.728972</v>
      </c>
      <c r="P634" s="10">
        <f>'data on outstanding creditors'!$E634-'data on outstanding creditors'!$O634</f>
        <v>353.271028</v>
      </c>
      <c r="Q634" s="7">
        <f>DAY('data on outstanding creditors'!$B634)</f>
        <v>26</v>
      </c>
      <c r="R634" s="7">
        <f>MONTH('data on outstanding creditors'!$B634)</f>
        <v>9</v>
      </c>
      <c r="S634" s="7">
        <f>YEAR('data on outstanding creditors'!$B634)</f>
        <v>2025</v>
      </c>
      <c r="T634" s="11" t="str">
        <f>'data on outstanding creditors'!$C634&amp;" "&amp;'data on outstanding creditors'!$D634&amp;" "&amp;TEXT('data on outstanding creditors'!$E634,"#,##0.00")</f>
        <v>องค์การเภสัชกรรม 3001071878 5,400.00</v>
      </c>
      <c r="U634" s="12"/>
    </row>
    <row r="635" ht="13.5" customHeight="1">
      <c r="A635" s="1"/>
      <c r="B635" s="2">
        <v>45939.0</v>
      </c>
      <c r="C635" s="9" t="s">
        <v>401</v>
      </c>
      <c r="D635" s="1" t="s">
        <v>1008</v>
      </c>
      <c r="E635" s="4">
        <v>47080.0</v>
      </c>
      <c r="F635" s="4"/>
      <c r="G635" s="4"/>
      <c r="H635" s="4">
        <f>'data on outstanding creditors'!$E635-'data on outstanding creditors'!$F635-'data on outstanding creditors'!$G635</f>
        <v>47080</v>
      </c>
      <c r="I635" s="2"/>
      <c r="J635" s="1"/>
      <c r="K635" s="2"/>
      <c r="L635" s="5"/>
      <c r="M635" s="9" t="s">
        <v>403</v>
      </c>
      <c r="N635" s="9" t="s">
        <v>23</v>
      </c>
      <c r="O635" s="10">
        <f>'data on outstanding creditors'!$E635*100/107</f>
        <v>44000</v>
      </c>
      <c r="P635" s="10">
        <f>'data on outstanding creditors'!$E635-'data on outstanding creditors'!$O635</f>
        <v>3080</v>
      </c>
      <c r="Q635" s="7">
        <f>DAY('data on outstanding creditors'!$B635)</f>
        <v>9</v>
      </c>
      <c r="R635" s="7">
        <f>MONTH('data on outstanding creditors'!$B635)</f>
        <v>10</v>
      </c>
      <c r="S635" s="7">
        <f>YEAR('data on outstanding creditors'!$B635)</f>
        <v>2025</v>
      </c>
      <c r="T635" s="11" t="str">
        <f>'data on outstanding creditors'!$C635&amp;" "&amp;'data on outstanding creditors'!$D635&amp;" "&amp;TEXT('data on outstanding creditors'!$E635,"#,##0.00")</f>
        <v>องค์การเภสัชกรรม 3001075551 47,080.00</v>
      </c>
      <c r="U635" s="12"/>
    </row>
    <row r="636" ht="13.5" customHeight="1">
      <c r="A636" s="1"/>
      <c r="B636" s="2">
        <v>45939.0</v>
      </c>
      <c r="C636" s="9" t="s">
        <v>401</v>
      </c>
      <c r="D636" s="1" t="s">
        <v>1009</v>
      </c>
      <c r="E636" s="4">
        <v>85600.0</v>
      </c>
      <c r="F636" s="4"/>
      <c r="G636" s="4"/>
      <c r="H636" s="4">
        <f>'data on outstanding creditors'!$E636-'data on outstanding creditors'!$F636-'data on outstanding creditors'!$G636</f>
        <v>85600</v>
      </c>
      <c r="I636" s="2"/>
      <c r="J636" s="1"/>
      <c r="K636" s="2"/>
      <c r="L636" s="5"/>
      <c r="M636" s="9" t="s">
        <v>403</v>
      </c>
      <c r="N636" s="9" t="s">
        <v>23</v>
      </c>
      <c r="O636" s="10">
        <f>'data on outstanding creditors'!$E636*100/107</f>
        <v>80000</v>
      </c>
      <c r="P636" s="10">
        <f>'data on outstanding creditors'!$E636-'data on outstanding creditors'!$O636</f>
        <v>5600</v>
      </c>
      <c r="Q636" s="7">
        <f>DAY('data on outstanding creditors'!$B636)</f>
        <v>9</v>
      </c>
      <c r="R636" s="7">
        <f>MONTH('data on outstanding creditors'!$B636)</f>
        <v>10</v>
      </c>
      <c r="S636" s="7">
        <f>YEAR('data on outstanding creditors'!$B636)</f>
        <v>2025</v>
      </c>
      <c r="T636" s="11" t="str">
        <f>'data on outstanding creditors'!$C636&amp;" "&amp;'data on outstanding creditors'!$D636&amp;" "&amp;TEXT('data on outstanding creditors'!$E636,"#,##0.00")</f>
        <v>องค์การเภสัชกรรม 3001075691 85,600.00</v>
      </c>
      <c r="U636" s="12"/>
    </row>
    <row r="637" ht="13.5" customHeight="1">
      <c r="A637" s="1"/>
      <c r="B637" s="2">
        <v>45939.0</v>
      </c>
      <c r="C637" s="9" t="s">
        <v>401</v>
      </c>
      <c r="D637" s="1" t="s">
        <v>1010</v>
      </c>
      <c r="E637" s="4">
        <v>125000.0</v>
      </c>
      <c r="F637" s="4"/>
      <c r="G637" s="4"/>
      <c r="H637" s="4">
        <f>'data on outstanding creditors'!$E637-'data on outstanding creditors'!$F637-'data on outstanding creditors'!$G637</f>
        <v>125000</v>
      </c>
      <c r="I637" s="2"/>
      <c r="J637" s="1"/>
      <c r="K637" s="2"/>
      <c r="L637" s="5"/>
      <c r="M637" s="9" t="s">
        <v>403</v>
      </c>
      <c r="N637" s="9" t="s">
        <v>23</v>
      </c>
      <c r="O637" s="10">
        <f>'data on outstanding creditors'!$E637*100/107</f>
        <v>116822.4299</v>
      </c>
      <c r="P637" s="10">
        <f>'data on outstanding creditors'!$E637-'data on outstanding creditors'!$O637</f>
        <v>8177.570093</v>
      </c>
      <c r="Q637" s="7">
        <f>DAY('data on outstanding creditors'!$B637)</f>
        <v>9</v>
      </c>
      <c r="R637" s="7">
        <f>MONTH('data on outstanding creditors'!$B637)</f>
        <v>10</v>
      </c>
      <c r="S637" s="7">
        <f>YEAR('data on outstanding creditors'!$B637)</f>
        <v>2025</v>
      </c>
      <c r="T637" s="11" t="str">
        <f>'data on outstanding creditors'!$C637&amp;" "&amp;'data on outstanding creditors'!$D637&amp;" "&amp;TEXT('data on outstanding creditors'!$E637,"#,##0.00")</f>
        <v>องค์การเภสัชกรรม 3001075000 125,000.00</v>
      </c>
      <c r="U637" s="12"/>
    </row>
    <row r="638" ht="13.5" customHeight="1">
      <c r="A638" s="1"/>
      <c r="B638" s="2">
        <v>45939.0</v>
      </c>
      <c r="C638" s="9" t="s">
        <v>401</v>
      </c>
      <c r="D638" s="1" t="s">
        <v>1011</v>
      </c>
      <c r="E638" s="4">
        <v>17120.0</v>
      </c>
      <c r="F638" s="4"/>
      <c r="G638" s="4"/>
      <c r="H638" s="4">
        <f>'data on outstanding creditors'!$E638-'data on outstanding creditors'!$F638-'data on outstanding creditors'!$G638</f>
        <v>17120</v>
      </c>
      <c r="I638" s="2"/>
      <c r="J638" s="1"/>
      <c r="K638" s="2"/>
      <c r="L638" s="5"/>
      <c r="M638" s="9" t="s">
        <v>403</v>
      </c>
      <c r="N638" s="9" t="s">
        <v>23</v>
      </c>
      <c r="O638" s="10">
        <f>'data on outstanding creditors'!$E638*100/107</f>
        <v>16000</v>
      </c>
      <c r="P638" s="10">
        <f>'data on outstanding creditors'!$E638-'data on outstanding creditors'!$O638</f>
        <v>1120</v>
      </c>
      <c r="Q638" s="7">
        <f>DAY('data on outstanding creditors'!$B638)</f>
        <v>9</v>
      </c>
      <c r="R638" s="7">
        <f>MONTH('data on outstanding creditors'!$B638)</f>
        <v>10</v>
      </c>
      <c r="S638" s="7">
        <f>YEAR('data on outstanding creditors'!$B638)</f>
        <v>2025</v>
      </c>
      <c r="T638" s="11" t="str">
        <f>'data on outstanding creditors'!$C638&amp;" "&amp;'data on outstanding creditors'!$D638&amp;" "&amp;TEXT('data on outstanding creditors'!$E638,"#,##0.00")</f>
        <v>องค์การเภสัชกรรม 3001075342 17,120.00</v>
      </c>
      <c r="U638" s="12"/>
    </row>
    <row r="639" ht="13.5" customHeight="1">
      <c r="A639" s="1"/>
      <c r="B639" s="2">
        <v>45951.0</v>
      </c>
      <c r="C639" s="9" t="s">
        <v>401</v>
      </c>
      <c r="D639" s="1" t="s">
        <v>1012</v>
      </c>
      <c r="E639" s="4">
        <v>355.0</v>
      </c>
      <c r="F639" s="4"/>
      <c r="G639" s="4"/>
      <c r="H639" s="4">
        <f>'data on outstanding creditors'!$E639-'data on outstanding creditors'!$F639-'data on outstanding creditors'!$G639</f>
        <v>355</v>
      </c>
      <c r="I639" s="2"/>
      <c r="J639" s="1"/>
      <c r="K639" s="2"/>
      <c r="L639" s="5"/>
      <c r="M639" s="9" t="s">
        <v>403</v>
      </c>
      <c r="N639" s="9" t="s">
        <v>23</v>
      </c>
      <c r="O639" s="10">
        <f>'data on outstanding creditors'!$E639*100/107</f>
        <v>331.7757009</v>
      </c>
      <c r="P639" s="10">
        <f>'data on outstanding creditors'!$E639-'data on outstanding creditors'!$O639</f>
        <v>23.22429907</v>
      </c>
      <c r="Q639" s="7">
        <f>DAY('data on outstanding creditors'!$B639)</f>
        <v>21</v>
      </c>
      <c r="R639" s="7">
        <f>MONTH('data on outstanding creditors'!$B639)</f>
        <v>10</v>
      </c>
      <c r="S639" s="7">
        <f>YEAR('data on outstanding creditors'!$B639)</f>
        <v>2025</v>
      </c>
      <c r="T639" s="11" t="str">
        <f>'data on outstanding creditors'!$C639&amp;" "&amp;'data on outstanding creditors'!$D639&amp;" "&amp;TEXT('data on outstanding creditors'!$E639,"#,##0.00")</f>
        <v>องค์การเภสัชกรรม 3001075690 355.00</v>
      </c>
      <c r="U639" s="12"/>
    </row>
    <row r="640" ht="13.5" customHeight="1">
      <c r="A640" s="1"/>
      <c r="B640" s="2">
        <v>45951.0</v>
      </c>
      <c r="C640" s="9" t="s">
        <v>401</v>
      </c>
      <c r="D640" s="1" t="s">
        <v>1013</v>
      </c>
      <c r="E640" s="4">
        <v>21600.0</v>
      </c>
      <c r="F640" s="4"/>
      <c r="G640" s="4"/>
      <c r="H640" s="4">
        <f>'data on outstanding creditors'!$E640-'data on outstanding creditors'!$F640-'data on outstanding creditors'!$G640</f>
        <v>21600</v>
      </c>
      <c r="I640" s="2"/>
      <c r="J640" s="1"/>
      <c r="K640" s="2"/>
      <c r="L640" s="5"/>
      <c r="M640" s="9" t="s">
        <v>403</v>
      </c>
      <c r="N640" s="9" t="s">
        <v>23</v>
      </c>
      <c r="O640" s="10">
        <f>'data on outstanding creditors'!$E640*100/107</f>
        <v>20186.91589</v>
      </c>
      <c r="P640" s="10">
        <f>'data on outstanding creditors'!$E640-'data on outstanding creditors'!$O640</f>
        <v>1413.084112</v>
      </c>
      <c r="Q640" s="7">
        <f>DAY('data on outstanding creditors'!$B640)</f>
        <v>21</v>
      </c>
      <c r="R640" s="7">
        <f>MONTH('data on outstanding creditors'!$B640)</f>
        <v>10</v>
      </c>
      <c r="S640" s="7">
        <f>YEAR('data on outstanding creditors'!$B640)</f>
        <v>2025</v>
      </c>
      <c r="T640" s="11" t="str">
        <f>'data on outstanding creditors'!$C640&amp;" "&amp;'data on outstanding creditors'!$D640&amp;" "&amp;TEXT('data on outstanding creditors'!$E640,"#,##0.00")</f>
        <v>องค์การเภสัชกรรม 3001076325 21,600.00</v>
      </c>
      <c r="U640" s="12"/>
    </row>
    <row r="641" ht="13.5" customHeight="1">
      <c r="A641" s="1"/>
      <c r="B641" s="2">
        <v>45951.0</v>
      </c>
      <c r="C641" s="9" t="s">
        <v>401</v>
      </c>
      <c r="D641" s="1" t="s">
        <v>1014</v>
      </c>
      <c r="E641" s="4">
        <v>11400.0</v>
      </c>
      <c r="F641" s="4"/>
      <c r="G641" s="4"/>
      <c r="H641" s="4">
        <f>'data on outstanding creditors'!$E641-'data on outstanding creditors'!$F641-'data on outstanding creditors'!$G641</f>
        <v>11400</v>
      </c>
      <c r="I641" s="2"/>
      <c r="J641" s="1"/>
      <c r="K641" s="2"/>
      <c r="L641" s="5"/>
      <c r="M641" s="9" t="s">
        <v>403</v>
      </c>
      <c r="N641" s="9" t="s">
        <v>23</v>
      </c>
      <c r="O641" s="10">
        <f>'data on outstanding creditors'!$E641*100/107</f>
        <v>10654.20561</v>
      </c>
      <c r="P641" s="10">
        <f>'data on outstanding creditors'!$E641-'data on outstanding creditors'!$O641</f>
        <v>745.7943925</v>
      </c>
      <c r="Q641" s="7">
        <f>DAY('data on outstanding creditors'!$B641)</f>
        <v>21</v>
      </c>
      <c r="R641" s="7">
        <f>MONTH('data on outstanding creditors'!$B641)</f>
        <v>10</v>
      </c>
      <c r="S641" s="7">
        <f>YEAR('data on outstanding creditors'!$B641)</f>
        <v>2025</v>
      </c>
      <c r="T641" s="11" t="str">
        <f>'data on outstanding creditors'!$C641&amp;" "&amp;'data on outstanding creditors'!$D641&amp;" "&amp;TEXT('data on outstanding creditors'!$E641,"#,##0.00")</f>
        <v>องค์การเภสัชกรรม 3001078665 11,400.00</v>
      </c>
      <c r="U641" s="12"/>
    </row>
    <row r="642" ht="13.5" customHeight="1">
      <c r="A642" s="1"/>
      <c r="B642" s="2">
        <v>45951.0</v>
      </c>
      <c r="C642" s="9" t="s">
        <v>401</v>
      </c>
      <c r="D642" s="1" t="s">
        <v>1015</v>
      </c>
      <c r="E642" s="4">
        <v>6000.0</v>
      </c>
      <c r="F642" s="4"/>
      <c r="G642" s="4"/>
      <c r="H642" s="4">
        <f>'data on outstanding creditors'!$E642-'data on outstanding creditors'!$F642-'data on outstanding creditors'!$G642</f>
        <v>6000</v>
      </c>
      <c r="I642" s="2"/>
      <c r="J642" s="1"/>
      <c r="K642" s="2"/>
      <c r="L642" s="5"/>
      <c r="M642" s="9" t="s">
        <v>403</v>
      </c>
      <c r="N642" s="9" t="s">
        <v>23</v>
      </c>
      <c r="O642" s="10">
        <f>'data on outstanding creditors'!$E642*100/107</f>
        <v>5607.476636</v>
      </c>
      <c r="P642" s="10">
        <f>'data on outstanding creditors'!$E642-'data on outstanding creditors'!$O642</f>
        <v>392.5233645</v>
      </c>
      <c r="Q642" s="7">
        <f>DAY('data on outstanding creditors'!$B642)</f>
        <v>21</v>
      </c>
      <c r="R642" s="7">
        <f>MONTH('data on outstanding creditors'!$B642)</f>
        <v>10</v>
      </c>
      <c r="S642" s="7">
        <f>YEAR('data on outstanding creditors'!$B642)</f>
        <v>2025</v>
      </c>
      <c r="T642" s="11" t="str">
        <f>'data on outstanding creditors'!$C642&amp;" "&amp;'data on outstanding creditors'!$D642&amp;" "&amp;TEXT('data on outstanding creditors'!$E642,"#,##0.00")</f>
        <v>องค์การเภสัชกรรม 3001078623 6,000.00</v>
      </c>
      <c r="U642" s="12"/>
    </row>
    <row r="643" ht="13.5" customHeight="1">
      <c r="A643" s="1"/>
      <c r="B643" s="2">
        <v>45951.0</v>
      </c>
      <c r="C643" s="9" t="s">
        <v>401</v>
      </c>
      <c r="D643" s="1" t="s">
        <v>1016</v>
      </c>
      <c r="E643" s="4">
        <v>53500.0</v>
      </c>
      <c r="F643" s="4"/>
      <c r="G643" s="4"/>
      <c r="H643" s="4">
        <f>'data on outstanding creditors'!$E643-'data on outstanding creditors'!$F643-'data on outstanding creditors'!$G643</f>
        <v>53500</v>
      </c>
      <c r="I643" s="2"/>
      <c r="J643" s="1"/>
      <c r="K643" s="2"/>
      <c r="L643" s="5"/>
      <c r="M643" s="9" t="s">
        <v>403</v>
      </c>
      <c r="N643" s="9" t="s">
        <v>23</v>
      </c>
      <c r="O643" s="10">
        <f>'data on outstanding creditors'!$E643*100/107</f>
        <v>50000</v>
      </c>
      <c r="P643" s="10">
        <f>'data on outstanding creditors'!$E643-'data on outstanding creditors'!$O643</f>
        <v>3500</v>
      </c>
      <c r="Q643" s="7">
        <f>DAY('data on outstanding creditors'!$B643)</f>
        <v>21</v>
      </c>
      <c r="R643" s="7">
        <f>MONTH('data on outstanding creditors'!$B643)</f>
        <v>10</v>
      </c>
      <c r="S643" s="7">
        <f>YEAR('data on outstanding creditors'!$B643)</f>
        <v>2025</v>
      </c>
      <c r="T643" s="11" t="str">
        <f>'data on outstanding creditors'!$C643&amp;" "&amp;'data on outstanding creditors'!$D643&amp;" "&amp;TEXT('data on outstanding creditors'!$E643,"#,##0.00")</f>
        <v>องค์การเภสัชกรรม 3001079849 53,500.00</v>
      </c>
      <c r="U643" s="12"/>
    </row>
    <row r="644" ht="13.5" customHeight="1">
      <c r="A644" s="1"/>
      <c r="B644" s="2">
        <v>45951.0</v>
      </c>
      <c r="C644" s="9" t="s">
        <v>401</v>
      </c>
      <c r="D644" s="1" t="s">
        <v>1017</v>
      </c>
      <c r="E644" s="4">
        <v>15818.88</v>
      </c>
      <c r="F644" s="4"/>
      <c r="G644" s="4"/>
      <c r="H644" s="4">
        <f>'data on outstanding creditors'!$E644-'data on outstanding creditors'!$F644-'data on outstanding creditors'!$G644</f>
        <v>15818.88</v>
      </c>
      <c r="I644" s="2"/>
      <c r="J644" s="1"/>
      <c r="K644" s="2"/>
      <c r="L644" s="5"/>
      <c r="M644" s="9" t="s">
        <v>403</v>
      </c>
      <c r="N644" s="9" t="s">
        <v>23</v>
      </c>
      <c r="O644" s="10">
        <f>'data on outstanding creditors'!$E644*100/107</f>
        <v>14784</v>
      </c>
      <c r="P644" s="10">
        <f>'data on outstanding creditors'!$E644-'data on outstanding creditors'!$O644</f>
        <v>1034.88</v>
      </c>
      <c r="Q644" s="7">
        <f>DAY('data on outstanding creditors'!$B644)</f>
        <v>21</v>
      </c>
      <c r="R644" s="7">
        <f>MONTH('data on outstanding creditors'!$B644)</f>
        <v>10</v>
      </c>
      <c r="S644" s="7">
        <f>YEAR('data on outstanding creditors'!$B644)</f>
        <v>2025</v>
      </c>
      <c r="T644" s="11" t="str">
        <f>'data on outstanding creditors'!$C644&amp;" "&amp;'data on outstanding creditors'!$D644&amp;" "&amp;TEXT('data on outstanding creditors'!$E644,"#,##0.00")</f>
        <v>องค์การเภสัชกรรม 3001078627 15,818.88</v>
      </c>
      <c r="U644" s="12"/>
    </row>
    <row r="645" ht="13.5" customHeight="1">
      <c r="A645" s="1"/>
      <c r="B645" s="2">
        <v>45951.0</v>
      </c>
      <c r="C645" s="9" t="s">
        <v>401</v>
      </c>
      <c r="D645" s="1" t="s">
        <v>1018</v>
      </c>
      <c r="E645" s="4">
        <v>160000.0</v>
      </c>
      <c r="F645" s="4"/>
      <c r="G645" s="4"/>
      <c r="H645" s="4">
        <f>'data on outstanding creditors'!$E645-'data on outstanding creditors'!$F645-'data on outstanding creditors'!$G645</f>
        <v>160000</v>
      </c>
      <c r="I645" s="2"/>
      <c r="J645" s="1"/>
      <c r="K645" s="2"/>
      <c r="L645" s="5"/>
      <c r="M645" s="9" t="s">
        <v>403</v>
      </c>
      <c r="N645" s="9" t="s">
        <v>23</v>
      </c>
      <c r="O645" s="10">
        <f>'data on outstanding creditors'!$E645*100/107</f>
        <v>149532.7103</v>
      </c>
      <c r="P645" s="10">
        <f>'data on outstanding creditors'!$E645-'data on outstanding creditors'!$O645</f>
        <v>10467.28972</v>
      </c>
      <c r="Q645" s="7">
        <f>DAY('data on outstanding creditors'!$B645)</f>
        <v>21</v>
      </c>
      <c r="R645" s="7">
        <f>MONTH('data on outstanding creditors'!$B645)</f>
        <v>10</v>
      </c>
      <c r="S645" s="7">
        <f>YEAR('data on outstanding creditors'!$B645)</f>
        <v>2025</v>
      </c>
      <c r="T645" s="11" t="str">
        <f>'data on outstanding creditors'!$C645&amp;" "&amp;'data on outstanding creditors'!$D645&amp;" "&amp;TEXT('data on outstanding creditors'!$E645,"#,##0.00")</f>
        <v>องค์การเภสัชกรรม 3001078629 160,000.00</v>
      </c>
      <c r="U645" s="12"/>
    </row>
    <row r="646" ht="13.5" customHeight="1">
      <c r="A646" s="1"/>
      <c r="B646" s="2">
        <v>45951.0</v>
      </c>
      <c r="C646" s="9" t="s">
        <v>399</v>
      </c>
      <c r="D646" s="1" t="s">
        <v>1019</v>
      </c>
      <c r="E646" s="4">
        <v>84530.0</v>
      </c>
      <c r="F646" s="4"/>
      <c r="G646" s="4"/>
      <c r="H646" s="4">
        <f>'data on outstanding creditors'!$E646-'data on outstanding creditors'!$F646-'data on outstanding creditors'!$G646</f>
        <v>84530</v>
      </c>
      <c r="I646" s="2"/>
      <c r="J646" s="1"/>
      <c r="K646" s="2"/>
      <c r="L646" s="5"/>
      <c r="M646" s="9" t="s">
        <v>403</v>
      </c>
      <c r="N646" s="9" t="s">
        <v>23</v>
      </c>
      <c r="O646" s="10">
        <f>'data on outstanding creditors'!$E646*100/107</f>
        <v>79000</v>
      </c>
      <c r="P646" s="10">
        <f>'data on outstanding creditors'!$E646-'data on outstanding creditors'!$O646</f>
        <v>5530</v>
      </c>
      <c r="Q646" s="7">
        <f>DAY('data on outstanding creditors'!$B646)</f>
        <v>21</v>
      </c>
      <c r="R646" s="7">
        <f>MONTH('data on outstanding creditors'!$B646)</f>
        <v>10</v>
      </c>
      <c r="S646" s="7">
        <f>YEAR('data on outstanding creditors'!$B646)</f>
        <v>2025</v>
      </c>
      <c r="T646" s="11" t="str">
        <f>'data on outstanding creditors'!$C646&amp;" "&amp;'data on outstanding creditors'!$D646&amp;" "&amp;TEXT('data on outstanding creditors'!$E646,"#,##0.00")</f>
        <v>บ.ดีเคเอสเอช(ประเทศไทย) 5344536711 84,530.00</v>
      </c>
      <c r="U646" s="12"/>
    </row>
    <row r="647" ht="13.5" customHeight="1">
      <c r="A647" s="1"/>
      <c r="B647" s="2">
        <v>45951.0</v>
      </c>
      <c r="C647" s="9" t="s">
        <v>520</v>
      </c>
      <c r="D647" s="1" t="s">
        <v>1020</v>
      </c>
      <c r="E647" s="4">
        <v>80506.8</v>
      </c>
      <c r="F647" s="4"/>
      <c r="G647" s="4"/>
      <c r="H647" s="4">
        <f>'data on outstanding creditors'!$E647-'data on outstanding creditors'!$F647-'data on outstanding creditors'!$G647</f>
        <v>80506.8</v>
      </c>
      <c r="I647" s="2"/>
      <c r="J647" s="1"/>
      <c r="K647" s="2"/>
      <c r="L647" s="5"/>
      <c r="M647" s="9" t="s">
        <v>403</v>
      </c>
      <c r="N647" s="9" t="s">
        <v>23</v>
      </c>
      <c r="O647" s="10">
        <f>'data on outstanding creditors'!$E647*100/107</f>
        <v>75240</v>
      </c>
      <c r="P647" s="10">
        <f>'data on outstanding creditors'!$E647-'data on outstanding creditors'!$O647</f>
        <v>5266.8</v>
      </c>
      <c r="Q647" s="7">
        <f>DAY('data on outstanding creditors'!$B647)</f>
        <v>21</v>
      </c>
      <c r="R647" s="7">
        <f>MONTH('data on outstanding creditors'!$B647)</f>
        <v>10</v>
      </c>
      <c r="S647" s="7">
        <f>YEAR('data on outstanding creditors'!$B647)</f>
        <v>2025</v>
      </c>
      <c r="T647" s="11" t="str">
        <f>'data on outstanding creditors'!$C647&amp;" "&amp;'data on outstanding creditors'!$D647&amp;" "&amp;TEXT('data on outstanding creditors'!$E647,"#,##0.00")</f>
        <v>บ.ซิลลิคฟาร์มา 1318479948 80,506.80</v>
      </c>
      <c r="U647" s="12"/>
    </row>
    <row r="648" ht="13.5" customHeight="1">
      <c r="A648" s="1"/>
      <c r="B648" s="2">
        <v>45951.0</v>
      </c>
      <c r="C648" s="9" t="s">
        <v>520</v>
      </c>
      <c r="D648" s="1" t="s">
        <v>1021</v>
      </c>
      <c r="E648" s="4">
        <v>98440.0</v>
      </c>
      <c r="F648" s="4"/>
      <c r="G648" s="4"/>
      <c r="H648" s="4">
        <f>'data on outstanding creditors'!$E648-'data on outstanding creditors'!$F648-'data on outstanding creditors'!$G648</f>
        <v>98440</v>
      </c>
      <c r="I648" s="2"/>
      <c r="J648" s="1"/>
      <c r="K648" s="2"/>
      <c r="L648" s="5"/>
      <c r="M648" s="9" t="s">
        <v>403</v>
      </c>
      <c r="N648" s="9" t="s">
        <v>23</v>
      </c>
      <c r="O648" s="10">
        <f>'data on outstanding creditors'!$E648*100/107</f>
        <v>92000</v>
      </c>
      <c r="P648" s="10">
        <f>'data on outstanding creditors'!$E648-'data on outstanding creditors'!$O648</f>
        <v>6440</v>
      </c>
      <c r="Q648" s="7">
        <f>DAY('data on outstanding creditors'!$B648)</f>
        <v>21</v>
      </c>
      <c r="R648" s="7">
        <f>MONTH('data on outstanding creditors'!$B648)</f>
        <v>10</v>
      </c>
      <c r="S648" s="7">
        <f>YEAR('data on outstanding creditors'!$B648)</f>
        <v>2025</v>
      </c>
      <c r="T648" s="11" t="str">
        <f>'data on outstanding creditors'!$C648&amp;" "&amp;'data on outstanding creditors'!$D648&amp;" "&amp;TEXT('data on outstanding creditors'!$E648,"#,##0.00")</f>
        <v>บ.ซิลลิคฟาร์มา 1318480356 98,440.00</v>
      </c>
      <c r="U648" s="12"/>
    </row>
    <row r="649" ht="13.5" customHeight="1">
      <c r="A649" s="1"/>
      <c r="B649" s="2">
        <v>45959.0</v>
      </c>
      <c r="C649" s="9" t="s">
        <v>520</v>
      </c>
      <c r="D649" s="1" t="s">
        <v>1022</v>
      </c>
      <c r="E649" s="4">
        <v>92020.0</v>
      </c>
      <c r="F649" s="4"/>
      <c r="G649" s="4"/>
      <c r="H649" s="4">
        <f>'data on outstanding creditors'!$E649-'data on outstanding creditors'!$F649-'data on outstanding creditors'!$G649</f>
        <v>92020</v>
      </c>
      <c r="I649" s="2"/>
      <c r="J649" s="1"/>
      <c r="K649" s="2"/>
      <c r="L649" s="5"/>
      <c r="M649" s="9" t="s">
        <v>403</v>
      </c>
      <c r="N649" s="9" t="s">
        <v>23</v>
      </c>
      <c r="O649" s="10">
        <f>'data on outstanding creditors'!$E649*100/107</f>
        <v>86000</v>
      </c>
      <c r="P649" s="10">
        <f>'data on outstanding creditors'!$E649-'data on outstanding creditors'!$O649</f>
        <v>6020</v>
      </c>
      <c r="Q649" s="7">
        <f>DAY('data on outstanding creditors'!$B649)</f>
        <v>29</v>
      </c>
      <c r="R649" s="7">
        <f>MONTH('data on outstanding creditors'!$B649)</f>
        <v>10</v>
      </c>
      <c r="S649" s="7">
        <f>YEAR('data on outstanding creditors'!$B649)</f>
        <v>2025</v>
      </c>
      <c r="T649" s="11" t="str">
        <f>'data on outstanding creditors'!$C649&amp;" "&amp;'data on outstanding creditors'!$D649&amp;" "&amp;TEXT('data on outstanding creditors'!$E649,"#,##0.00")</f>
        <v>บ.ซิลลิคฟาร์มา 1318437870 92,020.00</v>
      </c>
      <c r="U649" s="12"/>
    </row>
    <row r="650" ht="13.5" customHeight="1">
      <c r="A650" s="1"/>
      <c r="B650" s="2">
        <v>45959.0</v>
      </c>
      <c r="C650" s="9" t="s">
        <v>922</v>
      </c>
      <c r="D650" s="1" t="s">
        <v>1023</v>
      </c>
      <c r="E650" s="4">
        <v>71640.0</v>
      </c>
      <c r="F650" s="4"/>
      <c r="G650" s="4"/>
      <c r="H650" s="4">
        <f>'data on outstanding creditors'!$E650-'data on outstanding creditors'!$F650-'data on outstanding creditors'!$G650</f>
        <v>71640</v>
      </c>
      <c r="I650" s="2"/>
      <c r="J650" s="1"/>
      <c r="K650" s="2"/>
      <c r="L650" s="5"/>
      <c r="M650" s="9" t="s">
        <v>403</v>
      </c>
      <c r="N650" s="9" t="s">
        <v>23</v>
      </c>
      <c r="O650" s="10">
        <f>'data on outstanding creditors'!$E650*100/107</f>
        <v>66953.27103</v>
      </c>
      <c r="P650" s="10">
        <f>'data on outstanding creditors'!$E650-'data on outstanding creditors'!$O650</f>
        <v>4686.728972</v>
      </c>
      <c r="Q650" s="7">
        <f>DAY('data on outstanding creditors'!$B650)</f>
        <v>29</v>
      </c>
      <c r="R650" s="7">
        <f>MONTH('data on outstanding creditors'!$B650)</f>
        <v>10</v>
      </c>
      <c r="S650" s="7">
        <f>YEAR('data on outstanding creditors'!$B650)</f>
        <v>2025</v>
      </c>
      <c r="T650" s="11" t="str">
        <f>'data on outstanding creditors'!$C650&amp;" "&amp;'data on outstanding creditors'!$D650&amp;" "&amp;TEXT('data on outstanding creditors'!$E650,"#,##0.00")</f>
        <v>บ.เบอร์ลินฟาร์มาซูติคอลอินดัสตรี้ 6811005389 71,640.00</v>
      </c>
      <c r="U650" s="12"/>
    </row>
    <row r="651" ht="13.5" customHeight="1">
      <c r="A651" s="1"/>
      <c r="B651" s="2">
        <v>45959.0</v>
      </c>
      <c r="C651" s="9" t="s">
        <v>401</v>
      </c>
      <c r="D651" s="1" t="s">
        <v>1024</v>
      </c>
      <c r="E651" s="4">
        <v>138672.0</v>
      </c>
      <c r="F651" s="4"/>
      <c r="G651" s="4"/>
      <c r="H651" s="4">
        <f>'data on outstanding creditors'!$E651-'data on outstanding creditors'!$F651-'data on outstanding creditors'!$G651</f>
        <v>138672</v>
      </c>
      <c r="I651" s="2"/>
      <c r="J651" s="1"/>
      <c r="K651" s="2"/>
      <c r="L651" s="5"/>
      <c r="M651" s="9" t="s">
        <v>403</v>
      </c>
      <c r="N651" s="9" t="s">
        <v>23</v>
      </c>
      <c r="O651" s="10">
        <f>'data on outstanding creditors'!$E651*100/107</f>
        <v>129600</v>
      </c>
      <c r="P651" s="10">
        <f>'data on outstanding creditors'!$E651-'data on outstanding creditors'!$O651</f>
        <v>9072</v>
      </c>
      <c r="Q651" s="7">
        <f>DAY('data on outstanding creditors'!$B651)</f>
        <v>29</v>
      </c>
      <c r="R651" s="7">
        <f>MONTH('data on outstanding creditors'!$B651)</f>
        <v>10</v>
      </c>
      <c r="S651" s="7">
        <f>YEAR('data on outstanding creditors'!$B651)</f>
        <v>2025</v>
      </c>
      <c r="T651" s="11" t="str">
        <f>'data on outstanding creditors'!$C651&amp;" "&amp;'data on outstanding creditors'!$D651&amp;" "&amp;TEXT('data on outstanding creditors'!$E651,"#,##0.00")</f>
        <v>องค์การเภสัชกรรม 3001085013 138,672.00</v>
      </c>
      <c r="U651" s="12"/>
    </row>
    <row r="652" ht="13.5" customHeight="1">
      <c r="A652" s="1"/>
      <c r="B652" s="2">
        <v>45959.0</v>
      </c>
      <c r="C652" s="9" t="s">
        <v>401</v>
      </c>
      <c r="D652" s="1" t="s">
        <v>1025</v>
      </c>
      <c r="E652" s="4">
        <v>5992.0</v>
      </c>
      <c r="F652" s="4"/>
      <c r="G652" s="4"/>
      <c r="H652" s="4">
        <f>'data on outstanding creditors'!$E652-'data on outstanding creditors'!$F652-'data on outstanding creditors'!$G652</f>
        <v>5992</v>
      </c>
      <c r="I652" s="2"/>
      <c r="J652" s="1"/>
      <c r="K652" s="2"/>
      <c r="L652" s="5"/>
      <c r="M652" s="9" t="s">
        <v>403</v>
      </c>
      <c r="N652" s="9" t="s">
        <v>23</v>
      </c>
      <c r="O652" s="10">
        <f>'data on outstanding creditors'!$E652*100/107</f>
        <v>5600</v>
      </c>
      <c r="P652" s="10">
        <f>'data on outstanding creditors'!$E652-'data on outstanding creditors'!$O652</f>
        <v>392</v>
      </c>
      <c r="Q652" s="7">
        <f>DAY('data on outstanding creditors'!$B652)</f>
        <v>29</v>
      </c>
      <c r="R652" s="7">
        <f>MONTH('data on outstanding creditors'!$B652)</f>
        <v>10</v>
      </c>
      <c r="S652" s="7">
        <f>YEAR('data on outstanding creditors'!$B652)</f>
        <v>2025</v>
      </c>
      <c r="T652" s="11" t="str">
        <f>'data on outstanding creditors'!$C652&amp;" "&amp;'data on outstanding creditors'!$D652&amp;" "&amp;TEXT('data on outstanding creditors'!$E652,"#,##0.00")</f>
        <v>องค์การเภสัชกรรม 3001079941 5,992.00</v>
      </c>
      <c r="U652" s="12"/>
    </row>
    <row r="653" ht="13.5" customHeight="1">
      <c r="A653" s="1"/>
      <c r="B653" s="2">
        <v>45959.0</v>
      </c>
      <c r="C653" s="9" t="s">
        <v>401</v>
      </c>
      <c r="D653" s="1" t="s">
        <v>1026</v>
      </c>
      <c r="E653" s="4">
        <v>4280.0</v>
      </c>
      <c r="F653" s="4"/>
      <c r="G653" s="4"/>
      <c r="H653" s="4">
        <f>'data on outstanding creditors'!$E653-'data on outstanding creditors'!$F653-'data on outstanding creditors'!$G653</f>
        <v>4280</v>
      </c>
      <c r="I653" s="2"/>
      <c r="J653" s="1"/>
      <c r="K653" s="2"/>
      <c r="L653" s="5"/>
      <c r="M653" s="9" t="s">
        <v>403</v>
      </c>
      <c r="N653" s="9" t="s">
        <v>23</v>
      </c>
      <c r="O653" s="10">
        <f>'data on outstanding creditors'!$E653*100/107</f>
        <v>4000</v>
      </c>
      <c r="P653" s="10">
        <f>'data on outstanding creditors'!$E653-'data on outstanding creditors'!$O653</f>
        <v>280</v>
      </c>
      <c r="Q653" s="7">
        <f>DAY('data on outstanding creditors'!$B653)</f>
        <v>29</v>
      </c>
      <c r="R653" s="7">
        <f>MONTH('data on outstanding creditors'!$B653)</f>
        <v>10</v>
      </c>
      <c r="S653" s="7">
        <f>YEAR('data on outstanding creditors'!$B653)</f>
        <v>2025</v>
      </c>
      <c r="T653" s="11" t="str">
        <f>'data on outstanding creditors'!$C653&amp;" "&amp;'data on outstanding creditors'!$D653&amp;" "&amp;TEXT('data on outstanding creditors'!$E653,"#,##0.00")</f>
        <v>องค์การเภสัชกรรม 3001084987 4,280.00</v>
      </c>
      <c r="U653" s="12"/>
    </row>
    <row r="654" ht="13.5" customHeight="1">
      <c r="A654" s="1"/>
      <c r="B654" s="2">
        <v>45959.0</v>
      </c>
      <c r="C654" s="9" t="s">
        <v>401</v>
      </c>
      <c r="D654" s="1" t="s">
        <v>1027</v>
      </c>
      <c r="E654" s="4">
        <v>102600.0</v>
      </c>
      <c r="F654" s="4"/>
      <c r="G654" s="4"/>
      <c r="H654" s="4">
        <f>'data on outstanding creditors'!$E654-'data on outstanding creditors'!$F654-'data on outstanding creditors'!$G654</f>
        <v>102600</v>
      </c>
      <c r="I654" s="2"/>
      <c r="J654" s="1"/>
      <c r="K654" s="2"/>
      <c r="L654" s="5"/>
      <c r="M654" s="9" t="s">
        <v>403</v>
      </c>
      <c r="N654" s="9" t="s">
        <v>23</v>
      </c>
      <c r="O654" s="10">
        <f>'data on outstanding creditors'!$E654*100/107</f>
        <v>95887.85047</v>
      </c>
      <c r="P654" s="10">
        <f>'data on outstanding creditors'!$E654-'data on outstanding creditors'!$O654</f>
        <v>6712.149533</v>
      </c>
      <c r="Q654" s="7">
        <f>DAY('data on outstanding creditors'!$B654)</f>
        <v>29</v>
      </c>
      <c r="R654" s="7">
        <f>MONTH('data on outstanding creditors'!$B654)</f>
        <v>10</v>
      </c>
      <c r="S654" s="7">
        <f>YEAR('data on outstanding creditors'!$B654)</f>
        <v>2025</v>
      </c>
      <c r="T654" s="11" t="str">
        <f>'data on outstanding creditors'!$C654&amp;" "&amp;'data on outstanding creditors'!$D654&amp;" "&amp;TEXT('data on outstanding creditors'!$E654,"#,##0.00")</f>
        <v>องค์การเภสัชกรรม 3001083638 102,600.00</v>
      </c>
      <c r="U654" s="12"/>
    </row>
    <row r="655" ht="13.5" customHeight="1">
      <c r="A655" s="1"/>
      <c r="B655" s="2">
        <v>45959.0</v>
      </c>
      <c r="C655" s="9" t="s">
        <v>401</v>
      </c>
      <c r="D655" s="1" t="s">
        <v>1028</v>
      </c>
      <c r="E655" s="4">
        <v>89880.0</v>
      </c>
      <c r="F655" s="4"/>
      <c r="G655" s="4"/>
      <c r="H655" s="4">
        <f>'data on outstanding creditors'!$E655-'data on outstanding creditors'!$F655-'data on outstanding creditors'!$G655</f>
        <v>89880</v>
      </c>
      <c r="I655" s="2"/>
      <c r="J655" s="1"/>
      <c r="K655" s="2"/>
      <c r="L655" s="5"/>
      <c r="M655" s="9" t="s">
        <v>403</v>
      </c>
      <c r="N655" s="9" t="s">
        <v>23</v>
      </c>
      <c r="O655" s="10">
        <f>'data on outstanding creditors'!$E655*100/107</f>
        <v>84000</v>
      </c>
      <c r="P655" s="10">
        <f>'data on outstanding creditors'!$E655-'data on outstanding creditors'!$O655</f>
        <v>5880</v>
      </c>
      <c r="Q655" s="7">
        <f>DAY('data on outstanding creditors'!$B655)</f>
        <v>29</v>
      </c>
      <c r="R655" s="7">
        <f>MONTH('data on outstanding creditors'!$B655)</f>
        <v>10</v>
      </c>
      <c r="S655" s="7">
        <f>YEAR('data on outstanding creditors'!$B655)</f>
        <v>2025</v>
      </c>
      <c r="T655" s="11" t="str">
        <f>'data on outstanding creditors'!$C655&amp;" "&amp;'data on outstanding creditors'!$D655&amp;" "&amp;TEXT('data on outstanding creditors'!$E655,"#,##0.00")</f>
        <v>องค์การเภสัชกรรม 3001083631 89,880.00</v>
      </c>
      <c r="U655" s="12"/>
    </row>
    <row r="656" ht="13.5" customHeight="1">
      <c r="A656" s="1"/>
      <c r="B656" s="2">
        <v>45370.0</v>
      </c>
      <c r="C656" s="9" t="s">
        <v>1029</v>
      </c>
      <c r="D656" s="1" t="s">
        <v>1030</v>
      </c>
      <c r="E656" s="4">
        <v>24000.0</v>
      </c>
      <c r="F656" s="4"/>
      <c r="G656" s="4"/>
      <c r="H656" s="4">
        <f>'data on outstanding creditors'!$E656-'data on outstanding creditors'!$F656-'data on outstanding creditors'!$G656</f>
        <v>24000</v>
      </c>
      <c r="I656" s="2"/>
      <c r="J656" s="1" t="s">
        <v>646</v>
      </c>
      <c r="K656" s="2">
        <v>45815.0</v>
      </c>
      <c r="L656" s="5"/>
      <c r="M656" s="9" t="s">
        <v>1031</v>
      </c>
      <c r="N656" s="9" t="s">
        <v>49</v>
      </c>
      <c r="O656" s="10">
        <f>'data on outstanding creditors'!$E656*100/107</f>
        <v>22429.90654</v>
      </c>
      <c r="P656" s="10">
        <f>'data on outstanding creditors'!$E656-'data on outstanding creditors'!$O656</f>
        <v>1570.093458</v>
      </c>
      <c r="Q656" s="7">
        <f>DAY('data on outstanding creditors'!$B656)</f>
        <v>19</v>
      </c>
      <c r="R656" s="7">
        <f>MONTH('data on outstanding creditors'!$B656)</f>
        <v>3</v>
      </c>
      <c r="S656" s="7">
        <f>YEAR('data on outstanding creditors'!$B656)</f>
        <v>2024</v>
      </c>
      <c r="T656" s="11" t="str">
        <f>'data on outstanding creditors'!$C656&amp;" "&amp;'data on outstanding creditors'!$D656&amp;" "&amp;TEXT('data on outstanding creditors'!$E656,"#,##0.00")</f>
        <v>บ.เอเทค เมดิคอล IV6703468 24,000.00</v>
      </c>
      <c r="U656" s="12"/>
    </row>
    <row r="657" ht="13.5" customHeight="1">
      <c r="A657" s="1"/>
      <c r="B657" s="2">
        <v>45419.0</v>
      </c>
      <c r="C657" s="9" t="s">
        <v>1029</v>
      </c>
      <c r="D657" s="1" t="s">
        <v>1032</v>
      </c>
      <c r="E657" s="4">
        <v>20000.0</v>
      </c>
      <c r="F657" s="4"/>
      <c r="G657" s="4"/>
      <c r="H657" s="4">
        <f>'data on outstanding creditors'!$E657-'data on outstanding creditors'!$F657-'data on outstanding creditors'!$G657</f>
        <v>20000</v>
      </c>
      <c r="I657" s="2"/>
      <c r="J657" s="1" t="s">
        <v>646</v>
      </c>
      <c r="K657" s="2">
        <v>45815.0</v>
      </c>
      <c r="L657" s="5"/>
      <c r="M657" s="9" t="s">
        <v>1031</v>
      </c>
      <c r="N657" s="9" t="s">
        <v>49</v>
      </c>
      <c r="O657" s="10">
        <f>'data on outstanding creditors'!$E657*100/107</f>
        <v>18691.58879</v>
      </c>
      <c r="P657" s="10">
        <f>'data on outstanding creditors'!$E657-'data on outstanding creditors'!$O657</f>
        <v>1308.411215</v>
      </c>
      <c r="Q657" s="7">
        <f>DAY('data on outstanding creditors'!$B657)</f>
        <v>7</v>
      </c>
      <c r="R657" s="7">
        <f>MONTH('data on outstanding creditors'!$B657)</f>
        <v>5</v>
      </c>
      <c r="S657" s="7">
        <f>YEAR('data on outstanding creditors'!$B657)</f>
        <v>2024</v>
      </c>
      <c r="T657" s="11" t="str">
        <f>'data on outstanding creditors'!$C657&amp;" "&amp;'data on outstanding creditors'!$D657&amp;" "&amp;TEXT('data on outstanding creditors'!$E657,"#,##0.00")</f>
        <v>บ.เอเทค เมดิคอล IV6705084 20,000.00</v>
      </c>
      <c r="U657" s="12"/>
    </row>
    <row r="658" ht="13.5" customHeight="1">
      <c r="A658" s="1" t="s">
        <v>1033</v>
      </c>
      <c r="B658" s="2">
        <v>45887.0</v>
      </c>
      <c r="C658" s="9" t="s">
        <v>1034</v>
      </c>
      <c r="D658" s="1" t="s">
        <v>1035</v>
      </c>
      <c r="E658" s="4">
        <v>7500.0</v>
      </c>
      <c r="F658" s="4"/>
      <c r="G658" s="4"/>
      <c r="H658" s="4">
        <f>'data on outstanding creditors'!$E658-'data on outstanding creditors'!$F658-'data on outstanding creditors'!$G658</f>
        <v>7500</v>
      </c>
      <c r="I658" s="2"/>
      <c r="J658" s="1" t="s">
        <v>646</v>
      </c>
      <c r="K658" s="2">
        <v>45943.0</v>
      </c>
      <c r="L658" s="5"/>
      <c r="M658" s="9" t="s">
        <v>1031</v>
      </c>
      <c r="N658" s="9" t="s">
        <v>49</v>
      </c>
      <c r="O658" s="10">
        <f>'data on outstanding creditors'!$E658*100/107</f>
        <v>7009.345794</v>
      </c>
      <c r="P658" s="10">
        <f>'data on outstanding creditors'!$E658-'data on outstanding creditors'!$O658</f>
        <v>490.6542056</v>
      </c>
      <c r="Q658" s="7">
        <f>DAY('data on outstanding creditors'!$B658)</f>
        <v>18</v>
      </c>
      <c r="R658" s="7">
        <f>MONTH('data on outstanding creditors'!$B658)</f>
        <v>8</v>
      </c>
      <c r="S658" s="7">
        <f>YEAR('data on outstanding creditors'!$B658)</f>
        <v>2025</v>
      </c>
      <c r="T658" s="11" t="str">
        <f>'data on outstanding creditors'!$C658&amp;" "&amp;'data on outstanding creditors'!$D658&amp;" "&amp;TEXT('data on outstanding creditors'!$E658,"#,##0.00")</f>
        <v>บ.แบงค็อก เมดิคอลส์ โปร IV17907/68 7,500.00</v>
      </c>
      <c r="U658" s="12"/>
    </row>
    <row r="659" ht="13.5" customHeight="1">
      <c r="A659" s="1" t="s">
        <v>1036</v>
      </c>
      <c r="B659" s="2">
        <v>45887.0</v>
      </c>
      <c r="C659" s="9" t="s">
        <v>1034</v>
      </c>
      <c r="D659" s="1" t="s">
        <v>1037</v>
      </c>
      <c r="E659" s="4">
        <v>8217.5</v>
      </c>
      <c r="F659" s="4"/>
      <c r="G659" s="4"/>
      <c r="H659" s="4">
        <f>'data on outstanding creditors'!$E659-'data on outstanding creditors'!$F659-'data on outstanding creditors'!$G659</f>
        <v>8217.5</v>
      </c>
      <c r="I659" s="2"/>
      <c r="J659" s="1" t="s">
        <v>646</v>
      </c>
      <c r="K659" s="2">
        <v>45943.0</v>
      </c>
      <c r="L659" s="5"/>
      <c r="M659" s="9" t="s">
        <v>1031</v>
      </c>
      <c r="N659" s="9" t="s">
        <v>49</v>
      </c>
      <c r="O659" s="10">
        <f>'data on outstanding creditors'!$E659*100/107</f>
        <v>7679.906542</v>
      </c>
      <c r="P659" s="10">
        <f>'data on outstanding creditors'!$E659-'data on outstanding creditors'!$O659</f>
        <v>537.5934579</v>
      </c>
      <c r="Q659" s="7">
        <f>DAY('data on outstanding creditors'!$B659)</f>
        <v>18</v>
      </c>
      <c r="R659" s="7">
        <f>MONTH('data on outstanding creditors'!$B659)</f>
        <v>8</v>
      </c>
      <c r="S659" s="7">
        <f>YEAR('data on outstanding creditors'!$B659)</f>
        <v>2025</v>
      </c>
      <c r="T659" s="11" t="str">
        <f>'data on outstanding creditors'!$C659&amp;" "&amp;'data on outstanding creditors'!$D659&amp;" "&amp;TEXT('data on outstanding creditors'!$E659,"#,##0.00")</f>
        <v>บ.แบงค็อก เมดิคอลส์ โปร IV17904/68 8,217.50</v>
      </c>
      <c r="U659" s="12"/>
    </row>
    <row r="660" ht="13.5" customHeight="1">
      <c r="A660" s="1" t="s">
        <v>1038</v>
      </c>
      <c r="B660" s="2">
        <v>45887.0</v>
      </c>
      <c r="C660" s="9" t="s">
        <v>1034</v>
      </c>
      <c r="D660" s="1" t="s">
        <v>1039</v>
      </c>
      <c r="E660" s="4">
        <v>8217.5</v>
      </c>
      <c r="F660" s="4"/>
      <c r="G660" s="4"/>
      <c r="H660" s="4">
        <f>'data on outstanding creditors'!$E660-'data on outstanding creditors'!$F660-'data on outstanding creditors'!$G660</f>
        <v>8217.5</v>
      </c>
      <c r="I660" s="2"/>
      <c r="J660" s="1" t="s">
        <v>646</v>
      </c>
      <c r="K660" s="2">
        <v>45943.0</v>
      </c>
      <c r="L660" s="5"/>
      <c r="M660" s="9" t="s">
        <v>1031</v>
      </c>
      <c r="N660" s="9" t="s">
        <v>49</v>
      </c>
      <c r="O660" s="10">
        <f>'data on outstanding creditors'!$E660*100/107</f>
        <v>7679.906542</v>
      </c>
      <c r="P660" s="10">
        <f>'data on outstanding creditors'!$E660-'data on outstanding creditors'!$O660</f>
        <v>537.5934579</v>
      </c>
      <c r="Q660" s="7">
        <f>DAY('data on outstanding creditors'!$B660)</f>
        <v>18</v>
      </c>
      <c r="R660" s="7">
        <f>MONTH('data on outstanding creditors'!$B660)</f>
        <v>8</v>
      </c>
      <c r="S660" s="7">
        <f>YEAR('data on outstanding creditors'!$B660)</f>
        <v>2025</v>
      </c>
      <c r="T660" s="11" t="str">
        <f>'data on outstanding creditors'!$C660&amp;" "&amp;'data on outstanding creditors'!$D660&amp;" "&amp;TEXT('data on outstanding creditors'!$E660,"#,##0.00")</f>
        <v>บ.แบงค็อก เมดิคอลส์ โปร IV17905/68 8,217.50</v>
      </c>
      <c r="U660" s="12"/>
    </row>
    <row r="661" ht="13.5" customHeight="1">
      <c r="A661" s="1" t="s">
        <v>1040</v>
      </c>
      <c r="B661" s="2">
        <v>45905.0</v>
      </c>
      <c r="C661" s="9" t="s">
        <v>1034</v>
      </c>
      <c r="D661" s="1" t="s">
        <v>1041</v>
      </c>
      <c r="E661" s="4">
        <v>8300.0</v>
      </c>
      <c r="F661" s="4"/>
      <c r="G661" s="4"/>
      <c r="H661" s="4">
        <f>'data on outstanding creditors'!$E661-'data on outstanding creditors'!$F661-'data on outstanding creditors'!$G661</f>
        <v>8300</v>
      </c>
      <c r="I661" s="2"/>
      <c r="J661" s="1"/>
      <c r="K661" s="2"/>
      <c r="L661" s="5"/>
      <c r="M661" s="9" t="s">
        <v>1031</v>
      </c>
      <c r="N661" s="9" t="s">
        <v>49</v>
      </c>
      <c r="O661" s="10">
        <f>'data on outstanding creditors'!$E661*100/107</f>
        <v>7757.009346</v>
      </c>
      <c r="P661" s="10">
        <f>'data on outstanding creditors'!$E661-'data on outstanding creditors'!$O661</f>
        <v>542.9906542</v>
      </c>
      <c r="Q661" s="7">
        <f>DAY('data on outstanding creditors'!$B661)</f>
        <v>5</v>
      </c>
      <c r="R661" s="7">
        <f>MONTH('data on outstanding creditors'!$B661)</f>
        <v>9</v>
      </c>
      <c r="S661" s="7">
        <f>YEAR('data on outstanding creditors'!$B661)</f>
        <v>2025</v>
      </c>
      <c r="T661" s="11" t="str">
        <f>'data on outstanding creditors'!$C661&amp;" "&amp;'data on outstanding creditors'!$D661&amp;" "&amp;TEXT('data on outstanding creditors'!$E661,"#,##0.00")</f>
        <v>บ.แบงค็อก เมดิคอลส์ โปร IV18121/68 8,300.00</v>
      </c>
      <c r="U661" s="12"/>
    </row>
    <row r="662" ht="13.5" customHeight="1">
      <c r="A662" s="1" t="s">
        <v>1042</v>
      </c>
      <c r="B662" s="2">
        <v>45905.0</v>
      </c>
      <c r="C662" s="9" t="s">
        <v>1034</v>
      </c>
      <c r="D662" s="1" t="s">
        <v>1043</v>
      </c>
      <c r="E662" s="4">
        <v>8300.0</v>
      </c>
      <c r="F662" s="4"/>
      <c r="G662" s="4"/>
      <c r="H662" s="4">
        <f>'data on outstanding creditors'!$E662-'data on outstanding creditors'!$F662-'data on outstanding creditors'!$G662</f>
        <v>8300</v>
      </c>
      <c r="I662" s="2"/>
      <c r="J662" s="1"/>
      <c r="K662" s="2"/>
      <c r="L662" s="5"/>
      <c r="M662" s="9" t="s">
        <v>1031</v>
      </c>
      <c r="N662" s="9" t="s">
        <v>49</v>
      </c>
      <c r="O662" s="10">
        <f>'data on outstanding creditors'!$E662*100/107</f>
        <v>7757.009346</v>
      </c>
      <c r="P662" s="10">
        <f>'data on outstanding creditors'!$E662-'data on outstanding creditors'!$O662</f>
        <v>542.9906542</v>
      </c>
      <c r="Q662" s="7">
        <f>DAY('data on outstanding creditors'!$B662)</f>
        <v>5</v>
      </c>
      <c r="R662" s="7">
        <f>MONTH('data on outstanding creditors'!$B662)</f>
        <v>9</v>
      </c>
      <c r="S662" s="7">
        <f>YEAR('data on outstanding creditors'!$B662)</f>
        <v>2025</v>
      </c>
      <c r="T662" s="11" t="str">
        <f>'data on outstanding creditors'!$C662&amp;" "&amp;'data on outstanding creditors'!$D662&amp;" "&amp;TEXT('data on outstanding creditors'!$E662,"#,##0.00")</f>
        <v>บ.แบงค็อก เมดิคอลส์ โปร IV18123/68 8,300.00</v>
      </c>
      <c r="U662" s="12"/>
    </row>
    <row r="663" ht="13.5" customHeight="1">
      <c r="A663" s="1" t="s">
        <v>1044</v>
      </c>
      <c r="B663" s="2">
        <v>45905.0</v>
      </c>
      <c r="C663" s="9" t="s">
        <v>1034</v>
      </c>
      <c r="D663" s="1" t="s">
        <v>1045</v>
      </c>
      <c r="E663" s="4">
        <v>8300.0</v>
      </c>
      <c r="F663" s="4"/>
      <c r="G663" s="4"/>
      <c r="H663" s="4">
        <f>'data on outstanding creditors'!$E663-'data on outstanding creditors'!$F663-'data on outstanding creditors'!$G663</f>
        <v>8300</v>
      </c>
      <c r="I663" s="2"/>
      <c r="J663" s="1"/>
      <c r="K663" s="2"/>
      <c r="L663" s="5"/>
      <c r="M663" s="9" t="s">
        <v>1031</v>
      </c>
      <c r="N663" s="9" t="s">
        <v>49</v>
      </c>
      <c r="O663" s="10">
        <f>'data on outstanding creditors'!$E663*100/107</f>
        <v>7757.009346</v>
      </c>
      <c r="P663" s="10">
        <f>'data on outstanding creditors'!$E663-'data on outstanding creditors'!$O663</f>
        <v>542.9906542</v>
      </c>
      <c r="Q663" s="7">
        <f>DAY('data on outstanding creditors'!$B663)</f>
        <v>5</v>
      </c>
      <c r="R663" s="7">
        <f>MONTH('data on outstanding creditors'!$B663)</f>
        <v>9</v>
      </c>
      <c r="S663" s="7">
        <f>YEAR('data on outstanding creditors'!$B663)</f>
        <v>2025</v>
      </c>
      <c r="T663" s="11" t="str">
        <f>'data on outstanding creditors'!$C663&amp;" "&amp;'data on outstanding creditors'!$D663&amp;" "&amp;TEXT('data on outstanding creditors'!$E663,"#,##0.00")</f>
        <v>บ.แบงค็อก เมดิคอลส์ โปร IV18122/68 8,300.00</v>
      </c>
      <c r="U663" s="12"/>
    </row>
    <row r="664" ht="13.5" customHeight="1">
      <c r="A664" s="1" t="s">
        <v>1046</v>
      </c>
      <c r="B664" s="2">
        <v>45912.0</v>
      </c>
      <c r="C664" s="9" t="s">
        <v>92</v>
      </c>
      <c r="D664" s="1" t="s">
        <v>1047</v>
      </c>
      <c r="E664" s="4">
        <v>26750.0</v>
      </c>
      <c r="F664" s="4"/>
      <c r="G664" s="4"/>
      <c r="H664" s="4">
        <f>'data on outstanding creditors'!$E664-'data on outstanding creditors'!$F664-'data on outstanding creditors'!$G664</f>
        <v>26750</v>
      </c>
      <c r="I664" s="2"/>
      <c r="J664" s="1" t="s">
        <v>646</v>
      </c>
      <c r="K664" s="2">
        <v>45943.0</v>
      </c>
      <c r="L664" s="5"/>
      <c r="M664" s="9" t="s">
        <v>1048</v>
      </c>
      <c r="N664" s="9" t="s">
        <v>49</v>
      </c>
      <c r="O664" s="10">
        <f>'data on outstanding creditors'!$E664*100/107</f>
        <v>25000</v>
      </c>
      <c r="P664" s="10">
        <f>'data on outstanding creditors'!$E664-'data on outstanding creditors'!$O664</f>
        <v>1750</v>
      </c>
      <c r="Q664" s="7">
        <f>DAY('data on outstanding creditors'!$B664)</f>
        <v>12</v>
      </c>
      <c r="R664" s="7">
        <f>MONTH('data on outstanding creditors'!$B664)</f>
        <v>9</v>
      </c>
      <c r="S664" s="7">
        <f>YEAR('data on outstanding creditors'!$B664)</f>
        <v>2025</v>
      </c>
      <c r="T664" s="11" t="str">
        <f>'data on outstanding creditors'!$C664&amp;" "&amp;'data on outstanding creditors'!$D664&amp;" "&amp;TEXT('data on outstanding creditors'!$E664,"#,##0.00")</f>
        <v>หจก.นางรองคอมพิวเตอร์ เซ็นเตอร์ IV6809-0019 26,750.00</v>
      </c>
      <c r="U664" s="12"/>
    </row>
    <row r="665" ht="13.5" customHeight="1">
      <c r="A665" s="1" t="s">
        <v>1049</v>
      </c>
      <c r="B665" s="2">
        <v>45912.0</v>
      </c>
      <c r="C665" s="9" t="s">
        <v>1050</v>
      </c>
      <c r="D665" s="1" t="s">
        <v>1051</v>
      </c>
      <c r="E665" s="4">
        <v>25000.0</v>
      </c>
      <c r="F665" s="4"/>
      <c r="G665" s="4"/>
      <c r="H665" s="4">
        <f>'data on outstanding creditors'!$E665-'data on outstanding creditors'!$F665-'data on outstanding creditors'!$G665</f>
        <v>25000</v>
      </c>
      <c r="I665" s="2"/>
      <c r="J665" s="1"/>
      <c r="K665" s="2"/>
      <c r="L665" s="5" t="s">
        <v>758</v>
      </c>
      <c r="M665" s="9" t="s">
        <v>1048</v>
      </c>
      <c r="N665" s="9" t="s">
        <v>49</v>
      </c>
      <c r="O665" s="10">
        <f>'data on outstanding creditors'!$E665*100/107</f>
        <v>23364.48598</v>
      </c>
      <c r="P665" s="10">
        <f>'data on outstanding creditors'!$E665-'data on outstanding creditors'!$O665</f>
        <v>1635.514019</v>
      </c>
      <c r="Q665" s="7">
        <f>DAY('data on outstanding creditors'!$B665)</f>
        <v>12</v>
      </c>
      <c r="R665" s="7">
        <f>MONTH('data on outstanding creditors'!$B665)</f>
        <v>9</v>
      </c>
      <c r="S665" s="7">
        <f>YEAR('data on outstanding creditors'!$B665)</f>
        <v>2025</v>
      </c>
      <c r="T665" s="11" t="str">
        <f>'data on outstanding creditors'!$C665&amp;" "&amp;'data on outstanding creditors'!$D665&amp;" "&amp;TEXT('data on outstanding creditors'!$E665,"#,##0.00")</f>
        <v>บ.พีทีโอเอเซ็นเตอร์ I007749 25,000.00</v>
      </c>
      <c r="U665" s="12"/>
    </row>
    <row r="666" ht="13.5" customHeight="1">
      <c r="A666" s="1" t="s">
        <v>1052</v>
      </c>
      <c r="B666" s="2">
        <v>45919.0</v>
      </c>
      <c r="C666" s="9" t="s">
        <v>92</v>
      </c>
      <c r="D666" s="1" t="s">
        <v>1053</v>
      </c>
      <c r="E666" s="4">
        <v>13320.0</v>
      </c>
      <c r="F666" s="4"/>
      <c r="G666" s="4"/>
      <c r="H666" s="4">
        <f>'data on outstanding creditors'!$E666-'data on outstanding creditors'!$F666-'data on outstanding creditors'!$G666</f>
        <v>13320</v>
      </c>
      <c r="I666" s="2"/>
      <c r="J666" s="1" t="s">
        <v>646</v>
      </c>
      <c r="K666" s="2">
        <v>45943.0</v>
      </c>
      <c r="L666" s="5"/>
      <c r="M666" s="9" t="s">
        <v>1048</v>
      </c>
      <c r="N666" s="9" t="s">
        <v>49</v>
      </c>
      <c r="O666" s="10">
        <f>'data on outstanding creditors'!$E666*100/107</f>
        <v>12448.59813</v>
      </c>
      <c r="P666" s="10">
        <f>'data on outstanding creditors'!$E666-'data on outstanding creditors'!$O666</f>
        <v>871.4018692</v>
      </c>
      <c r="Q666" s="7">
        <f>DAY('data on outstanding creditors'!$B666)</f>
        <v>19</v>
      </c>
      <c r="R666" s="7">
        <f>MONTH('data on outstanding creditors'!$B666)</f>
        <v>9</v>
      </c>
      <c r="S666" s="7">
        <f>YEAR('data on outstanding creditors'!$B666)</f>
        <v>2025</v>
      </c>
      <c r="T666" s="11" t="str">
        <f>'data on outstanding creditors'!$C666&amp;" "&amp;'data on outstanding creditors'!$D666&amp;" "&amp;TEXT('data on outstanding creditors'!$E666,"#,##0.00")</f>
        <v>หจก.นางรองคอมพิวเตอร์ เซ็นเตอร์ IV6809-0106 13,320.00</v>
      </c>
      <c r="U666" s="12"/>
    </row>
    <row r="667" ht="13.5" customHeight="1">
      <c r="A667" s="1" t="s">
        <v>1054</v>
      </c>
      <c r="B667" s="2">
        <v>45924.0</v>
      </c>
      <c r="C667" s="9" t="s">
        <v>149</v>
      </c>
      <c r="D667" s="1" t="s">
        <v>1055</v>
      </c>
      <c r="E667" s="4">
        <v>8820.0</v>
      </c>
      <c r="F667" s="4"/>
      <c r="G667" s="4"/>
      <c r="H667" s="4">
        <f>'data on outstanding creditors'!$E667-'data on outstanding creditors'!$F667-'data on outstanding creditors'!$G667</f>
        <v>8820</v>
      </c>
      <c r="I667" s="2"/>
      <c r="J667" s="1" t="s">
        <v>646</v>
      </c>
      <c r="K667" s="2">
        <v>45943.0</v>
      </c>
      <c r="L667" s="5"/>
      <c r="M667" s="9" t="s">
        <v>1048</v>
      </c>
      <c r="N667" s="9" t="s">
        <v>49</v>
      </c>
      <c r="O667" s="10">
        <f>'data on outstanding creditors'!$E667*100/107</f>
        <v>8242.990654</v>
      </c>
      <c r="P667" s="10">
        <f>'data on outstanding creditors'!$E667-'data on outstanding creditors'!$O667</f>
        <v>577.0093458</v>
      </c>
      <c r="Q667" s="7">
        <f>DAY('data on outstanding creditors'!$B667)</f>
        <v>24</v>
      </c>
      <c r="R667" s="7">
        <f>MONTH('data on outstanding creditors'!$B667)</f>
        <v>9</v>
      </c>
      <c r="S667" s="7">
        <f>YEAR('data on outstanding creditors'!$B667)</f>
        <v>2025</v>
      </c>
      <c r="T667" s="11" t="str">
        <f>'data on outstanding creditors'!$C667&amp;" "&amp;'data on outstanding creditors'!$D667&amp;" "&amp;TEXT('data on outstanding creditors'!$E667,"#,##0.00")</f>
        <v>หจก.บุรีรัมย์ซัพพลายอีเล็คโทรนิค I68/000623 8,820.00</v>
      </c>
      <c r="U667" s="12"/>
    </row>
    <row r="668" ht="13.5" customHeight="1">
      <c r="A668" s="1" t="s">
        <v>1056</v>
      </c>
      <c r="B668" s="2">
        <v>45937.0</v>
      </c>
      <c r="C668" s="9" t="s">
        <v>92</v>
      </c>
      <c r="D668" s="1" t="s">
        <v>1057</v>
      </c>
      <c r="E668" s="4">
        <v>6925.0</v>
      </c>
      <c r="F668" s="4"/>
      <c r="G668" s="4"/>
      <c r="H668" s="4">
        <f>'data on outstanding creditors'!$E668-'data on outstanding creditors'!$F668-'data on outstanding creditors'!$G668</f>
        <v>6925</v>
      </c>
      <c r="I668" s="2"/>
      <c r="J668" s="1"/>
      <c r="K668" s="2"/>
      <c r="L668" s="5"/>
      <c r="M668" s="9" t="s">
        <v>1048</v>
      </c>
      <c r="N668" s="9" t="s">
        <v>49</v>
      </c>
      <c r="O668" s="10">
        <f>'data on outstanding creditors'!$E668*100/107</f>
        <v>6471.962617</v>
      </c>
      <c r="P668" s="10">
        <f>'data on outstanding creditors'!$E668-'data on outstanding creditors'!$O668</f>
        <v>453.0373832</v>
      </c>
      <c r="Q668" s="7">
        <f>DAY('data on outstanding creditors'!$B668)</f>
        <v>7</v>
      </c>
      <c r="R668" s="7">
        <f>MONTH('data on outstanding creditors'!$B668)</f>
        <v>10</v>
      </c>
      <c r="S668" s="7">
        <f>YEAR('data on outstanding creditors'!$B668)</f>
        <v>2025</v>
      </c>
      <c r="T668" s="11" t="str">
        <f>'data on outstanding creditors'!$C668&amp;" "&amp;'data on outstanding creditors'!$D668&amp;" "&amp;TEXT('data on outstanding creditors'!$E668,"#,##0.00")</f>
        <v>หจก.นางรองคอมพิวเตอร์ เซ็นเตอร์ IV2510-067109 6,925.00</v>
      </c>
      <c r="U668" s="12"/>
    </row>
    <row r="669" ht="13.5" customHeight="1">
      <c r="A669" s="1" t="s">
        <v>1058</v>
      </c>
      <c r="B669" s="2">
        <v>45798.0</v>
      </c>
      <c r="C669" s="9" t="s">
        <v>1059</v>
      </c>
      <c r="D669" s="1" t="s">
        <v>1060</v>
      </c>
      <c r="E669" s="4">
        <v>6800.0</v>
      </c>
      <c r="F669" s="4"/>
      <c r="G669" s="4"/>
      <c r="H669" s="4">
        <f>'data on outstanding creditors'!$E669-'data on outstanding creditors'!$F669-'data on outstanding creditors'!$G669</f>
        <v>6800</v>
      </c>
      <c r="I669" s="2"/>
      <c r="J669" s="1" t="s">
        <v>646</v>
      </c>
      <c r="K669" s="2">
        <v>45877.0</v>
      </c>
      <c r="L669" s="5"/>
      <c r="M669" s="9" t="s">
        <v>1061</v>
      </c>
      <c r="N669" s="9" t="s">
        <v>49</v>
      </c>
      <c r="O669" s="10">
        <f>'data on outstanding creditors'!$E669*100/107</f>
        <v>6355.140187</v>
      </c>
      <c r="P669" s="10">
        <f>'data on outstanding creditors'!$E669-'data on outstanding creditors'!$O669</f>
        <v>444.8598131</v>
      </c>
      <c r="Q669" s="7">
        <f>DAY('data on outstanding creditors'!$B669)</f>
        <v>21</v>
      </c>
      <c r="R669" s="7">
        <f>MONTH('data on outstanding creditors'!$B669)</f>
        <v>5</v>
      </c>
      <c r="S669" s="7">
        <f>YEAR('data on outstanding creditors'!$B669)</f>
        <v>2025</v>
      </c>
      <c r="T669" s="11" t="str">
        <f>'data on outstanding creditors'!$C669&amp;" "&amp;'data on outstanding creditors'!$D669&amp;" "&amp;TEXT('data on outstanding creditors'!$E669,"#,##0.00")</f>
        <v>หจก.ภาสิน 62128 6,800.00</v>
      </c>
      <c r="U669" s="12"/>
    </row>
    <row r="670" ht="13.5" customHeight="1">
      <c r="A670" s="1" t="s">
        <v>1062</v>
      </c>
      <c r="B670" s="2">
        <v>45862.0</v>
      </c>
      <c r="C670" s="9" t="s">
        <v>1059</v>
      </c>
      <c r="D670" s="1" t="s">
        <v>1063</v>
      </c>
      <c r="E670" s="4">
        <v>6800.0</v>
      </c>
      <c r="F670" s="4"/>
      <c r="G670" s="4"/>
      <c r="H670" s="4">
        <f>'data on outstanding creditors'!$E670-'data on outstanding creditors'!$F670-'data on outstanding creditors'!$G670</f>
        <v>6800</v>
      </c>
      <c r="I670" s="2"/>
      <c r="J670" s="1" t="s">
        <v>646</v>
      </c>
      <c r="K670" s="2">
        <v>45929.0</v>
      </c>
      <c r="L670" s="5"/>
      <c r="M670" s="9" t="s">
        <v>1061</v>
      </c>
      <c r="N670" s="9" t="s">
        <v>49</v>
      </c>
      <c r="O670" s="10">
        <f>'data on outstanding creditors'!$E670*100/107</f>
        <v>6355.140187</v>
      </c>
      <c r="P670" s="10">
        <f>'data on outstanding creditors'!$E670-'data on outstanding creditors'!$O670</f>
        <v>444.8598131</v>
      </c>
      <c r="Q670" s="7">
        <f>DAY('data on outstanding creditors'!$B670)</f>
        <v>24</v>
      </c>
      <c r="R670" s="7">
        <f>MONTH('data on outstanding creditors'!$B670)</f>
        <v>7</v>
      </c>
      <c r="S670" s="7">
        <f>YEAR('data on outstanding creditors'!$B670)</f>
        <v>2025</v>
      </c>
      <c r="T670" s="11" t="str">
        <f>'data on outstanding creditors'!$C670&amp;" "&amp;'data on outstanding creditors'!$D670&amp;" "&amp;TEXT('data on outstanding creditors'!$E670,"#,##0.00")</f>
        <v>หจก.ภาสิน 62854 6,800.00</v>
      </c>
      <c r="U670" s="12"/>
    </row>
    <row r="671" ht="13.5" customHeight="1">
      <c r="A671" s="1" t="s">
        <v>1064</v>
      </c>
      <c r="B671" s="2">
        <v>45882.0</v>
      </c>
      <c r="C671" s="9" t="s">
        <v>1065</v>
      </c>
      <c r="D671" s="1" t="s">
        <v>1066</v>
      </c>
      <c r="E671" s="4">
        <v>72000.0</v>
      </c>
      <c r="F671" s="4"/>
      <c r="G671" s="4"/>
      <c r="H671" s="4">
        <f>'data on outstanding creditors'!$E671-'data on outstanding creditors'!$F671-'data on outstanding creditors'!$G671</f>
        <v>72000</v>
      </c>
      <c r="I671" s="2"/>
      <c r="J671" s="1" t="s">
        <v>646</v>
      </c>
      <c r="K671" s="2">
        <v>45954.0</v>
      </c>
      <c r="L671" s="5"/>
      <c r="M671" s="9" t="s">
        <v>1061</v>
      </c>
      <c r="N671" s="9" t="s">
        <v>49</v>
      </c>
      <c r="O671" s="10">
        <f>'data on outstanding creditors'!$E671*100/107</f>
        <v>67289.71963</v>
      </c>
      <c r="P671" s="10">
        <f>'data on outstanding creditors'!$E671-'data on outstanding creditors'!$O671</f>
        <v>4710.280374</v>
      </c>
      <c r="Q671" s="7">
        <f>DAY('data on outstanding creditors'!$B671)</f>
        <v>13</v>
      </c>
      <c r="R671" s="7">
        <f>MONTH('data on outstanding creditors'!$B671)</f>
        <v>8</v>
      </c>
      <c r="S671" s="7">
        <f>YEAR('data on outstanding creditors'!$B671)</f>
        <v>2025</v>
      </c>
      <c r="T671" s="11" t="str">
        <f>'data on outstanding creditors'!$C671&amp;" "&amp;'data on outstanding creditors'!$D671&amp;" "&amp;TEXT('data on outstanding creditors'!$E671,"#,##0.00")</f>
        <v>หจก.กิจเจริญ เลเบล แอนด์พริ้น TI0825734 72,000.00</v>
      </c>
      <c r="U671" s="12"/>
    </row>
    <row r="672" ht="13.5" customHeight="1">
      <c r="A672" s="1" t="s">
        <v>1067</v>
      </c>
      <c r="B672" s="2">
        <v>45890.0</v>
      </c>
      <c r="C672" s="9" t="s">
        <v>1065</v>
      </c>
      <c r="D672" s="1" t="s">
        <v>1068</v>
      </c>
      <c r="E672" s="4">
        <v>10000.0</v>
      </c>
      <c r="F672" s="4"/>
      <c r="G672" s="4"/>
      <c r="H672" s="4">
        <f>'data on outstanding creditors'!$E672-'data on outstanding creditors'!$F672-'data on outstanding creditors'!$G672</f>
        <v>10000</v>
      </c>
      <c r="I672" s="2"/>
      <c r="J672" s="1" t="s">
        <v>646</v>
      </c>
      <c r="K672" s="2">
        <v>45954.0</v>
      </c>
      <c r="L672" s="5"/>
      <c r="M672" s="9" t="s">
        <v>1061</v>
      </c>
      <c r="N672" s="9" t="s">
        <v>49</v>
      </c>
      <c r="O672" s="10">
        <f>'data on outstanding creditors'!$E672*100/107</f>
        <v>9345.794393</v>
      </c>
      <c r="P672" s="10">
        <f>'data on outstanding creditors'!$E672-'data on outstanding creditors'!$O672</f>
        <v>654.2056075</v>
      </c>
      <c r="Q672" s="7">
        <f>DAY('data on outstanding creditors'!$B672)</f>
        <v>21</v>
      </c>
      <c r="R672" s="7">
        <f>MONTH('data on outstanding creditors'!$B672)</f>
        <v>8</v>
      </c>
      <c r="S672" s="7">
        <f>YEAR('data on outstanding creditors'!$B672)</f>
        <v>2025</v>
      </c>
      <c r="T672" s="11" t="str">
        <f>'data on outstanding creditors'!$C672&amp;" "&amp;'data on outstanding creditors'!$D672&amp;" "&amp;TEXT('data on outstanding creditors'!$E672,"#,##0.00")</f>
        <v>หจก.กิจเจริญ เลเบล แอนด์พริ้น TI0825760 10,000.00</v>
      </c>
      <c r="U672" s="12"/>
    </row>
    <row r="673" ht="13.5" customHeight="1">
      <c r="A673" s="1" t="s">
        <v>1069</v>
      </c>
      <c r="B673" s="2">
        <v>45896.0</v>
      </c>
      <c r="C673" s="9" t="s">
        <v>1059</v>
      </c>
      <c r="D673" s="1" t="s">
        <v>1070</v>
      </c>
      <c r="E673" s="4">
        <v>6800.0</v>
      </c>
      <c r="F673" s="4"/>
      <c r="G673" s="4"/>
      <c r="H673" s="4">
        <f>'data on outstanding creditors'!$E673-'data on outstanding creditors'!$F673-'data on outstanding creditors'!$G673</f>
        <v>6800</v>
      </c>
      <c r="I673" s="2"/>
      <c r="J673" s="1" t="s">
        <v>757</v>
      </c>
      <c r="K673" s="2">
        <v>45960.0</v>
      </c>
      <c r="L673" s="5"/>
      <c r="M673" s="9" t="s">
        <v>1061</v>
      </c>
      <c r="N673" s="9" t="s">
        <v>49</v>
      </c>
      <c r="O673" s="10">
        <f>'data on outstanding creditors'!$E673*100/107</f>
        <v>6355.140187</v>
      </c>
      <c r="P673" s="10">
        <f>'data on outstanding creditors'!$E673-'data on outstanding creditors'!$O673</f>
        <v>444.8598131</v>
      </c>
      <c r="Q673" s="7">
        <f>DAY('data on outstanding creditors'!$B673)</f>
        <v>27</v>
      </c>
      <c r="R673" s="7">
        <f>MONTH('data on outstanding creditors'!$B673)</f>
        <v>8</v>
      </c>
      <c r="S673" s="7">
        <f>YEAR('data on outstanding creditors'!$B673)</f>
        <v>2025</v>
      </c>
      <c r="T673" s="11" t="str">
        <f>'data on outstanding creditors'!$C673&amp;" "&amp;'data on outstanding creditors'!$D673&amp;" "&amp;TEXT('data on outstanding creditors'!$E673,"#,##0.00")</f>
        <v>หจก.ภาสิน 63410 6,800.00</v>
      </c>
      <c r="U673" s="12"/>
    </row>
    <row r="674" ht="13.5" customHeight="1">
      <c r="A674" s="1" t="s">
        <v>1071</v>
      </c>
      <c r="B674" s="2">
        <v>45915.0</v>
      </c>
      <c r="C674" s="9" t="s">
        <v>1065</v>
      </c>
      <c r="D674" s="1" t="s">
        <v>1072</v>
      </c>
      <c r="E674" s="4">
        <v>24000.0</v>
      </c>
      <c r="F674" s="4"/>
      <c r="G674" s="4"/>
      <c r="H674" s="4">
        <f>'data on outstanding creditors'!$E674-'data on outstanding creditors'!$F674-'data on outstanding creditors'!$G674</f>
        <v>24000</v>
      </c>
      <c r="I674" s="2"/>
      <c r="J674" s="1" t="s">
        <v>757</v>
      </c>
      <c r="K674" s="2">
        <v>45935.0</v>
      </c>
      <c r="L674" s="5"/>
      <c r="M674" s="9" t="s">
        <v>1061</v>
      </c>
      <c r="N674" s="9" t="s">
        <v>49</v>
      </c>
      <c r="O674" s="10">
        <f>'data on outstanding creditors'!$E674*100/107</f>
        <v>22429.90654</v>
      </c>
      <c r="P674" s="10">
        <f>'data on outstanding creditors'!$E674-'data on outstanding creditors'!$O674</f>
        <v>1570.093458</v>
      </c>
      <c r="Q674" s="7">
        <f>DAY('data on outstanding creditors'!$B674)</f>
        <v>15</v>
      </c>
      <c r="R674" s="7">
        <f>MONTH('data on outstanding creditors'!$B674)</f>
        <v>9</v>
      </c>
      <c r="S674" s="7">
        <f>YEAR('data on outstanding creditors'!$B674)</f>
        <v>2025</v>
      </c>
      <c r="T674" s="11" t="str">
        <f>'data on outstanding creditors'!$C674&amp;" "&amp;'data on outstanding creditors'!$D674&amp;" "&amp;TEXT('data on outstanding creditors'!$E674,"#,##0.00")</f>
        <v>หจก.กิจเจริญ เลเบล แอนด์พริ้น TI0925855 24,000.00</v>
      </c>
      <c r="U674" s="12"/>
    </row>
    <row r="675" ht="13.5" customHeight="1">
      <c r="A675" s="1" t="s">
        <v>1073</v>
      </c>
      <c r="B675" s="2">
        <v>45916.0</v>
      </c>
      <c r="C675" s="9" t="s">
        <v>1074</v>
      </c>
      <c r="D675" s="1" t="s">
        <v>1075</v>
      </c>
      <c r="E675" s="4">
        <v>25850.0</v>
      </c>
      <c r="F675" s="4"/>
      <c r="G675" s="4"/>
      <c r="H675" s="4">
        <f>'data on outstanding creditors'!$E675-'data on outstanding creditors'!$F675-'data on outstanding creditors'!$G675</f>
        <v>25850</v>
      </c>
      <c r="I675" s="2"/>
      <c r="J675" s="1" t="s">
        <v>646</v>
      </c>
      <c r="K675" s="2">
        <v>45943.0</v>
      </c>
      <c r="L675" s="5"/>
      <c r="M675" s="9" t="s">
        <v>1061</v>
      </c>
      <c r="N675" s="9" t="s">
        <v>49</v>
      </c>
      <c r="O675" s="10">
        <f>'data on outstanding creditors'!$E675*100/107</f>
        <v>24158.8785</v>
      </c>
      <c r="P675" s="10">
        <f>'data on outstanding creditors'!$E675-'data on outstanding creditors'!$O675</f>
        <v>1691.121495</v>
      </c>
      <c r="Q675" s="7">
        <f>DAY('data on outstanding creditors'!$B675)</f>
        <v>16</v>
      </c>
      <c r="R675" s="7">
        <f>MONTH('data on outstanding creditors'!$B675)</f>
        <v>9</v>
      </c>
      <c r="S675" s="7">
        <f>YEAR('data on outstanding creditors'!$B675)</f>
        <v>2025</v>
      </c>
      <c r="T675" s="11" t="str">
        <f>'data on outstanding creditors'!$C675&amp;" "&amp;'data on outstanding creditors'!$D675&amp;" "&amp;TEXT('data on outstanding creditors'!$E675,"#,##0.00")</f>
        <v>หจก.ไอที.โปรเจค 028/01366 25,850.00</v>
      </c>
      <c r="U675" s="12"/>
    </row>
    <row r="676" ht="13.5" customHeight="1">
      <c r="A676" s="1" t="s">
        <v>1076</v>
      </c>
      <c r="B676" s="2">
        <v>45922.0</v>
      </c>
      <c r="C676" s="9" t="s">
        <v>1059</v>
      </c>
      <c r="D676" s="1" t="s">
        <v>1077</v>
      </c>
      <c r="E676" s="4">
        <v>40000.0</v>
      </c>
      <c r="F676" s="4"/>
      <c r="G676" s="4"/>
      <c r="H676" s="4">
        <f>'data on outstanding creditors'!$E676-'data on outstanding creditors'!$F676-'data on outstanding creditors'!$G676</f>
        <v>40000</v>
      </c>
      <c r="I676" s="2"/>
      <c r="J676" s="1" t="s">
        <v>757</v>
      </c>
      <c r="K676" s="2">
        <v>45935.0</v>
      </c>
      <c r="L676" s="5"/>
      <c r="M676" s="9" t="s">
        <v>1061</v>
      </c>
      <c r="N676" s="9" t="s">
        <v>49</v>
      </c>
      <c r="O676" s="10">
        <f>'data on outstanding creditors'!$E676*100/107</f>
        <v>37383.17757</v>
      </c>
      <c r="P676" s="10">
        <f>'data on outstanding creditors'!$E676-'data on outstanding creditors'!$O676</f>
        <v>2616.82243</v>
      </c>
      <c r="Q676" s="7">
        <f>DAY('data on outstanding creditors'!$B676)</f>
        <v>22</v>
      </c>
      <c r="R676" s="7">
        <f>MONTH('data on outstanding creditors'!$B676)</f>
        <v>9</v>
      </c>
      <c r="S676" s="7">
        <f>YEAR('data on outstanding creditors'!$B676)</f>
        <v>2025</v>
      </c>
      <c r="T676" s="11" t="str">
        <f>'data on outstanding creditors'!$C676&amp;" "&amp;'data on outstanding creditors'!$D676&amp;" "&amp;TEXT('data on outstanding creditors'!$E676,"#,##0.00")</f>
        <v>หจก.ภาสิน 63590 40,000.00</v>
      </c>
      <c r="U676" s="12"/>
    </row>
    <row r="677" ht="13.5" customHeight="1">
      <c r="A677" s="1" t="s">
        <v>1078</v>
      </c>
      <c r="B677" s="2">
        <v>45863.0</v>
      </c>
      <c r="C677" s="9" t="s">
        <v>520</v>
      </c>
      <c r="D677" s="1" t="s">
        <v>1079</v>
      </c>
      <c r="E677" s="4">
        <v>26964.0</v>
      </c>
      <c r="F677" s="4"/>
      <c r="G677" s="4"/>
      <c r="H677" s="4">
        <f>'data on outstanding creditors'!$E677-'data on outstanding creditors'!$F677-'data on outstanding creditors'!$G677</f>
        <v>26964</v>
      </c>
      <c r="I677" s="2"/>
      <c r="J677" s="1" t="s">
        <v>646</v>
      </c>
      <c r="K677" s="2">
        <v>45943.0</v>
      </c>
      <c r="L677" s="5"/>
      <c r="M677" s="9" t="s">
        <v>744</v>
      </c>
      <c r="N677" s="9" t="s">
        <v>49</v>
      </c>
      <c r="O677" s="10">
        <f>'data on outstanding creditors'!$E677*100/107</f>
        <v>25200</v>
      </c>
      <c r="P677" s="10">
        <f>'data on outstanding creditors'!$E677-'data on outstanding creditors'!$O677</f>
        <v>1764</v>
      </c>
      <c r="Q677" s="7">
        <f>DAY('data on outstanding creditors'!$B677)</f>
        <v>25</v>
      </c>
      <c r="R677" s="7">
        <f>MONTH('data on outstanding creditors'!$B677)</f>
        <v>7</v>
      </c>
      <c r="S677" s="7">
        <f>YEAR('data on outstanding creditors'!$B677)</f>
        <v>2025</v>
      </c>
      <c r="T677" s="11" t="str">
        <f>'data on outstanding creditors'!$C677&amp;" "&amp;'data on outstanding creditors'!$D677&amp;" "&amp;TEXT('data on outstanding creditors'!$E677,"#,##0.00")</f>
        <v>บ.ซิลลิคฟาร์มา 1317702264 26,964.00</v>
      </c>
      <c r="U677" s="12"/>
    </row>
    <row r="678" ht="13.5" customHeight="1">
      <c r="A678" s="1" t="s">
        <v>1080</v>
      </c>
      <c r="B678" s="2">
        <v>45863.0</v>
      </c>
      <c r="C678" s="9" t="s">
        <v>520</v>
      </c>
      <c r="D678" s="1" t="s">
        <v>1081</v>
      </c>
      <c r="E678" s="4">
        <v>59706.0</v>
      </c>
      <c r="F678" s="4"/>
      <c r="G678" s="4"/>
      <c r="H678" s="4">
        <f>'data on outstanding creditors'!$E678-'data on outstanding creditors'!$F678-'data on outstanding creditors'!$G678</f>
        <v>59706</v>
      </c>
      <c r="I678" s="2"/>
      <c r="J678" s="1" t="s">
        <v>646</v>
      </c>
      <c r="K678" s="2">
        <v>45943.0</v>
      </c>
      <c r="L678" s="5"/>
      <c r="M678" s="9" t="s">
        <v>744</v>
      </c>
      <c r="N678" s="9" t="s">
        <v>49</v>
      </c>
      <c r="O678" s="10">
        <f>'data on outstanding creditors'!$E678*100/107</f>
        <v>55800</v>
      </c>
      <c r="P678" s="10">
        <f>'data on outstanding creditors'!$E678-'data on outstanding creditors'!$O678</f>
        <v>3906</v>
      </c>
      <c r="Q678" s="7">
        <f>DAY('data on outstanding creditors'!$B678)</f>
        <v>25</v>
      </c>
      <c r="R678" s="7">
        <f>MONTH('data on outstanding creditors'!$B678)</f>
        <v>7</v>
      </c>
      <c r="S678" s="7">
        <f>YEAR('data on outstanding creditors'!$B678)</f>
        <v>2025</v>
      </c>
      <c r="T678" s="11" t="str">
        <f>'data on outstanding creditors'!$C678&amp;" "&amp;'data on outstanding creditors'!$D678&amp;" "&amp;TEXT('data on outstanding creditors'!$E678,"#,##0.00")</f>
        <v>บ.ซิลลิคฟาร์มา 1317702186 59,706.00</v>
      </c>
      <c r="U678" s="12"/>
    </row>
    <row r="679" ht="13.5" customHeight="1">
      <c r="A679" s="1" t="s">
        <v>1082</v>
      </c>
      <c r="B679" s="2">
        <v>45896.0</v>
      </c>
      <c r="C679" s="9" t="s">
        <v>520</v>
      </c>
      <c r="D679" s="1" t="s">
        <v>1083</v>
      </c>
      <c r="E679" s="4">
        <v>26964.0</v>
      </c>
      <c r="F679" s="4"/>
      <c r="G679" s="4"/>
      <c r="H679" s="4">
        <f>'data on outstanding creditors'!$E679-'data on outstanding creditors'!$F679-'data on outstanding creditors'!$G679</f>
        <v>26964</v>
      </c>
      <c r="I679" s="2"/>
      <c r="J679" s="1" t="s">
        <v>757</v>
      </c>
      <c r="K679" s="2">
        <v>45960.0</v>
      </c>
      <c r="L679" s="5"/>
      <c r="M679" s="9" t="s">
        <v>744</v>
      </c>
      <c r="N679" s="9" t="s">
        <v>49</v>
      </c>
      <c r="O679" s="10">
        <f>'data on outstanding creditors'!$E679*100/107</f>
        <v>25200</v>
      </c>
      <c r="P679" s="10">
        <f>'data on outstanding creditors'!$E679-'data on outstanding creditors'!$O679</f>
        <v>1764</v>
      </c>
      <c r="Q679" s="7">
        <f>DAY('data on outstanding creditors'!$B679)</f>
        <v>27</v>
      </c>
      <c r="R679" s="7">
        <f>MONTH('data on outstanding creditors'!$B679)</f>
        <v>8</v>
      </c>
      <c r="S679" s="7">
        <f>YEAR('data on outstanding creditors'!$B679)</f>
        <v>2025</v>
      </c>
      <c r="T679" s="11" t="str">
        <f>'data on outstanding creditors'!$C679&amp;" "&amp;'data on outstanding creditors'!$D679&amp;" "&amp;TEXT('data on outstanding creditors'!$E679,"#,##0.00")</f>
        <v>บ.ซิลลิคฟาร์มา 1317981020 26,964.00</v>
      </c>
      <c r="U679" s="12"/>
    </row>
    <row r="680" ht="13.5" customHeight="1">
      <c r="A680" s="1" t="s">
        <v>1084</v>
      </c>
      <c r="B680" s="2">
        <v>45897.0</v>
      </c>
      <c r="C680" s="9" t="s">
        <v>520</v>
      </c>
      <c r="D680" s="1" t="s">
        <v>1085</v>
      </c>
      <c r="E680" s="4">
        <v>59706.0</v>
      </c>
      <c r="F680" s="4"/>
      <c r="G680" s="4"/>
      <c r="H680" s="4">
        <f>'data on outstanding creditors'!$E680-'data on outstanding creditors'!$F680-'data on outstanding creditors'!$G680</f>
        <v>59706</v>
      </c>
      <c r="I680" s="2"/>
      <c r="J680" s="1" t="s">
        <v>757</v>
      </c>
      <c r="K680" s="2">
        <v>45960.0</v>
      </c>
      <c r="L680" s="5"/>
      <c r="M680" s="9" t="s">
        <v>744</v>
      </c>
      <c r="N680" s="9" t="s">
        <v>49</v>
      </c>
      <c r="O680" s="10">
        <f>'data on outstanding creditors'!$E680*100/107</f>
        <v>55800</v>
      </c>
      <c r="P680" s="10">
        <f>'data on outstanding creditors'!$E680-'data on outstanding creditors'!$O680</f>
        <v>3906</v>
      </c>
      <c r="Q680" s="7">
        <f>DAY('data on outstanding creditors'!$B680)</f>
        <v>28</v>
      </c>
      <c r="R680" s="7">
        <f>MONTH('data on outstanding creditors'!$B680)</f>
        <v>8</v>
      </c>
      <c r="S680" s="7">
        <f>YEAR('data on outstanding creditors'!$B680)</f>
        <v>2025</v>
      </c>
      <c r="T680" s="11" t="str">
        <f>'data on outstanding creditors'!$C680&amp;" "&amp;'data on outstanding creditors'!$D680&amp;" "&amp;TEXT('data on outstanding creditors'!$E680,"#,##0.00")</f>
        <v>บ.ซิลลิคฟาร์มา 1317981006 59,706.00</v>
      </c>
      <c r="U680" s="12"/>
    </row>
    <row r="681" ht="13.5" customHeight="1">
      <c r="A681" s="1" t="s">
        <v>1086</v>
      </c>
      <c r="B681" s="2">
        <v>45814.0</v>
      </c>
      <c r="C681" s="9" t="s">
        <v>1087</v>
      </c>
      <c r="D681" s="1" t="s">
        <v>1088</v>
      </c>
      <c r="E681" s="4">
        <v>5500.0</v>
      </c>
      <c r="F681" s="4"/>
      <c r="G681" s="4"/>
      <c r="H681" s="4">
        <f>'data on outstanding creditors'!$E681-'data on outstanding creditors'!$F681-'data on outstanding creditors'!$G681</f>
        <v>5500</v>
      </c>
      <c r="I681" s="2"/>
      <c r="J681" s="1" t="s">
        <v>646</v>
      </c>
      <c r="K681" s="2">
        <v>45897.0</v>
      </c>
      <c r="L681" s="5"/>
      <c r="M681" s="9" t="s">
        <v>1089</v>
      </c>
      <c r="N681" s="9" t="s">
        <v>49</v>
      </c>
      <c r="O681" s="10">
        <f>'data on outstanding creditors'!$E681*100/107</f>
        <v>5140.186916</v>
      </c>
      <c r="P681" s="10">
        <f>'data on outstanding creditors'!$E681-'data on outstanding creditors'!$O681</f>
        <v>359.8130841</v>
      </c>
      <c r="Q681" s="7">
        <f>DAY('data on outstanding creditors'!$B681)</f>
        <v>6</v>
      </c>
      <c r="R681" s="7">
        <f>MONTH('data on outstanding creditors'!$B681)</f>
        <v>6</v>
      </c>
      <c r="S681" s="7">
        <f>YEAR('data on outstanding creditors'!$B681)</f>
        <v>2025</v>
      </c>
      <c r="T681" s="11" t="str">
        <f>'data on outstanding creditors'!$C681&amp;" "&amp;'data on outstanding creditors'!$D681&amp;" "&amp;TEXT('data on outstanding creditors'!$E681,"#,##0.00")</f>
        <v>หจก.ดิษยาพรรณ 68-06-0006 5,500.00</v>
      </c>
      <c r="U681" s="12"/>
    </row>
    <row r="682" ht="13.5" customHeight="1">
      <c r="A682" s="1" t="s">
        <v>1090</v>
      </c>
      <c r="B682" s="2">
        <v>45832.0</v>
      </c>
      <c r="C682" s="9" t="s">
        <v>1087</v>
      </c>
      <c r="D682" s="1" t="s">
        <v>1091</v>
      </c>
      <c r="E682" s="4">
        <v>101000.0</v>
      </c>
      <c r="F682" s="4"/>
      <c r="G682" s="4"/>
      <c r="H682" s="4">
        <f>'data on outstanding creditors'!$E682-'data on outstanding creditors'!$F682-'data on outstanding creditors'!$G682</f>
        <v>101000</v>
      </c>
      <c r="I682" s="2"/>
      <c r="J682" s="1" t="s">
        <v>646</v>
      </c>
      <c r="K682" s="2">
        <v>45897.0</v>
      </c>
      <c r="L682" s="5"/>
      <c r="M682" s="9" t="s">
        <v>1089</v>
      </c>
      <c r="N682" s="9" t="s">
        <v>49</v>
      </c>
      <c r="O682" s="10">
        <f>'data on outstanding creditors'!$E682*100/107</f>
        <v>94392.52336</v>
      </c>
      <c r="P682" s="10">
        <f>'data on outstanding creditors'!$E682-'data on outstanding creditors'!$O682</f>
        <v>6607.476636</v>
      </c>
      <c r="Q682" s="7">
        <f>DAY('data on outstanding creditors'!$B682)</f>
        <v>24</v>
      </c>
      <c r="R682" s="7">
        <f>MONTH('data on outstanding creditors'!$B682)</f>
        <v>6</v>
      </c>
      <c r="S682" s="7">
        <f>YEAR('data on outstanding creditors'!$B682)</f>
        <v>2025</v>
      </c>
      <c r="T682" s="11" t="str">
        <f>'data on outstanding creditors'!$C682&amp;" "&amp;'data on outstanding creditors'!$D682&amp;" "&amp;TEXT('data on outstanding creditors'!$E682,"#,##0.00")</f>
        <v>หจก.ดิษยาพรรณ 68-06-0014 101,000.00</v>
      </c>
      <c r="U682" s="12"/>
    </row>
    <row r="683" ht="13.5" customHeight="1">
      <c r="A683" s="1" t="s">
        <v>1092</v>
      </c>
      <c r="B683" s="2">
        <v>45832.0</v>
      </c>
      <c r="C683" s="9" t="s">
        <v>1093</v>
      </c>
      <c r="D683" s="1" t="s">
        <v>1094</v>
      </c>
      <c r="E683" s="4">
        <v>31000.0</v>
      </c>
      <c r="F683" s="4"/>
      <c r="G683" s="4"/>
      <c r="H683" s="4">
        <f>'data on outstanding creditors'!$E683-'data on outstanding creditors'!$F683-'data on outstanding creditors'!$G683</f>
        <v>31000</v>
      </c>
      <c r="I683" s="2"/>
      <c r="J683" s="1" t="s">
        <v>646</v>
      </c>
      <c r="K683" s="2">
        <v>45929.0</v>
      </c>
      <c r="L683" s="5"/>
      <c r="M683" s="9" t="s">
        <v>1089</v>
      </c>
      <c r="N683" s="9" t="s">
        <v>49</v>
      </c>
      <c r="O683" s="10">
        <f>'data on outstanding creditors'!$E683*100/107</f>
        <v>28971.96262</v>
      </c>
      <c r="P683" s="10">
        <f>'data on outstanding creditors'!$E683-'data on outstanding creditors'!$O683</f>
        <v>2028.037383</v>
      </c>
      <c r="Q683" s="7">
        <f>DAY('data on outstanding creditors'!$B683)</f>
        <v>24</v>
      </c>
      <c r="R683" s="7">
        <f>MONTH('data on outstanding creditors'!$B683)</f>
        <v>6</v>
      </c>
      <c r="S683" s="7">
        <f>YEAR('data on outstanding creditors'!$B683)</f>
        <v>2025</v>
      </c>
      <c r="T683" s="11" t="str">
        <f>'data on outstanding creditors'!$C683&amp;" "&amp;'data on outstanding creditors'!$D683&amp;" "&amp;TEXT('data on outstanding creditors'!$E683,"#,##0.00")</f>
        <v>หจก.ศ.ณัฐวุฒิมาร์เก็ตติ้ง 2055 31,000.00</v>
      </c>
      <c r="U683" s="12"/>
    </row>
    <row r="684" ht="13.5" customHeight="1">
      <c r="A684" s="1" t="s">
        <v>1095</v>
      </c>
      <c r="B684" s="2">
        <v>45838.0</v>
      </c>
      <c r="C684" s="9" t="s">
        <v>1096</v>
      </c>
      <c r="D684" s="1" t="s">
        <v>1097</v>
      </c>
      <c r="E684" s="4">
        <v>39750.0</v>
      </c>
      <c r="F684" s="4"/>
      <c r="G684" s="4"/>
      <c r="H684" s="4">
        <f>'data on outstanding creditors'!$E684-'data on outstanding creditors'!$F684-'data on outstanding creditors'!$G684</f>
        <v>39750</v>
      </c>
      <c r="I684" s="2"/>
      <c r="J684" s="1" t="s">
        <v>646</v>
      </c>
      <c r="K684" s="2">
        <v>45954.0</v>
      </c>
      <c r="L684" s="5"/>
      <c r="M684" s="9" t="s">
        <v>1089</v>
      </c>
      <c r="N684" s="9" t="s">
        <v>49</v>
      </c>
      <c r="O684" s="10">
        <f>'data on outstanding creditors'!$E684*100/107</f>
        <v>37149.53271</v>
      </c>
      <c r="P684" s="10">
        <f>'data on outstanding creditors'!$E684-'data on outstanding creditors'!$O684</f>
        <v>2600.46729</v>
      </c>
      <c r="Q684" s="7">
        <f>DAY('data on outstanding creditors'!$B684)</f>
        <v>30</v>
      </c>
      <c r="R684" s="7">
        <f>MONTH('data on outstanding creditors'!$B684)</f>
        <v>6</v>
      </c>
      <c r="S684" s="7">
        <f>YEAR('data on outstanding creditors'!$B684)</f>
        <v>2025</v>
      </c>
      <c r="T684" s="11" t="str">
        <f>'data on outstanding creditors'!$C684&amp;" "&amp;'data on outstanding creditors'!$D684&amp;" "&amp;TEXT('data on outstanding creditors'!$E684,"#,##0.00")</f>
        <v>หจก.กิตติเชษฐ์ เอสพีอาร์ IV8060814 39,750.00</v>
      </c>
      <c r="U684" s="12"/>
    </row>
    <row r="685" ht="13.5" customHeight="1">
      <c r="A685" s="1" t="s">
        <v>1098</v>
      </c>
      <c r="B685" s="2">
        <v>45838.0</v>
      </c>
      <c r="C685" s="9" t="s">
        <v>1096</v>
      </c>
      <c r="D685" s="1" t="s">
        <v>1099</v>
      </c>
      <c r="E685" s="4">
        <v>19600.0</v>
      </c>
      <c r="F685" s="4"/>
      <c r="G685" s="4"/>
      <c r="H685" s="4">
        <f>'data on outstanding creditors'!$E685-'data on outstanding creditors'!$F685-'data on outstanding creditors'!$G685</f>
        <v>19600</v>
      </c>
      <c r="I685" s="2"/>
      <c r="J685" s="1" t="s">
        <v>646</v>
      </c>
      <c r="K685" s="2">
        <v>45954.0</v>
      </c>
      <c r="L685" s="5"/>
      <c r="M685" s="9" t="s">
        <v>1089</v>
      </c>
      <c r="N685" s="9" t="s">
        <v>49</v>
      </c>
      <c r="O685" s="10">
        <f>'data on outstanding creditors'!$E685*100/107</f>
        <v>18317.75701</v>
      </c>
      <c r="P685" s="10">
        <f>'data on outstanding creditors'!$E685-'data on outstanding creditors'!$O685</f>
        <v>1282.242991</v>
      </c>
      <c r="Q685" s="7">
        <f>DAY('data on outstanding creditors'!$B685)</f>
        <v>30</v>
      </c>
      <c r="R685" s="7">
        <f>MONTH('data on outstanding creditors'!$B685)</f>
        <v>6</v>
      </c>
      <c r="S685" s="7">
        <f>YEAR('data on outstanding creditors'!$B685)</f>
        <v>2025</v>
      </c>
      <c r="T685" s="11" t="str">
        <f>'data on outstanding creditors'!$C685&amp;" "&amp;'data on outstanding creditors'!$D685&amp;" "&amp;TEXT('data on outstanding creditors'!$E685,"#,##0.00")</f>
        <v>หจก.กิตติเชษฐ์ เอสพีอาร์ IV8060870 19,600.00</v>
      </c>
      <c r="U685" s="12"/>
    </row>
    <row r="686" ht="13.5" customHeight="1">
      <c r="A686" s="1" t="s">
        <v>1100</v>
      </c>
      <c r="B686" s="2">
        <v>45854.0</v>
      </c>
      <c r="C686" s="9" t="s">
        <v>1101</v>
      </c>
      <c r="D686" s="1" t="s">
        <v>1102</v>
      </c>
      <c r="E686" s="4">
        <v>8160.0</v>
      </c>
      <c r="F686" s="4"/>
      <c r="G686" s="4"/>
      <c r="H686" s="4">
        <f>'data on outstanding creditors'!$E686-'data on outstanding creditors'!$F686-'data on outstanding creditors'!$G686</f>
        <v>8160</v>
      </c>
      <c r="I686" s="2"/>
      <c r="J686" s="1" t="s">
        <v>757</v>
      </c>
      <c r="K686" s="2">
        <v>45960.0</v>
      </c>
      <c r="L686" s="5"/>
      <c r="M686" s="9" t="s">
        <v>1089</v>
      </c>
      <c r="N686" s="9" t="s">
        <v>49</v>
      </c>
      <c r="O686" s="10">
        <f>'data on outstanding creditors'!$E686*100/107</f>
        <v>7626.168224</v>
      </c>
      <c r="P686" s="10">
        <f>'data on outstanding creditors'!$E686-'data on outstanding creditors'!$O686</f>
        <v>533.8317757</v>
      </c>
      <c r="Q686" s="7">
        <f>DAY('data on outstanding creditors'!$B686)</f>
        <v>16</v>
      </c>
      <c r="R686" s="7">
        <f>MONTH('data on outstanding creditors'!$B686)</f>
        <v>7</v>
      </c>
      <c r="S686" s="7">
        <f>YEAR('data on outstanding creditors'!$B686)</f>
        <v>2025</v>
      </c>
      <c r="T686" s="11" t="str">
        <f>'data on outstanding creditors'!$C686&amp;" "&amp;'data on outstanding creditors'!$D686&amp;" "&amp;TEXT('data on outstanding creditors'!$E686,"#,##0.00")</f>
        <v>ร้าน ชัยพัฒนา โดย นายทรงชัย ธีระศักดิ์วิชยา 073/3642 8,160.00</v>
      </c>
      <c r="U686" s="12"/>
    </row>
    <row r="687" ht="13.5" customHeight="1">
      <c r="A687" s="1" t="s">
        <v>1103</v>
      </c>
      <c r="B687" s="2">
        <v>45874.0</v>
      </c>
      <c r="C687" s="9" t="s">
        <v>149</v>
      </c>
      <c r="D687" s="1" t="s">
        <v>1104</v>
      </c>
      <c r="E687" s="4">
        <v>5780.0</v>
      </c>
      <c r="F687" s="4"/>
      <c r="G687" s="4"/>
      <c r="H687" s="4">
        <f>'data on outstanding creditors'!$E687-'data on outstanding creditors'!$F687-'data on outstanding creditors'!$G687</f>
        <v>5780</v>
      </c>
      <c r="I687" s="2"/>
      <c r="J687" s="1" t="s">
        <v>646</v>
      </c>
      <c r="K687" s="2">
        <v>45906.0</v>
      </c>
      <c r="L687" s="5"/>
      <c r="M687" s="9" t="s">
        <v>417</v>
      </c>
      <c r="N687" s="9" t="s">
        <v>49</v>
      </c>
      <c r="O687" s="10">
        <f>'data on outstanding creditors'!$E687*100/107</f>
        <v>5401.869159</v>
      </c>
      <c r="P687" s="10">
        <f>'data on outstanding creditors'!$E687-'data on outstanding creditors'!$O687</f>
        <v>378.1308411</v>
      </c>
      <c r="Q687" s="7">
        <f>DAY('data on outstanding creditors'!$B687)</f>
        <v>5</v>
      </c>
      <c r="R687" s="7">
        <f>MONTH('data on outstanding creditors'!$B687)</f>
        <v>8</v>
      </c>
      <c r="S687" s="7">
        <f>YEAR('data on outstanding creditors'!$B687)</f>
        <v>2025</v>
      </c>
      <c r="T687" s="11" t="str">
        <f>'data on outstanding creditors'!$C687&amp;" "&amp;'data on outstanding creditors'!$D687&amp;" "&amp;TEXT('data on outstanding creditors'!$E687,"#,##0.00")</f>
        <v>หจก.บุรีรัมย์ซัพพลายอีเล็คโทรนิค I68/000485 5,780.00</v>
      </c>
      <c r="U687" s="12"/>
    </row>
    <row r="688" ht="13.5" customHeight="1">
      <c r="A688" s="1" t="s">
        <v>1105</v>
      </c>
      <c r="B688" s="2">
        <v>45884.0</v>
      </c>
      <c r="C688" s="9" t="s">
        <v>1106</v>
      </c>
      <c r="D688" s="1" t="s">
        <v>1107</v>
      </c>
      <c r="E688" s="4">
        <v>13400.0</v>
      </c>
      <c r="F688" s="4"/>
      <c r="G688" s="4"/>
      <c r="H688" s="4">
        <f>'data on outstanding creditors'!$E688-'data on outstanding creditors'!$F688-'data on outstanding creditors'!$G688</f>
        <v>13400</v>
      </c>
      <c r="I688" s="2"/>
      <c r="J688" s="1"/>
      <c r="K688" s="2"/>
      <c r="L688" s="5"/>
      <c r="M688" s="9" t="s">
        <v>417</v>
      </c>
      <c r="N688" s="9" t="s">
        <v>49</v>
      </c>
      <c r="O688" s="10">
        <f>'data on outstanding creditors'!$E688*100/107</f>
        <v>12523.36449</v>
      </c>
      <c r="P688" s="10">
        <f>'data on outstanding creditors'!$E688-'data on outstanding creditors'!$O688</f>
        <v>876.635514</v>
      </c>
      <c r="Q688" s="7">
        <f>DAY('data on outstanding creditors'!$B688)</f>
        <v>15</v>
      </c>
      <c r="R688" s="7">
        <f>MONTH('data on outstanding creditors'!$B688)</f>
        <v>8</v>
      </c>
      <c r="S688" s="7">
        <f>YEAR('data on outstanding creditors'!$B688)</f>
        <v>2025</v>
      </c>
      <c r="T688" s="11" t="str">
        <f>'data on outstanding creditors'!$C688&amp;" "&amp;'data on outstanding creditors'!$D688&amp;" "&amp;TEXT('data on outstanding creditors'!$E688,"#,##0.00")</f>
        <v>บ.คราวน์ เมดิคอล OFF2508024 13,400.00</v>
      </c>
      <c r="U688" s="12"/>
    </row>
    <row r="689" ht="13.5" customHeight="1">
      <c r="A689" s="1" t="s">
        <v>1108</v>
      </c>
      <c r="B689" s="2">
        <v>45891.0</v>
      </c>
      <c r="C689" s="9" t="s">
        <v>100</v>
      </c>
      <c r="D689" s="1" t="s">
        <v>1109</v>
      </c>
      <c r="E689" s="4">
        <v>7800.0</v>
      </c>
      <c r="F689" s="4"/>
      <c r="G689" s="4"/>
      <c r="H689" s="4">
        <f>'data on outstanding creditors'!$E689-'data on outstanding creditors'!$F689-'data on outstanding creditors'!$G689</f>
        <v>7800</v>
      </c>
      <c r="I689" s="2"/>
      <c r="J689" s="1" t="s">
        <v>646</v>
      </c>
      <c r="K689" s="2">
        <v>45906.0</v>
      </c>
      <c r="L689" s="5"/>
      <c r="M689" s="9" t="s">
        <v>417</v>
      </c>
      <c r="N689" s="9" t="s">
        <v>49</v>
      </c>
      <c r="O689" s="10">
        <f>'data on outstanding creditors'!$E689*100/107</f>
        <v>7289.719626</v>
      </c>
      <c r="P689" s="10">
        <f>'data on outstanding creditors'!$E689-'data on outstanding creditors'!$O689</f>
        <v>510.2803738</v>
      </c>
      <c r="Q689" s="7">
        <f>DAY('data on outstanding creditors'!$B689)</f>
        <v>22</v>
      </c>
      <c r="R689" s="7">
        <f>MONTH('data on outstanding creditors'!$B689)</f>
        <v>8</v>
      </c>
      <c r="S689" s="7">
        <f>YEAR('data on outstanding creditors'!$B689)</f>
        <v>2025</v>
      </c>
      <c r="T689" s="11" t="str">
        <f>'data on outstanding creditors'!$C689&amp;" "&amp;'data on outstanding creditors'!$D689&amp;" "&amp;TEXT('data on outstanding creditors'!$E689,"#,##0.00")</f>
        <v>หจก.ทวีศักดิ์การไฟฟ้า 2018 TN00002954 7,800.00</v>
      </c>
      <c r="U689" s="12"/>
    </row>
    <row r="690" ht="13.5" customHeight="1">
      <c r="A690" s="1" t="s">
        <v>1110</v>
      </c>
      <c r="B690" s="2">
        <v>45876.0</v>
      </c>
      <c r="C690" s="9" t="s">
        <v>174</v>
      </c>
      <c r="D690" s="1" t="s">
        <v>1111</v>
      </c>
      <c r="E690" s="4">
        <v>8600.0</v>
      </c>
      <c r="F690" s="4"/>
      <c r="G690" s="4"/>
      <c r="H690" s="4">
        <f>'data on outstanding creditors'!$E690-'data on outstanding creditors'!$F690-'data on outstanding creditors'!$G690</f>
        <v>8600</v>
      </c>
      <c r="I690" s="2"/>
      <c r="J690" s="1" t="s">
        <v>646</v>
      </c>
      <c r="K690" s="2">
        <v>45897.0</v>
      </c>
      <c r="L690" s="5"/>
      <c r="M690" s="9" t="s">
        <v>1112</v>
      </c>
      <c r="N690" s="9" t="s">
        <v>49</v>
      </c>
      <c r="O690" s="10">
        <f>'data on outstanding creditors'!$E690*100/107</f>
        <v>8037.383178</v>
      </c>
      <c r="P690" s="10">
        <f>'data on outstanding creditors'!$E690-'data on outstanding creditors'!$O690</f>
        <v>562.6168224</v>
      </c>
      <c r="Q690" s="7">
        <f>DAY('data on outstanding creditors'!$B690)</f>
        <v>7</v>
      </c>
      <c r="R690" s="7">
        <f>MONTH('data on outstanding creditors'!$B690)</f>
        <v>8</v>
      </c>
      <c r="S690" s="7">
        <f>YEAR('data on outstanding creditors'!$B690)</f>
        <v>2025</v>
      </c>
      <c r="T690" s="11" t="str">
        <f>'data on outstanding creditors'!$C690&amp;" "&amp;'data on outstanding creditors'!$D690&amp;" "&amp;TEXT('data on outstanding creditors'!$E690,"#,##0.00")</f>
        <v>ร้าน T&amp;P แอร์ไฟฟ้า 0003/0002 8,600.00</v>
      </c>
      <c r="U690" s="12"/>
    </row>
    <row r="691" ht="13.5" customHeight="1">
      <c r="A691" s="1" t="s">
        <v>1113</v>
      </c>
      <c r="B691" s="2">
        <v>45887.0</v>
      </c>
      <c r="C691" s="9" t="s">
        <v>1114</v>
      </c>
      <c r="D691" s="1" t="s">
        <v>1115</v>
      </c>
      <c r="E691" s="4">
        <v>7200.0</v>
      </c>
      <c r="F691" s="4"/>
      <c r="G691" s="4"/>
      <c r="H691" s="4">
        <f>'data on outstanding creditors'!$E691-'data on outstanding creditors'!$F691-'data on outstanding creditors'!$G691</f>
        <v>7200</v>
      </c>
      <c r="I691" s="2"/>
      <c r="J691" s="1" t="s">
        <v>646</v>
      </c>
      <c r="K691" s="2">
        <v>45929.0</v>
      </c>
      <c r="L691" s="5"/>
      <c r="M691" s="9" t="s">
        <v>1112</v>
      </c>
      <c r="N691" s="9" t="s">
        <v>49</v>
      </c>
      <c r="O691" s="10">
        <f>'data on outstanding creditors'!$E691*100/107</f>
        <v>6728.971963</v>
      </c>
      <c r="P691" s="10">
        <f>'data on outstanding creditors'!$E691-'data on outstanding creditors'!$O691</f>
        <v>471.0280374</v>
      </c>
      <c r="Q691" s="7">
        <f>DAY('data on outstanding creditors'!$B691)</f>
        <v>18</v>
      </c>
      <c r="R691" s="7">
        <f>MONTH('data on outstanding creditors'!$B691)</f>
        <v>8</v>
      </c>
      <c r="S691" s="7">
        <f>YEAR('data on outstanding creditors'!$B691)</f>
        <v>2025</v>
      </c>
      <c r="T691" s="11" t="str">
        <f>'data on outstanding creditors'!$C691&amp;" "&amp;'data on outstanding creditors'!$D691&amp;" "&amp;TEXT('data on outstanding creditors'!$E691,"#,##0.00")</f>
        <v>หจก.อิเลฟเว่น พลัซ EL680811096 7,200.00</v>
      </c>
      <c r="U691" s="12"/>
    </row>
    <row r="692" ht="13.5" customHeight="1">
      <c r="A692" s="1" t="s">
        <v>1116</v>
      </c>
      <c r="B692" s="2">
        <v>45889.0</v>
      </c>
      <c r="C692" s="9" t="s">
        <v>1114</v>
      </c>
      <c r="D692" s="1" t="s">
        <v>1117</v>
      </c>
      <c r="E692" s="4">
        <v>6600.0</v>
      </c>
      <c r="F692" s="4"/>
      <c r="G692" s="4"/>
      <c r="H692" s="4">
        <f>'data on outstanding creditors'!$E692-'data on outstanding creditors'!$F692-'data on outstanding creditors'!$G692</f>
        <v>6600</v>
      </c>
      <c r="I692" s="2"/>
      <c r="J692" s="1" t="s">
        <v>646</v>
      </c>
      <c r="K692" s="2">
        <v>45929.0</v>
      </c>
      <c r="L692" s="5"/>
      <c r="M692" s="9" t="s">
        <v>1112</v>
      </c>
      <c r="N692" s="9" t="s">
        <v>49</v>
      </c>
      <c r="O692" s="10">
        <f>'data on outstanding creditors'!$E692*100/107</f>
        <v>6168.224299</v>
      </c>
      <c r="P692" s="10">
        <f>'data on outstanding creditors'!$E692-'data on outstanding creditors'!$O692</f>
        <v>431.7757009</v>
      </c>
      <c r="Q692" s="7">
        <f>DAY('data on outstanding creditors'!$B692)</f>
        <v>20</v>
      </c>
      <c r="R692" s="7">
        <f>MONTH('data on outstanding creditors'!$B692)</f>
        <v>8</v>
      </c>
      <c r="S692" s="7">
        <f>YEAR('data on outstanding creditors'!$B692)</f>
        <v>2025</v>
      </c>
      <c r="T692" s="11" t="str">
        <f>'data on outstanding creditors'!$C692&amp;" "&amp;'data on outstanding creditors'!$D692&amp;" "&amp;TEXT('data on outstanding creditors'!$E692,"#,##0.00")</f>
        <v>หจก.อิเลฟเว่น พลัซ EL680815129 6,600.00</v>
      </c>
      <c r="U692" s="12"/>
    </row>
    <row r="693" ht="13.5" customHeight="1">
      <c r="A693" s="1" t="s">
        <v>1118</v>
      </c>
      <c r="B693" s="2">
        <v>45896.0</v>
      </c>
      <c r="C693" s="9" t="s">
        <v>149</v>
      </c>
      <c r="D693" s="1" t="s">
        <v>1119</v>
      </c>
      <c r="E693" s="4">
        <v>9500.0</v>
      </c>
      <c r="F693" s="4"/>
      <c r="G693" s="4"/>
      <c r="H693" s="4">
        <f>'data on outstanding creditors'!$E693-'data on outstanding creditors'!$F693-'data on outstanding creditors'!$G693</f>
        <v>9500</v>
      </c>
      <c r="I693" s="2"/>
      <c r="J693" s="1" t="s">
        <v>646</v>
      </c>
      <c r="K693" s="2">
        <v>45929.0</v>
      </c>
      <c r="L693" s="5"/>
      <c r="M693" s="9" t="s">
        <v>1112</v>
      </c>
      <c r="N693" s="9" t="s">
        <v>49</v>
      </c>
      <c r="O693" s="10">
        <f>'data on outstanding creditors'!$E693*100/107</f>
        <v>8878.504673</v>
      </c>
      <c r="P693" s="10">
        <f>'data on outstanding creditors'!$E693-'data on outstanding creditors'!$O693</f>
        <v>621.4953271</v>
      </c>
      <c r="Q693" s="7">
        <f>DAY('data on outstanding creditors'!$B693)</f>
        <v>27</v>
      </c>
      <c r="R693" s="7">
        <f>MONTH('data on outstanding creditors'!$B693)</f>
        <v>8</v>
      </c>
      <c r="S693" s="7">
        <f>YEAR('data on outstanding creditors'!$B693)</f>
        <v>2025</v>
      </c>
      <c r="T693" s="11" t="str">
        <f>'data on outstanding creditors'!$C693&amp;" "&amp;'data on outstanding creditors'!$D693&amp;" "&amp;TEXT('data on outstanding creditors'!$E693,"#,##0.00")</f>
        <v>หจก.บุรีรัมย์ซัพพลายอีเล็คโทรนิค I68/000531 9,500.00</v>
      </c>
      <c r="U693" s="12"/>
    </row>
    <row r="694" ht="13.5" customHeight="1">
      <c r="A694" s="1" t="s">
        <v>1120</v>
      </c>
      <c r="B694" s="2">
        <v>45903.0</v>
      </c>
      <c r="C694" s="9" t="s">
        <v>149</v>
      </c>
      <c r="D694" s="1" t="s">
        <v>1121</v>
      </c>
      <c r="E694" s="4">
        <v>5200.0</v>
      </c>
      <c r="F694" s="4"/>
      <c r="G694" s="4"/>
      <c r="H694" s="4">
        <f>'data on outstanding creditors'!$E694-'data on outstanding creditors'!$F694-'data on outstanding creditors'!$G694</f>
        <v>5200</v>
      </c>
      <c r="I694" s="2"/>
      <c r="J694" s="1" t="s">
        <v>757</v>
      </c>
      <c r="K694" s="2">
        <v>45961.0</v>
      </c>
      <c r="L694" s="5"/>
      <c r="M694" s="9" t="s">
        <v>1112</v>
      </c>
      <c r="N694" s="9" t="s">
        <v>49</v>
      </c>
      <c r="O694" s="10">
        <f>'data on outstanding creditors'!$E694*100/107</f>
        <v>4859.813084</v>
      </c>
      <c r="P694" s="10">
        <f>'data on outstanding creditors'!$E694-'data on outstanding creditors'!$O694</f>
        <v>340.1869159</v>
      </c>
      <c r="Q694" s="7">
        <f>DAY('data on outstanding creditors'!$B694)</f>
        <v>3</v>
      </c>
      <c r="R694" s="7">
        <f>MONTH('data on outstanding creditors'!$B694)</f>
        <v>9</v>
      </c>
      <c r="S694" s="7">
        <f>YEAR('data on outstanding creditors'!$B694)</f>
        <v>2025</v>
      </c>
      <c r="T694" s="11" t="str">
        <f>'data on outstanding creditors'!$C694&amp;" "&amp;'data on outstanding creditors'!$D694&amp;" "&amp;TEXT('data on outstanding creditors'!$E694,"#,##0.00")</f>
        <v>หจก.บุรีรัมย์ซัพพลายอีเล็คโทรนิค I68/000559 5,200.00</v>
      </c>
      <c r="U694" s="12"/>
    </row>
    <row r="695" ht="13.5" customHeight="1">
      <c r="A695" s="1" t="s">
        <v>1122</v>
      </c>
      <c r="B695" s="2">
        <v>45903.0</v>
      </c>
      <c r="C695" s="9" t="s">
        <v>149</v>
      </c>
      <c r="D695" s="1" t="s">
        <v>1123</v>
      </c>
      <c r="E695" s="4">
        <v>5500.0</v>
      </c>
      <c r="F695" s="4"/>
      <c r="G695" s="4"/>
      <c r="H695" s="4">
        <f>'data on outstanding creditors'!$E695-'data on outstanding creditors'!$F695-'data on outstanding creditors'!$G695</f>
        <v>5500</v>
      </c>
      <c r="I695" s="2"/>
      <c r="J695" s="1" t="s">
        <v>646</v>
      </c>
      <c r="K695" s="2">
        <v>45929.0</v>
      </c>
      <c r="L695" s="5"/>
      <c r="M695" s="9" t="s">
        <v>1112</v>
      </c>
      <c r="N695" s="9" t="s">
        <v>49</v>
      </c>
      <c r="O695" s="10">
        <f>'data on outstanding creditors'!$E695*100/107</f>
        <v>5140.186916</v>
      </c>
      <c r="P695" s="10">
        <f>'data on outstanding creditors'!$E695-'data on outstanding creditors'!$O695</f>
        <v>359.8130841</v>
      </c>
      <c r="Q695" s="7">
        <f>DAY('data on outstanding creditors'!$B695)</f>
        <v>3</v>
      </c>
      <c r="R695" s="7">
        <f>MONTH('data on outstanding creditors'!$B695)</f>
        <v>9</v>
      </c>
      <c r="S695" s="7">
        <f>YEAR('data on outstanding creditors'!$B695)</f>
        <v>2025</v>
      </c>
      <c r="T695" s="11" t="str">
        <f>'data on outstanding creditors'!$C695&amp;" "&amp;'data on outstanding creditors'!$D695&amp;" "&amp;TEXT('data on outstanding creditors'!$E695,"#,##0.00")</f>
        <v>หจก.บุรีรัมย์ซัพพลายอีเล็คโทรนิค I68/000560 5,500.00</v>
      </c>
      <c r="U695" s="12"/>
    </row>
    <row r="696" ht="13.5" customHeight="1">
      <c r="A696" s="1" t="s">
        <v>1124</v>
      </c>
      <c r="B696" s="2">
        <v>45926.0</v>
      </c>
      <c r="C696" s="9" t="s">
        <v>1125</v>
      </c>
      <c r="D696" s="1" t="s">
        <v>1126</v>
      </c>
      <c r="E696" s="4">
        <v>8800.0</v>
      </c>
      <c r="F696" s="4"/>
      <c r="G696" s="4"/>
      <c r="H696" s="4">
        <f>'data on outstanding creditors'!$E696-'data on outstanding creditors'!$F696-'data on outstanding creditors'!$G696</f>
        <v>8800</v>
      </c>
      <c r="I696" s="2"/>
      <c r="J696" s="1"/>
      <c r="K696" s="2"/>
      <c r="L696" s="5"/>
      <c r="M696" s="9" t="s">
        <v>1112</v>
      </c>
      <c r="N696" s="9" t="s">
        <v>49</v>
      </c>
      <c r="O696" s="10">
        <f>'data on outstanding creditors'!$E696*100/107</f>
        <v>8224.299065</v>
      </c>
      <c r="P696" s="10">
        <f>'data on outstanding creditors'!$E696-'data on outstanding creditors'!$O696</f>
        <v>575.7009346</v>
      </c>
      <c r="Q696" s="7">
        <f>DAY('data on outstanding creditors'!$B696)</f>
        <v>26</v>
      </c>
      <c r="R696" s="7">
        <f>MONTH('data on outstanding creditors'!$B696)</f>
        <v>9</v>
      </c>
      <c r="S696" s="7">
        <f>YEAR('data on outstanding creditors'!$B696)</f>
        <v>2025</v>
      </c>
      <c r="T696" s="11" t="str">
        <f>'data on outstanding creditors'!$C696&amp;" "&amp;'data on outstanding creditors'!$D696&amp;" "&amp;TEXT('data on outstanding creditors'!$E696,"#,##0.00")</f>
        <v>หจก.เอ็นบี ซัพพลาย เอ็นจิเนียริ่ง(ประเทศไทย) INV2025090015 8,800.00</v>
      </c>
      <c r="U696" s="12"/>
    </row>
    <row r="697" ht="13.5" customHeight="1">
      <c r="A697" s="1" t="s">
        <v>1127</v>
      </c>
      <c r="B697" s="2">
        <v>45931.0</v>
      </c>
      <c r="C697" s="9" t="s">
        <v>149</v>
      </c>
      <c r="D697" s="1" t="s">
        <v>1128</v>
      </c>
      <c r="E697" s="4">
        <v>12600.0</v>
      </c>
      <c r="F697" s="4"/>
      <c r="G697" s="4"/>
      <c r="H697" s="4">
        <f>'data on outstanding creditors'!$E697-'data on outstanding creditors'!$F697-'data on outstanding creditors'!$G697</f>
        <v>12600</v>
      </c>
      <c r="I697" s="2"/>
      <c r="J697" s="1" t="s">
        <v>646</v>
      </c>
      <c r="K697" s="2">
        <v>45954.0</v>
      </c>
      <c r="L697" s="5"/>
      <c r="M697" s="9" t="s">
        <v>1112</v>
      </c>
      <c r="N697" s="9" t="s">
        <v>49</v>
      </c>
      <c r="O697" s="10">
        <f>'data on outstanding creditors'!$E697*100/107</f>
        <v>11775.70093</v>
      </c>
      <c r="P697" s="10">
        <f>'data on outstanding creditors'!$E697-'data on outstanding creditors'!$O697</f>
        <v>824.2990654</v>
      </c>
      <c r="Q697" s="7">
        <f>DAY('data on outstanding creditors'!$B697)</f>
        <v>1</v>
      </c>
      <c r="R697" s="7">
        <f>MONTH('data on outstanding creditors'!$B697)</f>
        <v>10</v>
      </c>
      <c r="S697" s="7">
        <f>YEAR('data on outstanding creditors'!$B697)</f>
        <v>2025</v>
      </c>
      <c r="T697" s="11" t="str">
        <f>'data on outstanding creditors'!$C697&amp;" "&amp;'data on outstanding creditors'!$D697&amp;" "&amp;TEXT('data on outstanding creditors'!$E697,"#,##0.00")</f>
        <v>หจก.บุรีรัมย์ซัพพลายอีเล็คโทรนิค I68/000652 12,600.00</v>
      </c>
      <c r="U697" s="12"/>
    </row>
    <row r="698" ht="13.5" customHeight="1">
      <c r="A698" s="1" t="s">
        <v>1129</v>
      </c>
      <c r="B698" s="2">
        <v>45875.0</v>
      </c>
      <c r="C698" s="9" t="s">
        <v>421</v>
      </c>
      <c r="D698" s="1" t="s">
        <v>1130</v>
      </c>
      <c r="E698" s="4">
        <v>8634.9</v>
      </c>
      <c r="F698" s="4"/>
      <c r="G698" s="4"/>
      <c r="H698" s="4">
        <f>'data on outstanding creditors'!$E698-'data on outstanding creditors'!$F698-'data on outstanding creditors'!$G698</f>
        <v>8634.9</v>
      </c>
      <c r="I698" s="2"/>
      <c r="J698" s="1" t="s">
        <v>646</v>
      </c>
      <c r="K698" s="2">
        <v>45906.0</v>
      </c>
      <c r="L698" s="5"/>
      <c r="M698" s="9" t="s">
        <v>423</v>
      </c>
      <c r="N698" s="9" t="s">
        <v>49</v>
      </c>
      <c r="O698" s="10">
        <f>'data on outstanding creditors'!$E698*100/107</f>
        <v>8070</v>
      </c>
      <c r="P698" s="10">
        <f>'data on outstanding creditors'!$E698-'data on outstanding creditors'!$O698</f>
        <v>564.9</v>
      </c>
      <c r="Q698" s="7">
        <f>DAY('data on outstanding creditors'!$B698)</f>
        <v>6</v>
      </c>
      <c r="R698" s="7">
        <f>MONTH('data on outstanding creditors'!$B698)</f>
        <v>8</v>
      </c>
      <c r="S698" s="7">
        <f>YEAR('data on outstanding creditors'!$B698)</f>
        <v>2025</v>
      </c>
      <c r="T698" s="11" t="str">
        <f>'data on outstanding creditors'!$C698&amp;" "&amp;'data on outstanding creditors'!$D698&amp;" "&amp;TEXT('data on outstanding creditors'!$E698,"#,##0.00")</f>
        <v>บ.นางรองเคหะภัณฑ์ IV680806-020 8,634.90</v>
      </c>
      <c r="U698" s="12"/>
    </row>
    <row r="699" ht="13.5" customHeight="1">
      <c r="A699" s="1" t="s">
        <v>1131</v>
      </c>
      <c r="B699" s="2">
        <v>45890.0</v>
      </c>
      <c r="C699" s="9" t="s">
        <v>421</v>
      </c>
      <c r="D699" s="1" t="s">
        <v>1132</v>
      </c>
      <c r="E699" s="4">
        <v>8508.64</v>
      </c>
      <c r="F699" s="4"/>
      <c r="G699" s="4"/>
      <c r="H699" s="4">
        <f>'data on outstanding creditors'!$E699-'data on outstanding creditors'!$F699-'data on outstanding creditors'!$G699</f>
        <v>8508.64</v>
      </c>
      <c r="I699" s="2"/>
      <c r="J699" s="1" t="s">
        <v>646</v>
      </c>
      <c r="K699" s="2">
        <v>45906.0</v>
      </c>
      <c r="L699" s="5"/>
      <c r="M699" s="9" t="s">
        <v>423</v>
      </c>
      <c r="N699" s="9" t="s">
        <v>49</v>
      </c>
      <c r="O699" s="10">
        <f>'data on outstanding creditors'!$E699*100/107</f>
        <v>7952</v>
      </c>
      <c r="P699" s="10">
        <f>'data on outstanding creditors'!$E699-'data on outstanding creditors'!$O699</f>
        <v>556.64</v>
      </c>
      <c r="Q699" s="7">
        <f>DAY('data on outstanding creditors'!$B699)</f>
        <v>21</v>
      </c>
      <c r="R699" s="7">
        <f>MONTH('data on outstanding creditors'!$B699)</f>
        <v>8</v>
      </c>
      <c r="S699" s="7">
        <f>YEAR('data on outstanding creditors'!$B699)</f>
        <v>2025</v>
      </c>
      <c r="T699" s="11" t="str">
        <f>'data on outstanding creditors'!$C699&amp;" "&amp;'data on outstanding creditors'!$D699&amp;" "&amp;TEXT('data on outstanding creditors'!$E699,"#,##0.00")</f>
        <v>บ.นางรองเคหะภัณฑ์ IV680821-012 8,508.64</v>
      </c>
      <c r="U699" s="12"/>
    </row>
    <row r="700" ht="13.5" customHeight="1">
      <c r="A700" s="1" t="s">
        <v>1133</v>
      </c>
      <c r="B700" s="2">
        <v>45884.0</v>
      </c>
      <c r="C700" s="9" t="s">
        <v>152</v>
      </c>
      <c r="D700" s="1" t="s">
        <v>1134</v>
      </c>
      <c r="E700" s="4">
        <v>5700.0</v>
      </c>
      <c r="F700" s="4"/>
      <c r="G700" s="4"/>
      <c r="H700" s="4">
        <f>'data on outstanding creditors'!$E700-'data on outstanding creditors'!$F700-'data on outstanding creditors'!$G700</f>
        <v>5700</v>
      </c>
      <c r="I700" s="2"/>
      <c r="J700" s="1" t="s">
        <v>646</v>
      </c>
      <c r="K700" s="2">
        <v>45906.0</v>
      </c>
      <c r="L700" s="5"/>
      <c r="M700" s="9" t="s">
        <v>1135</v>
      </c>
      <c r="N700" s="9" t="s">
        <v>49</v>
      </c>
      <c r="O700" s="10">
        <f>'data on outstanding creditors'!$E700*100/107</f>
        <v>5327.102804</v>
      </c>
      <c r="P700" s="10">
        <f>'data on outstanding creditors'!$E700-'data on outstanding creditors'!$O700</f>
        <v>372.8971963</v>
      </c>
      <c r="Q700" s="7">
        <f>DAY('data on outstanding creditors'!$B700)</f>
        <v>15</v>
      </c>
      <c r="R700" s="7">
        <f>MONTH('data on outstanding creditors'!$B700)</f>
        <v>8</v>
      </c>
      <c r="S700" s="7">
        <f>YEAR('data on outstanding creditors'!$B700)</f>
        <v>2025</v>
      </c>
      <c r="T700" s="11" t="str">
        <f>'data on outstanding creditors'!$C700&amp;" "&amp;'data on outstanding creditors'!$D700&amp;" "&amp;TEXT('data on outstanding creditors'!$E700,"#,##0.00")</f>
        <v>บ.มาเจริญ โฮม เฟอร์นิเจอร์ 185/9221 5,700.00</v>
      </c>
      <c r="U700" s="12"/>
    </row>
    <row r="701" ht="13.5" customHeight="1">
      <c r="A701" s="1" t="s">
        <v>1136</v>
      </c>
      <c r="B701" s="2">
        <v>45890.0</v>
      </c>
      <c r="C701" s="9" t="s">
        <v>152</v>
      </c>
      <c r="D701" s="1" t="s">
        <v>1137</v>
      </c>
      <c r="E701" s="4">
        <v>5600.0</v>
      </c>
      <c r="F701" s="4"/>
      <c r="G701" s="4"/>
      <c r="H701" s="4">
        <f>'data on outstanding creditors'!$E701-'data on outstanding creditors'!$F701-'data on outstanding creditors'!$G701</f>
        <v>5600</v>
      </c>
      <c r="I701" s="2"/>
      <c r="J701" s="1" t="s">
        <v>646</v>
      </c>
      <c r="K701" s="2">
        <v>45906.0</v>
      </c>
      <c r="L701" s="5"/>
      <c r="M701" s="9" t="s">
        <v>1135</v>
      </c>
      <c r="N701" s="9" t="s">
        <v>49</v>
      </c>
      <c r="O701" s="10">
        <f>'data on outstanding creditors'!$E701*100/107</f>
        <v>5233.64486</v>
      </c>
      <c r="P701" s="10">
        <f>'data on outstanding creditors'!$E701-'data on outstanding creditors'!$O701</f>
        <v>366.3551402</v>
      </c>
      <c r="Q701" s="7">
        <f>DAY('data on outstanding creditors'!$B701)</f>
        <v>21</v>
      </c>
      <c r="R701" s="7">
        <f>MONTH('data on outstanding creditors'!$B701)</f>
        <v>8</v>
      </c>
      <c r="S701" s="7">
        <f>YEAR('data on outstanding creditors'!$B701)</f>
        <v>2025</v>
      </c>
      <c r="T701" s="11" t="str">
        <f>'data on outstanding creditors'!$C701&amp;" "&amp;'data on outstanding creditors'!$D701&amp;" "&amp;TEXT('data on outstanding creditors'!$E701,"#,##0.00")</f>
        <v>บ.มาเจริญ โฮม เฟอร์นิเจอร์ 186/9261 5,600.00</v>
      </c>
      <c r="U701" s="12"/>
    </row>
    <row r="702" ht="13.5" customHeight="1">
      <c r="A702" s="1" t="s">
        <v>1138</v>
      </c>
      <c r="B702" s="2">
        <v>45903.0</v>
      </c>
      <c r="C702" s="9" t="s">
        <v>1059</v>
      </c>
      <c r="D702" s="1" t="s">
        <v>1139</v>
      </c>
      <c r="E702" s="4">
        <v>20000.0</v>
      </c>
      <c r="F702" s="4"/>
      <c r="G702" s="4"/>
      <c r="H702" s="4">
        <f>'data on outstanding creditors'!$E702-'data on outstanding creditors'!$F702-'data on outstanding creditors'!$G702</f>
        <v>20000</v>
      </c>
      <c r="I702" s="2"/>
      <c r="J702" s="1" t="s">
        <v>757</v>
      </c>
      <c r="K702" s="2">
        <v>45966.0</v>
      </c>
      <c r="L702" s="5"/>
      <c r="M702" s="9" t="s">
        <v>1135</v>
      </c>
      <c r="N702" s="9" t="s">
        <v>49</v>
      </c>
      <c r="O702" s="10">
        <f>'data on outstanding creditors'!$E702*100/107</f>
        <v>18691.58879</v>
      </c>
      <c r="P702" s="10">
        <f>'data on outstanding creditors'!$E702-'data on outstanding creditors'!$O702</f>
        <v>1308.411215</v>
      </c>
      <c r="Q702" s="7">
        <f>DAY('data on outstanding creditors'!$B702)</f>
        <v>3</v>
      </c>
      <c r="R702" s="7">
        <f>MONTH('data on outstanding creditors'!$B702)</f>
        <v>9</v>
      </c>
      <c r="S702" s="7">
        <f>YEAR('data on outstanding creditors'!$B702)</f>
        <v>2025</v>
      </c>
      <c r="T702" s="11" t="str">
        <f>'data on outstanding creditors'!$C702&amp;" "&amp;'data on outstanding creditors'!$D702&amp;" "&amp;TEXT('data on outstanding creditors'!$E702,"#,##0.00")</f>
        <v>หจก.ภาสิน 61922 20,000.00</v>
      </c>
      <c r="U702" s="12"/>
    </row>
    <row r="703" ht="13.5" customHeight="1">
      <c r="A703" s="1" t="s">
        <v>1140</v>
      </c>
      <c r="B703" s="2">
        <v>45910.0</v>
      </c>
      <c r="C703" s="9" t="s">
        <v>149</v>
      </c>
      <c r="D703" s="1" t="s">
        <v>1141</v>
      </c>
      <c r="E703" s="4">
        <v>9980.0</v>
      </c>
      <c r="F703" s="4"/>
      <c r="G703" s="4"/>
      <c r="H703" s="4">
        <f>'data on outstanding creditors'!$E703-'data on outstanding creditors'!$F703-'data on outstanding creditors'!$G703</f>
        <v>9980</v>
      </c>
      <c r="I703" s="2"/>
      <c r="J703" s="1" t="s">
        <v>646</v>
      </c>
      <c r="K703" s="2">
        <v>45943.0</v>
      </c>
      <c r="L703" s="5"/>
      <c r="M703" s="9" t="s">
        <v>1135</v>
      </c>
      <c r="N703" s="9" t="s">
        <v>49</v>
      </c>
      <c r="O703" s="10">
        <f>'data on outstanding creditors'!$E703*100/107</f>
        <v>9327.102804</v>
      </c>
      <c r="P703" s="10">
        <f>'data on outstanding creditors'!$E703-'data on outstanding creditors'!$O703</f>
        <v>652.8971963</v>
      </c>
      <c r="Q703" s="7">
        <f>DAY('data on outstanding creditors'!$B703)</f>
        <v>10</v>
      </c>
      <c r="R703" s="7">
        <f>MONTH('data on outstanding creditors'!$B703)</f>
        <v>9</v>
      </c>
      <c r="S703" s="7">
        <f>YEAR('data on outstanding creditors'!$B703)</f>
        <v>2025</v>
      </c>
      <c r="T703" s="11" t="str">
        <f>'data on outstanding creditors'!$C703&amp;" "&amp;'data on outstanding creditors'!$D703&amp;" "&amp;TEXT('data on outstanding creditors'!$E703,"#,##0.00")</f>
        <v>หจก.บุรีรัมย์ซัพพลายอีเล็คโทรนิค I68/000580 9,980.00</v>
      </c>
      <c r="U703" s="12"/>
    </row>
    <row r="704" ht="13.5" customHeight="1">
      <c r="A704" s="1" t="s">
        <v>1142</v>
      </c>
      <c r="B704" s="2">
        <v>45917.0</v>
      </c>
      <c r="C704" s="9" t="s">
        <v>149</v>
      </c>
      <c r="D704" s="1" t="s">
        <v>1143</v>
      </c>
      <c r="E704" s="4">
        <v>6990.0</v>
      </c>
      <c r="F704" s="4"/>
      <c r="G704" s="4"/>
      <c r="H704" s="4">
        <f>'data on outstanding creditors'!$E704-'data on outstanding creditors'!$F704-'data on outstanding creditors'!$G704</f>
        <v>6990</v>
      </c>
      <c r="I704" s="2"/>
      <c r="J704" s="1" t="s">
        <v>646</v>
      </c>
      <c r="K704" s="2">
        <v>45943.0</v>
      </c>
      <c r="L704" s="5"/>
      <c r="M704" s="9" t="s">
        <v>1135</v>
      </c>
      <c r="N704" s="9" t="s">
        <v>49</v>
      </c>
      <c r="O704" s="10">
        <f>'data on outstanding creditors'!$E704*100/107</f>
        <v>6532.71028</v>
      </c>
      <c r="P704" s="10">
        <f>'data on outstanding creditors'!$E704-'data on outstanding creditors'!$O704</f>
        <v>457.2897196</v>
      </c>
      <c r="Q704" s="7">
        <f>DAY('data on outstanding creditors'!$B704)</f>
        <v>17</v>
      </c>
      <c r="R704" s="7">
        <f>MONTH('data on outstanding creditors'!$B704)</f>
        <v>9</v>
      </c>
      <c r="S704" s="7">
        <f>YEAR('data on outstanding creditors'!$B704)</f>
        <v>2025</v>
      </c>
      <c r="T704" s="11" t="str">
        <f>'data on outstanding creditors'!$C704&amp;" "&amp;'data on outstanding creditors'!$D704&amp;" "&amp;TEXT('data on outstanding creditors'!$E704,"#,##0.00")</f>
        <v>หจก.บุรีรัมย์ซัพพลายอีเล็คโทรนิค I68/000601 6,990.00</v>
      </c>
      <c r="U704" s="12"/>
    </row>
    <row r="705" ht="13.5" customHeight="1">
      <c r="A705" s="1" t="s">
        <v>1144</v>
      </c>
      <c r="B705" s="2">
        <v>45922.0</v>
      </c>
      <c r="C705" s="9" t="s">
        <v>149</v>
      </c>
      <c r="D705" s="1" t="s">
        <v>1145</v>
      </c>
      <c r="E705" s="4">
        <v>6990.0</v>
      </c>
      <c r="F705" s="4"/>
      <c r="G705" s="4"/>
      <c r="H705" s="4">
        <f>'data on outstanding creditors'!$E705-'data on outstanding creditors'!$F705-'data on outstanding creditors'!$G705</f>
        <v>6990</v>
      </c>
      <c r="I705" s="2"/>
      <c r="J705" s="1" t="s">
        <v>646</v>
      </c>
      <c r="K705" s="2">
        <v>45943.0</v>
      </c>
      <c r="L705" s="5"/>
      <c r="M705" s="9" t="s">
        <v>1135</v>
      </c>
      <c r="N705" s="9" t="s">
        <v>49</v>
      </c>
      <c r="O705" s="10">
        <f>'data on outstanding creditors'!$E705*100/107</f>
        <v>6532.71028</v>
      </c>
      <c r="P705" s="10">
        <f>'data on outstanding creditors'!$E705-'data on outstanding creditors'!$O705</f>
        <v>457.2897196</v>
      </c>
      <c r="Q705" s="7">
        <f>DAY('data on outstanding creditors'!$B705)</f>
        <v>22</v>
      </c>
      <c r="R705" s="7">
        <f>MONTH('data on outstanding creditors'!$B705)</f>
        <v>9</v>
      </c>
      <c r="S705" s="7">
        <f>YEAR('data on outstanding creditors'!$B705)</f>
        <v>2025</v>
      </c>
      <c r="T705" s="11" t="str">
        <f>'data on outstanding creditors'!$C705&amp;" "&amp;'data on outstanding creditors'!$D705&amp;" "&amp;TEXT('data on outstanding creditors'!$E705,"#,##0.00")</f>
        <v>หจก.บุรีรัมย์ซัพพลายอีเล็คโทรนิค I68/000611 6,990.00</v>
      </c>
      <c r="U705" s="12"/>
    </row>
    <row r="706" ht="13.5" customHeight="1">
      <c r="A706" s="1" t="s">
        <v>1146</v>
      </c>
      <c r="B706" s="2">
        <v>45924.0</v>
      </c>
      <c r="C706" s="9" t="s">
        <v>152</v>
      </c>
      <c r="D706" s="1" t="s">
        <v>1147</v>
      </c>
      <c r="E706" s="4">
        <v>9200.0</v>
      </c>
      <c r="F706" s="4"/>
      <c r="G706" s="4"/>
      <c r="H706" s="4">
        <f>'data on outstanding creditors'!$E706-'data on outstanding creditors'!$F706-'data on outstanding creditors'!$G706</f>
        <v>9200</v>
      </c>
      <c r="I706" s="2"/>
      <c r="J706" s="1" t="s">
        <v>646</v>
      </c>
      <c r="K706" s="2">
        <v>45943.0</v>
      </c>
      <c r="L706" s="5"/>
      <c r="M706" s="9" t="s">
        <v>1135</v>
      </c>
      <c r="N706" s="9" t="s">
        <v>49</v>
      </c>
      <c r="O706" s="10">
        <f>'data on outstanding creditors'!$E706*100/107</f>
        <v>8598.130841</v>
      </c>
      <c r="P706" s="10">
        <f>'data on outstanding creditors'!$E706-'data on outstanding creditors'!$O706</f>
        <v>601.8691589</v>
      </c>
      <c r="Q706" s="7">
        <f>DAY('data on outstanding creditors'!$B706)</f>
        <v>24</v>
      </c>
      <c r="R706" s="7">
        <f>MONTH('data on outstanding creditors'!$B706)</f>
        <v>9</v>
      </c>
      <c r="S706" s="7">
        <f>YEAR('data on outstanding creditors'!$B706)</f>
        <v>2025</v>
      </c>
      <c r="T706" s="11" t="str">
        <f>'data on outstanding creditors'!$C706&amp;" "&amp;'data on outstanding creditors'!$D706&amp;" "&amp;TEXT('data on outstanding creditors'!$E706,"#,##0.00")</f>
        <v>บ.มาเจริญ โฮม เฟอร์นิเจอร์ 190/9474 9,200.00</v>
      </c>
      <c r="U706" s="12"/>
    </row>
    <row r="707" ht="13.5" customHeight="1">
      <c r="A707" s="1" t="s">
        <v>1148</v>
      </c>
      <c r="B707" s="2">
        <v>45925.0</v>
      </c>
      <c r="C707" s="9" t="s">
        <v>149</v>
      </c>
      <c r="D707" s="1" t="s">
        <v>1149</v>
      </c>
      <c r="E707" s="4">
        <v>5490.0</v>
      </c>
      <c r="F707" s="4"/>
      <c r="G707" s="4"/>
      <c r="H707" s="4">
        <f>'data on outstanding creditors'!$E707-'data on outstanding creditors'!$F707-'data on outstanding creditors'!$G707</f>
        <v>5490</v>
      </c>
      <c r="I707" s="2"/>
      <c r="J707" s="1" t="s">
        <v>646</v>
      </c>
      <c r="K707" s="2">
        <v>45943.0</v>
      </c>
      <c r="L707" s="5"/>
      <c r="M707" s="9" t="s">
        <v>1135</v>
      </c>
      <c r="N707" s="9" t="s">
        <v>49</v>
      </c>
      <c r="O707" s="10">
        <f>'data on outstanding creditors'!$E707*100/107</f>
        <v>5130.841121</v>
      </c>
      <c r="P707" s="10">
        <f>'data on outstanding creditors'!$E707-'data on outstanding creditors'!$O707</f>
        <v>359.1588785</v>
      </c>
      <c r="Q707" s="7">
        <f>DAY('data on outstanding creditors'!$B707)</f>
        <v>25</v>
      </c>
      <c r="R707" s="7">
        <f>MONTH('data on outstanding creditors'!$B707)</f>
        <v>9</v>
      </c>
      <c r="S707" s="7">
        <f>YEAR('data on outstanding creditors'!$B707)</f>
        <v>2025</v>
      </c>
      <c r="T707" s="11" t="str">
        <f>'data on outstanding creditors'!$C707&amp;" "&amp;'data on outstanding creditors'!$D707&amp;" "&amp;TEXT('data on outstanding creditors'!$E707,"#,##0.00")</f>
        <v>หจก.บุรีรัมย์ซัพพลายอีเล็คโทรนิค I68/000626 5,490.00</v>
      </c>
      <c r="U707" s="12"/>
    </row>
    <row r="708" ht="13.5" customHeight="1">
      <c r="A708" s="1" t="s">
        <v>1150</v>
      </c>
      <c r="B708" s="2">
        <v>45925.0</v>
      </c>
      <c r="C708" s="9" t="s">
        <v>149</v>
      </c>
      <c r="D708" s="1" t="s">
        <v>1151</v>
      </c>
      <c r="E708" s="4">
        <v>5290.0</v>
      </c>
      <c r="F708" s="4"/>
      <c r="G708" s="4"/>
      <c r="H708" s="4">
        <f>'data on outstanding creditors'!$E708-'data on outstanding creditors'!$F708-'data on outstanding creditors'!$G708</f>
        <v>5290</v>
      </c>
      <c r="I708" s="2"/>
      <c r="J708" s="1" t="s">
        <v>757</v>
      </c>
      <c r="K708" s="2">
        <v>45950.0</v>
      </c>
      <c r="L708" s="5"/>
      <c r="M708" s="9" t="s">
        <v>1135</v>
      </c>
      <c r="N708" s="9" t="s">
        <v>49</v>
      </c>
      <c r="O708" s="10">
        <f>'data on outstanding creditors'!$E708*100/107</f>
        <v>4943.925234</v>
      </c>
      <c r="P708" s="10">
        <f>'data on outstanding creditors'!$E708-'data on outstanding creditors'!$O708</f>
        <v>346.0747664</v>
      </c>
      <c r="Q708" s="7">
        <f>DAY('data on outstanding creditors'!$B708)</f>
        <v>25</v>
      </c>
      <c r="R708" s="7">
        <f>MONTH('data on outstanding creditors'!$B708)</f>
        <v>9</v>
      </c>
      <c r="S708" s="7">
        <f>YEAR('data on outstanding creditors'!$B708)</f>
        <v>2025</v>
      </c>
      <c r="T708" s="11" t="str">
        <f>'data on outstanding creditors'!$C708&amp;" "&amp;'data on outstanding creditors'!$D708&amp;" "&amp;TEXT('data on outstanding creditors'!$E708,"#,##0.00")</f>
        <v>หจก.บุรีรัมย์ซัพพลายอีเล็คโทรนิค I68/000627 5,290.00</v>
      </c>
      <c r="U708" s="12"/>
    </row>
    <row r="709" ht="13.5" customHeight="1">
      <c r="A709" s="1" t="s">
        <v>1152</v>
      </c>
      <c r="B709" s="2">
        <v>45961.0</v>
      </c>
      <c r="C709" s="9" t="s">
        <v>1050</v>
      </c>
      <c r="D709" s="1" t="s">
        <v>1153</v>
      </c>
      <c r="E709" s="4">
        <v>349500.0</v>
      </c>
      <c r="F709" s="4"/>
      <c r="G709" s="4"/>
      <c r="H709" s="4">
        <f>'data on outstanding creditors'!$E709-'data on outstanding creditors'!$F709-'data on outstanding creditors'!$G709</f>
        <v>349500</v>
      </c>
      <c r="I709" s="2"/>
      <c r="J709" s="1"/>
      <c r="K709" s="2"/>
      <c r="L709" s="5"/>
      <c r="M709" s="9" t="s">
        <v>1154</v>
      </c>
      <c r="N709" s="9" t="s">
        <v>49</v>
      </c>
      <c r="O709" s="10">
        <f>'data on outstanding creditors'!$E709*100/107</f>
        <v>326635.514</v>
      </c>
      <c r="P709" s="10">
        <f>'data on outstanding creditors'!$E709-'data on outstanding creditors'!$O709</f>
        <v>22864.48598</v>
      </c>
      <c r="Q709" s="7">
        <f>DAY('data on outstanding creditors'!$B709)</f>
        <v>31</v>
      </c>
      <c r="R709" s="7">
        <f>MONTH('data on outstanding creditors'!$B709)</f>
        <v>10</v>
      </c>
      <c r="S709" s="7">
        <f>YEAR('data on outstanding creditors'!$B709)</f>
        <v>2025</v>
      </c>
      <c r="T709" s="11" t="str">
        <f>'data on outstanding creditors'!$C709&amp;" "&amp;'data on outstanding creditors'!$D709&amp;" "&amp;TEXT('data on outstanding creditors'!$E709,"#,##0.00")</f>
        <v>บ.พีทีโอเอเซ็นเตอร์ I007762 349,500.00</v>
      </c>
      <c r="U709" s="12"/>
    </row>
    <row r="710" ht="13.5" customHeight="1">
      <c r="A710" s="1" t="s">
        <v>1155</v>
      </c>
      <c r="B710" s="2">
        <v>45896.0</v>
      </c>
      <c r="C710" s="9" t="s">
        <v>149</v>
      </c>
      <c r="D710" s="1" t="s">
        <v>1156</v>
      </c>
      <c r="E710" s="4">
        <v>45500.0</v>
      </c>
      <c r="F710" s="4"/>
      <c r="G710" s="4"/>
      <c r="H710" s="4">
        <f>'data on outstanding creditors'!$E710-'data on outstanding creditors'!$F710-'data on outstanding creditors'!$G710</f>
        <v>45500</v>
      </c>
      <c r="I710" s="2"/>
      <c r="J710" s="1" t="s">
        <v>757</v>
      </c>
      <c r="K710" s="2">
        <v>45966.0</v>
      </c>
      <c r="L710" s="5"/>
      <c r="M710" s="9" t="s">
        <v>1157</v>
      </c>
      <c r="N710" s="9" t="s">
        <v>49</v>
      </c>
      <c r="O710" s="10">
        <f>'data on outstanding creditors'!$E710*100/107</f>
        <v>42523.36449</v>
      </c>
      <c r="P710" s="10">
        <f>'data on outstanding creditors'!$E710-'data on outstanding creditors'!$O710</f>
        <v>2976.635514</v>
      </c>
      <c r="Q710" s="7">
        <f>DAY('data on outstanding creditors'!$B710)</f>
        <v>27</v>
      </c>
      <c r="R710" s="7">
        <f>MONTH('data on outstanding creditors'!$B710)</f>
        <v>8</v>
      </c>
      <c r="S710" s="7">
        <f>YEAR('data on outstanding creditors'!$B710)</f>
        <v>2025</v>
      </c>
      <c r="T710" s="11" t="str">
        <f>'data on outstanding creditors'!$C710&amp;" "&amp;'data on outstanding creditors'!$D710&amp;" "&amp;TEXT('data on outstanding creditors'!$E710,"#,##0.00")</f>
        <v>หจก.บุรีรัมย์ซัพพลายอีเล็คโทรนิค I68/000532 45,500.00</v>
      </c>
      <c r="U710" s="12"/>
    </row>
    <row r="711" ht="13.5" customHeight="1">
      <c r="A711" s="1" t="s">
        <v>1158</v>
      </c>
      <c r="B711" s="2">
        <v>45896.0</v>
      </c>
      <c r="C711" s="9" t="s">
        <v>149</v>
      </c>
      <c r="D711" s="1" t="s">
        <v>1159</v>
      </c>
      <c r="E711" s="4">
        <v>23500.0</v>
      </c>
      <c r="F711" s="4"/>
      <c r="G711" s="4"/>
      <c r="H711" s="4">
        <f>'data on outstanding creditors'!$E711-'data on outstanding creditors'!$F711-'data on outstanding creditors'!$G711</f>
        <v>23500</v>
      </c>
      <c r="I711" s="2"/>
      <c r="J711" s="1" t="s">
        <v>646</v>
      </c>
      <c r="K711" s="2">
        <v>45929.0</v>
      </c>
      <c r="L711" s="5"/>
      <c r="M711" s="9" t="s">
        <v>1157</v>
      </c>
      <c r="N711" s="9" t="s">
        <v>49</v>
      </c>
      <c r="O711" s="10">
        <f>'data on outstanding creditors'!$E711*100/107</f>
        <v>21962.61682</v>
      </c>
      <c r="P711" s="10">
        <f>'data on outstanding creditors'!$E711-'data on outstanding creditors'!$O711</f>
        <v>1537.383178</v>
      </c>
      <c r="Q711" s="7">
        <f>DAY('data on outstanding creditors'!$B711)</f>
        <v>27</v>
      </c>
      <c r="R711" s="7">
        <f>MONTH('data on outstanding creditors'!$B711)</f>
        <v>8</v>
      </c>
      <c r="S711" s="7">
        <f>YEAR('data on outstanding creditors'!$B711)</f>
        <v>2025</v>
      </c>
      <c r="T711" s="11" t="str">
        <f>'data on outstanding creditors'!$C711&amp;" "&amp;'data on outstanding creditors'!$D711&amp;" "&amp;TEXT('data on outstanding creditors'!$E711,"#,##0.00")</f>
        <v>หจก.บุรีรัมย์ซัพพลายอีเล็คโทรนิค I68/000533 23,500.00</v>
      </c>
      <c r="U711" s="12"/>
    </row>
    <row r="712" ht="13.5" customHeight="1">
      <c r="A712" s="1" t="s">
        <v>1160</v>
      </c>
      <c r="B712" s="2">
        <v>45903.0</v>
      </c>
      <c r="C712" s="9" t="s">
        <v>149</v>
      </c>
      <c r="D712" s="1" t="s">
        <v>1161</v>
      </c>
      <c r="E712" s="4">
        <v>41700.0</v>
      </c>
      <c r="F712" s="4"/>
      <c r="G712" s="4"/>
      <c r="H712" s="4">
        <f>'data on outstanding creditors'!$E712-'data on outstanding creditors'!$F712-'data on outstanding creditors'!$G712</f>
        <v>41700</v>
      </c>
      <c r="I712" s="2"/>
      <c r="J712" s="1" t="s">
        <v>646</v>
      </c>
      <c r="K712" s="2">
        <v>45943.0</v>
      </c>
      <c r="L712" s="5"/>
      <c r="M712" s="9" t="s">
        <v>1157</v>
      </c>
      <c r="N712" s="9" t="s">
        <v>49</v>
      </c>
      <c r="O712" s="10">
        <f>'data on outstanding creditors'!$E712*100/107</f>
        <v>38971.96262</v>
      </c>
      <c r="P712" s="10">
        <f>'data on outstanding creditors'!$E712-'data on outstanding creditors'!$O712</f>
        <v>2728.037383</v>
      </c>
      <c r="Q712" s="7">
        <f>DAY('data on outstanding creditors'!$B712)</f>
        <v>3</v>
      </c>
      <c r="R712" s="7">
        <f>MONTH('data on outstanding creditors'!$B712)</f>
        <v>9</v>
      </c>
      <c r="S712" s="7">
        <f>YEAR('data on outstanding creditors'!$B712)</f>
        <v>2025</v>
      </c>
      <c r="T712" s="11" t="str">
        <f>'data on outstanding creditors'!$C712&amp;" "&amp;'data on outstanding creditors'!$D712&amp;" "&amp;TEXT('data on outstanding creditors'!$E712,"#,##0.00")</f>
        <v>หจก.บุรีรัมย์ซัพพลายอีเล็คโทรนิค I68/000552 41,700.00</v>
      </c>
      <c r="U712" s="12"/>
    </row>
    <row r="713" ht="13.5" customHeight="1">
      <c r="A713" s="1" t="s">
        <v>1162</v>
      </c>
      <c r="B713" s="2">
        <v>45903.0</v>
      </c>
      <c r="C713" s="9" t="s">
        <v>149</v>
      </c>
      <c r="D713" s="1" t="s">
        <v>1163</v>
      </c>
      <c r="E713" s="4">
        <v>45500.0</v>
      </c>
      <c r="F713" s="4"/>
      <c r="G713" s="4"/>
      <c r="H713" s="4">
        <f>'data on outstanding creditors'!$E713-'data on outstanding creditors'!$F713-'data on outstanding creditors'!$G713</f>
        <v>45500</v>
      </c>
      <c r="I713" s="2"/>
      <c r="J713" s="1" t="s">
        <v>646</v>
      </c>
      <c r="K713" s="2">
        <v>45943.0</v>
      </c>
      <c r="L713" s="5"/>
      <c r="M713" s="9" t="s">
        <v>1157</v>
      </c>
      <c r="N713" s="9" t="s">
        <v>49</v>
      </c>
      <c r="O713" s="10">
        <f>'data on outstanding creditors'!$E713*100/107</f>
        <v>42523.36449</v>
      </c>
      <c r="P713" s="10">
        <f>'data on outstanding creditors'!$E713-'data on outstanding creditors'!$O713</f>
        <v>2976.635514</v>
      </c>
      <c r="Q713" s="7">
        <f>DAY('data on outstanding creditors'!$B713)</f>
        <v>3</v>
      </c>
      <c r="R713" s="7">
        <f>MONTH('data on outstanding creditors'!$B713)</f>
        <v>9</v>
      </c>
      <c r="S713" s="7">
        <f>YEAR('data on outstanding creditors'!$B713)</f>
        <v>2025</v>
      </c>
      <c r="T713" s="11" t="str">
        <f>'data on outstanding creditors'!$C713&amp;" "&amp;'data on outstanding creditors'!$D713&amp;" "&amp;TEXT('data on outstanding creditors'!$E713,"#,##0.00")</f>
        <v>หจก.บุรีรัมย์ซัพพลายอีเล็คโทรนิค I68/000551 45,500.00</v>
      </c>
      <c r="U713" s="12"/>
    </row>
    <row r="714" ht="13.5" customHeight="1">
      <c r="A714" s="1" t="s">
        <v>1164</v>
      </c>
      <c r="B714" s="2">
        <v>45908.0</v>
      </c>
      <c r="C714" s="9" t="s">
        <v>149</v>
      </c>
      <c r="D714" s="1" t="s">
        <v>1165</v>
      </c>
      <c r="E714" s="4">
        <v>24900.0</v>
      </c>
      <c r="F714" s="4"/>
      <c r="G714" s="4"/>
      <c r="H714" s="4">
        <f>'data on outstanding creditors'!$E714-'data on outstanding creditors'!$F714-'data on outstanding creditors'!$G714</f>
        <v>24900</v>
      </c>
      <c r="I714" s="2"/>
      <c r="J714" s="1" t="s">
        <v>646</v>
      </c>
      <c r="K714" s="2">
        <v>45943.0</v>
      </c>
      <c r="L714" s="5"/>
      <c r="M714" s="9" t="s">
        <v>1157</v>
      </c>
      <c r="N714" s="9" t="s">
        <v>49</v>
      </c>
      <c r="O714" s="10">
        <f>'data on outstanding creditors'!$E714*100/107</f>
        <v>23271.02804</v>
      </c>
      <c r="P714" s="10">
        <f>'data on outstanding creditors'!$E714-'data on outstanding creditors'!$O714</f>
        <v>1628.971963</v>
      </c>
      <c r="Q714" s="7">
        <f>DAY('data on outstanding creditors'!$B714)</f>
        <v>8</v>
      </c>
      <c r="R714" s="7">
        <f>MONTH('data on outstanding creditors'!$B714)</f>
        <v>9</v>
      </c>
      <c r="S714" s="7">
        <f>YEAR('data on outstanding creditors'!$B714)</f>
        <v>2025</v>
      </c>
      <c r="T714" s="11" t="str">
        <f>'data on outstanding creditors'!$C714&amp;" "&amp;'data on outstanding creditors'!$D714&amp;" "&amp;TEXT('data on outstanding creditors'!$E714,"#,##0.00")</f>
        <v>หจก.บุรีรัมย์ซัพพลายอีเล็คโทรนิค I68/000573 24,900.00</v>
      </c>
      <c r="U714" s="12"/>
    </row>
    <row r="715" ht="13.5" customHeight="1">
      <c r="A715" s="1" t="s">
        <v>1166</v>
      </c>
      <c r="B715" s="2">
        <v>45910.0</v>
      </c>
      <c r="C715" s="9" t="s">
        <v>149</v>
      </c>
      <c r="D715" s="1" t="s">
        <v>1167</v>
      </c>
      <c r="E715" s="4">
        <v>67000.0</v>
      </c>
      <c r="F715" s="4"/>
      <c r="G715" s="4"/>
      <c r="H715" s="4">
        <f>'data on outstanding creditors'!$E715-'data on outstanding creditors'!$F715-'data on outstanding creditors'!$G715</f>
        <v>67000</v>
      </c>
      <c r="I715" s="2"/>
      <c r="J715" s="1" t="s">
        <v>646</v>
      </c>
      <c r="K715" s="2">
        <v>45943.0</v>
      </c>
      <c r="L715" s="5"/>
      <c r="M715" s="9" t="s">
        <v>1157</v>
      </c>
      <c r="N715" s="9" t="s">
        <v>49</v>
      </c>
      <c r="O715" s="10">
        <f>'data on outstanding creditors'!$E715*100/107</f>
        <v>62616.82243</v>
      </c>
      <c r="P715" s="10">
        <f>'data on outstanding creditors'!$E715-'data on outstanding creditors'!$O715</f>
        <v>4383.17757</v>
      </c>
      <c r="Q715" s="7">
        <f>DAY('data on outstanding creditors'!$B715)</f>
        <v>10</v>
      </c>
      <c r="R715" s="7">
        <f>MONTH('data on outstanding creditors'!$B715)</f>
        <v>9</v>
      </c>
      <c r="S715" s="7">
        <f>YEAR('data on outstanding creditors'!$B715)</f>
        <v>2025</v>
      </c>
      <c r="T715" s="11" t="str">
        <f>'data on outstanding creditors'!$C715&amp;" "&amp;'data on outstanding creditors'!$D715&amp;" "&amp;TEXT('data on outstanding creditors'!$E715,"#,##0.00")</f>
        <v>หจก.บุรีรัมย์ซัพพลายอีเล็คโทรนิค I68/000579 67,000.00</v>
      </c>
      <c r="U715" s="12"/>
    </row>
    <row r="716" ht="13.5" customHeight="1">
      <c r="A716" s="1" t="s">
        <v>1168</v>
      </c>
      <c r="B716" s="2">
        <v>45910.0</v>
      </c>
      <c r="C716" s="9" t="s">
        <v>149</v>
      </c>
      <c r="D716" s="1" t="s">
        <v>1169</v>
      </c>
      <c r="E716" s="4">
        <v>147200.0</v>
      </c>
      <c r="F716" s="4"/>
      <c r="G716" s="4"/>
      <c r="H716" s="4">
        <f>'data on outstanding creditors'!$E716-'data on outstanding creditors'!$F716-'data on outstanding creditors'!$G716</f>
        <v>147200</v>
      </c>
      <c r="I716" s="2"/>
      <c r="J716" s="1" t="s">
        <v>646</v>
      </c>
      <c r="K716" s="2">
        <v>45954.0</v>
      </c>
      <c r="L716" s="5"/>
      <c r="M716" s="9" t="s">
        <v>1157</v>
      </c>
      <c r="N716" s="9" t="s">
        <v>49</v>
      </c>
      <c r="O716" s="10">
        <f>'data on outstanding creditors'!$E716*100/107</f>
        <v>137570.0935</v>
      </c>
      <c r="P716" s="10">
        <f>'data on outstanding creditors'!$E716-'data on outstanding creditors'!$O716</f>
        <v>9629.906542</v>
      </c>
      <c r="Q716" s="7">
        <f>DAY('data on outstanding creditors'!$B716)</f>
        <v>10</v>
      </c>
      <c r="R716" s="7">
        <f>MONTH('data on outstanding creditors'!$B716)</f>
        <v>9</v>
      </c>
      <c r="S716" s="7">
        <f>YEAR('data on outstanding creditors'!$B716)</f>
        <v>2025</v>
      </c>
      <c r="T716" s="11" t="str">
        <f>'data on outstanding creditors'!$C716&amp;" "&amp;'data on outstanding creditors'!$D716&amp;" "&amp;TEXT('data on outstanding creditors'!$E716,"#,##0.00")</f>
        <v>หจก.บุรีรัมย์ซัพพลายอีเล็คโทรนิค I68/000584 147,200.00</v>
      </c>
      <c r="U716" s="12"/>
    </row>
    <row r="717" ht="13.5" customHeight="1">
      <c r="A717" s="1" t="s">
        <v>1170</v>
      </c>
      <c r="B717" s="2">
        <v>45931.0</v>
      </c>
      <c r="C717" s="9" t="s">
        <v>149</v>
      </c>
      <c r="D717" s="1" t="s">
        <v>1171</v>
      </c>
      <c r="E717" s="4">
        <v>49800.0</v>
      </c>
      <c r="F717" s="4"/>
      <c r="G717" s="4"/>
      <c r="H717" s="4">
        <f>'data on outstanding creditors'!$E717-'data on outstanding creditors'!$F717-'data on outstanding creditors'!$G717</f>
        <v>49800</v>
      </c>
      <c r="I717" s="2"/>
      <c r="J717" s="1" t="s">
        <v>757</v>
      </c>
      <c r="K717" s="2">
        <v>45961.0</v>
      </c>
      <c r="L717" s="5"/>
      <c r="M717" s="9" t="s">
        <v>1157</v>
      </c>
      <c r="N717" s="9" t="s">
        <v>49</v>
      </c>
      <c r="O717" s="10">
        <f>'data on outstanding creditors'!$E717*100/107</f>
        <v>46542.05607</v>
      </c>
      <c r="P717" s="10">
        <f>'data on outstanding creditors'!$E717-'data on outstanding creditors'!$O717</f>
        <v>3257.943925</v>
      </c>
      <c r="Q717" s="7">
        <f>DAY('data on outstanding creditors'!$B717)</f>
        <v>1</v>
      </c>
      <c r="R717" s="7">
        <f>MONTH('data on outstanding creditors'!$B717)</f>
        <v>10</v>
      </c>
      <c r="S717" s="7">
        <f>YEAR('data on outstanding creditors'!$B717)</f>
        <v>2025</v>
      </c>
      <c r="T717" s="11" t="str">
        <f>'data on outstanding creditors'!$C717&amp;" "&amp;'data on outstanding creditors'!$D717&amp;" "&amp;TEXT('data on outstanding creditors'!$E717,"#,##0.00")</f>
        <v>หจก.บุรีรัมย์ซัพพลายอีเล็คโทรนิค I68/000651 49,800.00</v>
      </c>
      <c r="U717" s="12"/>
    </row>
    <row r="718" ht="13.5" customHeight="1">
      <c r="A718" s="1" t="s">
        <v>1172</v>
      </c>
      <c r="B718" s="2">
        <v>45937.0</v>
      </c>
      <c r="C718" s="9" t="s">
        <v>149</v>
      </c>
      <c r="D718" s="1" t="s">
        <v>1173</v>
      </c>
      <c r="E718" s="4">
        <v>16800.0</v>
      </c>
      <c r="F718" s="4"/>
      <c r="G718" s="4"/>
      <c r="H718" s="4">
        <f>'data on outstanding creditors'!$E718-'data on outstanding creditors'!$F718-'data on outstanding creditors'!$G718</f>
        <v>16800</v>
      </c>
      <c r="I718" s="2"/>
      <c r="J718" s="1"/>
      <c r="K718" s="2"/>
      <c r="L718" s="5"/>
      <c r="M718" s="9" t="s">
        <v>1157</v>
      </c>
      <c r="N718" s="9" t="s">
        <v>49</v>
      </c>
      <c r="O718" s="10">
        <f>'data on outstanding creditors'!$E718*100/107</f>
        <v>15700.93458</v>
      </c>
      <c r="P718" s="10">
        <f>'data on outstanding creditors'!$E718-'data on outstanding creditors'!$O718</f>
        <v>1099.065421</v>
      </c>
      <c r="Q718" s="7">
        <f>DAY('data on outstanding creditors'!$B718)</f>
        <v>7</v>
      </c>
      <c r="R718" s="7">
        <f>MONTH('data on outstanding creditors'!$B718)</f>
        <v>10</v>
      </c>
      <c r="S718" s="7">
        <f>YEAR('data on outstanding creditors'!$B718)</f>
        <v>2025</v>
      </c>
      <c r="T718" s="11" t="str">
        <f>'data on outstanding creditors'!$C718&amp;" "&amp;'data on outstanding creditors'!$D718&amp;" "&amp;TEXT('data on outstanding creditors'!$E718,"#,##0.00")</f>
        <v>หจก.บุรีรัมย์ซัพพลายอีเล็คโทรนิค I68/000665 16,800.00</v>
      </c>
      <c r="U718" s="12"/>
    </row>
    <row r="719" ht="13.5" customHeight="1">
      <c r="A719" s="1" t="s">
        <v>1174</v>
      </c>
      <c r="B719" s="2">
        <v>45946.0</v>
      </c>
      <c r="C719" s="9" t="s">
        <v>149</v>
      </c>
      <c r="D719" s="1" t="s">
        <v>1175</v>
      </c>
      <c r="E719" s="4">
        <v>67900.0</v>
      </c>
      <c r="F719" s="4"/>
      <c r="G719" s="4"/>
      <c r="H719" s="4">
        <f>'data on outstanding creditors'!$E719-'data on outstanding creditors'!$F719-'data on outstanding creditors'!$G719</f>
        <v>67900</v>
      </c>
      <c r="I719" s="2"/>
      <c r="J719" s="1" t="s">
        <v>757</v>
      </c>
      <c r="K719" s="2">
        <v>45961.0</v>
      </c>
      <c r="L719" s="5"/>
      <c r="M719" s="9" t="s">
        <v>1157</v>
      </c>
      <c r="N719" s="9" t="s">
        <v>49</v>
      </c>
      <c r="O719" s="10">
        <f>'data on outstanding creditors'!$E719*100/107</f>
        <v>63457.94393</v>
      </c>
      <c r="P719" s="10">
        <f>'data on outstanding creditors'!$E719-'data on outstanding creditors'!$O719</f>
        <v>4442.056075</v>
      </c>
      <c r="Q719" s="7">
        <f>DAY('data on outstanding creditors'!$B719)</f>
        <v>16</v>
      </c>
      <c r="R719" s="7">
        <f>MONTH('data on outstanding creditors'!$B719)</f>
        <v>10</v>
      </c>
      <c r="S719" s="7">
        <f>YEAR('data on outstanding creditors'!$B719)</f>
        <v>2025</v>
      </c>
      <c r="T719" s="11" t="str">
        <f>'data on outstanding creditors'!$C719&amp;" "&amp;'data on outstanding creditors'!$D719&amp;" "&amp;TEXT('data on outstanding creditors'!$E719,"#,##0.00")</f>
        <v>หจก.บุรีรัมย์ซัพพลายอีเล็คโทรนิค I68/000677 67,900.00</v>
      </c>
      <c r="U719" s="12"/>
    </row>
    <row r="720" ht="13.5" customHeight="1">
      <c r="A720" s="1" t="s">
        <v>1176</v>
      </c>
      <c r="B720" s="2">
        <v>45798.0</v>
      </c>
      <c r="C720" s="9" t="s">
        <v>1177</v>
      </c>
      <c r="D720" s="1" t="s">
        <v>1178</v>
      </c>
      <c r="E720" s="4">
        <v>11000.0</v>
      </c>
      <c r="F720" s="4"/>
      <c r="G720" s="4"/>
      <c r="H720" s="4">
        <f>'data on outstanding creditors'!$E720-'data on outstanding creditors'!$F720-'data on outstanding creditors'!$G720</f>
        <v>11000</v>
      </c>
      <c r="I720" s="2"/>
      <c r="J720" s="1" t="s">
        <v>646</v>
      </c>
      <c r="K720" s="2">
        <v>45833.0</v>
      </c>
      <c r="L720" s="5"/>
      <c r="M720" s="9" t="s">
        <v>1179</v>
      </c>
      <c r="N720" s="9" t="s">
        <v>49</v>
      </c>
      <c r="O720" s="10">
        <f>'data on outstanding creditors'!$E720*100/107</f>
        <v>10280.37383</v>
      </c>
      <c r="P720" s="10">
        <f>'data on outstanding creditors'!$E720-'data on outstanding creditors'!$O720</f>
        <v>719.6261682</v>
      </c>
      <c r="Q720" s="7">
        <f>DAY('data on outstanding creditors'!$B720)</f>
        <v>21</v>
      </c>
      <c r="R720" s="7">
        <f>MONTH('data on outstanding creditors'!$B720)</f>
        <v>5</v>
      </c>
      <c r="S720" s="7">
        <f>YEAR('data on outstanding creditors'!$B720)</f>
        <v>2025</v>
      </c>
      <c r="T720" s="11" t="str">
        <f>'data on outstanding creditors'!$C720&amp;" "&amp;'data on outstanding creditors'!$D720&amp;" "&amp;TEXT('data on outstanding creditors'!$E720,"#,##0.00")</f>
        <v>บ.ณรงค์ศักดิ์ครุภัณฑ์เวชภัณฑ์ 034/3428 11,000.00</v>
      </c>
      <c r="U720" s="12"/>
    </row>
    <row r="721" ht="13.5" customHeight="1">
      <c r="A721" s="1" t="s">
        <v>1180</v>
      </c>
      <c r="B721" s="2">
        <v>45798.0</v>
      </c>
      <c r="C721" s="9" t="s">
        <v>1177</v>
      </c>
      <c r="D721" s="1" t="s">
        <v>1181</v>
      </c>
      <c r="E721" s="4">
        <v>19500.0</v>
      </c>
      <c r="F721" s="4"/>
      <c r="G721" s="4"/>
      <c r="H721" s="4">
        <f>'data on outstanding creditors'!$E721-'data on outstanding creditors'!$F721-'data on outstanding creditors'!$G721</f>
        <v>19500</v>
      </c>
      <c r="I721" s="2"/>
      <c r="J721" s="1" t="s">
        <v>646</v>
      </c>
      <c r="K721" s="2">
        <v>45833.0</v>
      </c>
      <c r="L721" s="5"/>
      <c r="M721" s="9" t="s">
        <v>1179</v>
      </c>
      <c r="N721" s="9" t="s">
        <v>49</v>
      </c>
      <c r="O721" s="10">
        <f>'data on outstanding creditors'!$E721*100/107</f>
        <v>18224.29907</v>
      </c>
      <c r="P721" s="10">
        <f>'data on outstanding creditors'!$E721-'data on outstanding creditors'!$O721</f>
        <v>1275.700935</v>
      </c>
      <c r="Q721" s="7">
        <f>DAY('data on outstanding creditors'!$B721)</f>
        <v>21</v>
      </c>
      <c r="R721" s="7">
        <f>MONTH('data on outstanding creditors'!$B721)</f>
        <v>5</v>
      </c>
      <c r="S721" s="7">
        <f>YEAR('data on outstanding creditors'!$B721)</f>
        <v>2025</v>
      </c>
      <c r="T721" s="11" t="str">
        <f>'data on outstanding creditors'!$C721&amp;" "&amp;'data on outstanding creditors'!$D721&amp;" "&amp;TEXT('data on outstanding creditors'!$E721,"#,##0.00")</f>
        <v>บ.ณรงค์ศักดิ์ครุภัณฑ์เวชภัณฑ์ 034/3427 19,500.00</v>
      </c>
      <c r="U721" s="12"/>
    </row>
    <row r="722" ht="13.5" customHeight="1">
      <c r="A722" s="1" t="s">
        <v>1182</v>
      </c>
      <c r="B722" s="2">
        <v>45833.0</v>
      </c>
      <c r="C722" s="9" t="s">
        <v>1183</v>
      </c>
      <c r="D722" s="1" t="s">
        <v>1184</v>
      </c>
      <c r="E722" s="4">
        <v>147000.0</v>
      </c>
      <c r="F722" s="4"/>
      <c r="G722" s="4"/>
      <c r="H722" s="4">
        <f>'data on outstanding creditors'!$E722-'data on outstanding creditors'!$F722-'data on outstanding creditors'!$G722</f>
        <v>147000</v>
      </c>
      <c r="I722" s="2"/>
      <c r="J722" s="1" t="s">
        <v>646</v>
      </c>
      <c r="K722" s="2">
        <v>45846.0</v>
      </c>
      <c r="L722" s="5"/>
      <c r="M722" s="9" t="s">
        <v>1179</v>
      </c>
      <c r="N722" s="9" t="s">
        <v>49</v>
      </c>
      <c r="O722" s="10">
        <f>'data on outstanding creditors'!$E722*100/107</f>
        <v>137383.1776</v>
      </c>
      <c r="P722" s="10">
        <f>'data on outstanding creditors'!$E722-'data on outstanding creditors'!$O722</f>
        <v>9616.82243</v>
      </c>
      <c r="Q722" s="7">
        <f>DAY('data on outstanding creditors'!$B722)</f>
        <v>25</v>
      </c>
      <c r="R722" s="7">
        <f>MONTH('data on outstanding creditors'!$B722)</f>
        <v>6</v>
      </c>
      <c r="S722" s="7">
        <f>YEAR('data on outstanding creditors'!$B722)</f>
        <v>2025</v>
      </c>
      <c r="T722" s="11" t="str">
        <f>'data on outstanding creditors'!$C722&amp;" "&amp;'data on outstanding creditors'!$D722&amp;" "&amp;TEXT('data on outstanding creditors'!$E722,"#,##0.00")</f>
        <v>บ.โซวิค 159265 147,000.00</v>
      </c>
      <c r="U722" s="12"/>
    </row>
    <row r="723" ht="13.5" customHeight="1">
      <c r="A723" s="1" t="s">
        <v>1185</v>
      </c>
      <c r="B723" s="2">
        <v>45946.0</v>
      </c>
      <c r="C723" s="9" t="s">
        <v>1186</v>
      </c>
      <c r="D723" s="1" t="s">
        <v>1187</v>
      </c>
      <c r="E723" s="4">
        <v>45000.0</v>
      </c>
      <c r="F723" s="4"/>
      <c r="G723" s="4"/>
      <c r="H723" s="4">
        <f>'data on outstanding creditors'!$E723-'data on outstanding creditors'!$F723-'data on outstanding creditors'!$G723</f>
        <v>45000</v>
      </c>
      <c r="I723" s="2"/>
      <c r="J723" s="1"/>
      <c r="K723" s="2"/>
      <c r="L723" s="5"/>
      <c r="M723" s="9" t="s">
        <v>1179</v>
      </c>
      <c r="N723" s="9" t="s">
        <v>49</v>
      </c>
      <c r="O723" s="10">
        <f>'data on outstanding creditors'!$E723*100/107</f>
        <v>42056.07477</v>
      </c>
      <c r="P723" s="10">
        <f>'data on outstanding creditors'!$E723-'data on outstanding creditors'!$O723</f>
        <v>2943.925234</v>
      </c>
      <c r="Q723" s="7">
        <f>DAY('data on outstanding creditors'!$B723)</f>
        <v>16</v>
      </c>
      <c r="R723" s="7">
        <f>MONTH('data on outstanding creditors'!$B723)</f>
        <v>10</v>
      </c>
      <c r="S723" s="7">
        <f>YEAR('data on outstanding creditors'!$B723)</f>
        <v>2025</v>
      </c>
      <c r="T723" s="11" t="str">
        <f>'data on outstanding creditors'!$C723&amp;" "&amp;'data on outstanding creditors'!$D723&amp;" "&amp;TEXT('data on outstanding creditors'!$E723,"#,##0.00")</f>
        <v>บ.ธเนศพัฒนา I6810020 45,000.00</v>
      </c>
      <c r="U723" s="12"/>
    </row>
    <row r="724" ht="13.5" customHeight="1">
      <c r="A724" s="1" t="s">
        <v>1188</v>
      </c>
      <c r="B724" s="2">
        <v>45903.0</v>
      </c>
      <c r="C724" s="9" t="s">
        <v>1189</v>
      </c>
      <c r="D724" s="1" t="s">
        <v>1190</v>
      </c>
      <c r="E724" s="4">
        <v>900000.0</v>
      </c>
      <c r="F724" s="4"/>
      <c r="G724" s="4"/>
      <c r="H724" s="4">
        <f>'data on outstanding creditors'!$E724-'data on outstanding creditors'!$F724-'data on outstanding creditors'!$G724</f>
        <v>900000</v>
      </c>
      <c r="I724" s="2"/>
      <c r="J724" s="1" t="s">
        <v>757</v>
      </c>
      <c r="K724" s="2">
        <v>45935.0</v>
      </c>
      <c r="L724" s="5"/>
      <c r="M724" s="9" t="s">
        <v>1191</v>
      </c>
      <c r="N724" s="9" t="s">
        <v>49</v>
      </c>
      <c r="O724" s="10">
        <f>'data on outstanding creditors'!$E724*100/107</f>
        <v>841121.4953</v>
      </c>
      <c r="P724" s="10">
        <f>'data on outstanding creditors'!$E724-'data on outstanding creditors'!$O724</f>
        <v>58878.50467</v>
      </c>
      <c r="Q724" s="7">
        <f>DAY('data on outstanding creditors'!$B724)</f>
        <v>3</v>
      </c>
      <c r="R724" s="7">
        <f>MONTH('data on outstanding creditors'!$B724)</f>
        <v>9</v>
      </c>
      <c r="S724" s="7">
        <f>YEAR('data on outstanding creditors'!$B724)</f>
        <v>2025</v>
      </c>
      <c r="T724" s="11" t="str">
        <f>'data on outstanding creditors'!$C724&amp;" "&amp;'data on outstanding creditors'!$D724&amp;" "&amp;TEXT('data on outstanding creditors'!$E724,"#,##0.00")</f>
        <v>บ.เค.เอช.ที.เซ็นทรัลซัพพลาย HO6808-035 900,000.00</v>
      </c>
      <c r="U724" s="12"/>
    </row>
    <row r="725" ht="13.5" customHeight="1">
      <c r="A725" s="1" t="s">
        <v>1192</v>
      </c>
      <c r="B725" s="2">
        <v>45919.0</v>
      </c>
      <c r="C725" s="9" t="s">
        <v>149</v>
      </c>
      <c r="D725" s="1" t="s">
        <v>1193</v>
      </c>
      <c r="E725" s="4">
        <v>13490.0</v>
      </c>
      <c r="F725" s="4"/>
      <c r="G725" s="4"/>
      <c r="H725" s="4">
        <f>'data on outstanding creditors'!$E725-'data on outstanding creditors'!$F725-'data on outstanding creditors'!$G725</f>
        <v>13490</v>
      </c>
      <c r="I725" s="2"/>
      <c r="J725" s="1" t="s">
        <v>646</v>
      </c>
      <c r="K725" s="2">
        <v>45943.0</v>
      </c>
      <c r="L725" s="5"/>
      <c r="M725" s="9" t="s">
        <v>1191</v>
      </c>
      <c r="N725" s="9" t="s">
        <v>49</v>
      </c>
      <c r="O725" s="10">
        <f>'data on outstanding creditors'!$E725*100/107</f>
        <v>12607.47664</v>
      </c>
      <c r="P725" s="10">
        <f>'data on outstanding creditors'!$E725-'data on outstanding creditors'!$O725</f>
        <v>882.5233645</v>
      </c>
      <c r="Q725" s="7">
        <f>DAY('data on outstanding creditors'!$B725)</f>
        <v>19</v>
      </c>
      <c r="R725" s="7">
        <f>MONTH('data on outstanding creditors'!$B725)</f>
        <v>9</v>
      </c>
      <c r="S725" s="7">
        <f>YEAR('data on outstanding creditors'!$B725)</f>
        <v>2025</v>
      </c>
      <c r="T725" s="11" t="str">
        <f>'data on outstanding creditors'!$C725&amp;" "&amp;'data on outstanding creditors'!$D725&amp;" "&amp;TEXT('data on outstanding creditors'!$E725,"#,##0.00")</f>
        <v>หจก.บุรีรัมย์ซัพพลายอีเล็คโทรนิค I68/000606 13,490.00</v>
      </c>
      <c r="U725" s="12"/>
    </row>
    <row r="726" ht="13.5" customHeight="1">
      <c r="A726" s="1" t="s">
        <v>1194</v>
      </c>
      <c r="B726" s="2">
        <v>45917.0</v>
      </c>
      <c r="C726" s="9" t="s">
        <v>1195</v>
      </c>
      <c r="D726" s="1" t="s">
        <v>1196</v>
      </c>
      <c r="E726" s="4">
        <v>8100.0</v>
      </c>
      <c r="F726" s="4"/>
      <c r="G726" s="4"/>
      <c r="H726" s="4">
        <f>'data on outstanding creditors'!$E726-'data on outstanding creditors'!$F726-'data on outstanding creditors'!$G726</f>
        <v>8100</v>
      </c>
      <c r="I726" s="2"/>
      <c r="J726" s="1" t="s">
        <v>646</v>
      </c>
      <c r="K726" s="2">
        <v>45943.0</v>
      </c>
      <c r="L726" s="5"/>
      <c r="M726" s="9" t="s">
        <v>748</v>
      </c>
      <c r="N726" s="9" t="s">
        <v>49</v>
      </c>
      <c r="O726" s="10">
        <f>'data on outstanding creditors'!$E726*100/107</f>
        <v>7570.093458</v>
      </c>
      <c r="P726" s="10">
        <f>'data on outstanding creditors'!$E726-'data on outstanding creditors'!$O726</f>
        <v>529.9065421</v>
      </c>
      <c r="Q726" s="7">
        <f>DAY('data on outstanding creditors'!$B726)</f>
        <v>17</v>
      </c>
      <c r="R726" s="7">
        <f>MONTH('data on outstanding creditors'!$B726)</f>
        <v>9</v>
      </c>
      <c r="S726" s="7">
        <f>YEAR('data on outstanding creditors'!$B726)</f>
        <v>2025</v>
      </c>
      <c r="T726" s="11" t="str">
        <f>'data on outstanding creditors'!$C726&amp;" "&amp;'data on outstanding creditors'!$D726&amp;" "&amp;TEXT('data on outstanding creditors'!$E726,"#,##0.00")</f>
        <v>หจก วาย พี ที เฮลท์แคร์ IS5/68 8,100.00</v>
      </c>
      <c r="U726" s="12"/>
    </row>
    <row r="727" ht="13.5" customHeight="1">
      <c r="A727" s="1" t="s">
        <v>1197</v>
      </c>
      <c r="B727" s="2">
        <v>45931.0</v>
      </c>
      <c r="C727" s="9" t="s">
        <v>746</v>
      </c>
      <c r="D727" s="1" t="s">
        <v>1198</v>
      </c>
      <c r="E727" s="4">
        <v>14040.0</v>
      </c>
      <c r="F727" s="4"/>
      <c r="G727" s="4"/>
      <c r="H727" s="4">
        <f>'data on outstanding creditors'!$E727-'data on outstanding creditors'!$F727-'data on outstanding creditors'!$G727</f>
        <v>14040</v>
      </c>
      <c r="I727" s="2"/>
      <c r="J727" s="1" t="s">
        <v>757</v>
      </c>
      <c r="K727" s="2">
        <v>45961.0</v>
      </c>
      <c r="L727" s="5"/>
      <c r="M727" s="9" t="s">
        <v>748</v>
      </c>
      <c r="N727" s="9" t="s">
        <v>49</v>
      </c>
      <c r="O727" s="10">
        <f>'data on outstanding creditors'!$E727*100/107</f>
        <v>13121.49533</v>
      </c>
      <c r="P727" s="10">
        <f>'data on outstanding creditors'!$E727-'data on outstanding creditors'!$O727</f>
        <v>918.5046729</v>
      </c>
      <c r="Q727" s="7">
        <f>DAY('data on outstanding creditors'!$B727)</f>
        <v>1</v>
      </c>
      <c r="R727" s="7">
        <f>MONTH('data on outstanding creditors'!$B727)</f>
        <v>10</v>
      </c>
      <c r="S727" s="7">
        <f>YEAR('data on outstanding creditors'!$B727)</f>
        <v>2025</v>
      </c>
      <c r="T727" s="11" t="str">
        <f>'data on outstanding creditors'!$C727&amp;" "&amp;'data on outstanding creditors'!$D727&amp;" "&amp;TEXT('data on outstanding creditors'!$E727,"#,##0.00")</f>
        <v>บ.โลเคิล ไลฟ์ แพลตฟอร์ม LLP-INV09-25100218 14,040.00</v>
      </c>
      <c r="U727" s="12"/>
    </row>
    <row r="728" ht="13.5" customHeight="1">
      <c r="A728" s="1" t="s">
        <v>1199</v>
      </c>
      <c r="B728" s="2">
        <v>45961.0</v>
      </c>
      <c r="C728" s="9" t="s">
        <v>396</v>
      </c>
      <c r="D728" s="1" t="s">
        <v>1200</v>
      </c>
      <c r="E728" s="4">
        <v>300000.0</v>
      </c>
      <c r="F728" s="4"/>
      <c r="G728" s="4"/>
      <c r="H728" s="4">
        <f>'data on outstanding creditors'!$E728-'data on outstanding creditors'!$F728-'data on outstanding creditors'!$G728</f>
        <v>300000</v>
      </c>
      <c r="I728" s="2"/>
      <c r="J728" s="1"/>
      <c r="K728" s="2"/>
      <c r="L728" s="5"/>
      <c r="M728" s="9" t="s">
        <v>748</v>
      </c>
      <c r="N728" s="9" t="s">
        <v>49</v>
      </c>
      <c r="O728" s="10">
        <f>'data on outstanding creditors'!$E728*100/107</f>
        <v>280373.8318</v>
      </c>
      <c r="P728" s="10">
        <f>'data on outstanding creditors'!$E728-'data on outstanding creditors'!$O728</f>
        <v>19626.16822</v>
      </c>
      <c r="Q728" s="7">
        <f>DAY('data on outstanding creditors'!$B728)</f>
        <v>31</v>
      </c>
      <c r="R728" s="7">
        <f>MONTH('data on outstanding creditors'!$B728)</f>
        <v>10</v>
      </c>
      <c r="S728" s="7">
        <f>YEAR('data on outstanding creditors'!$B728)</f>
        <v>2025</v>
      </c>
      <c r="T728" s="11" t="str">
        <f>'data on outstanding creditors'!$C728&amp;" "&amp;'data on outstanding creditors'!$D728&amp;" "&amp;TEXT('data on outstanding creditors'!$E728,"#,##0.00")</f>
        <v>บ.เยเนอรัล ฮอสปิตัล โปรดัคส์ 25IS00100011 300,000.00</v>
      </c>
      <c r="U728" s="12"/>
    </row>
    <row r="729" ht="13.5" customHeight="1">
      <c r="A729" s="1" t="s">
        <v>1201</v>
      </c>
      <c r="B729" s="2">
        <v>45890.0</v>
      </c>
      <c r="C729" s="9" t="s">
        <v>1202</v>
      </c>
      <c r="D729" s="1" t="s">
        <v>1203</v>
      </c>
      <c r="E729" s="4">
        <v>17826.2</v>
      </c>
      <c r="F729" s="4"/>
      <c r="G729" s="4"/>
      <c r="H729" s="4">
        <f>'data on outstanding creditors'!$E729-'data on outstanding creditors'!$F729-'data on outstanding creditors'!$G729</f>
        <v>17826.2</v>
      </c>
      <c r="I729" s="2"/>
      <c r="J729" s="1" t="s">
        <v>757</v>
      </c>
      <c r="K729" s="2">
        <v>45960.0</v>
      </c>
      <c r="L729" s="5"/>
      <c r="M729" s="9" t="s">
        <v>1204</v>
      </c>
      <c r="N729" s="9" t="s">
        <v>49</v>
      </c>
      <c r="O729" s="10">
        <f>'data on outstanding creditors'!$E729*100/107</f>
        <v>16660</v>
      </c>
      <c r="P729" s="10">
        <f>'data on outstanding creditors'!$E729-'data on outstanding creditors'!$O729</f>
        <v>1166.2</v>
      </c>
      <c r="Q729" s="7">
        <f>DAY('data on outstanding creditors'!$B729)</f>
        <v>21</v>
      </c>
      <c r="R729" s="7">
        <f>MONTH('data on outstanding creditors'!$B729)</f>
        <v>8</v>
      </c>
      <c r="S729" s="7">
        <f>YEAR('data on outstanding creditors'!$B729)</f>
        <v>2025</v>
      </c>
      <c r="T729" s="11" t="str">
        <f>'data on outstanding creditors'!$C729&amp;" "&amp;'data on outstanding creditors'!$D729&amp;" "&amp;TEXT('data on outstanding creditors'!$E729,"#,##0.00")</f>
        <v>หจก.นางรองเจริญยางยนต์ 6808000207 17,826.20</v>
      </c>
      <c r="U729" s="12"/>
    </row>
    <row r="730" ht="13.5" customHeight="1">
      <c r="A730" s="1" t="s">
        <v>1205</v>
      </c>
      <c r="B730" s="2">
        <v>45894.0</v>
      </c>
      <c r="C730" s="9" t="s">
        <v>1202</v>
      </c>
      <c r="D730" s="1" t="s">
        <v>1206</v>
      </c>
      <c r="E730" s="4">
        <v>25872.6</v>
      </c>
      <c r="F730" s="4"/>
      <c r="G730" s="4"/>
      <c r="H730" s="4">
        <f>'data on outstanding creditors'!$E730-'data on outstanding creditors'!$F730-'data on outstanding creditors'!$G730</f>
        <v>25872.6</v>
      </c>
      <c r="I730" s="2"/>
      <c r="J730" s="1" t="s">
        <v>757</v>
      </c>
      <c r="K730" s="2">
        <v>45960.0</v>
      </c>
      <c r="L730" s="5"/>
      <c r="M730" s="9" t="s">
        <v>1204</v>
      </c>
      <c r="N730" s="9" t="s">
        <v>49</v>
      </c>
      <c r="O730" s="10">
        <f>'data on outstanding creditors'!$E730*100/107</f>
        <v>24180</v>
      </c>
      <c r="P730" s="10">
        <f>'data on outstanding creditors'!$E730-'data on outstanding creditors'!$O730</f>
        <v>1692.6</v>
      </c>
      <c r="Q730" s="7">
        <f>DAY('data on outstanding creditors'!$B730)</f>
        <v>25</v>
      </c>
      <c r="R730" s="7">
        <f>MONTH('data on outstanding creditors'!$B730)</f>
        <v>8</v>
      </c>
      <c r="S730" s="7">
        <f>YEAR('data on outstanding creditors'!$B730)</f>
        <v>2025</v>
      </c>
      <c r="T730" s="11" t="str">
        <f>'data on outstanding creditors'!$C730&amp;" "&amp;'data on outstanding creditors'!$D730&amp;" "&amp;TEXT('data on outstanding creditors'!$E730,"#,##0.00")</f>
        <v>หจก.นางรองเจริญยางยนต์ 6808000348 25,872.60</v>
      </c>
      <c r="U730" s="12"/>
    </row>
    <row r="731" ht="13.5" customHeight="1">
      <c r="A731" s="1" t="s">
        <v>1207</v>
      </c>
      <c r="B731" s="2">
        <v>45884.0</v>
      </c>
      <c r="C731" s="9" t="s">
        <v>1186</v>
      </c>
      <c r="D731" s="1" t="s">
        <v>1208</v>
      </c>
      <c r="E731" s="4">
        <v>28569.0</v>
      </c>
      <c r="F731" s="4"/>
      <c r="G731" s="4"/>
      <c r="H731" s="4">
        <f>'data on outstanding creditors'!$E731-'data on outstanding creditors'!$F731-'data on outstanding creditors'!$G731</f>
        <v>28569</v>
      </c>
      <c r="I731" s="2"/>
      <c r="J731" s="1" t="s">
        <v>646</v>
      </c>
      <c r="K731" s="2">
        <v>45929.0</v>
      </c>
      <c r="L731" s="5"/>
      <c r="M731" s="9" t="s">
        <v>1209</v>
      </c>
      <c r="N731" s="9" t="s">
        <v>49</v>
      </c>
      <c r="O731" s="10">
        <f>'data on outstanding creditors'!$E731*100/107</f>
        <v>26700</v>
      </c>
      <c r="P731" s="10">
        <f>'data on outstanding creditors'!$E731-'data on outstanding creditors'!$O731</f>
        <v>1869</v>
      </c>
      <c r="Q731" s="7">
        <f>DAY('data on outstanding creditors'!$B731)</f>
        <v>15</v>
      </c>
      <c r="R731" s="7">
        <f>MONTH('data on outstanding creditors'!$B731)</f>
        <v>8</v>
      </c>
      <c r="S731" s="7">
        <f>YEAR('data on outstanding creditors'!$B731)</f>
        <v>2025</v>
      </c>
      <c r="T731" s="11" t="str">
        <f>'data on outstanding creditors'!$C731&amp;" "&amp;'data on outstanding creditors'!$D731&amp;" "&amp;TEXT('data on outstanding creditors'!$E731,"#,##0.00")</f>
        <v>บ.ธเนศพัฒนา I6805074 28,569.00</v>
      </c>
      <c r="U731" s="12"/>
    </row>
    <row r="732" ht="13.5" customHeight="1">
      <c r="A732" s="1" t="s">
        <v>1210</v>
      </c>
      <c r="B732" s="2">
        <v>45901.0</v>
      </c>
      <c r="C732" s="9" t="s">
        <v>1211</v>
      </c>
      <c r="D732" s="1" t="s">
        <v>1212</v>
      </c>
      <c r="E732" s="4">
        <v>9800.0</v>
      </c>
      <c r="F732" s="4"/>
      <c r="G732" s="4"/>
      <c r="H732" s="4">
        <f>'data on outstanding creditors'!$E732-'data on outstanding creditors'!$F732-'data on outstanding creditors'!$G732</f>
        <v>9800</v>
      </c>
      <c r="I732" s="2"/>
      <c r="J732" s="1"/>
      <c r="K732" s="2"/>
      <c r="L732" s="5"/>
      <c r="M732" s="9" t="s">
        <v>1213</v>
      </c>
      <c r="N732" s="9" t="s">
        <v>49</v>
      </c>
      <c r="O732" s="10">
        <f>'data on outstanding creditors'!$E732*100/107</f>
        <v>9158.878505</v>
      </c>
      <c r="P732" s="10">
        <f>'data on outstanding creditors'!$E732-'data on outstanding creditors'!$O732</f>
        <v>641.1214953</v>
      </c>
      <c r="Q732" s="7">
        <f>DAY('data on outstanding creditors'!$B732)</f>
        <v>1</v>
      </c>
      <c r="R732" s="7">
        <f>MONTH('data on outstanding creditors'!$B732)</f>
        <v>9</v>
      </c>
      <c r="S732" s="7">
        <f>YEAR('data on outstanding creditors'!$B732)</f>
        <v>2025</v>
      </c>
      <c r="T732" s="11" t="str">
        <f>'data on outstanding creditors'!$C732&amp;" "&amp;'data on outstanding creditors'!$D732&amp;" "&amp;TEXT('data on outstanding creditors'!$E732,"#,##0.00")</f>
        <v>บ.เอน-ไซน์ เอ็นจิเนียริง 20251376 9,800.00</v>
      </c>
      <c r="U732" s="12"/>
    </row>
    <row r="733" ht="13.5" customHeight="1">
      <c r="A733" s="1" t="s">
        <v>1214</v>
      </c>
      <c r="B733" s="2">
        <v>45901.0</v>
      </c>
      <c r="C733" s="9" t="s">
        <v>1211</v>
      </c>
      <c r="D733" s="1" t="s">
        <v>1215</v>
      </c>
      <c r="E733" s="4">
        <v>9800.0</v>
      </c>
      <c r="F733" s="4"/>
      <c r="G733" s="4"/>
      <c r="H733" s="4">
        <f>'data on outstanding creditors'!$E733-'data on outstanding creditors'!$F733-'data on outstanding creditors'!$G733</f>
        <v>9800</v>
      </c>
      <c r="I733" s="2"/>
      <c r="J733" s="1"/>
      <c r="K733" s="2"/>
      <c r="L733" s="5"/>
      <c r="M733" s="9" t="s">
        <v>1213</v>
      </c>
      <c r="N733" s="9" t="s">
        <v>49</v>
      </c>
      <c r="O733" s="10">
        <f>'data on outstanding creditors'!$E733*100/107</f>
        <v>9158.878505</v>
      </c>
      <c r="P733" s="10">
        <f>'data on outstanding creditors'!$E733-'data on outstanding creditors'!$O733</f>
        <v>641.1214953</v>
      </c>
      <c r="Q733" s="7">
        <f>DAY('data on outstanding creditors'!$B733)</f>
        <v>1</v>
      </c>
      <c r="R733" s="7">
        <f>MONTH('data on outstanding creditors'!$B733)</f>
        <v>9</v>
      </c>
      <c r="S733" s="7">
        <f>YEAR('data on outstanding creditors'!$B733)</f>
        <v>2025</v>
      </c>
      <c r="T733" s="11" t="str">
        <f>'data on outstanding creditors'!$C733&amp;" "&amp;'data on outstanding creditors'!$D733&amp;" "&amp;TEXT('data on outstanding creditors'!$E733,"#,##0.00")</f>
        <v>บ.เอน-ไซน์ เอ็นจิเนียริง 20251375 9,800.00</v>
      </c>
      <c r="U733" s="12"/>
    </row>
    <row r="734" ht="13.5" customHeight="1">
      <c r="A734" s="1" t="s">
        <v>1216</v>
      </c>
      <c r="B734" s="2">
        <v>45901.0</v>
      </c>
      <c r="C734" s="9" t="s">
        <v>1211</v>
      </c>
      <c r="D734" s="1" t="s">
        <v>1217</v>
      </c>
      <c r="E734" s="4">
        <v>9800.0</v>
      </c>
      <c r="F734" s="4"/>
      <c r="G734" s="4"/>
      <c r="H734" s="4">
        <f>'data on outstanding creditors'!$E734-'data on outstanding creditors'!$F734-'data on outstanding creditors'!$G734</f>
        <v>9800</v>
      </c>
      <c r="I734" s="2"/>
      <c r="J734" s="1"/>
      <c r="K734" s="2"/>
      <c r="L734" s="5"/>
      <c r="M734" s="9" t="s">
        <v>1213</v>
      </c>
      <c r="N734" s="9" t="s">
        <v>49</v>
      </c>
      <c r="O734" s="10">
        <f>'data on outstanding creditors'!$E734*100/107</f>
        <v>9158.878505</v>
      </c>
      <c r="P734" s="10">
        <f>'data on outstanding creditors'!$E734-'data on outstanding creditors'!$O734</f>
        <v>641.1214953</v>
      </c>
      <c r="Q734" s="7">
        <f>DAY('data on outstanding creditors'!$B734)</f>
        <v>1</v>
      </c>
      <c r="R734" s="7">
        <f>MONTH('data on outstanding creditors'!$B734)</f>
        <v>9</v>
      </c>
      <c r="S734" s="7">
        <f>YEAR('data on outstanding creditors'!$B734)</f>
        <v>2025</v>
      </c>
      <c r="T734" s="11" t="str">
        <f>'data on outstanding creditors'!$C734&amp;" "&amp;'data on outstanding creditors'!$D734&amp;" "&amp;TEXT('data on outstanding creditors'!$E734,"#,##0.00")</f>
        <v>บ.เอน-ไซน์ เอ็นจิเนียริง 20251374 9,800.00</v>
      </c>
      <c r="U734" s="12"/>
    </row>
    <row r="735" ht="13.5" customHeight="1">
      <c r="A735" s="1" t="s">
        <v>1218</v>
      </c>
      <c r="B735" s="2">
        <v>45902.0</v>
      </c>
      <c r="C735" s="9" t="s">
        <v>1211</v>
      </c>
      <c r="D735" s="1" t="s">
        <v>1219</v>
      </c>
      <c r="E735" s="4">
        <v>9500.0</v>
      </c>
      <c r="F735" s="4"/>
      <c r="G735" s="4"/>
      <c r="H735" s="4">
        <f>'data on outstanding creditors'!$E735-'data on outstanding creditors'!$F735-'data on outstanding creditors'!$G735</f>
        <v>9500</v>
      </c>
      <c r="I735" s="2"/>
      <c r="J735" s="1"/>
      <c r="K735" s="2"/>
      <c r="L735" s="5"/>
      <c r="M735" s="9" t="s">
        <v>1213</v>
      </c>
      <c r="N735" s="9" t="s">
        <v>49</v>
      </c>
      <c r="O735" s="10">
        <f>'data on outstanding creditors'!$E735*100/107</f>
        <v>8878.504673</v>
      </c>
      <c r="P735" s="10">
        <f>'data on outstanding creditors'!$E735-'data on outstanding creditors'!$O735</f>
        <v>621.4953271</v>
      </c>
      <c r="Q735" s="7">
        <f>DAY('data on outstanding creditors'!$B735)</f>
        <v>2</v>
      </c>
      <c r="R735" s="7">
        <f>MONTH('data on outstanding creditors'!$B735)</f>
        <v>9</v>
      </c>
      <c r="S735" s="7">
        <f>YEAR('data on outstanding creditors'!$B735)</f>
        <v>2025</v>
      </c>
      <c r="T735" s="11" t="str">
        <f>'data on outstanding creditors'!$C735&amp;" "&amp;'data on outstanding creditors'!$D735&amp;" "&amp;TEXT('data on outstanding creditors'!$E735,"#,##0.00")</f>
        <v>บ.เอน-ไซน์ เอ็นจิเนียริง 20251391 9,500.00</v>
      </c>
      <c r="U735" s="12"/>
    </row>
    <row r="736" ht="13.5" customHeight="1">
      <c r="A736" s="1" t="s">
        <v>1220</v>
      </c>
      <c r="B736" s="2">
        <v>45902.0</v>
      </c>
      <c r="C736" s="9" t="s">
        <v>1211</v>
      </c>
      <c r="D736" s="1" t="s">
        <v>1221</v>
      </c>
      <c r="E736" s="4">
        <v>9500.0</v>
      </c>
      <c r="F736" s="4"/>
      <c r="G736" s="4"/>
      <c r="H736" s="4">
        <f>'data on outstanding creditors'!$E736-'data on outstanding creditors'!$F736-'data on outstanding creditors'!$G736</f>
        <v>9500</v>
      </c>
      <c r="I736" s="2"/>
      <c r="J736" s="1"/>
      <c r="K736" s="2"/>
      <c r="L736" s="5"/>
      <c r="M736" s="9" t="s">
        <v>1213</v>
      </c>
      <c r="N736" s="9" t="s">
        <v>49</v>
      </c>
      <c r="O736" s="10">
        <f>'data on outstanding creditors'!$E736*100/107</f>
        <v>8878.504673</v>
      </c>
      <c r="P736" s="10">
        <f>'data on outstanding creditors'!$E736-'data on outstanding creditors'!$O736</f>
        <v>621.4953271</v>
      </c>
      <c r="Q736" s="7">
        <f>DAY('data on outstanding creditors'!$B736)</f>
        <v>2</v>
      </c>
      <c r="R736" s="7">
        <f>MONTH('data on outstanding creditors'!$B736)</f>
        <v>9</v>
      </c>
      <c r="S736" s="7">
        <f>YEAR('data on outstanding creditors'!$B736)</f>
        <v>2025</v>
      </c>
      <c r="T736" s="11" t="str">
        <f>'data on outstanding creditors'!$C736&amp;" "&amp;'data on outstanding creditors'!$D736&amp;" "&amp;TEXT('data on outstanding creditors'!$E736,"#,##0.00")</f>
        <v>บ.เอน-ไซน์ เอ็นจิเนียริง 20251390 9,500.00</v>
      </c>
      <c r="U736" s="12"/>
    </row>
    <row r="737" ht="13.5" customHeight="1">
      <c r="A737" s="1" t="s">
        <v>1222</v>
      </c>
      <c r="B737" s="2">
        <v>45930.0</v>
      </c>
      <c r="C737" s="9" t="s">
        <v>752</v>
      </c>
      <c r="D737" s="1" t="s">
        <v>1223</v>
      </c>
      <c r="E737" s="4">
        <v>41280.0</v>
      </c>
      <c r="F737" s="4"/>
      <c r="G737" s="4"/>
      <c r="H737" s="4">
        <f>'data on outstanding creditors'!$E737-'data on outstanding creditors'!$F737-'data on outstanding creditors'!$G737</f>
        <v>41280</v>
      </c>
      <c r="I737" s="2"/>
      <c r="J737" s="1" t="s">
        <v>757</v>
      </c>
      <c r="K737" s="2">
        <v>45961.0</v>
      </c>
      <c r="L737" s="5"/>
      <c r="M737" s="9" t="s">
        <v>754</v>
      </c>
      <c r="N737" s="9" t="s">
        <v>49</v>
      </c>
      <c r="O737" s="10">
        <f>'data on outstanding creditors'!$E737*100/107</f>
        <v>38579.43925</v>
      </c>
      <c r="P737" s="10">
        <f>'data on outstanding creditors'!$E737-'data on outstanding creditors'!$O737</f>
        <v>2700.560748</v>
      </c>
      <c r="Q737" s="7">
        <f>DAY('data on outstanding creditors'!$B737)</f>
        <v>30</v>
      </c>
      <c r="R737" s="7">
        <f>MONTH('data on outstanding creditors'!$B737)</f>
        <v>9</v>
      </c>
      <c r="S737" s="7">
        <f>YEAR('data on outstanding creditors'!$B737)</f>
        <v>2025</v>
      </c>
      <c r="T737" s="11" t="str">
        <f>'data on outstanding creditors'!$C737&amp;" "&amp;'data on outstanding creditors'!$D737&amp;" "&amp;TEXT('data on outstanding creditors'!$E737,"#,##0.00")</f>
        <v>บ.คอมมูนิเคชั่น เทคโนโลยี IV-20250900003 41,280.00</v>
      </c>
      <c r="U737" s="12"/>
    </row>
    <row r="738" ht="13.5" customHeight="1">
      <c r="A738" s="1"/>
      <c r="B738" s="2">
        <v>45461.0</v>
      </c>
      <c r="C738" s="9" t="s">
        <v>290</v>
      </c>
      <c r="D738" s="1" t="s">
        <v>1224</v>
      </c>
      <c r="E738" s="4">
        <v>11502.5</v>
      </c>
      <c r="F738" s="4"/>
      <c r="G738" s="4"/>
      <c r="H738" s="4">
        <f>'data on outstanding creditors'!$E738-'data on outstanding creditors'!$F738-'data on outstanding creditors'!$G738</f>
        <v>11502.5</v>
      </c>
      <c r="I738" s="2"/>
      <c r="J738" s="1" t="s">
        <v>757</v>
      </c>
      <c r="K738" s="2">
        <v>45488.0</v>
      </c>
      <c r="L738" s="5"/>
      <c r="M738" s="9" t="s">
        <v>22</v>
      </c>
      <c r="N738" s="9" t="s">
        <v>23</v>
      </c>
      <c r="O738" s="10">
        <f>'data on outstanding creditors'!$E738*100/107</f>
        <v>10750</v>
      </c>
      <c r="P738" s="10">
        <f>'data on outstanding creditors'!$E738-'data on outstanding creditors'!$O738</f>
        <v>752.5</v>
      </c>
      <c r="Q738" s="7">
        <f>DAY('data on outstanding creditors'!$B738)</f>
        <v>18</v>
      </c>
      <c r="R738" s="7">
        <f>MONTH('data on outstanding creditors'!$B738)</f>
        <v>6</v>
      </c>
      <c r="S738" s="7">
        <f>YEAR('data on outstanding creditors'!$B738)</f>
        <v>2024</v>
      </c>
      <c r="T738" s="11" t="str">
        <f>'data on outstanding creditors'!$C738&amp;" "&amp;'data on outstanding creditors'!$D738&amp;" "&amp;TEXT('data on outstanding creditors'!$E738,"#,##0.00")</f>
        <v>บ.สหแพทย์เภสัช 9110558003 11,502.50</v>
      </c>
      <c r="U738" s="12"/>
    </row>
    <row r="739" ht="13.5" customHeight="1">
      <c r="A739" s="1"/>
      <c r="B739" s="2">
        <v>45482.0</v>
      </c>
      <c r="C739" s="9" t="s">
        <v>290</v>
      </c>
      <c r="D739" s="1" t="s">
        <v>1225</v>
      </c>
      <c r="E739" s="4">
        <v>24000.0</v>
      </c>
      <c r="F739" s="4"/>
      <c r="G739" s="4"/>
      <c r="H739" s="4">
        <f>'data on outstanding creditors'!$E739-'data on outstanding creditors'!$F739-'data on outstanding creditors'!$G739</f>
        <v>24000</v>
      </c>
      <c r="I739" s="2"/>
      <c r="J739" s="1" t="s">
        <v>757</v>
      </c>
      <c r="K739" s="2">
        <v>45521.0</v>
      </c>
      <c r="L739" s="5"/>
      <c r="M739" s="9" t="s">
        <v>22</v>
      </c>
      <c r="N739" s="9" t="s">
        <v>23</v>
      </c>
      <c r="O739" s="10">
        <f>'data on outstanding creditors'!$E739*100/107</f>
        <v>22429.90654</v>
      </c>
      <c r="P739" s="10">
        <f>'data on outstanding creditors'!$E739-'data on outstanding creditors'!$O739</f>
        <v>1570.093458</v>
      </c>
      <c r="Q739" s="7">
        <f>DAY('data on outstanding creditors'!$B739)</f>
        <v>9</v>
      </c>
      <c r="R739" s="7">
        <f>MONTH('data on outstanding creditors'!$B739)</f>
        <v>7</v>
      </c>
      <c r="S739" s="7">
        <f>YEAR('data on outstanding creditors'!$B739)</f>
        <v>2024</v>
      </c>
      <c r="T739" s="11" t="str">
        <f>'data on outstanding creditors'!$C739&amp;" "&amp;'data on outstanding creditors'!$D739&amp;" "&amp;TEXT('data on outstanding creditors'!$E739,"#,##0.00")</f>
        <v>บ.สหแพทย์เภสัช 9110563969 24,000.00</v>
      </c>
      <c r="U739" s="12"/>
    </row>
    <row r="740" ht="13.5" customHeight="1">
      <c r="A740" s="1"/>
      <c r="B740" s="2">
        <v>45482.0</v>
      </c>
      <c r="C740" s="9" t="s">
        <v>290</v>
      </c>
      <c r="D740" s="1" t="s">
        <v>1226</v>
      </c>
      <c r="E740" s="4">
        <v>22500.0</v>
      </c>
      <c r="F740" s="4"/>
      <c r="G740" s="4"/>
      <c r="H740" s="4">
        <f>'data on outstanding creditors'!$E740-'data on outstanding creditors'!$F740-'data on outstanding creditors'!$G740</f>
        <v>22500</v>
      </c>
      <c r="I740" s="2"/>
      <c r="J740" s="1" t="s">
        <v>757</v>
      </c>
      <c r="K740" s="2">
        <v>45521.0</v>
      </c>
      <c r="L740" s="5"/>
      <c r="M740" s="9" t="s">
        <v>22</v>
      </c>
      <c r="N740" s="9" t="s">
        <v>23</v>
      </c>
      <c r="O740" s="10">
        <f>'data on outstanding creditors'!$E740*100/107</f>
        <v>21028.03738</v>
      </c>
      <c r="P740" s="10">
        <f>'data on outstanding creditors'!$E740-'data on outstanding creditors'!$O740</f>
        <v>1471.962617</v>
      </c>
      <c r="Q740" s="7">
        <f>DAY('data on outstanding creditors'!$B740)</f>
        <v>9</v>
      </c>
      <c r="R740" s="7">
        <f>MONTH('data on outstanding creditors'!$B740)</f>
        <v>7</v>
      </c>
      <c r="S740" s="7">
        <f>YEAR('data on outstanding creditors'!$B740)</f>
        <v>2024</v>
      </c>
      <c r="T740" s="11" t="str">
        <f>'data on outstanding creditors'!$C740&amp;" "&amp;'data on outstanding creditors'!$D740&amp;" "&amp;TEXT('data on outstanding creditors'!$E740,"#,##0.00")</f>
        <v>บ.สหแพทย์เภสัช 9110564548 22,500.00</v>
      </c>
      <c r="U740" s="12"/>
    </row>
    <row r="741" ht="13.5" customHeight="1">
      <c r="A741" s="1"/>
      <c r="B741" s="2">
        <v>45490.0</v>
      </c>
      <c r="C741" s="9" t="s">
        <v>761</v>
      </c>
      <c r="D741" s="1" t="s">
        <v>1227</v>
      </c>
      <c r="E741" s="4">
        <v>137880.0</v>
      </c>
      <c r="F741" s="4"/>
      <c r="G741" s="4"/>
      <c r="H741" s="4">
        <f>'data on outstanding creditors'!$E741-'data on outstanding creditors'!$F741-'data on outstanding creditors'!$G741</f>
        <v>137880</v>
      </c>
      <c r="I741" s="2"/>
      <c r="J741" s="1" t="s">
        <v>646</v>
      </c>
      <c r="K741" s="2">
        <v>45929.0</v>
      </c>
      <c r="L741" s="5"/>
      <c r="M741" s="9" t="s">
        <v>22</v>
      </c>
      <c r="N741" s="9" t="s">
        <v>23</v>
      </c>
      <c r="O741" s="10">
        <f>'data on outstanding creditors'!$E741*100/107</f>
        <v>128859.8131</v>
      </c>
      <c r="P741" s="10">
        <f>'data on outstanding creditors'!$E741-'data on outstanding creditors'!$O741</f>
        <v>9020.186916</v>
      </c>
      <c r="Q741" s="7">
        <f>DAY('data on outstanding creditors'!$B741)</f>
        <v>17</v>
      </c>
      <c r="R741" s="7">
        <f>MONTH('data on outstanding creditors'!$B741)</f>
        <v>7</v>
      </c>
      <c r="S741" s="7">
        <f>YEAR('data on outstanding creditors'!$B741)</f>
        <v>2024</v>
      </c>
      <c r="T741" s="11" t="str">
        <f>'data on outstanding creditors'!$C741&amp;" "&amp;'data on outstanding creditors'!$D741&amp;" "&amp;TEXT('data on outstanding creditors'!$E741,"#,##0.00")</f>
        <v>บ.แมคโครฟาร์แลบ ML24072311 137,880.00</v>
      </c>
      <c r="U741" s="12"/>
    </row>
    <row r="742" ht="13.5" customHeight="1">
      <c r="A742" s="1"/>
      <c r="B742" s="2">
        <v>45582.0</v>
      </c>
      <c r="C742" s="9" t="s">
        <v>1228</v>
      </c>
      <c r="D742" s="1" t="s">
        <v>1229</v>
      </c>
      <c r="E742" s="4">
        <v>9300.0</v>
      </c>
      <c r="F742" s="4"/>
      <c r="G742" s="4"/>
      <c r="H742" s="4">
        <f>'data on outstanding creditors'!$E742-'data on outstanding creditors'!$F742-'data on outstanding creditors'!$G742</f>
        <v>9300</v>
      </c>
      <c r="I742" s="2"/>
      <c r="J742" s="1" t="s">
        <v>646</v>
      </c>
      <c r="K742" s="2">
        <v>45944.0</v>
      </c>
      <c r="L742" s="5"/>
      <c r="M742" s="9" t="s">
        <v>22</v>
      </c>
      <c r="N742" s="9" t="s">
        <v>23</v>
      </c>
      <c r="O742" s="10">
        <f>'data on outstanding creditors'!$E742*100/107</f>
        <v>8691.588785</v>
      </c>
      <c r="P742" s="10">
        <f>'data on outstanding creditors'!$E742-'data on outstanding creditors'!$O742</f>
        <v>608.411215</v>
      </c>
      <c r="Q742" s="7">
        <f>DAY('data on outstanding creditors'!$B742)</f>
        <v>17</v>
      </c>
      <c r="R742" s="7">
        <f>MONTH('data on outstanding creditors'!$B742)</f>
        <v>10</v>
      </c>
      <c r="S742" s="7">
        <f>YEAR('data on outstanding creditors'!$B742)</f>
        <v>2024</v>
      </c>
      <c r="T742" s="11" t="str">
        <f>'data on outstanding creditors'!$C742&amp;" "&amp;'data on outstanding creditors'!$D742&amp;" "&amp;TEXT('data on outstanding creditors'!$E742,"#,##0.00")</f>
        <v>บ.2เอ็ม(เมด-เมเกอร์) Z0089132 9,300.00</v>
      </c>
      <c r="U742" s="12"/>
    </row>
    <row r="743" ht="13.5" customHeight="1">
      <c r="A743" s="1"/>
      <c r="B743" s="2">
        <v>45583.0</v>
      </c>
      <c r="C743" s="9" t="s">
        <v>1230</v>
      </c>
      <c r="D743" s="1" t="s">
        <v>1231</v>
      </c>
      <c r="E743" s="4">
        <v>12840.0</v>
      </c>
      <c r="F743" s="4"/>
      <c r="G743" s="4"/>
      <c r="H743" s="4">
        <f>'data on outstanding creditors'!$E743-'data on outstanding creditors'!$F743-'data on outstanding creditors'!$G743</f>
        <v>12840</v>
      </c>
      <c r="I743" s="2"/>
      <c r="J743" s="1" t="s">
        <v>646</v>
      </c>
      <c r="K743" s="2">
        <v>45843.0</v>
      </c>
      <c r="L743" s="5"/>
      <c r="M743" s="9" t="s">
        <v>22</v>
      </c>
      <c r="N743" s="9" t="s">
        <v>23</v>
      </c>
      <c r="O743" s="10">
        <f>'data on outstanding creditors'!$E743*100/107</f>
        <v>12000</v>
      </c>
      <c r="P743" s="10">
        <f>'data on outstanding creditors'!$E743-'data on outstanding creditors'!$O743</f>
        <v>840</v>
      </c>
      <c r="Q743" s="7">
        <f>DAY('data on outstanding creditors'!$B743)</f>
        <v>18</v>
      </c>
      <c r="R743" s="7">
        <f>MONTH('data on outstanding creditors'!$B743)</f>
        <v>10</v>
      </c>
      <c r="S743" s="7">
        <f>YEAR('data on outstanding creditors'!$B743)</f>
        <v>2024</v>
      </c>
      <c r="T743" s="11" t="str">
        <f>'data on outstanding creditors'!$C743&amp;" "&amp;'data on outstanding creditors'!$D743&amp;" "&amp;TEXT('data on outstanding creditors'!$E743,"#,##0.00")</f>
        <v>บ.พรอส ฟาร์มา INV-L-IM\2.24102418 12,840.00</v>
      </c>
      <c r="U743" s="12"/>
    </row>
    <row r="744" ht="13.5" customHeight="1">
      <c r="A744" s="1"/>
      <c r="B744" s="2">
        <v>45587.0</v>
      </c>
      <c r="C744" s="9" t="s">
        <v>1232</v>
      </c>
      <c r="D744" s="1" t="s">
        <v>1233</v>
      </c>
      <c r="E744" s="4">
        <v>20000.0</v>
      </c>
      <c r="F744" s="4"/>
      <c r="G744" s="4"/>
      <c r="H744" s="4">
        <f>'data on outstanding creditors'!$E744-'data on outstanding creditors'!$F744-'data on outstanding creditors'!$G744</f>
        <v>20000</v>
      </c>
      <c r="I744" s="2"/>
      <c r="J744" s="1" t="s">
        <v>646</v>
      </c>
      <c r="K744" s="2">
        <v>45843.0</v>
      </c>
      <c r="L744" s="5"/>
      <c r="M744" s="9" t="s">
        <v>22</v>
      </c>
      <c r="N744" s="9" t="s">
        <v>23</v>
      </c>
      <c r="O744" s="10">
        <f>'data on outstanding creditors'!$E744*100/107</f>
        <v>18691.58879</v>
      </c>
      <c r="P744" s="10">
        <f>'data on outstanding creditors'!$E744-'data on outstanding creditors'!$O744</f>
        <v>1308.411215</v>
      </c>
      <c r="Q744" s="7">
        <f>DAY('data on outstanding creditors'!$B744)</f>
        <v>22</v>
      </c>
      <c r="R744" s="7">
        <f>MONTH('data on outstanding creditors'!$B744)</f>
        <v>10</v>
      </c>
      <c r="S744" s="7">
        <f>YEAR('data on outstanding creditors'!$B744)</f>
        <v>2024</v>
      </c>
      <c r="T744" s="11" t="str">
        <f>'data on outstanding creditors'!$C744&amp;" "&amp;'data on outstanding creditors'!$D744&amp;" "&amp;TEXT('data on outstanding creditors'!$E744,"#,##0.00")</f>
        <v>บ.มาสุ 248051 20,000.00</v>
      </c>
      <c r="U744" s="12"/>
    </row>
    <row r="745" ht="13.5" customHeight="1">
      <c r="A745" s="1"/>
      <c r="B745" s="2">
        <v>45590.0</v>
      </c>
      <c r="C745" s="9" t="s">
        <v>1234</v>
      </c>
      <c r="D745" s="1" t="s">
        <v>1235</v>
      </c>
      <c r="E745" s="4">
        <v>8800.0</v>
      </c>
      <c r="F745" s="4"/>
      <c r="G745" s="4"/>
      <c r="H745" s="4">
        <f>'data on outstanding creditors'!$E745-'data on outstanding creditors'!$F745-'data on outstanding creditors'!$G745</f>
        <v>8800</v>
      </c>
      <c r="I745" s="2"/>
      <c r="J745" s="1" t="s">
        <v>646</v>
      </c>
      <c r="K745" s="2">
        <v>45855.0</v>
      </c>
      <c r="L745" s="5"/>
      <c r="M745" s="9" t="s">
        <v>22</v>
      </c>
      <c r="N745" s="9" t="s">
        <v>23</v>
      </c>
      <c r="O745" s="10">
        <f>'data on outstanding creditors'!$E745*100/107</f>
        <v>8224.299065</v>
      </c>
      <c r="P745" s="10">
        <f>'data on outstanding creditors'!$E745-'data on outstanding creditors'!$O745</f>
        <v>575.7009346</v>
      </c>
      <c r="Q745" s="7">
        <f>DAY('data on outstanding creditors'!$B745)</f>
        <v>25</v>
      </c>
      <c r="R745" s="7">
        <f>MONTH('data on outstanding creditors'!$B745)</f>
        <v>10</v>
      </c>
      <c r="S745" s="7">
        <f>YEAR('data on outstanding creditors'!$B745)</f>
        <v>2024</v>
      </c>
      <c r="T745" s="11" t="str">
        <f>'data on outstanding creditors'!$C745&amp;" "&amp;'data on outstanding creditors'!$D745&amp;" "&amp;TEXT('data on outstanding creditors'!$E745,"#,##0.00")</f>
        <v>บ.คอนติเนนเติล-ฟาร์ม 241000981 8,800.00</v>
      </c>
      <c r="U745" s="12"/>
    </row>
    <row r="746" ht="13.5" customHeight="1">
      <c r="A746" s="1"/>
      <c r="B746" s="2">
        <v>45597.0</v>
      </c>
      <c r="C746" s="9" t="s">
        <v>396</v>
      </c>
      <c r="D746" s="1" t="s">
        <v>1236</v>
      </c>
      <c r="E746" s="4">
        <v>47000.0</v>
      </c>
      <c r="F746" s="4"/>
      <c r="G746" s="4"/>
      <c r="H746" s="4">
        <f>'data on outstanding creditors'!$E746-'data on outstanding creditors'!$F746-'data on outstanding creditors'!$G746</f>
        <v>47000</v>
      </c>
      <c r="I746" s="2"/>
      <c r="J746" s="1" t="s">
        <v>757</v>
      </c>
      <c r="K746" s="2">
        <v>45632.0</v>
      </c>
      <c r="L746" s="5"/>
      <c r="M746" s="9" t="s">
        <v>22</v>
      </c>
      <c r="N746" s="9" t="s">
        <v>23</v>
      </c>
      <c r="O746" s="10">
        <f>'data on outstanding creditors'!$E746*100/107</f>
        <v>43925.23364</v>
      </c>
      <c r="P746" s="10">
        <f>'data on outstanding creditors'!$E746-'data on outstanding creditors'!$O746</f>
        <v>3074.766355</v>
      </c>
      <c r="Q746" s="7">
        <f>DAY('data on outstanding creditors'!$B746)</f>
        <v>1</v>
      </c>
      <c r="R746" s="7">
        <f>MONTH('data on outstanding creditors'!$B746)</f>
        <v>11</v>
      </c>
      <c r="S746" s="7">
        <f>YEAR('data on outstanding creditors'!$B746)</f>
        <v>2024</v>
      </c>
      <c r="T746" s="11" t="str">
        <f>'data on outstanding creditors'!$C746&amp;" "&amp;'data on outstanding creditors'!$D746&amp;" "&amp;TEXT('data on outstanding creditors'!$E746,"#,##0.00")</f>
        <v>บ.เยเนอรัล ฮอสปิตัล โปรดัคส์ 24IN08103016 47,000.00</v>
      </c>
      <c r="U746" s="12"/>
    </row>
    <row r="747" ht="13.5" customHeight="1">
      <c r="A747" s="1"/>
      <c r="B747" s="2">
        <v>45601.0</v>
      </c>
      <c r="C747" s="9" t="s">
        <v>1230</v>
      </c>
      <c r="D747" s="1" t="s">
        <v>1237</v>
      </c>
      <c r="E747" s="4">
        <v>42000.0</v>
      </c>
      <c r="F747" s="4"/>
      <c r="G747" s="4"/>
      <c r="H747" s="4">
        <f>'data on outstanding creditors'!$E747-'data on outstanding creditors'!$F747-'data on outstanding creditors'!$G747</f>
        <v>42000</v>
      </c>
      <c r="I747" s="2"/>
      <c r="J747" s="1" t="s">
        <v>646</v>
      </c>
      <c r="K747" s="2">
        <v>45843.0</v>
      </c>
      <c r="L747" s="5"/>
      <c r="M747" s="9" t="s">
        <v>22</v>
      </c>
      <c r="N747" s="9" t="s">
        <v>23</v>
      </c>
      <c r="O747" s="10">
        <f>'data on outstanding creditors'!$E747*100/107</f>
        <v>39252.33645</v>
      </c>
      <c r="P747" s="10">
        <f>'data on outstanding creditors'!$E747-'data on outstanding creditors'!$O747</f>
        <v>2747.663551</v>
      </c>
      <c r="Q747" s="7">
        <f>DAY('data on outstanding creditors'!$B747)</f>
        <v>5</v>
      </c>
      <c r="R747" s="7">
        <f>MONTH('data on outstanding creditors'!$B747)</f>
        <v>11</v>
      </c>
      <c r="S747" s="7">
        <f>YEAR('data on outstanding creditors'!$B747)</f>
        <v>2024</v>
      </c>
      <c r="T747" s="11" t="str">
        <f>'data on outstanding creditors'!$C747&amp;" "&amp;'data on outstanding creditors'!$D747&amp;" "&amp;TEXT('data on outstanding creditors'!$E747,"#,##0.00")</f>
        <v>บ.พรอส ฟาร์มา INV-L-IM\2024103714 42,000.00</v>
      </c>
      <c r="U747" s="12"/>
    </row>
    <row r="748" ht="13.5" customHeight="1">
      <c r="A748" s="1"/>
      <c r="B748" s="2">
        <v>45601.0</v>
      </c>
      <c r="C748" s="9" t="s">
        <v>1230</v>
      </c>
      <c r="D748" s="1" t="s">
        <v>1238</v>
      </c>
      <c r="E748" s="4">
        <v>12840.0</v>
      </c>
      <c r="F748" s="4"/>
      <c r="G748" s="4"/>
      <c r="H748" s="4">
        <f>'data on outstanding creditors'!$E748-'data on outstanding creditors'!$F748-'data on outstanding creditors'!$G748</f>
        <v>12840</v>
      </c>
      <c r="I748" s="2"/>
      <c r="J748" s="1" t="s">
        <v>646</v>
      </c>
      <c r="K748" s="2">
        <v>45843.0</v>
      </c>
      <c r="L748" s="5"/>
      <c r="M748" s="9" t="s">
        <v>22</v>
      </c>
      <c r="N748" s="9" t="s">
        <v>23</v>
      </c>
      <c r="O748" s="10">
        <f>'data on outstanding creditors'!$E748*100/107</f>
        <v>12000</v>
      </c>
      <c r="P748" s="10">
        <f>'data on outstanding creditors'!$E748-'data on outstanding creditors'!$O748</f>
        <v>840</v>
      </c>
      <c r="Q748" s="7">
        <f>DAY('data on outstanding creditors'!$B748)</f>
        <v>5</v>
      </c>
      <c r="R748" s="7">
        <f>MONTH('data on outstanding creditors'!$B748)</f>
        <v>11</v>
      </c>
      <c r="S748" s="7">
        <f>YEAR('data on outstanding creditors'!$B748)</f>
        <v>2024</v>
      </c>
      <c r="T748" s="11" t="str">
        <f>'data on outstanding creditors'!$C748&amp;" "&amp;'data on outstanding creditors'!$D748&amp;" "&amp;TEXT('data on outstanding creditors'!$E748,"#,##0.00")</f>
        <v>บ.พรอส ฟาร์มา INV-L-IM\2024103820 12,840.00</v>
      </c>
      <c r="U748" s="12"/>
    </row>
    <row r="749" ht="13.5" customHeight="1">
      <c r="A749" s="1"/>
      <c r="B749" s="2">
        <v>45609.0</v>
      </c>
      <c r="C749" s="9" t="s">
        <v>1230</v>
      </c>
      <c r="D749" s="1" t="s">
        <v>1239</v>
      </c>
      <c r="E749" s="4">
        <v>51000.0</v>
      </c>
      <c r="F749" s="4"/>
      <c r="G749" s="4"/>
      <c r="H749" s="4">
        <f>'data on outstanding creditors'!$E749-'data on outstanding creditors'!$F749-'data on outstanding creditors'!$G749</f>
        <v>51000</v>
      </c>
      <c r="I749" s="2"/>
      <c r="J749" s="1" t="s">
        <v>646</v>
      </c>
      <c r="K749" s="2">
        <v>45846.0</v>
      </c>
      <c r="L749" s="5"/>
      <c r="M749" s="9" t="s">
        <v>22</v>
      </c>
      <c r="N749" s="9" t="s">
        <v>23</v>
      </c>
      <c r="O749" s="10">
        <f>'data on outstanding creditors'!$E749*100/107</f>
        <v>47663.5514</v>
      </c>
      <c r="P749" s="10">
        <f>'data on outstanding creditors'!$E749-'data on outstanding creditors'!$O749</f>
        <v>3336.448598</v>
      </c>
      <c r="Q749" s="7">
        <f>DAY('data on outstanding creditors'!$B749)</f>
        <v>13</v>
      </c>
      <c r="R749" s="7">
        <f>MONTH('data on outstanding creditors'!$B749)</f>
        <v>11</v>
      </c>
      <c r="S749" s="7">
        <f>YEAR('data on outstanding creditors'!$B749)</f>
        <v>2024</v>
      </c>
      <c r="T749" s="11" t="str">
        <f>'data on outstanding creditors'!$C749&amp;" "&amp;'data on outstanding creditors'!$D749&amp;" "&amp;TEXT('data on outstanding creditors'!$E749,"#,##0.00")</f>
        <v>บ.พรอส ฟาร์มา INV-L-IM\2024110531 51,000.00</v>
      </c>
      <c r="U749" s="12"/>
    </row>
    <row r="750" ht="13.5" customHeight="1">
      <c r="A750" s="1"/>
      <c r="B750" s="2">
        <v>45611.0</v>
      </c>
      <c r="C750" s="9" t="s">
        <v>396</v>
      </c>
      <c r="D750" s="1" t="s">
        <v>1240</v>
      </c>
      <c r="E750" s="4">
        <v>43600.0</v>
      </c>
      <c r="F750" s="4"/>
      <c r="G750" s="4"/>
      <c r="H750" s="4">
        <f>'data on outstanding creditors'!$E750-'data on outstanding creditors'!$F750-'data on outstanding creditors'!$G750</f>
        <v>43600</v>
      </c>
      <c r="I750" s="2"/>
      <c r="J750" s="1" t="s">
        <v>757</v>
      </c>
      <c r="K750" s="2">
        <v>45649.0</v>
      </c>
      <c r="L750" s="5"/>
      <c r="M750" s="9" t="s">
        <v>22</v>
      </c>
      <c r="N750" s="9" t="s">
        <v>23</v>
      </c>
      <c r="O750" s="10">
        <f>'data on outstanding creditors'!$E750*100/107</f>
        <v>40747.66355</v>
      </c>
      <c r="P750" s="10">
        <f>'data on outstanding creditors'!$E750-'data on outstanding creditors'!$O750</f>
        <v>2852.336449</v>
      </c>
      <c r="Q750" s="7">
        <f>DAY('data on outstanding creditors'!$B750)</f>
        <v>15</v>
      </c>
      <c r="R750" s="7">
        <f>MONTH('data on outstanding creditors'!$B750)</f>
        <v>11</v>
      </c>
      <c r="S750" s="7">
        <f>YEAR('data on outstanding creditors'!$B750)</f>
        <v>2024</v>
      </c>
      <c r="T750" s="11" t="str">
        <f>'data on outstanding creditors'!$C750&amp;" "&amp;'data on outstanding creditors'!$D750&amp;" "&amp;TEXT('data on outstanding creditors'!$E750,"#,##0.00")</f>
        <v>บ.เยเนอรัล ฮอสปิตัล โปรดัคส์ 24IN08110516 43,600.00</v>
      </c>
      <c r="U750" s="12"/>
    </row>
    <row r="751" ht="13.5" customHeight="1">
      <c r="A751" s="1"/>
      <c r="B751" s="2">
        <v>45615.0</v>
      </c>
      <c r="C751" s="9" t="s">
        <v>1232</v>
      </c>
      <c r="D751" s="1" t="s">
        <v>1241</v>
      </c>
      <c r="E751" s="4">
        <v>36000.0</v>
      </c>
      <c r="F751" s="4"/>
      <c r="G751" s="4"/>
      <c r="H751" s="4">
        <f>'data on outstanding creditors'!$E751-'data on outstanding creditors'!$F751-'data on outstanding creditors'!$G751</f>
        <v>36000</v>
      </c>
      <c r="I751" s="2"/>
      <c r="J751" s="1" t="s">
        <v>646</v>
      </c>
      <c r="K751" s="2">
        <v>45843.0</v>
      </c>
      <c r="L751" s="5"/>
      <c r="M751" s="9" t="s">
        <v>22</v>
      </c>
      <c r="N751" s="9" t="s">
        <v>23</v>
      </c>
      <c r="O751" s="10">
        <f>'data on outstanding creditors'!$E751*100/107</f>
        <v>33644.85981</v>
      </c>
      <c r="P751" s="10">
        <f>'data on outstanding creditors'!$E751-'data on outstanding creditors'!$O751</f>
        <v>2355.140187</v>
      </c>
      <c r="Q751" s="7">
        <f>DAY('data on outstanding creditors'!$B751)</f>
        <v>19</v>
      </c>
      <c r="R751" s="7">
        <f>MONTH('data on outstanding creditors'!$B751)</f>
        <v>11</v>
      </c>
      <c r="S751" s="7">
        <f>YEAR('data on outstanding creditors'!$B751)</f>
        <v>2024</v>
      </c>
      <c r="T751" s="11" t="str">
        <f>'data on outstanding creditors'!$C751&amp;" "&amp;'data on outstanding creditors'!$D751&amp;" "&amp;TEXT('data on outstanding creditors'!$E751,"#,##0.00")</f>
        <v>บ.มาสุ 249075 36,000.00</v>
      </c>
      <c r="U751" s="12"/>
    </row>
    <row r="752" ht="13.5" customHeight="1">
      <c r="A752" s="1"/>
      <c r="B752" s="2">
        <v>45618.0</v>
      </c>
      <c r="C752" s="9" t="s">
        <v>396</v>
      </c>
      <c r="D752" s="1" t="s">
        <v>1242</v>
      </c>
      <c r="E752" s="4">
        <v>8000.0</v>
      </c>
      <c r="F752" s="4"/>
      <c r="G752" s="4"/>
      <c r="H752" s="4">
        <f>'data on outstanding creditors'!$E752-'data on outstanding creditors'!$F752-'data on outstanding creditors'!$G752</f>
        <v>8000</v>
      </c>
      <c r="I752" s="2"/>
      <c r="J752" s="1" t="s">
        <v>757</v>
      </c>
      <c r="K752" s="2">
        <v>45671.0</v>
      </c>
      <c r="L752" s="5"/>
      <c r="M752" s="9" t="s">
        <v>22</v>
      </c>
      <c r="N752" s="9" t="s">
        <v>23</v>
      </c>
      <c r="O752" s="10">
        <f>'data on outstanding creditors'!$E752*100/107</f>
        <v>7476.635514</v>
      </c>
      <c r="P752" s="10">
        <f>'data on outstanding creditors'!$E752-'data on outstanding creditors'!$O752</f>
        <v>523.364486</v>
      </c>
      <c r="Q752" s="7">
        <f>DAY('data on outstanding creditors'!$B752)</f>
        <v>22</v>
      </c>
      <c r="R752" s="7">
        <f>MONTH('data on outstanding creditors'!$B752)</f>
        <v>11</v>
      </c>
      <c r="S752" s="7">
        <f>YEAR('data on outstanding creditors'!$B752)</f>
        <v>2024</v>
      </c>
      <c r="T752" s="11" t="str">
        <f>'data on outstanding creditors'!$C752&amp;" "&amp;'data on outstanding creditors'!$D752&amp;" "&amp;TEXT('data on outstanding creditors'!$E752,"#,##0.00")</f>
        <v>บ.เยเนอรัล ฮอสปิตัล โปรดัคส์ 24IN08111490 8,000.00</v>
      </c>
      <c r="U752" s="12"/>
    </row>
    <row r="753" ht="13.5" customHeight="1">
      <c r="A753" s="1"/>
      <c r="B753" s="2">
        <v>45618.0</v>
      </c>
      <c r="C753" s="9" t="s">
        <v>1243</v>
      </c>
      <c r="D753" s="1" t="s">
        <v>1244</v>
      </c>
      <c r="E753" s="4">
        <v>15000.0</v>
      </c>
      <c r="F753" s="4"/>
      <c r="G753" s="4"/>
      <c r="H753" s="4">
        <f>'data on outstanding creditors'!$E753-'data on outstanding creditors'!$F753-'data on outstanding creditors'!$G753</f>
        <v>15000</v>
      </c>
      <c r="I753" s="2"/>
      <c r="J753" s="1" t="s">
        <v>646</v>
      </c>
      <c r="K753" s="2">
        <v>45815.0</v>
      </c>
      <c r="L753" s="5"/>
      <c r="M753" s="9" t="s">
        <v>22</v>
      </c>
      <c r="N753" s="9" t="s">
        <v>23</v>
      </c>
      <c r="O753" s="10">
        <f>'data on outstanding creditors'!$E753*100/107</f>
        <v>14018.69159</v>
      </c>
      <c r="P753" s="10">
        <f>'data on outstanding creditors'!$E753-'data on outstanding creditors'!$O753</f>
        <v>981.3084112</v>
      </c>
      <c r="Q753" s="7">
        <f>DAY('data on outstanding creditors'!$B753)</f>
        <v>22</v>
      </c>
      <c r="R753" s="7">
        <f>MONTH('data on outstanding creditors'!$B753)</f>
        <v>11</v>
      </c>
      <c r="S753" s="7">
        <f>YEAR('data on outstanding creditors'!$B753)</f>
        <v>2024</v>
      </c>
      <c r="T753" s="11" t="str">
        <f>'data on outstanding creditors'!$C753&amp;" "&amp;'data on outstanding creditors'!$D753&amp;" "&amp;TEXT('data on outstanding creditors'!$E753,"#,##0.00")</f>
        <v>บ.วี.แอนด์.วี.กรุงเทพ 8103013659 15,000.00</v>
      </c>
      <c r="U753" s="12"/>
    </row>
    <row r="754" ht="13.5" customHeight="1">
      <c r="A754" s="1"/>
      <c r="B754" s="2">
        <v>45618.0</v>
      </c>
      <c r="C754" s="9" t="s">
        <v>1245</v>
      </c>
      <c r="D754" s="1" t="s">
        <v>1246</v>
      </c>
      <c r="E754" s="4">
        <v>24000.0</v>
      </c>
      <c r="F754" s="4"/>
      <c r="G754" s="4"/>
      <c r="H754" s="4">
        <f>'data on outstanding creditors'!$E754-'data on outstanding creditors'!$F754-'data on outstanding creditors'!$G754</f>
        <v>24000</v>
      </c>
      <c r="I754" s="2"/>
      <c r="J754" s="1" t="s">
        <v>646</v>
      </c>
      <c r="K754" s="2">
        <v>45877.0</v>
      </c>
      <c r="L754" s="5"/>
      <c r="M754" s="9" t="s">
        <v>22</v>
      </c>
      <c r="N754" s="9" t="s">
        <v>23</v>
      </c>
      <c r="O754" s="10">
        <f>'data on outstanding creditors'!$E754*100/107</f>
        <v>22429.90654</v>
      </c>
      <c r="P754" s="10">
        <f>'data on outstanding creditors'!$E754-'data on outstanding creditors'!$O754</f>
        <v>1570.093458</v>
      </c>
      <c r="Q754" s="7">
        <f>DAY('data on outstanding creditors'!$B754)</f>
        <v>22</v>
      </c>
      <c r="R754" s="7">
        <f>MONTH('data on outstanding creditors'!$B754)</f>
        <v>11</v>
      </c>
      <c r="S754" s="7">
        <f>YEAR('data on outstanding creditors'!$B754)</f>
        <v>2024</v>
      </c>
      <c r="T754" s="11" t="str">
        <f>'data on outstanding creditors'!$C754&amp;" "&amp;'data on outstanding creditors'!$D754&amp;" "&amp;TEXT('data on outstanding creditors'!$E754,"#,##0.00")</f>
        <v>บ.สามัคคีเภสัช DM241012560 24,000.00</v>
      </c>
      <c r="U754" s="12"/>
    </row>
    <row r="755" ht="13.5" customHeight="1">
      <c r="A755" s="1"/>
      <c r="B755" s="2">
        <v>45618.0</v>
      </c>
      <c r="C755" s="9" t="s">
        <v>1247</v>
      </c>
      <c r="D755" s="1" t="s">
        <v>1248</v>
      </c>
      <c r="E755" s="4">
        <v>31350.0</v>
      </c>
      <c r="F755" s="4"/>
      <c r="G755" s="4"/>
      <c r="H755" s="4">
        <f>'data on outstanding creditors'!$E755-'data on outstanding creditors'!$F755-'data on outstanding creditors'!$G755</f>
        <v>31350</v>
      </c>
      <c r="I755" s="2"/>
      <c r="J755" s="1"/>
      <c r="K755" s="2"/>
      <c r="L755" s="5"/>
      <c r="M755" s="9" t="s">
        <v>22</v>
      </c>
      <c r="N755" s="9" t="s">
        <v>23</v>
      </c>
      <c r="O755" s="10">
        <f>'data on outstanding creditors'!$E755*100/107</f>
        <v>29299.06542</v>
      </c>
      <c r="P755" s="10">
        <f>'data on outstanding creditors'!$E755-'data on outstanding creditors'!$O755</f>
        <v>2050.934579</v>
      </c>
      <c r="Q755" s="7">
        <f>DAY('data on outstanding creditors'!$B755)</f>
        <v>22</v>
      </c>
      <c r="R755" s="7">
        <f>MONTH('data on outstanding creditors'!$B755)</f>
        <v>11</v>
      </c>
      <c r="S755" s="7">
        <f>YEAR('data on outstanding creditors'!$B755)</f>
        <v>2024</v>
      </c>
      <c r="T755" s="11" t="str">
        <f>'data on outstanding creditors'!$C755&amp;" "&amp;'data on outstanding creditors'!$D755&amp;" "&amp;TEXT('data on outstanding creditors'!$E755,"#,##0.00")</f>
        <v>บ.เอ.เอ็น.บี.ลาบอรอตอรี่ 8370813730 31,350.00</v>
      </c>
      <c r="U755" s="12"/>
    </row>
    <row r="756" ht="13.5" customHeight="1">
      <c r="A756" s="1"/>
      <c r="B756" s="2">
        <v>45618.0</v>
      </c>
      <c r="C756" s="9" t="s">
        <v>1247</v>
      </c>
      <c r="D756" s="1" t="s">
        <v>1249</v>
      </c>
      <c r="E756" s="4">
        <v>10450.0</v>
      </c>
      <c r="F756" s="4"/>
      <c r="G756" s="4"/>
      <c r="H756" s="4">
        <f>'data on outstanding creditors'!$E756-'data on outstanding creditors'!$F756-'data on outstanding creditors'!$G756</f>
        <v>10450</v>
      </c>
      <c r="I756" s="2"/>
      <c r="J756" s="1" t="s">
        <v>646</v>
      </c>
      <c r="K756" s="2">
        <v>45846.0</v>
      </c>
      <c r="L756" s="5"/>
      <c r="M756" s="9" t="s">
        <v>22</v>
      </c>
      <c r="N756" s="9" t="s">
        <v>23</v>
      </c>
      <c r="O756" s="10">
        <f>'data on outstanding creditors'!$E756*100/107</f>
        <v>9766.35514</v>
      </c>
      <c r="P756" s="10">
        <f>'data on outstanding creditors'!$E756-'data on outstanding creditors'!$O756</f>
        <v>683.6448598</v>
      </c>
      <c r="Q756" s="7">
        <f>DAY('data on outstanding creditors'!$B756)</f>
        <v>22</v>
      </c>
      <c r="R756" s="7">
        <f>MONTH('data on outstanding creditors'!$B756)</f>
        <v>11</v>
      </c>
      <c r="S756" s="7">
        <f>YEAR('data on outstanding creditors'!$B756)</f>
        <v>2024</v>
      </c>
      <c r="T756" s="11" t="str">
        <f>'data on outstanding creditors'!$C756&amp;" "&amp;'data on outstanding creditors'!$D756&amp;" "&amp;TEXT('data on outstanding creditors'!$E756,"#,##0.00")</f>
        <v>บ.เอ.เอ็น.บี.ลาบอรอตอรี่ 8370813731 10,450.00</v>
      </c>
      <c r="U756" s="12"/>
    </row>
    <row r="757" ht="13.5" customHeight="1">
      <c r="A757" s="1"/>
      <c r="B757" s="2">
        <v>45618.0</v>
      </c>
      <c r="C757" s="9" t="s">
        <v>1247</v>
      </c>
      <c r="D757" s="1" t="s">
        <v>1250</v>
      </c>
      <c r="E757" s="4">
        <v>31350.0</v>
      </c>
      <c r="F757" s="4"/>
      <c r="G757" s="4"/>
      <c r="H757" s="4">
        <f>'data on outstanding creditors'!$E757-'data on outstanding creditors'!$F757-'data on outstanding creditors'!$G757</f>
        <v>31350</v>
      </c>
      <c r="I757" s="2"/>
      <c r="J757" s="1" t="s">
        <v>646</v>
      </c>
      <c r="K757" s="2">
        <v>45846.0</v>
      </c>
      <c r="L757" s="5"/>
      <c r="M757" s="9" t="s">
        <v>22</v>
      </c>
      <c r="N757" s="9" t="s">
        <v>23</v>
      </c>
      <c r="O757" s="10">
        <f>'data on outstanding creditors'!$E757*100/107</f>
        <v>29299.06542</v>
      </c>
      <c r="P757" s="10">
        <f>'data on outstanding creditors'!$E757-'data on outstanding creditors'!$O757</f>
        <v>2050.934579</v>
      </c>
      <c r="Q757" s="7">
        <f>DAY('data on outstanding creditors'!$B757)</f>
        <v>22</v>
      </c>
      <c r="R757" s="7">
        <f>MONTH('data on outstanding creditors'!$B757)</f>
        <v>11</v>
      </c>
      <c r="S757" s="7">
        <f>YEAR('data on outstanding creditors'!$B757)</f>
        <v>2024</v>
      </c>
      <c r="T757" s="11" t="str">
        <f>'data on outstanding creditors'!$C757&amp;" "&amp;'data on outstanding creditors'!$D757&amp;" "&amp;TEXT('data on outstanding creditors'!$E757,"#,##0.00")</f>
        <v>บ.เอ.เอ็น.บี.ลาบอรอตอรี่ 8370815288 31,350.00</v>
      </c>
      <c r="U757" s="12"/>
    </row>
    <row r="758" ht="13.5" customHeight="1">
      <c r="A758" s="1"/>
      <c r="B758" s="2">
        <v>45618.0</v>
      </c>
      <c r="C758" s="9" t="s">
        <v>1247</v>
      </c>
      <c r="D758" s="1" t="s">
        <v>1251</v>
      </c>
      <c r="E758" s="4">
        <v>10450.0</v>
      </c>
      <c r="F758" s="4"/>
      <c r="G758" s="4"/>
      <c r="H758" s="4">
        <f>'data on outstanding creditors'!$E758-'data on outstanding creditors'!$F758-'data on outstanding creditors'!$G758</f>
        <v>10450</v>
      </c>
      <c r="I758" s="2"/>
      <c r="J758" s="1" t="s">
        <v>646</v>
      </c>
      <c r="K758" s="2">
        <v>45846.0</v>
      </c>
      <c r="L758" s="5"/>
      <c r="M758" s="9" t="s">
        <v>22</v>
      </c>
      <c r="N758" s="9" t="s">
        <v>23</v>
      </c>
      <c r="O758" s="10">
        <f>'data on outstanding creditors'!$E758*100/107</f>
        <v>9766.35514</v>
      </c>
      <c r="P758" s="10">
        <f>'data on outstanding creditors'!$E758-'data on outstanding creditors'!$O758</f>
        <v>683.6448598</v>
      </c>
      <c r="Q758" s="7">
        <f>DAY('data on outstanding creditors'!$B758)</f>
        <v>22</v>
      </c>
      <c r="R758" s="7">
        <f>MONTH('data on outstanding creditors'!$B758)</f>
        <v>11</v>
      </c>
      <c r="S758" s="7">
        <f>YEAR('data on outstanding creditors'!$B758)</f>
        <v>2024</v>
      </c>
      <c r="T758" s="11" t="str">
        <f>'data on outstanding creditors'!$C758&amp;" "&amp;'data on outstanding creditors'!$D758&amp;" "&amp;TEXT('data on outstanding creditors'!$E758,"#,##0.00")</f>
        <v>บ.เอ.เอ็น.บี.ลาบอรอตอรี่ 8370815289 10,450.00</v>
      </c>
      <c r="U758" s="12"/>
    </row>
    <row r="759" ht="13.5" customHeight="1">
      <c r="A759" s="1"/>
      <c r="B759" s="2">
        <v>45622.0</v>
      </c>
      <c r="C759" s="9" t="s">
        <v>396</v>
      </c>
      <c r="D759" s="1" t="s">
        <v>1252</v>
      </c>
      <c r="E759" s="4">
        <v>35100.0</v>
      </c>
      <c r="F759" s="4"/>
      <c r="G759" s="4"/>
      <c r="H759" s="4">
        <f>'data on outstanding creditors'!$E759-'data on outstanding creditors'!$F759-'data on outstanding creditors'!$G759</f>
        <v>35100</v>
      </c>
      <c r="I759" s="2"/>
      <c r="J759" s="1" t="s">
        <v>757</v>
      </c>
      <c r="K759" s="2">
        <v>45650.0</v>
      </c>
      <c r="L759" s="5"/>
      <c r="M759" s="9" t="s">
        <v>22</v>
      </c>
      <c r="N759" s="9" t="s">
        <v>23</v>
      </c>
      <c r="O759" s="10">
        <f>'data on outstanding creditors'!$E759*100/107</f>
        <v>32803.73832</v>
      </c>
      <c r="P759" s="10">
        <f>'data on outstanding creditors'!$E759-'data on outstanding creditors'!$O759</f>
        <v>2296.261682</v>
      </c>
      <c r="Q759" s="7">
        <f>DAY('data on outstanding creditors'!$B759)</f>
        <v>26</v>
      </c>
      <c r="R759" s="7">
        <f>MONTH('data on outstanding creditors'!$B759)</f>
        <v>11</v>
      </c>
      <c r="S759" s="7">
        <f>YEAR('data on outstanding creditors'!$B759)</f>
        <v>2024</v>
      </c>
      <c r="T759" s="11" t="str">
        <f>'data on outstanding creditors'!$C759&amp;" "&amp;'data on outstanding creditors'!$D759&amp;" "&amp;TEXT('data on outstanding creditors'!$E759,"#,##0.00")</f>
        <v>บ.เยเนอรัล ฮอสปิตัล โปรดัคส์ 24IN08112338 35,100.00</v>
      </c>
      <c r="U759" s="12"/>
    </row>
    <row r="760" ht="13.5" customHeight="1">
      <c r="A760" s="1"/>
      <c r="B760" s="2">
        <v>45622.0</v>
      </c>
      <c r="C760" s="9" t="s">
        <v>396</v>
      </c>
      <c r="D760" s="1" t="s">
        <v>1253</v>
      </c>
      <c r="E760" s="4">
        <v>23000.0</v>
      </c>
      <c r="F760" s="4"/>
      <c r="G760" s="4"/>
      <c r="H760" s="4">
        <f>'data on outstanding creditors'!$E760-'data on outstanding creditors'!$F760-'data on outstanding creditors'!$G760</f>
        <v>23000</v>
      </c>
      <c r="I760" s="2"/>
      <c r="J760" s="1" t="s">
        <v>757</v>
      </c>
      <c r="K760" s="2">
        <v>45650.0</v>
      </c>
      <c r="L760" s="5"/>
      <c r="M760" s="9" t="s">
        <v>22</v>
      </c>
      <c r="N760" s="9" t="s">
        <v>23</v>
      </c>
      <c r="O760" s="10">
        <f>'data on outstanding creditors'!$E760*100/107</f>
        <v>21495.3271</v>
      </c>
      <c r="P760" s="10">
        <f>'data on outstanding creditors'!$E760-'data on outstanding creditors'!$O760</f>
        <v>1504.672897</v>
      </c>
      <c r="Q760" s="7">
        <f>DAY('data on outstanding creditors'!$B760)</f>
        <v>26</v>
      </c>
      <c r="R760" s="7">
        <f>MONTH('data on outstanding creditors'!$B760)</f>
        <v>11</v>
      </c>
      <c r="S760" s="7">
        <f>YEAR('data on outstanding creditors'!$B760)</f>
        <v>2024</v>
      </c>
      <c r="T760" s="11" t="str">
        <f>'data on outstanding creditors'!$C760&amp;" "&amp;'data on outstanding creditors'!$D760&amp;" "&amp;TEXT('data on outstanding creditors'!$E760,"#,##0.00")</f>
        <v>บ.เยเนอรัล ฮอสปิตัล โปรดัคส์ 24IN08112339 23,000.00</v>
      </c>
      <c r="U760" s="12"/>
    </row>
    <row r="761" ht="13.5" customHeight="1">
      <c r="A761" s="1"/>
      <c r="B761" s="2">
        <v>45622.0</v>
      </c>
      <c r="C761" s="9" t="s">
        <v>763</v>
      </c>
      <c r="D761" s="1" t="s">
        <v>1254</v>
      </c>
      <c r="E761" s="4">
        <v>39800.0</v>
      </c>
      <c r="F761" s="4"/>
      <c r="G761" s="4"/>
      <c r="H761" s="4">
        <f>'data on outstanding creditors'!$E761-'data on outstanding creditors'!$F761-'data on outstanding creditors'!$G761</f>
        <v>39800</v>
      </c>
      <c r="I761" s="2"/>
      <c r="J761" s="1" t="s">
        <v>646</v>
      </c>
      <c r="K761" s="2">
        <v>45894.0</v>
      </c>
      <c r="L761" s="5"/>
      <c r="M761" s="9" t="s">
        <v>22</v>
      </c>
      <c r="N761" s="9" t="s">
        <v>23</v>
      </c>
      <c r="O761" s="10">
        <f>'data on outstanding creditors'!$E761*100/107</f>
        <v>37196.26168</v>
      </c>
      <c r="P761" s="10">
        <f>'data on outstanding creditors'!$E761-'data on outstanding creditors'!$O761</f>
        <v>2603.738318</v>
      </c>
      <c r="Q761" s="7">
        <f>DAY('data on outstanding creditors'!$B761)</f>
        <v>26</v>
      </c>
      <c r="R761" s="7">
        <f>MONTH('data on outstanding creditors'!$B761)</f>
        <v>11</v>
      </c>
      <c r="S761" s="7">
        <f>YEAR('data on outstanding creditors'!$B761)</f>
        <v>2024</v>
      </c>
      <c r="T761" s="11" t="str">
        <f>'data on outstanding creditors'!$C761&amp;" "&amp;'data on outstanding creditors'!$D761&amp;" "&amp;TEXT('data on outstanding creditors'!$E761,"#,##0.00")</f>
        <v>บ.อัลลายแอนซ์ ฟาร์มา B26711136 39,800.00</v>
      </c>
      <c r="U761" s="12"/>
    </row>
    <row r="762" ht="13.5" customHeight="1">
      <c r="A762" s="1"/>
      <c r="B762" s="2">
        <v>45623.0</v>
      </c>
      <c r="C762" s="9" t="s">
        <v>1245</v>
      </c>
      <c r="D762" s="1" t="s">
        <v>1255</v>
      </c>
      <c r="E762" s="4">
        <v>5500.0</v>
      </c>
      <c r="F762" s="4"/>
      <c r="G762" s="4"/>
      <c r="H762" s="4">
        <f>'data on outstanding creditors'!$E762-'data on outstanding creditors'!$F762-'data on outstanding creditors'!$G762</f>
        <v>5500</v>
      </c>
      <c r="I762" s="2"/>
      <c r="J762" s="1" t="s">
        <v>646</v>
      </c>
      <c r="K762" s="2">
        <v>45877.0</v>
      </c>
      <c r="L762" s="5"/>
      <c r="M762" s="9" t="s">
        <v>22</v>
      </c>
      <c r="N762" s="9" t="s">
        <v>23</v>
      </c>
      <c r="O762" s="10">
        <f>'data on outstanding creditors'!$E762*100/107</f>
        <v>5140.186916</v>
      </c>
      <c r="P762" s="10">
        <f>'data on outstanding creditors'!$E762-'data on outstanding creditors'!$O762</f>
        <v>359.8130841</v>
      </c>
      <c r="Q762" s="7">
        <f>DAY('data on outstanding creditors'!$B762)</f>
        <v>27</v>
      </c>
      <c r="R762" s="7">
        <f>MONTH('data on outstanding creditors'!$B762)</f>
        <v>11</v>
      </c>
      <c r="S762" s="7">
        <f>YEAR('data on outstanding creditors'!$B762)</f>
        <v>2024</v>
      </c>
      <c r="T762" s="11" t="str">
        <f>'data on outstanding creditors'!$C762&amp;" "&amp;'data on outstanding creditors'!$D762&amp;" "&amp;TEXT('data on outstanding creditors'!$E762,"#,##0.00")</f>
        <v>บ.สามัคคีเภสัช DM-241013141 5,500.00</v>
      </c>
      <c r="U762" s="12"/>
    </row>
    <row r="763" ht="13.5" customHeight="1">
      <c r="A763" s="1"/>
      <c r="B763" s="2">
        <v>45625.0</v>
      </c>
      <c r="C763" s="9" t="s">
        <v>1243</v>
      </c>
      <c r="D763" s="1" t="s">
        <v>1256</v>
      </c>
      <c r="E763" s="4">
        <v>12500.0</v>
      </c>
      <c r="F763" s="4"/>
      <c r="G763" s="4"/>
      <c r="H763" s="4">
        <f>'data on outstanding creditors'!$E763-'data on outstanding creditors'!$F763-'data on outstanding creditors'!$G763</f>
        <v>12500</v>
      </c>
      <c r="I763" s="2"/>
      <c r="J763" s="1" t="s">
        <v>646</v>
      </c>
      <c r="K763" s="2">
        <v>45815.0</v>
      </c>
      <c r="L763" s="5"/>
      <c r="M763" s="9" t="s">
        <v>22</v>
      </c>
      <c r="N763" s="9" t="s">
        <v>23</v>
      </c>
      <c r="O763" s="10">
        <f>'data on outstanding creditors'!$E763*100/107</f>
        <v>11682.24299</v>
      </c>
      <c r="P763" s="10">
        <f>'data on outstanding creditors'!$E763-'data on outstanding creditors'!$O763</f>
        <v>817.7570093</v>
      </c>
      <c r="Q763" s="7">
        <f>DAY('data on outstanding creditors'!$B763)</f>
        <v>29</v>
      </c>
      <c r="R763" s="7">
        <f>MONTH('data on outstanding creditors'!$B763)</f>
        <v>11</v>
      </c>
      <c r="S763" s="7">
        <f>YEAR('data on outstanding creditors'!$B763)</f>
        <v>2024</v>
      </c>
      <c r="T763" s="11" t="str">
        <f>'data on outstanding creditors'!$C763&amp;" "&amp;'data on outstanding creditors'!$D763&amp;" "&amp;TEXT('data on outstanding creditors'!$E763,"#,##0.00")</f>
        <v>บ.วี.แอนด์.วี.กรุงเทพ 8102971077 12,500.00</v>
      </c>
      <c r="U763" s="12"/>
    </row>
    <row r="764" ht="13.5" customHeight="1">
      <c r="A764" s="1"/>
      <c r="B764" s="2">
        <v>45625.0</v>
      </c>
      <c r="C764" s="9" t="s">
        <v>1243</v>
      </c>
      <c r="D764" s="1" t="s">
        <v>1257</v>
      </c>
      <c r="E764" s="4">
        <v>12500.0</v>
      </c>
      <c r="F764" s="4"/>
      <c r="G764" s="4"/>
      <c r="H764" s="4">
        <f>'data on outstanding creditors'!$E764-'data on outstanding creditors'!$F764-'data on outstanding creditors'!$G764</f>
        <v>12500</v>
      </c>
      <c r="I764" s="2"/>
      <c r="J764" s="1" t="s">
        <v>646</v>
      </c>
      <c r="K764" s="2">
        <v>45815.0</v>
      </c>
      <c r="L764" s="5"/>
      <c r="M764" s="9" t="s">
        <v>22</v>
      </c>
      <c r="N764" s="9" t="s">
        <v>23</v>
      </c>
      <c r="O764" s="10">
        <f>'data on outstanding creditors'!$E764*100/107</f>
        <v>11682.24299</v>
      </c>
      <c r="P764" s="10">
        <f>'data on outstanding creditors'!$E764-'data on outstanding creditors'!$O764</f>
        <v>817.7570093</v>
      </c>
      <c r="Q764" s="7">
        <f>DAY('data on outstanding creditors'!$B764)</f>
        <v>29</v>
      </c>
      <c r="R764" s="7">
        <f>MONTH('data on outstanding creditors'!$B764)</f>
        <v>11</v>
      </c>
      <c r="S764" s="7">
        <f>YEAR('data on outstanding creditors'!$B764)</f>
        <v>2024</v>
      </c>
      <c r="T764" s="11" t="str">
        <f>'data on outstanding creditors'!$C764&amp;" "&amp;'data on outstanding creditors'!$D764&amp;" "&amp;TEXT('data on outstanding creditors'!$E764,"#,##0.00")</f>
        <v>บ.วี.แอนด์.วี.กรุงเทพ 8102980796 12,500.00</v>
      </c>
      <c r="U764" s="12"/>
    </row>
    <row r="765" ht="13.5" customHeight="1">
      <c r="A765" s="1"/>
      <c r="B765" s="2">
        <v>45625.0</v>
      </c>
      <c r="C765" s="9" t="s">
        <v>1243</v>
      </c>
      <c r="D765" s="1" t="s">
        <v>1258</v>
      </c>
      <c r="E765" s="4">
        <v>12500.0</v>
      </c>
      <c r="F765" s="4"/>
      <c r="G765" s="4"/>
      <c r="H765" s="4">
        <f>'data on outstanding creditors'!$E765-'data on outstanding creditors'!$F765-'data on outstanding creditors'!$G765</f>
        <v>12500</v>
      </c>
      <c r="I765" s="2"/>
      <c r="J765" s="1" t="s">
        <v>646</v>
      </c>
      <c r="K765" s="2">
        <v>45815.0</v>
      </c>
      <c r="L765" s="5"/>
      <c r="M765" s="9" t="s">
        <v>22</v>
      </c>
      <c r="N765" s="9" t="s">
        <v>23</v>
      </c>
      <c r="O765" s="10">
        <f>'data on outstanding creditors'!$E765*100/107</f>
        <v>11682.24299</v>
      </c>
      <c r="P765" s="10">
        <f>'data on outstanding creditors'!$E765-'data on outstanding creditors'!$O765</f>
        <v>817.7570093</v>
      </c>
      <c r="Q765" s="7">
        <f>DAY('data on outstanding creditors'!$B765)</f>
        <v>29</v>
      </c>
      <c r="R765" s="7">
        <f>MONTH('data on outstanding creditors'!$B765)</f>
        <v>11</v>
      </c>
      <c r="S765" s="7">
        <f>YEAR('data on outstanding creditors'!$B765)</f>
        <v>2024</v>
      </c>
      <c r="T765" s="11" t="str">
        <f>'data on outstanding creditors'!$C765&amp;" "&amp;'data on outstanding creditors'!$D765&amp;" "&amp;TEXT('data on outstanding creditors'!$E765,"#,##0.00")</f>
        <v>บ.วี.แอนด์.วี.กรุงเทพ 8103000439 12,500.00</v>
      </c>
      <c r="U765" s="12"/>
    </row>
    <row r="766" ht="13.5" customHeight="1">
      <c r="A766" s="1"/>
      <c r="B766" s="2">
        <v>45625.0</v>
      </c>
      <c r="C766" s="9" t="s">
        <v>1243</v>
      </c>
      <c r="D766" s="1" t="s">
        <v>1259</v>
      </c>
      <c r="E766" s="4">
        <v>25000.0</v>
      </c>
      <c r="F766" s="4"/>
      <c r="G766" s="4"/>
      <c r="H766" s="4">
        <f>'data on outstanding creditors'!$E766-'data on outstanding creditors'!$F766-'data on outstanding creditors'!$G766</f>
        <v>25000</v>
      </c>
      <c r="I766" s="2"/>
      <c r="J766" s="1" t="s">
        <v>646</v>
      </c>
      <c r="K766" s="2">
        <v>45815.0</v>
      </c>
      <c r="L766" s="5"/>
      <c r="M766" s="9" t="s">
        <v>22</v>
      </c>
      <c r="N766" s="9" t="s">
        <v>23</v>
      </c>
      <c r="O766" s="10">
        <f>'data on outstanding creditors'!$E766*100/107</f>
        <v>23364.48598</v>
      </c>
      <c r="P766" s="10">
        <f>'data on outstanding creditors'!$E766-'data on outstanding creditors'!$O766</f>
        <v>1635.514019</v>
      </c>
      <c r="Q766" s="7">
        <f>DAY('data on outstanding creditors'!$B766)</f>
        <v>29</v>
      </c>
      <c r="R766" s="7">
        <f>MONTH('data on outstanding creditors'!$B766)</f>
        <v>11</v>
      </c>
      <c r="S766" s="7">
        <f>YEAR('data on outstanding creditors'!$B766)</f>
        <v>2024</v>
      </c>
      <c r="T766" s="11" t="str">
        <f>'data on outstanding creditors'!$C766&amp;" "&amp;'data on outstanding creditors'!$D766&amp;" "&amp;TEXT('data on outstanding creditors'!$E766,"#,##0.00")</f>
        <v>บ.วี.แอนด์.วี.กรุงเทพ 8103010657 25,000.00</v>
      </c>
      <c r="U766" s="12"/>
    </row>
    <row r="767" ht="13.5" customHeight="1">
      <c r="A767" s="1"/>
      <c r="B767" s="2">
        <v>45625.0</v>
      </c>
      <c r="C767" s="9" t="s">
        <v>1243</v>
      </c>
      <c r="D767" s="1" t="s">
        <v>1260</v>
      </c>
      <c r="E767" s="4">
        <v>25000.0</v>
      </c>
      <c r="F767" s="4"/>
      <c r="G767" s="4"/>
      <c r="H767" s="4">
        <f>'data on outstanding creditors'!$E767-'data on outstanding creditors'!$F767-'data on outstanding creditors'!$G767</f>
        <v>25000</v>
      </c>
      <c r="I767" s="2"/>
      <c r="J767" s="1" t="s">
        <v>646</v>
      </c>
      <c r="K767" s="2">
        <v>45815.0</v>
      </c>
      <c r="L767" s="5"/>
      <c r="M767" s="9" t="s">
        <v>22</v>
      </c>
      <c r="N767" s="9" t="s">
        <v>23</v>
      </c>
      <c r="O767" s="10">
        <f>'data on outstanding creditors'!$E767*100/107</f>
        <v>23364.48598</v>
      </c>
      <c r="P767" s="10">
        <f>'data on outstanding creditors'!$E767-'data on outstanding creditors'!$O767</f>
        <v>1635.514019</v>
      </c>
      <c r="Q767" s="7">
        <f>DAY('data on outstanding creditors'!$B767)</f>
        <v>29</v>
      </c>
      <c r="R767" s="7">
        <f>MONTH('data on outstanding creditors'!$B767)</f>
        <v>11</v>
      </c>
      <c r="S767" s="7">
        <f>YEAR('data on outstanding creditors'!$B767)</f>
        <v>2024</v>
      </c>
      <c r="T767" s="11" t="str">
        <f>'data on outstanding creditors'!$C767&amp;" "&amp;'data on outstanding creditors'!$D767&amp;" "&amp;TEXT('data on outstanding creditors'!$E767,"#,##0.00")</f>
        <v>บ.วี.แอนด์.วี.กรุงเทพ 8103024211 25,000.00</v>
      </c>
      <c r="U767" s="12"/>
    </row>
    <row r="768" ht="13.5" customHeight="1">
      <c r="A768" s="1"/>
      <c r="B768" s="2">
        <v>45632.0</v>
      </c>
      <c r="C768" s="9" t="s">
        <v>396</v>
      </c>
      <c r="D768" s="1" t="s">
        <v>1261</v>
      </c>
      <c r="E768" s="4">
        <v>23200.0</v>
      </c>
      <c r="F768" s="4"/>
      <c r="G768" s="4"/>
      <c r="H768" s="4">
        <f>'data on outstanding creditors'!$E768-'data on outstanding creditors'!$F768-'data on outstanding creditors'!$G768</f>
        <v>23200</v>
      </c>
      <c r="I768" s="2"/>
      <c r="J768" s="1" t="s">
        <v>757</v>
      </c>
      <c r="K768" s="2">
        <v>45690.0</v>
      </c>
      <c r="L768" s="5"/>
      <c r="M768" s="9" t="s">
        <v>22</v>
      </c>
      <c r="N768" s="9" t="s">
        <v>23</v>
      </c>
      <c r="O768" s="10">
        <f>'data on outstanding creditors'!$E768*100/107</f>
        <v>21682.24299</v>
      </c>
      <c r="P768" s="10">
        <f>'data on outstanding creditors'!$E768-'data on outstanding creditors'!$O768</f>
        <v>1517.757009</v>
      </c>
      <c r="Q768" s="7">
        <f>DAY('data on outstanding creditors'!$B768)</f>
        <v>6</v>
      </c>
      <c r="R768" s="7">
        <f>MONTH('data on outstanding creditors'!$B768)</f>
        <v>12</v>
      </c>
      <c r="S768" s="7">
        <f>YEAR('data on outstanding creditors'!$B768)</f>
        <v>2024</v>
      </c>
      <c r="T768" s="11" t="str">
        <f>'data on outstanding creditors'!$C768&amp;" "&amp;'data on outstanding creditors'!$D768&amp;" "&amp;TEXT('data on outstanding creditors'!$E768,"#,##0.00")</f>
        <v>บ.เยเนอรัล ฮอสปิตัล โปรดัคส์ 24IN08114467 23,200.00</v>
      </c>
      <c r="U768" s="12"/>
    </row>
    <row r="769" ht="13.5" customHeight="1">
      <c r="A769" s="1"/>
      <c r="B769" s="2">
        <v>45632.0</v>
      </c>
      <c r="C769" s="9" t="s">
        <v>1247</v>
      </c>
      <c r="D769" s="1" t="s">
        <v>1262</v>
      </c>
      <c r="E769" s="4">
        <v>31350.0</v>
      </c>
      <c r="F769" s="4"/>
      <c r="G769" s="4"/>
      <c r="H769" s="4">
        <f>'data on outstanding creditors'!$E769-'data on outstanding creditors'!$F769-'data on outstanding creditors'!$G769</f>
        <v>31350</v>
      </c>
      <c r="I769" s="2"/>
      <c r="J769" s="1" t="s">
        <v>646</v>
      </c>
      <c r="K769" s="2">
        <v>45846.0</v>
      </c>
      <c r="L769" s="5"/>
      <c r="M769" s="9" t="s">
        <v>22</v>
      </c>
      <c r="N769" s="9" t="s">
        <v>23</v>
      </c>
      <c r="O769" s="10">
        <f>'data on outstanding creditors'!$E769*100/107</f>
        <v>29299.06542</v>
      </c>
      <c r="P769" s="10">
        <f>'data on outstanding creditors'!$E769-'data on outstanding creditors'!$O769</f>
        <v>2050.934579</v>
      </c>
      <c r="Q769" s="7">
        <f>DAY('data on outstanding creditors'!$B769)</f>
        <v>6</v>
      </c>
      <c r="R769" s="7">
        <f>MONTH('data on outstanding creditors'!$B769)</f>
        <v>12</v>
      </c>
      <c r="S769" s="7">
        <f>YEAR('data on outstanding creditors'!$B769)</f>
        <v>2024</v>
      </c>
      <c r="T769" s="11" t="str">
        <f>'data on outstanding creditors'!$C769&amp;" "&amp;'data on outstanding creditors'!$D769&amp;" "&amp;TEXT('data on outstanding creditors'!$E769,"#,##0.00")</f>
        <v>บ.เอ.เอ็น.บี.ลาบอรอตอรี่ 8370817303 31,350.00</v>
      </c>
      <c r="U769" s="12"/>
    </row>
    <row r="770" ht="13.5" customHeight="1">
      <c r="A770" s="1"/>
      <c r="B770" s="2">
        <v>45632.0</v>
      </c>
      <c r="C770" s="9" t="s">
        <v>1247</v>
      </c>
      <c r="D770" s="1" t="s">
        <v>1263</v>
      </c>
      <c r="E770" s="4">
        <v>10450.0</v>
      </c>
      <c r="F770" s="4"/>
      <c r="G770" s="4"/>
      <c r="H770" s="4">
        <f>'data on outstanding creditors'!$E770-'data on outstanding creditors'!$F770-'data on outstanding creditors'!$G770</f>
        <v>10450</v>
      </c>
      <c r="I770" s="2"/>
      <c r="J770" s="1" t="s">
        <v>646</v>
      </c>
      <c r="K770" s="2">
        <v>45846.0</v>
      </c>
      <c r="L770" s="5"/>
      <c r="M770" s="9" t="s">
        <v>22</v>
      </c>
      <c r="N770" s="9" t="s">
        <v>23</v>
      </c>
      <c r="O770" s="10">
        <f>'data on outstanding creditors'!$E770*100/107</f>
        <v>9766.35514</v>
      </c>
      <c r="P770" s="10">
        <f>'data on outstanding creditors'!$E770-'data on outstanding creditors'!$O770</f>
        <v>683.6448598</v>
      </c>
      <c r="Q770" s="7">
        <f>DAY('data on outstanding creditors'!$B770)</f>
        <v>6</v>
      </c>
      <c r="R770" s="7">
        <f>MONTH('data on outstanding creditors'!$B770)</f>
        <v>12</v>
      </c>
      <c r="S770" s="7">
        <f>YEAR('data on outstanding creditors'!$B770)</f>
        <v>2024</v>
      </c>
      <c r="T770" s="11" t="str">
        <f>'data on outstanding creditors'!$C770&amp;" "&amp;'data on outstanding creditors'!$D770&amp;" "&amp;TEXT('data on outstanding creditors'!$E770,"#,##0.00")</f>
        <v>บ.เอ.เอ็น.บี.ลาบอรอตอรี่ 8370817304 10,450.00</v>
      </c>
      <c r="U770" s="12"/>
    </row>
    <row r="771" ht="13.5" customHeight="1">
      <c r="A771" s="1"/>
      <c r="B771" s="2">
        <v>45632.0</v>
      </c>
      <c r="C771" s="9" t="s">
        <v>1247</v>
      </c>
      <c r="D771" s="1" t="s">
        <v>1264</v>
      </c>
      <c r="E771" s="4">
        <v>41800.0</v>
      </c>
      <c r="F771" s="4"/>
      <c r="G771" s="4"/>
      <c r="H771" s="4">
        <f>'data on outstanding creditors'!$E771-'data on outstanding creditors'!$F771-'data on outstanding creditors'!$G771</f>
        <v>41800</v>
      </c>
      <c r="I771" s="2"/>
      <c r="J771" s="1" t="s">
        <v>646</v>
      </c>
      <c r="K771" s="2">
        <v>45846.0</v>
      </c>
      <c r="L771" s="5"/>
      <c r="M771" s="9" t="s">
        <v>22</v>
      </c>
      <c r="N771" s="9" t="s">
        <v>23</v>
      </c>
      <c r="O771" s="10">
        <f>'data on outstanding creditors'!$E771*100/107</f>
        <v>39065.42056</v>
      </c>
      <c r="P771" s="10">
        <f>'data on outstanding creditors'!$E771-'data on outstanding creditors'!$O771</f>
        <v>2734.579439</v>
      </c>
      <c r="Q771" s="7">
        <f>DAY('data on outstanding creditors'!$B771)</f>
        <v>6</v>
      </c>
      <c r="R771" s="7">
        <f>MONTH('data on outstanding creditors'!$B771)</f>
        <v>12</v>
      </c>
      <c r="S771" s="7">
        <f>YEAR('data on outstanding creditors'!$B771)</f>
        <v>2024</v>
      </c>
      <c r="T771" s="11" t="str">
        <f>'data on outstanding creditors'!$C771&amp;" "&amp;'data on outstanding creditors'!$D771&amp;" "&amp;TEXT('data on outstanding creditors'!$E771,"#,##0.00")</f>
        <v>บ.เอ.เอ็น.บี.ลาบอรอตอรี่ 8370818978 41,800.00</v>
      </c>
      <c r="U771" s="12"/>
    </row>
    <row r="772" ht="13.5" customHeight="1">
      <c r="A772" s="1"/>
      <c r="B772" s="2">
        <v>45632.0</v>
      </c>
      <c r="C772" s="9" t="s">
        <v>1265</v>
      </c>
      <c r="D772" s="1" t="s">
        <v>1266</v>
      </c>
      <c r="E772" s="4">
        <v>2750.0</v>
      </c>
      <c r="F772" s="4"/>
      <c r="G772" s="4"/>
      <c r="H772" s="4">
        <f>'data on outstanding creditors'!$E772-'data on outstanding creditors'!$F772-'data on outstanding creditors'!$G772</f>
        <v>2750</v>
      </c>
      <c r="I772" s="2"/>
      <c r="J772" s="1" t="s">
        <v>646</v>
      </c>
      <c r="K772" s="2">
        <v>45827.0</v>
      </c>
      <c r="L772" s="5"/>
      <c r="M772" s="9" t="s">
        <v>22</v>
      </c>
      <c r="N772" s="9" t="s">
        <v>23</v>
      </c>
      <c r="O772" s="10">
        <f>'data on outstanding creditors'!$E772*100/107</f>
        <v>2570.093458</v>
      </c>
      <c r="P772" s="10">
        <f>'data on outstanding creditors'!$E772-'data on outstanding creditors'!$O772</f>
        <v>179.9065421</v>
      </c>
      <c r="Q772" s="7">
        <f>DAY('data on outstanding creditors'!$B772)</f>
        <v>6</v>
      </c>
      <c r="R772" s="7">
        <f>MONTH('data on outstanding creditors'!$B772)</f>
        <v>12</v>
      </c>
      <c r="S772" s="7">
        <f>YEAR('data on outstanding creditors'!$B772)</f>
        <v>2024</v>
      </c>
      <c r="T772" s="11" t="str">
        <f>'data on outstanding creditors'!$C772&amp;" "&amp;'data on outstanding creditors'!$D772&amp;" "&amp;TEXT('data on outstanding creditors'!$E772,"#,##0.00")</f>
        <v>บ.แอล.บี.เอส.แลบบอเรตอรี่ 847958 2,750.00</v>
      </c>
      <c r="U772" s="12"/>
    </row>
    <row r="773" ht="13.5" customHeight="1">
      <c r="A773" s="1"/>
      <c r="B773" s="2">
        <v>45639.0</v>
      </c>
      <c r="C773" s="9" t="s">
        <v>1232</v>
      </c>
      <c r="D773" s="1" t="s">
        <v>1267</v>
      </c>
      <c r="E773" s="4">
        <v>4500.0</v>
      </c>
      <c r="F773" s="4"/>
      <c r="G773" s="4"/>
      <c r="H773" s="4">
        <f>'data on outstanding creditors'!$E773-'data on outstanding creditors'!$F773-'data on outstanding creditors'!$G773</f>
        <v>4500</v>
      </c>
      <c r="I773" s="2"/>
      <c r="J773" s="1" t="s">
        <v>646</v>
      </c>
      <c r="K773" s="2">
        <v>45843.0</v>
      </c>
      <c r="L773" s="5"/>
      <c r="M773" s="9" t="s">
        <v>22</v>
      </c>
      <c r="N773" s="9" t="s">
        <v>23</v>
      </c>
      <c r="O773" s="10">
        <f>'data on outstanding creditors'!$E773*100/107</f>
        <v>4205.607477</v>
      </c>
      <c r="P773" s="10">
        <f>'data on outstanding creditors'!$E773-'data on outstanding creditors'!$O773</f>
        <v>294.3925234</v>
      </c>
      <c r="Q773" s="7">
        <f>DAY('data on outstanding creditors'!$B773)</f>
        <v>13</v>
      </c>
      <c r="R773" s="7">
        <f>MONTH('data on outstanding creditors'!$B773)</f>
        <v>12</v>
      </c>
      <c r="S773" s="7">
        <f>YEAR('data on outstanding creditors'!$B773)</f>
        <v>2024</v>
      </c>
      <c r="T773" s="11" t="str">
        <f>'data on outstanding creditors'!$C773&amp;" "&amp;'data on outstanding creditors'!$D773&amp;" "&amp;TEXT('data on outstanding creditors'!$E773,"#,##0.00")</f>
        <v>บ.มาสุ 250347 4,500.00</v>
      </c>
      <c r="U773" s="12"/>
    </row>
    <row r="774" ht="13.5" customHeight="1">
      <c r="A774" s="1"/>
      <c r="B774" s="2">
        <v>45643.0</v>
      </c>
      <c r="C774" s="9" t="s">
        <v>1243</v>
      </c>
      <c r="D774" s="1" t="s">
        <v>1268</v>
      </c>
      <c r="E774" s="4">
        <v>50000.0</v>
      </c>
      <c r="F774" s="4"/>
      <c r="G774" s="4"/>
      <c r="H774" s="4">
        <f>'data on outstanding creditors'!$E774-'data on outstanding creditors'!$F774-'data on outstanding creditors'!$G774</f>
        <v>50000</v>
      </c>
      <c r="I774" s="2"/>
      <c r="J774" s="1" t="s">
        <v>646</v>
      </c>
      <c r="K774" s="2">
        <v>45815.0</v>
      </c>
      <c r="L774" s="5"/>
      <c r="M774" s="9" t="s">
        <v>22</v>
      </c>
      <c r="N774" s="9" t="s">
        <v>23</v>
      </c>
      <c r="O774" s="10">
        <f>'data on outstanding creditors'!$E774*100/107</f>
        <v>46728.97196</v>
      </c>
      <c r="P774" s="10">
        <f>'data on outstanding creditors'!$E774-'data on outstanding creditors'!$O774</f>
        <v>3271.028037</v>
      </c>
      <c r="Q774" s="7">
        <f>DAY('data on outstanding creditors'!$B774)</f>
        <v>17</v>
      </c>
      <c r="R774" s="7">
        <f>MONTH('data on outstanding creditors'!$B774)</f>
        <v>12</v>
      </c>
      <c r="S774" s="7">
        <f>YEAR('data on outstanding creditors'!$B774)</f>
        <v>2024</v>
      </c>
      <c r="T774" s="11" t="str">
        <f>'data on outstanding creditors'!$C774&amp;" "&amp;'data on outstanding creditors'!$D774&amp;" "&amp;TEXT('data on outstanding creditors'!$E774,"#,##0.00")</f>
        <v>บ.วี.แอนด์.วี.กรุงเทพ 8103043079 50,000.00</v>
      </c>
      <c r="U774" s="12"/>
    </row>
    <row r="775" ht="13.5" customHeight="1">
      <c r="A775" s="1"/>
      <c r="B775" s="2">
        <v>45644.0</v>
      </c>
      <c r="C775" s="9" t="s">
        <v>396</v>
      </c>
      <c r="D775" s="1" t="s">
        <v>1269</v>
      </c>
      <c r="E775" s="4">
        <v>43600.0</v>
      </c>
      <c r="F775" s="4"/>
      <c r="G775" s="4"/>
      <c r="H775" s="4">
        <f>'data on outstanding creditors'!$E775-'data on outstanding creditors'!$F775-'data on outstanding creditors'!$G775</f>
        <v>43600</v>
      </c>
      <c r="I775" s="2"/>
      <c r="J775" s="1" t="s">
        <v>757</v>
      </c>
      <c r="K775" s="2">
        <v>45692.0</v>
      </c>
      <c r="L775" s="5"/>
      <c r="M775" s="9" t="s">
        <v>22</v>
      </c>
      <c r="N775" s="9" t="s">
        <v>23</v>
      </c>
      <c r="O775" s="10">
        <f>'data on outstanding creditors'!$E775*100/107</f>
        <v>40747.66355</v>
      </c>
      <c r="P775" s="10">
        <f>'data on outstanding creditors'!$E775-'data on outstanding creditors'!$O775</f>
        <v>2852.336449</v>
      </c>
      <c r="Q775" s="7">
        <f>DAY('data on outstanding creditors'!$B775)</f>
        <v>18</v>
      </c>
      <c r="R775" s="7">
        <f>MONTH('data on outstanding creditors'!$B775)</f>
        <v>12</v>
      </c>
      <c r="S775" s="7">
        <f>YEAR('data on outstanding creditors'!$B775)</f>
        <v>2024</v>
      </c>
      <c r="T775" s="11" t="str">
        <f>'data on outstanding creditors'!$C775&amp;" "&amp;'data on outstanding creditors'!$D775&amp;" "&amp;TEXT('data on outstanding creditors'!$E775,"#,##0.00")</f>
        <v>บ.เยเนอรัล ฮอสปิตัล โปรดัคส์ 24IN08122337 43,600.00</v>
      </c>
      <c r="U775" s="12"/>
    </row>
    <row r="776" ht="13.5" customHeight="1">
      <c r="A776" s="1"/>
      <c r="B776" s="2">
        <v>45645.0</v>
      </c>
      <c r="C776" s="9" t="s">
        <v>1234</v>
      </c>
      <c r="D776" s="1" t="s">
        <v>1270</v>
      </c>
      <c r="E776" s="4">
        <v>5500.0</v>
      </c>
      <c r="F776" s="4"/>
      <c r="G776" s="4"/>
      <c r="H776" s="4">
        <f>'data on outstanding creditors'!$E776-'data on outstanding creditors'!$F776-'data on outstanding creditors'!$G776</f>
        <v>5500</v>
      </c>
      <c r="I776" s="2"/>
      <c r="J776" s="1" t="s">
        <v>646</v>
      </c>
      <c r="K776" s="2">
        <v>45855.0</v>
      </c>
      <c r="L776" s="5"/>
      <c r="M776" s="9" t="s">
        <v>22</v>
      </c>
      <c r="N776" s="9" t="s">
        <v>23</v>
      </c>
      <c r="O776" s="10">
        <f>'data on outstanding creditors'!$E776*100/107</f>
        <v>5140.186916</v>
      </c>
      <c r="P776" s="10">
        <f>'data on outstanding creditors'!$E776-'data on outstanding creditors'!$O776</f>
        <v>359.8130841</v>
      </c>
      <c r="Q776" s="7">
        <f>DAY('data on outstanding creditors'!$B776)</f>
        <v>19</v>
      </c>
      <c r="R776" s="7">
        <f>MONTH('data on outstanding creditors'!$B776)</f>
        <v>12</v>
      </c>
      <c r="S776" s="7">
        <f>YEAR('data on outstanding creditors'!$B776)</f>
        <v>2024</v>
      </c>
      <c r="T776" s="11" t="str">
        <f>'data on outstanding creditors'!$C776&amp;" "&amp;'data on outstanding creditors'!$D776&amp;" "&amp;TEXT('data on outstanding creditors'!$E776,"#,##0.00")</f>
        <v>บ.คอนติเนนเติล-ฟาร์ม 241200654 5,500.00</v>
      </c>
      <c r="U776" s="12"/>
    </row>
    <row r="777" ht="13.5" customHeight="1">
      <c r="A777" s="1"/>
      <c r="B777" s="2">
        <v>45645.0</v>
      </c>
      <c r="C777" s="9" t="s">
        <v>1232</v>
      </c>
      <c r="D777" s="1" t="s">
        <v>1271</v>
      </c>
      <c r="E777" s="4">
        <v>20000.0</v>
      </c>
      <c r="F777" s="4"/>
      <c r="G777" s="4"/>
      <c r="H777" s="4">
        <f>'data on outstanding creditors'!$E777-'data on outstanding creditors'!$F777-'data on outstanding creditors'!$G777</f>
        <v>20000</v>
      </c>
      <c r="I777" s="2"/>
      <c r="J777" s="1" t="s">
        <v>646</v>
      </c>
      <c r="K777" s="2">
        <v>45843.0</v>
      </c>
      <c r="L777" s="5"/>
      <c r="M777" s="9" t="s">
        <v>22</v>
      </c>
      <c r="N777" s="9" t="s">
        <v>23</v>
      </c>
      <c r="O777" s="10">
        <f>'data on outstanding creditors'!$E777*100/107</f>
        <v>18691.58879</v>
      </c>
      <c r="P777" s="10">
        <f>'data on outstanding creditors'!$E777-'data on outstanding creditors'!$O777</f>
        <v>1308.411215</v>
      </c>
      <c r="Q777" s="7">
        <f>DAY('data on outstanding creditors'!$B777)</f>
        <v>19</v>
      </c>
      <c r="R777" s="7">
        <f>MONTH('data on outstanding creditors'!$B777)</f>
        <v>12</v>
      </c>
      <c r="S777" s="7">
        <f>YEAR('data on outstanding creditors'!$B777)</f>
        <v>2024</v>
      </c>
      <c r="T777" s="11" t="str">
        <f>'data on outstanding creditors'!$C777&amp;" "&amp;'data on outstanding creditors'!$D777&amp;" "&amp;TEXT('data on outstanding creditors'!$E777,"#,##0.00")</f>
        <v>บ.มาสุ 250635 20,000.00</v>
      </c>
      <c r="U777" s="12"/>
    </row>
    <row r="778" ht="13.5" customHeight="1">
      <c r="A778" s="1"/>
      <c r="B778" s="2">
        <v>45645.0</v>
      </c>
      <c r="C778" s="9" t="s">
        <v>1243</v>
      </c>
      <c r="D778" s="1" t="s">
        <v>1272</v>
      </c>
      <c r="E778" s="4">
        <v>46000.0</v>
      </c>
      <c r="F778" s="4"/>
      <c r="G778" s="4"/>
      <c r="H778" s="4">
        <f>'data on outstanding creditors'!$E778-'data on outstanding creditors'!$F778-'data on outstanding creditors'!$G778</f>
        <v>46000</v>
      </c>
      <c r="I778" s="2"/>
      <c r="J778" s="1" t="s">
        <v>646</v>
      </c>
      <c r="K778" s="2">
        <v>45815.0</v>
      </c>
      <c r="L778" s="5"/>
      <c r="M778" s="9" t="s">
        <v>22</v>
      </c>
      <c r="N778" s="9" t="s">
        <v>23</v>
      </c>
      <c r="O778" s="10">
        <f>'data on outstanding creditors'!$E778*100/107</f>
        <v>42990.65421</v>
      </c>
      <c r="P778" s="10">
        <f>'data on outstanding creditors'!$E778-'data on outstanding creditors'!$O778</f>
        <v>3009.345794</v>
      </c>
      <c r="Q778" s="7">
        <f>DAY('data on outstanding creditors'!$B778)</f>
        <v>19</v>
      </c>
      <c r="R778" s="7">
        <f>MONTH('data on outstanding creditors'!$B778)</f>
        <v>12</v>
      </c>
      <c r="S778" s="7">
        <f>YEAR('data on outstanding creditors'!$B778)</f>
        <v>2024</v>
      </c>
      <c r="T778" s="11" t="str">
        <f>'data on outstanding creditors'!$C778&amp;" "&amp;'data on outstanding creditors'!$D778&amp;" "&amp;TEXT('data on outstanding creditors'!$E778,"#,##0.00")</f>
        <v>บ.วี.แอนด์.วี.กรุงเทพ 8103049936 46,000.00</v>
      </c>
      <c r="U778" s="12"/>
    </row>
    <row r="779" ht="13.5" customHeight="1">
      <c r="A779" s="1"/>
      <c r="B779" s="2">
        <v>45646.0</v>
      </c>
      <c r="C779" s="9" t="s">
        <v>1273</v>
      </c>
      <c r="D779" s="1" t="s">
        <v>1274</v>
      </c>
      <c r="E779" s="4">
        <v>22800.0</v>
      </c>
      <c r="F779" s="4"/>
      <c r="G779" s="4"/>
      <c r="H779" s="4">
        <f>'data on outstanding creditors'!$E779-'data on outstanding creditors'!$F779-'data on outstanding creditors'!$G779</f>
        <v>22800</v>
      </c>
      <c r="I779" s="2"/>
      <c r="J779" s="1" t="s">
        <v>646</v>
      </c>
      <c r="K779" s="2">
        <v>45877.0</v>
      </c>
      <c r="L779" s="5"/>
      <c r="M779" s="9" t="s">
        <v>22</v>
      </c>
      <c r="N779" s="9" t="s">
        <v>23</v>
      </c>
      <c r="O779" s="10">
        <f>'data on outstanding creditors'!$E779*100/107</f>
        <v>21308.41121</v>
      </c>
      <c r="P779" s="10">
        <f>'data on outstanding creditors'!$E779-'data on outstanding creditors'!$O779</f>
        <v>1491.588785</v>
      </c>
      <c r="Q779" s="7">
        <f>DAY('data on outstanding creditors'!$B779)</f>
        <v>20</v>
      </c>
      <c r="R779" s="7">
        <f>MONTH('data on outstanding creditors'!$B779)</f>
        <v>12</v>
      </c>
      <c r="S779" s="7">
        <f>YEAR('data on outstanding creditors'!$B779)</f>
        <v>2024</v>
      </c>
      <c r="T779" s="11" t="str">
        <f>'data on outstanding creditors'!$C779&amp;" "&amp;'data on outstanding creditors'!$D779&amp;" "&amp;TEXT('data on outstanding creditors'!$E779,"#,##0.00")</f>
        <v>บ.ชูมิตร 1967 IN6712-1182 22,800.00</v>
      </c>
      <c r="U779" s="12"/>
    </row>
    <row r="780" ht="13.5" customHeight="1">
      <c r="A780" s="1"/>
      <c r="B780" s="2">
        <v>45646.0</v>
      </c>
      <c r="C780" s="9" t="s">
        <v>1247</v>
      </c>
      <c r="D780" s="1" t="s">
        <v>1275</v>
      </c>
      <c r="E780" s="4">
        <v>41800.0</v>
      </c>
      <c r="F780" s="4"/>
      <c r="G780" s="4"/>
      <c r="H780" s="4">
        <f>'data on outstanding creditors'!$E780-'data on outstanding creditors'!$F780-'data on outstanding creditors'!$G780</f>
        <v>41800</v>
      </c>
      <c r="I780" s="2"/>
      <c r="J780" s="1" t="s">
        <v>646</v>
      </c>
      <c r="K780" s="2">
        <v>45846.0</v>
      </c>
      <c r="L780" s="5"/>
      <c r="M780" s="9" t="s">
        <v>22</v>
      </c>
      <c r="N780" s="9" t="s">
        <v>23</v>
      </c>
      <c r="O780" s="10">
        <f>'data on outstanding creditors'!$E780*100/107</f>
        <v>39065.42056</v>
      </c>
      <c r="P780" s="10">
        <f>'data on outstanding creditors'!$E780-'data on outstanding creditors'!$O780</f>
        <v>2734.579439</v>
      </c>
      <c r="Q780" s="7">
        <f>DAY('data on outstanding creditors'!$B780)</f>
        <v>20</v>
      </c>
      <c r="R780" s="7">
        <f>MONTH('data on outstanding creditors'!$B780)</f>
        <v>12</v>
      </c>
      <c r="S780" s="7">
        <f>YEAR('data on outstanding creditors'!$B780)</f>
        <v>2024</v>
      </c>
      <c r="T780" s="11" t="str">
        <f>'data on outstanding creditors'!$C780&amp;" "&amp;'data on outstanding creditors'!$D780&amp;" "&amp;TEXT('data on outstanding creditors'!$E780,"#,##0.00")</f>
        <v>บ.เอ.เอ็น.บี.ลาบอรอตอรี่ 8370818979 41,800.00</v>
      </c>
      <c r="U780" s="12"/>
    </row>
    <row r="781" ht="13.5" customHeight="1">
      <c r="A781" s="1"/>
      <c r="B781" s="2">
        <v>45646.0</v>
      </c>
      <c r="C781" s="9" t="s">
        <v>1247</v>
      </c>
      <c r="D781" s="1" t="s">
        <v>1276</v>
      </c>
      <c r="E781" s="4">
        <v>41800.0</v>
      </c>
      <c r="F781" s="4"/>
      <c r="G781" s="4"/>
      <c r="H781" s="4">
        <f>'data on outstanding creditors'!$E781-'data on outstanding creditors'!$F781-'data on outstanding creditors'!$G781</f>
        <v>41800</v>
      </c>
      <c r="I781" s="2"/>
      <c r="J781" s="1" t="s">
        <v>646</v>
      </c>
      <c r="K781" s="2">
        <v>45846.0</v>
      </c>
      <c r="L781" s="5"/>
      <c r="M781" s="9" t="s">
        <v>22</v>
      </c>
      <c r="N781" s="9" t="s">
        <v>23</v>
      </c>
      <c r="O781" s="10">
        <f>'data on outstanding creditors'!$E781*100/107</f>
        <v>39065.42056</v>
      </c>
      <c r="P781" s="10">
        <f>'data on outstanding creditors'!$E781-'data on outstanding creditors'!$O781</f>
        <v>2734.579439</v>
      </c>
      <c r="Q781" s="7">
        <f>DAY('data on outstanding creditors'!$B781)</f>
        <v>20</v>
      </c>
      <c r="R781" s="7">
        <f>MONTH('data on outstanding creditors'!$B781)</f>
        <v>12</v>
      </c>
      <c r="S781" s="7">
        <f>YEAR('data on outstanding creditors'!$B781)</f>
        <v>2024</v>
      </c>
      <c r="T781" s="11" t="str">
        <f>'data on outstanding creditors'!$C781&amp;" "&amp;'data on outstanding creditors'!$D781&amp;" "&amp;TEXT('data on outstanding creditors'!$E781,"#,##0.00")</f>
        <v>บ.เอ.เอ็น.บี.ลาบอรอตอรี่ 8370818980 41,800.00</v>
      </c>
      <c r="U781" s="12"/>
    </row>
    <row r="782" ht="13.5" customHeight="1">
      <c r="A782" s="1"/>
      <c r="B782" s="2">
        <v>45650.0</v>
      </c>
      <c r="C782" s="9" t="s">
        <v>396</v>
      </c>
      <c r="D782" s="1" t="s">
        <v>1277</v>
      </c>
      <c r="E782" s="4">
        <v>44000.0</v>
      </c>
      <c r="F782" s="4"/>
      <c r="G782" s="4"/>
      <c r="H782" s="4">
        <f>'data on outstanding creditors'!$E782-'data on outstanding creditors'!$F782-'data on outstanding creditors'!$G782</f>
        <v>44000</v>
      </c>
      <c r="I782" s="2"/>
      <c r="J782" s="1" t="s">
        <v>757</v>
      </c>
      <c r="K782" s="2">
        <v>45691.0</v>
      </c>
      <c r="L782" s="5"/>
      <c r="M782" s="9" t="s">
        <v>22</v>
      </c>
      <c r="N782" s="9" t="s">
        <v>23</v>
      </c>
      <c r="O782" s="10">
        <f>'data on outstanding creditors'!$E782*100/107</f>
        <v>41121.49533</v>
      </c>
      <c r="P782" s="10">
        <f>'data on outstanding creditors'!$E782-'data on outstanding creditors'!$O782</f>
        <v>2878.504673</v>
      </c>
      <c r="Q782" s="7">
        <f>DAY('data on outstanding creditors'!$B782)</f>
        <v>24</v>
      </c>
      <c r="R782" s="7">
        <f>MONTH('data on outstanding creditors'!$B782)</f>
        <v>12</v>
      </c>
      <c r="S782" s="7">
        <f>YEAR('data on outstanding creditors'!$B782)</f>
        <v>2024</v>
      </c>
      <c r="T782" s="11" t="str">
        <f>'data on outstanding creditors'!$C782&amp;" "&amp;'data on outstanding creditors'!$D782&amp;" "&amp;TEXT('data on outstanding creditors'!$E782,"#,##0.00")</f>
        <v>บ.เยเนอรัล ฮอสปิตัล โปรดัคส์ 24IN08123427 44,000.00</v>
      </c>
      <c r="U782" s="12"/>
    </row>
    <row r="783" ht="13.5" customHeight="1">
      <c r="A783" s="1"/>
      <c r="B783" s="2">
        <v>45651.0</v>
      </c>
      <c r="C783" s="9" t="s">
        <v>1243</v>
      </c>
      <c r="D783" s="1" t="s">
        <v>1278</v>
      </c>
      <c r="E783" s="4">
        <v>20000.0</v>
      </c>
      <c r="F783" s="4"/>
      <c r="G783" s="4"/>
      <c r="H783" s="4">
        <f>'data on outstanding creditors'!$E783-'data on outstanding creditors'!$F783-'data on outstanding creditors'!$G783</f>
        <v>20000</v>
      </c>
      <c r="I783" s="2"/>
      <c r="J783" s="1" t="s">
        <v>646</v>
      </c>
      <c r="K783" s="2">
        <v>45815.0</v>
      </c>
      <c r="L783" s="5"/>
      <c r="M783" s="9" t="s">
        <v>22</v>
      </c>
      <c r="N783" s="9" t="s">
        <v>23</v>
      </c>
      <c r="O783" s="10">
        <f>'data on outstanding creditors'!$E783*100/107</f>
        <v>18691.58879</v>
      </c>
      <c r="P783" s="10">
        <f>'data on outstanding creditors'!$E783-'data on outstanding creditors'!$O783</f>
        <v>1308.411215</v>
      </c>
      <c r="Q783" s="7">
        <f>DAY('data on outstanding creditors'!$B783)</f>
        <v>25</v>
      </c>
      <c r="R783" s="7">
        <f>MONTH('data on outstanding creditors'!$B783)</f>
        <v>12</v>
      </c>
      <c r="S783" s="7">
        <f>YEAR('data on outstanding creditors'!$B783)</f>
        <v>2024</v>
      </c>
      <c r="T783" s="11" t="str">
        <f>'data on outstanding creditors'!$C783&amp;" "&amp;'data on outstanding creditors'!$D783&amp;" "&amp;TEXT('data on outstanding creditors'!$E783,"#,##0.00")</f>
        <v>บ.วี.แอนด์.วี.กรุงเทพ 8103065453 20,000.00</v>
      </c>
      <c r="U783" s="12"/>
    </row>
    <row r="784" ht="13.5" customHeight="1">
      <c r="A784" s="1"/>
      <c r="B784" s="2">
        <v>45660.0</v>
      </c>
      <c r="C784" s="9" t="s">
        <v>1279</v>
      </c>
      <c r="D784" s="1" t="s">
        <v>1280</v>
      </c>
      <c r="E784" s="4">
        <v>30000.0</v>
      </c>
      <c r="F784" s="4"/>
      <c r="G784" s="4"/>
      <c r="H784" s="4">
        <f>'data on outstanding creditors'!$E784-'data on outstanding creditors'!$F784-'data on outstanding creditors'!$G784</f>
        <v>30000</v>
      </c>
      <c r="I784" s="2"/>
      <c r="J784" s="1" t="s">
        <v>646</v>
      </c>
      <c r="K784" s="2">
        <v>45762.0</v>
      </c>
      <c r="L784" s="5"/>
      <c r="M784" s="9" t="s">
        <v>22</v>
      </c>
      <c r="N784" s="9" t="s">
        <v>23</v>
      </c>
      <c r="O784" s="10">
        <f>'data on outstanding creditors'!$E784*100/107</f>
        <v>28037.38318</v>
      </c>
      <c r="P784" s="10">
        <f>'data on outstanding creditors'!$E784-'data on outstanding creditors'!$O784</f>
        <v>1962.616822</v>
      </c>
      <c r="Q784" s="7">
        <f>DAY('data on outstanding creditors'!$B784)</f>
        <v>3</v>
      </c>
      <c r="R784" s="7">
        <f>MONTH('data on outstanding creditors'!$B784)</f>
        <v>1</v>
      </c>
      <c r="S784" s="7">
        <f>YEAR('data on outstanding creditors'!$B784)</f>
        <v>2025</v>
      </c>
      <c r="T784" s="11" t="str">
        <f>'data on outstanding creditors'!$C784&amp;" "&amp;'data on outstanding creditors'!$D784&amp;" "&amp;TEXT('data on outstanding creditors'!$E784,"#,##0.00")</f>
        <v>บ.ไบโอจีนีเทค IV241202354 30,000.00</v>
      </c>
      <c r="U784" s="12"/>
    </row>
    <row r="785" ht="13.5" customHeight="1">
      <c r="A785" s="1"/>
      <c r="B785" s="2">
        <v>45660.0</v>
      </c>
      <c r="C785" s="9" t="s">
        <v>1230</v>
      </c>
      <c r="D785" s="1" t="s">
        <v>1281</v>
      </c>
      <c r="E785" s="4">
        <v>12840.0</v>
      </c>
      <c r="F785" s="4"/>
      <c r="G785" s="4"/>
      <c r="H785" s="4">
        <f>'data on outstanding creditors'!$E785-'data on outstanding creditors'!$F785-'data on outstanding creditors'!$G785</f>
        <v>12840</v>
      </c>
      <c r="I785" s="2"/>
      <c r="J785" s="1" t="s">
        <v>646</v>
      </c>
      <c r="K785" s="2">
        <v>45843.0</v>
      </c>
      <c r="L785" s="5"/>
      <c r="M785" s="9" t="s">
        <v>22</v>
      </c>
      <c r="N785" s="9" t="s">
        <v>23</v>
      </c>
      <c r="O785" s="10">
        <f>'data on outstanding creditors'!$E785*100/107</f>
        <v>12000</v>
      </c>
      <c r="P785" s="10">
        <f>'data on outstanding creditors'!$E785-'data on outstanding creditors'!$O785</f>
        <v>840</v>
      </c>
      <c r="Q785" s="7">
        <f>DAY('data on outstanding creditors'!$B785)</f>
        <v>3</v>
      </c>
      <c r="R785" s="7">
        <f>MONTH('data on outstanding creditors'!$B785)</f>
        <v>1</v>
      </c>
      <c r="S785" s="7">
        <f>YEAR('data on outstanding creditors'!$B785)</f>
        <v>2025</v>
      </c>
      <c r="T785" s="11" t="str">
        <f>'data on outstanding creditors'!$C785&amp;" "&amp;'data on outstanding creditors'!$D785&amp;" "&amp;TEXT('data on outstanding creditors'!$E785,"#,##0.00")</f>
        <v>บ.พรอส ฟาร์มา INV-L-IM\2024123700 12,840.00</v>
      </c>
      <c r="U785" s="12"/>
    </row>
    <row r="786" ht="13.5" customHeight="1">
      <c r="A786" s="1"/>
      <c r="B786" s="2">
        <v>45660.0</v>
      </c>
      <c r="C786" s="9" t="s">
        <v>1243</v>
      </c>
      <c r="D786" s="1" t="s">
        <v>1282</v>
      </c>
      <c r="E786" s="4">
        <v>25000.0</v>
      </c>
      <c r="F786" s="4"/>
      <c r="G786" s="4"/>
      <c r="H786" s="4">
        <f>'data on outstanding creditors'!$E786-'data on outstanding creditors'!$F786-'data on outstanding creditors'!$G786</f>
        <v>25000</v>
      </c>
      <c r="I786" s="2"/>
      <c r="J786" s="1" t="s">
        <v>646</v>
      </c>
      <c r="K786" s="2">
        <v>45815.0</v>
      </c>
      <c r="L786" s="5"/>
      <c r="M786" s="9" t="s">
        <v>22</v>
      </c>
      <c r="N786" s="9" t="s">
        <v>23</v>
      </c>
      <c r="O786" s="10">
        <f>'data on outstanding creditors'!$E786*100/107</f>
        <v>23364.48598</v>
      </c>
      <c r="P786" s="10">
        <f>'data on outstanding creditors'!$E786-'data on outstanding creditors'!$O786</f>
        <v>1635.514019</v>
      </c>
      <c r="Q786" s="7">
        <f>DAY('data on outstanding creditors'!$B786)</f>
        <v>3</v>
      </c>
      <c r="R786" s="7">
        <f>MONTH('data on outstanding creditors'!$B786)</f>
        <v>1</v>
      </c>
      <c r="S786" s="7">
        <f>YEAR('data on outstanding creditors'!$B786)</f>
        <v>2025</v>
      </c>
      <c r="T786" s="11" t="str">
        <f>'data on outstanding creditors'!$C786&amp;" "&amp;'data on outstanding creditors'!$D786&amp;" "&amp;TEXT('data on outstanding creditors'!$E786,"#,##0.00")</f>
        <v>บ.วี.แอนด์.วี.กรุงเทพ 8103071400 25,000.00</v>
      </c>
      <c r="U786" s="12"/>
    </row>
    <row r="787" ht="13.5" customHeight="1">
      <c r="A787" s="1"/>
      <c r="B787" s="2">
        <v>45663.0</v>
      </c>
      <c r="C787" s="9" t="s">
        <v>1230</v>
      </c>
      <c r="D787" s="1" t="s">
        <v>1283</v>
      </c>
      <c r="E787" s="4">
        <v>51000.0</v>
      </c>
      <c r="F787" s="4"/>
      <c r="G787" s="4"/>
      <c r="H787" s="4">
        <f>'data on outstanding creditors'!$E787-'data on outstanding creditors'!$F787-'data on outstanding creditors'!$G787</f>
        <v>51000</v>
      </c>
      <c r="I787" s="2"/>
      <c r="J787" s="1" t="s">
        <v>646</v>
      </c>
      <c r="K787" s="2">
        <v>45846.0</v>
      </c>
      <c r="L787" s="5"/>
      <c r="M787" s="9" t="s">
        <v>22</v>
      </c>
      <c r="N787" s="9" t="s">
        <v>23</v>
      </c>
      <c r="O787" s="10">
        <f>'data on outstanding creditors'!$E787*100/107</f>
        <v>47663.5514</v>
      </c>
      <c r="P787" s="10">
        <f>'data on outstanding creditors'!$E787-'data on outstanding creditors'!$O787</f>
        <v>3336.448598</v>
      </c>
      <c r="Q787" s="7">
        <f>DAY('data on outstanding creditors'!$B787)</f>
        <v>6</v>
      </c>
      <c r="R787" s="7">
        <f>MONTH('data on outstanding creditors'!$B787)</f>
        <v>1</v>
      </c>
      <c r="S787" s="7">
        <f>YEAR('data on outstanding creditors'!$B787)</f>
        <v>2025</v>
      </c>
      <c r="T787" s="11" t="str">
        <f>'data on outstanding creditors'!$C787&amp;" "&amp;'data on outstanding creditors'!$D787&amp;" "&amp;TEXT('data on outstanding creditors'!$E787,"#,##0.00")</f>
        <v>บ.พรอส ฟาร์มา INV-L-IM\2024124368 51,000.00</v>
      </c>
      <c r="U787" s="12"/>
    </row>
    <row r="788" ht="13.5" customHeight="1">
      <c r="A788" s="1"/>
      <c r="B788" s="2">
        <v>45666.0</v>
      </c>
      <c r="C788" s="9" t="s">
        <v>1247</v>
      </c>
      <c r="D788" s="1" t="s">
        <v>1284</v>
      </c>
      <c r="E788" s="4">
        <v>41800.0</v>
      </c>
      <c r="F788" s="4"/>
      <c r="G788" s="4"/>
      <c r="H788" s="4">
        <f>'data on outstanding creditors'!$E788-'data on outstanding creditors'!$F788-'data on outstanding creditors'!$G788</f>
        <v>41800</v>
      </c>
      <c r="I788" s="2"/>
      <c r="J788" s="1" t="s">
        <v>646</v>
      </c>
      <c r="K788" s="2">
        <v>45846.0</v>
      </c>
      <c r="L788" s="5"/>
      <c r="M788" s="9" t="s">
        <v>22</v>
      </c>
      <c r="N788" s="9" t="s">
        <v>23</v>
      </c>
      <c r="O788" s="10">
        <f>'data on outstanding creditors'!$E788*100/107</f>
        <v>39065.42056</v>
      </c>
      <c r="P788" s="10">
        <f>'data on outstanding creditors'!$E788-'data on outstanding creditors'!$O788</f>
        <v>2734.579439</v>
      </c>
      <c r="Q788" s="7">
        <f>DAY('data on outstanding creditors'!$B788)</f>
        <v>9</v>
      </c>
      <c r="R788" s="7">
        <f>MONTH('data on outstanding creditors'!$B788)</f>
        <v>1</v>
      </c>
      <c r="S788" s="7">
        <f>YEAR('data on outstanding creditors'!$B788)</f>
        <v>2025</v>
      </c>
      <c r="T788" s="11" t="str">
        <f>'data on outstanding creditors'!$C788&amp;" "&amp;'data on outstanding creditors'!$D788&amp;" "&amp;TEXT('data on outstanding creditors'!$E788,"#,##0.00")</f>
        <v>บ.เอ.เอ็น.บี.ลาบอรอตอรี่ 8370818981 41,800.00</v>
      </c>
      <c r="U788" s="12"/>
    </row>
    <row r="789" ht="13.5" customHeight="1">
      <c r="A789" s="1"/>
      <c r="B789" s="2">
        <v>45666.0</v>
      </c>
      <c r="C789" s="9" t="s">
        <v>1247</v>
      </c>
      <c r="D789" s="1" t="s">
        <v>1285</v>
      </c>
      <c r="E789" s="4">
        <v>41800.0</v>
      </c>
      <c r="F789" s="4"/>
      <c r="G789" s="4"/>
      <c r="H789" s="4">
        <f>'data on outstanding creditors'!$E789-'data on outstanding creditors'!$F789-'data on outstanding creditors'!$G789</f>
        <v>41800</v>
      </c>
      <c r="I789" s="2"/>
      <c r="J789" s="1" t="s">
        <v>646</v>
      </c>
      <c r="K789" s="2">
        <v>45846.0</v>
      </c>
      <c r="L789" s="5"/>
      <c r="M789" s="9" t="s">
        <v>22</v>
      </c>
      <c r="N789" s="9" t="s">
        <v>23</v>
      </c>
      <c r="O789" s="10">
        <f>'data on outstanding creditors'!$E789*100/107</f>
        <v>39065.42056</v>
      </c>
      <c r="P789" s="10">
        <f>'data on outstanding creditors'!$E789-'data on outstanding creditors'!$O789</f>
        <v>2734.579439</v>
      </c>
      <c r="Q789" s="7">
        <f>DAY('data on outstanding creditors'!$B789)</f>
        <v>9</v>
      </c>
      <c r="R789" s="7">
        <f>MONTH('data on outstanding creditors'!$B789)</f>
        <v>1</v>
      </c>
      <c r="S789" s="7">
        <f>YEAR('data on outstanding creditors'!$B789)</f>
        <v>2025</v>
      </c>
      <c r="T789" s="11" t="str">
        <f>'data on outstanding creditors'!$C789&amp;" "&amp;'data on outstanding creditors'!$D789&amp;" "&amp;TEXT('data on outstanding creditors'!$E789,"#,##0.00")</f>
        <v>บ.เอ.เอ็น.บี.ลาบอรอตอรี่ 8370824894 41,800.00</v>
      </c>
      <c r="U789" s="12"/>
    </row>
    <row r="790" ht="13.5" customHeight="1">
      <c r="A790" s="1"/>
      <c r="B790" s="2">
        <v>45671.0</v>
      </c>
      <c r="C790" s="9" t="s">
        <v>1230</v>
      </c>
      <c r="D790" s="1" t="s">
        <v>1286</v>
      </c>
      <c r="E790" s="4">
        <v>42000.0</v>
      </c>
      <c r="F790" s="4"/>
      <c r="G790" s="4"/>
      <c r="H790" s="4">
        <f>'data on outstanding creditors'!$E790-'data on outstanding creditors'!$F790-'data on outstanding creditors'!$G790</f>
        <v>42000</v>
      </c>
      <c r="I790" s="2"/>
      <c r="J790" s="1" t="s">
        <v>646</v>
      </c>
      <c r="K790" s="2">
        <v>45928.0</v>
      </c>
      <c r="L790" s="5"/>
      <c r="M790" s="9" t="s">
        <v>22</v>
      </c>
      <c r="N790" s="9" t="s">
        <v>23</v>
      </c>
      <c r="O790" s="10">
        <f>'data on outstanding creditors'!$E790*100/107</f>
        <v>39252.33645</v>
      </c>
      <c r="P790" s="10">
        <f>'data on outstanding creditors'!$E790-'data on outstanding creditors'!$O790</f>
        <v>2747.663551</v>
      </c>
      <c r="Q790" s="7">
        <f>DAY('data on outstanding creditors'!$B790)</f>
        <v>14</v>
      </c>
      <c r="R790" s="7">
        <f>MONTH('data on outstanding creditors'!$B790)</f>
        <v>1</v>
      </c>
      <c r="S790" s="7">
        <f>YEAR('data on outstanding creditors'!$B790)</f>
        <v>2025</v>
      </c>
      <c r="T790" s="11" t="str">
        <f>'data on outstanding creditors'!$C790&amp;" "&amp;'data on outstanding creditors'!$D790&amp;" "&amp;TEXT('data on outstanding creditors'!$E790,"#,##0.00")</f>
        <v>บ.พรอส ฟาร์มา INV-L-IM\2025010680 42,000.00</v>
      </c>
      <c r="U790" s="12"/>
    </row>
    <row r="791" ht="13.5" customHeight="1">
      <c r="A791" s="1"/>
      <c r="B791" s="2">
        <v>45672.0</v>
      </c>
      <c r="C791" s="9" t="s">
        <v>1234</v>
      </c>
      <c r="D791" s="1" t="s">
        <v>1287</v>
      </c>
      <c r="E791" s="4">
        <v>3300.0</v>
      </c>
      <c r="F791" s="4"/>
      <c r="G791" s="4"/>
      <c r="H791" s="4">
        <f>'data on outstanding creditors'!$E791-'data on outstanding creditors'!$F791-'data on outstanding creditors'!$G791</f>
        <v>3300</v>
      </c>
      <c r="I791" s="2"/>
      <c r="J791" s="1" t="s">
        <v>646</v>
      </c>
      <c r="K791" s="2">
        <v>45855.0</v>
      </c>
      <c r="L791" s="5"/>
      <c r="M791" s="9" t="s">
        <v>22</v>
      </c>
      <c r="N791" s="9" t="s">
        <v>23</v>
      </c>
      <c r="O791" s="10">
        <f>'data on outstanding creditors'!$E791*100/107</f>
        <v>3084.11215</v>
      </c>
      <c r="P791" s="10">
        <f>'data on outstanding creditors'!$E791-'data on outstanding creditors'!$O791</f>
        <v>215.8878505</v>
      </c>
      <c r="Q791" s="7">
        <f>DAY('data on outstanding creditors'!$B791)</f>
        <v>15</v>
      </c>
      <c r="R791" s="7">
        <f>MONTH('data on outstanding creditors'!$B791)</f>
        <v>1</v>
      </c>
      <c r="S791" s="7">
        <f>YEAR('data on outstanding creditors'!$B791)</f>
        <v>2025</v>
      </c>
      <c r="T791" s="11" t="str">
        <f>'data on outstanding creditors'!$C791&amp;" "&amp;'data on outstanding creditors'!$D791&amp;" "&amp;TEXT('data on outstanding creditors'!$E791,"#,##0.00")</f>
        <v>บ.คอนติเนนเติล-ฟาร์ม 250100420 3,300.00</v>
      </c>
      <c r="U791" s="12"/>
    </row>
    <row r="792" ht="13.5" customHeight="1">
      <c r="A792" s="1"/>
      <c r="B792" s="2">
        <v>45672.0</v>
      </c>
      <c r="C792" s="9" t="s">
        <v>1288</v>
      </c>
      <c r="D792" s="1" t="s">
        <v>1289</v>
      </c>
      <c r="E792" s="4">
        <v>12283.6</v>
      </c>
      <c r="F792" s="4"/>
      <c r="G792" s="4"/>
      <c r="H792" s="4">
        <f>'data on outstanding creditors'!$E792-'data on outstanding creditors'!$F792-'data on outstanding creditors'!$G792</f>
        <v>12283.6</v>
      </c>
      <c r="I792" s="2"/>
      <c r="J792" s="1" t="s">
        <v>646</v>
      </c>
      <c r="K792" s="2">
        <v>45856.0</v>
      </c>
      <c r="L792" s="5"/>
      <c r="M792" s="9" t="s">
        <v>22</v>
      </c>
      <c r="N792" s="9" t="s">
        <v>23</v>
      </c>
      <c r="O792" s="10">
        <f>'data on outstanding creditors'!$E792*100/107</f>
        <v>11480</v>
      </c>
      <c r="P792" s="10">
        <f>'data on outstanding creditors'!$E792-'data on outstanding creditors'!$O792</f>
        <v>803.6</v>
      </c>
      <c r="Q792" s="7">
        <f>DAY('data on outstanding creditors'!$B792)</f>
        <v>15</v>
      </c>
      <c r="R792" s="7">
        <f>MONTH('data on outstanding creditors'!$B792)</f>
        <v>1</v>
      </c>
      <c r="S792" s="7">
        <f>YEAR('data on outstanding creditors'!$B792)</f>
        <v>2025</v>
      </c>
      <c r="T792" s="11" t="str">
        <f>'data on outstanding creditors'!$C792&amp;" "&amp;'data on outstanding creditors'!$D792&amp;" "&amp;TEXT('data on outstanding creditors'!$E792,"#,##0.00")</f>
        <v>บ.เจ เอส วิชั่น 100480610 12,283.60</v>
      </c>
      <c r="U792" s="12"/>
    </row>
    <row r="793" ht="13.5" customHeight="1">
      <c r="A793" s="1"/>
      <c r="B793" s="2">
        <v>45674.0</v>
      </c>
      <c r="C793" s="9" t="s">
        <v>771</v>
      </c>
      <c r="D793" s="1" t="s">
        <v>1290</v>
      </c>
      <c r="E793" s="4">
        <v>57500.0</v>
      </c>
      <c r="F793" s="4"/>
      <c r="G793" s="4"/>
      <c r="H793" s="4">
        <f>'data on outstanding creditors'!$E793-'data on outstanding creditors'!$F793-'data on outstanding creditors'!$G793</f>
        <v>57500</v>
      </c>
      <c r="I793" s="2"/>
      <c r="J793" s="1" t="s">
        <v>646</v>
      </c>
      <c r="K793" s="2">
        <v>45827.0</v>
      </c>
      <c r="L793" s="5"/>
      <c r="M793" s="9" t="s">
        <v>22</v>
      </c>
      <c r="N793" s="9" t="s">
        <v>23</v>
      </c>
      <c r="O793" s="10">
        <f>'data on outstanding creditors'!$E793*100/107</f>
        <v>53738.31776</v>
      </c>
      <c r="P793" s="10">
        <f>'data on outstanding creditors'!$E793-'data on outstanding creditors'!$O793</f>
        <v>3761.682243</v>
      </c>
      <c r="Q793" s="7">
        <f>DAY('data on outstanding creditors'!$B793)</f>
        <v>17</v>
      </c>
      <c r="R793" s="7">
        <f>MONTH('data on outstanding creditors'!$B793)</f>
        <v>1</v>
      </c>
      <c r="S793" s="7">
        <f>YEAR('data on outstanding creditors'!$B793)</f>
        <v>2025</v>
      </c>
      <c r="T793" s="11" t="str">
        <f>'data on outstanding creditors'!$C793&amp;" "&amp;'data on outstanding creditors'!$D793&amp;" "&amp;TEXT('data on outstanding creditors'!$E793,"#,##0.00")</f>
        <v>หจก.ภิญโญฟาร์มาซี IV6802970 57,500.00</v>
      </c>
      <c r="U793" s="12"/>
    </row>
    <row r="794" ht="13.5" customHeight="1">
      <c r="A794" s="1"/>
      <c r="B794" s="2">
        <v>45679.0</v>
      </c>
      <c r="C794" s="9" t="s">
        <v>396</v>
      </c>
      <c r="D794" s="1" t="s">
        <v>1291</v>
      </c>
      <c r="E794" s="4">
        <v>29750.0</v>
      </c>
      <c r="F794" s="4"/>
      <c r="G794" s="4"/>
      <c r="H794" s="4">
        <f>'data on outstanding creditors'!$E794-'data on outstanding creditors'!$F794-'data on outstanding creditors'!$G794</f>
        <v>29750</v>
      </c>
      <c r="I794" s="2"/>
      <c r="J794" s="1" t="s">
        <v>757</v>
      </c>
      <c r="K794" s="2">
        <v>45741.0</v>
      </c>
      <c r="L794" s="5"/>
      <c r="M794" s="9" t="s">
        <v>22</v>
      </c>
      <c r="N794" s="9" t="s">
        <v>23</v>
      </c>
      <c r="O794" s="10">
        <f>'data on outstanding creditors'!$E794*100/107</f>
        <v>27803.73832</v>
      </c>
      <c r="P794" s="10">
        <f>'data on outstanding creditors'!$E794-'data on outstanding creditors'!$O794</f>
        <v>1946.261682</v>
      </c>
      <c r="Q794" s="7">
        <f>DAY('data on outstanding creditors'!$B794)</f>
        <v>22</v>
      </c>
      <c r="R794" s="7">
        <f>MONTH('data on outstanding creditors'!$B794)</f>
        <v>1</v>
      </c>
      <c r="S794" s="7">
        <f>YEAR('data on outstanding creditors'!$B794)</f>
        <v>2025</v>
      </c>
      <c r="T794" s="11" t="str">
        <f>'data on outstanding creditors'!$C794&amp;" "&amp;'data on outstanding creditors'!$D794&amp;" "&amp;TEXT('data on outstanding creditors'!$E794,"#,##0.00")</f>
        <v>บ.เยเนอรัล ฮอสปิตัล โปรดัคส์ 25IN08012998 29,750.00</v>
      </c>
      <c r="U794" s="12"/>
    </row>
    <row r="795" ht="13.5" customHeight="1">
      <c r="A795" s="1"/>
      <c r="B795" s="2">
        <v>45679.0</v>
      </c>
      <c r="C795" s="9" t="s">
        <v>396</v>
      </c>
      <c r="D795" s="1" t="s">
        <v>1292</v>
      </c>
      <c r="E795" s="4">
        <v>6400.0</v>
      </c>
      <c r="F795" s="4"/>
      <c r="G795" s="4"/>
      <c r="H795" s="4">
        <f>'data on outstanding creditors'!$E795-'data on outstanding creditors'!$F795-'data on outstanding creditors'!$G795</f>
        <v>6400</v>
      </c>
      <c r="I795" s="2"/>
      <c r="J795" s="1" t="s">
        <v>757</v>
      </c>
      <c r="K795" s="2">
        <v>45741.0</v>
      </c>
      <c r="L795" s="5"/>
      <c r="M795" s="9" t="s">
        <v>22</v>
      </c>
      <c r="N795" s="9" t="s">
        <v>23</v>
      </c>
      <c r="O795" s="10">
        <f>'data on outstanding creditors'!$E795*100/107</f>
        <v>5981.308411</v>
      </c>
      <c r="P795" s="10">
        <f>'data on outstanding creditors'!$E795-'data on outstanding creditors'!$O795</f>
        <v>418.6915888</v>
      </c>
      <c r="Q795" s="7">
        <f>DAY('data on outstanding creditors'!$B795)</f>
        <v>22</v>
      </c>
      <c r="R795" s="7">
        <f>MONTH('data on outstanding creditors'!$B795)</f>
        <v>1</v>
      </c>
      <c r="S795" s="7">
        <f>YEAR('data on outstanding creditors'!$B795)</f>
        <v>2025</v>
      </c>
      <c r="T795" s="11" t="str">
        <f>'data on outstanding creditors'!$C795&amp;" "&amp;'data on outstanding creditors'!$D795&amp;" "&amp;TEXT('data on outstanding creditors'!$E795,"#,##0.00")</f>
        <v>บ.เยเนอรัล ฮอสปิตัล โปรดัคส์ 25IN08012997 6,400.00</v>
      </c>
      <c r="U795" s="12"/>
    </row>
    <row r="796" ht="13.5" customHeight="1">
      <c r="A796" s="1"/>
      <c r="B796" s="2">
        <v>45679.0</v>
      </c>
      <c r="C796" s="9" t="s">
        <v>771</v>
      </c>
      <c r="D796" s="1" t="s">
        <v>1293</v>
      </c>
      <c r="E796" s="4">
        <v>25000.0</v>
      </c>
      <c r="F796" s="4"/>
      <c r="G796" s="4"/>
      <c r="H796" s="4">
        <f>'data on outstanding creditors'!$E796-'data on outstanding creditors'!$F796-'data on outstanding creditors'!$G796</f>
        <v>25000</v>
      </c>
      <c r="I796" s="2"/>
      <c r="J796" s="1" t="s">
        <v>646</v>
      </c>
      <c r="K796" s="2">
        <v>45827.0</v>
      </c>
      <c r="L796" s="5"/>
      <c r="M796" s="9" t="s">
        <v>22</v>
      </c>
      <c r="N796" s="9" t="s">
        <v>23</v>
      </c>
      <c r="O796" s="10">
        <f>'data on outstanding creditors'!$E796*100/107</f>
        <v>23364.48598</v>
      </c>
      <c r="P796" s="10">
        <f>'data on outstanding creditors'!$E796-'data on outstanding creditors'!$O796</f>
        <v>1635.514019</v>
      </c>
      <c r="Q796" s="7">
        <f>DAY('data on outstanding creditors'!$B796)</f>
        <v>22</v>
      </c>
      <c r="R796" s="7">
        <f>MONTH('data on outstanding creditors'!$B796)</f>
        <v>1</v>
      </c>
      <c r="S796" s="7">
        <f>YEAR('data on outstanding creditors'!$B796)</f>
        <v>2025</v>
      </c>
      <c r="T796" s="11" t="str">
        <f>'data on outstanding creditors'!$C796&amp;" "&amp;'data on outstanding creditors'!$D796&amp;" "&amp;TEXT('data on outstanding creditors'!$E796,"#,##0.00")</f>
        <v>หจก.ภิญโญฟาร์มาซี IV6802505 25,000.00</v>
      </c>
      <c r="U796" s="12"/>
    </row>
    <row r="797" ht="13.5" customHeight="1">
      <c r="A797" s="1"/>
      <c r="B797" s="2">
        <v>45680.0</v>
      </c>
      <c r="C797" s="9" t="s">
        <v>1279</v>
      </c>
      <c r="D797" s="1" t="s">
        <v>1294</v>
      </c>
      <c r="E797" s="4">
        <v>10800.0</v>
      </c>
      <c r="F797" s="4"/>
      <c r="G797" s="4"/>
      <c r="H797" s="4">
        <f>'data on outstanding creditors'!$E797-'data on outstanding creditors'!$F797-'data on outstanding creditors'!$G797</f>
        <v>10800</v>
      </c>
      <c r="I797" s="2"/>
      <c r="J797" s="1" t="s">
        <v>646</v>
      </c>
      <c r="K797" s="2">
        <v>45762.0</v>
      </c>
      <c r="L797" s="5"/>
      <c r="M797" s="9" t="s">
        <v>22</v>
      </c>
      <c r="N797" s="9" t="s">
        <v>23</v>
      </c>
      <c r="O797" s="10">
        <f>'data on outstanding creditors'!$E797*100/107</f>
        <v>10093.45794</v>
      </c>
      <c r="P797" s="10">
        <f>'data on outstanding creditors'!$E797-'data on outstanding creditors'!$O797</f>
        <v>706.5420561</v>
      </c>
      <c r="Q797" s="7">
        <f>DAY('data on outstanding creditors'!$B797)</f>
        <v>23</v>
      </c>
      <c r="R797" s="7">
        <f>MONTH('data on outstanding creditors'!$B797)</f>
        <v>1</v>
      </c>
      <c r="S797" s="7">
        <f>YEAR('data on outstanding creditors'!$B797)</f>
        <v>2025</v>
      </c>
      <c r="T797" s="11" t="str">
        <f>'data on outstanding creditors'!$C797&amp;" "&amp;'data on outstanding creditors'!$D797&amp;" "&amp;TEXT('data on outstanding creditors'!$E797,"#,##0.00")</f>
        <v>บ.ไบโอจีนีเทค IV250101695 10,800.00</v>
      </c>
      <c r="U797" s="12"/>
    </row>
    <row r="798" ht="13.5" customHeight="1">
      <c r="A798" s="1"/>
      <c r="B798" s="2">
        <v>45680.0</v>
      </c>
      <c r="C798" s="9" t="s">
        <v>1232</v>
      </c>
      <c r="D798" s="1" t="s">
        <v>1295</v>
      </c>
      <c r="E798" s="4">
        <v>36000.0</v>
      </c>
      <c r="F798" s="4"/>
      <c r="G798" s="4"/>
      <c r="H798" s="4">
        <f>'data on outstanding creditors'!$E798-'data on outstanding creditors'!$F798-'data on outstanding creditors'!$G798</f>
        <v>36000</v>
      </c>
      <c r="I798" s="2"/>
      <c r="J798" s="1" t="s">
        <v>646</v>
      </c>
      <c r="K798" s="2">
        <v>45843.0</v>
      </c>
      <c r="L798" s="5"/>
      <c r="M798" s="9" t="s">
        <v>22</v>
      </c>
      <c r="N798" s="9" t="s">
        <v>23</v>
      </c>
      <c r="O798" s="10">
        <f>'data on outstanding creditors'!$E798*100/107</f>
        <v>33644.85981</v>
      </c>
      <c r="P798" s="10">
        <f>'data on outstanding creditors'!$E798-'data on outstanding creditors'!$O798</f>
        <v>2355.140187</v>
      </c>
      <c r="Q798" s="7">
        <f>DAY('data on outstanding creditors'!$B798)</f>
        <v>23</v>
      </c>
      <c r="R798" s="7">
        <f>MONTH('data on outstanding creditors'!$B798)</f>
        <v>1</v>
      </c>
      <c r="S798" s="7">
        <f>YEAR('data on outstanding creditors'!$B798)</f>
        <v>2025</v>
      </c>
      <c r="T798" s="11" t="str">
        <f>'data on outstanding creditors'!$C798&amp;" "&amp;'data on outstanding creditors'!$D798&amp;" "&amp;TEXT('data on outstanding creditors'!$E798,"#,##0.00")</f>
        <v>บ.มาสุ 252002 36,000.00</v>
      </c>
      <c r="U798" s="12"/>
    </row>
    <row r="799" ht="13.5" customHeight="1">
      <c r="A799" s="1"/>
      <c r="B799" s="2">
        <v>45680.0</v>
      </c>
      <c r="C799" s="9" t="s">
        <v>763</v>
      </c>
      <c r="D799" s="1" t="s">
        <v>1296</v>
      </c>
      <c r="E799" s="4">
        <v>39800.0</v>
      </c>
      <c r="F799" s="4"/>
      <c r="G799" s="4"/>
      <c r="H799" s="4">
        <f>'data on outstanding creditors'!$E799-'data on outstanding creditors'!$F799-'data on outstanding creditors'!$G799</f>
        <v>39800</v>
      </c>
      <c r="I799" s="2"/>
      <c r="J799" s="1" t="s">
        <v>646</v>
      </c>
      <c r="K799" s="2">
        <v>45894.0</v>
      </c>
      <c r="L799" s="5"/>
      <c r="M799" s="9" t="s">
        <v>22</v>
      </c>
      <c r="N799" s="9" t="s">
        <v>23</v>
      </c>
      <c r="O799" s="10">
        <f>'data on outstanding creditors'!$E799*100/107</f>
        <v>37196.26168</v>
      </c>
      <c r="P799" s="10">
        <f>'data on outstanding creditors'!$E799-'data on outstanding creditors'!$O799</f>
        <v>2603.738318</v>
      </c>
      <c r="Q799" s="7">
        <f>DAY('data on outstanding creditors'!$B799)</f>
        <v>23</v>
      </c>
      <c r="R799" s="7">
        <f>MONTH('data on outstanding creditors'!$B799)</f>
        <v>1</v>
      </c>
      <c r="S799" s="7">
        <f>YEAR('data on outstanding creditors'!$B799)</f>
        <v>2025</v>
      </c>
      <c r="T799" s="11" t="str">
        <f>'data on outstanding creditors'!$C799&amp;" "&amp;'data on outstanding creditors'!$D799&amp;" "&amp;TEXT('data on outstanding creditors'!$E799,"#,##0.00")</f>
        <v>บ.อัลลายแอนซ์ ฟาร์มา B26801173 39,800.00</v>
      </c>
      <c r="U799" s="12"/>
    </row>
    <row r="800" ht="13.5" customHeight="1">
      <c r="A800" s="1"/>
      <c r="B800" s="2">
        <v>45685.0</v>
      </c>
      <c r="C800" s="9" t="s">
        <v>1297</v>
      </c>
      <c r="D800" s="1" t="s">
        <v>1298</v>
      </c>
      <c r="E800" s="4">
        <v>36000.0</v>
      </c>
      <c r="F800" s="4"/>
      <c r="G800" s="4"/>
      <c r="H800" s="4">
        <f>'data on outstanding creditors'!$E800-'data on outstanding creditors'!$F800-'data on outstanding creditors'!$G800</f>
        <v>36000</v>
      </c>
      <c r="I800" s="2"/>
      <c r="J800" s="1" t="s">
        <v>646</v>
      </c>
      <c r="K800" s="2">
        <v>45843.0</v>
      </c>
      <c r="L800" s="5"/>
      <c r="M800" s="9" t="s">
        <v>22</v>
      </c>
      <c r="N800" s="9" t="s">
        <v>23</v>
      </c>
      <c r="O800" s="10">
        <f>'data on outstanding creditors'!$E800*100/107</f>
        <v>33644.85981</v>
      </c>
      <c r="P800" s="10">
        <f>'data on outstanding creditors'!$E800-'data on outstanding creditors'!$O800</f>
        <v>2355.140187</v>
      </c>
      <c r="Q800" s="7">
        <f>DAY('data on outstanding creditors'!$B800)</f>
        <v>28</v>
      </c>
      <c r="R800" s="7">
        <f>MONTH('data on outstanding creditors'!$B800)</f>
        <v>1</v>
      </c>
      <c r="S800" s="7">
        <f>YEAR('data on outstanding creditors'!$B800)</f>
        <v>2025</v>
      </c>
      <c r="T800" s="11" t="str">
        <f>'data on outstanding creditors'!$C800&amp;" "&amp;'data on outstanding creditors'!$D800&amp;" "&amp;TEXT('data on outstanding creditors'!$E800,"#,##0.00")</f>
        <v>บ.แอตแลนติค ฟาร์มาซูติคอล PIN2441714 36,000.00</v>
      </c>
      <c r="U800" s="12"/>
    </row>
    <row r="801" ht="13.5" customHeight="1">
      <c r="A801" s="1"/>
      <c r="B801" s="2">
        <v>45685.0</v>
      </c>
      <c r="C801" s="9" t="s">
        <v>1297</v>
      </c>
      <c r="D801" s="1" t="s">
        <v>1299</v>
      </c>
      <c r="E801" s="4">
        <v>1000.0</v>
      </c>
      <c r="F801" s="4"/>
      <c r="G801" s="4"/>
      <c r="H801" s="4">
        <f>'data on outstanding creditors'!$E801-'data on outstanding creditors'!$F801-'data on outstanding creditors'!$G801</f>
        <v>1000</v>
      </c>
      <c r="I801" s="2"/>
      <c r="J801" s="1" t="s">
        <v>646</v>
      </c>
      <c r="K801" s="2">
        <v>45843.0</v>
      </c>
      <c r="L801" s="5"/>
      <c r="M801" s="9" t="s">
        <v>22</v>
      </c>
      <c r="N801" s="9" t="s">
        <v>23</v>
      </c>
      <c r="O801" s="10">
        <f>'data on outstanding creditors'!$E801*100/107</f>
        <v>934.5794393</v>
      </c>
      <c r="P801" s="10">
        <f>'data on outstanding creditors'!$E801-'data on outstanding creditors'!$O801</f>
        <v>65.42056075</v>
      </c>
      <c r="Q801" s="7">
        <f>DAY('data on outstanding creditors'!$B801)</f>
        <v>28</v>
      </c>
      <c r="R801" s="7">
        <f>MONTH('data on outstanding creditors'!$B801)</f>
        <v>1</v>
      </c>
      <c r="S801" s="7">
        <f>YEAR('data on outstanding creditors'!$B801)</f>
        <v>2025</v>
      </c>
      <c r="T801" s="11" t="str">
        <f>'data on outstanding creditors'!$C801&amp;" "&amp;'data on outstanding creditors'!$D801&amp;" "&amp;TEXT('data on outstanding creditors'!$E801,"#,##0.00")</f>
        <v>บ.แอตแลนติค ฟาร์มาซูติคอล PIN2502836 1,000.00</v>
      </c>
      <c r="U801" s="12"/>
    </row>
    <row r="802" ht="13.5" customHeight="1">
      <c r="A802" s="1"/>
      <c r="B802" s="2">
        <v>45685.0</v>
      </c>
      <c r="C802" s="9" t="s">
        <v>1297</v>
      </c>
      <c r="D802" s="1" t="s">
        <v>1300</v>
      </c>
      <c r="E802" s="4">
        <v>9900.0</v>
      </c>
      <c r="F802" s="4"/>
      <c r="G802" s="4"/>
      <c r="H802" s="4">
        <f>'data on outstanding creditors'!$E802-'data on outstanding creditors'!$F802-'data on outstanding creditors'!$G802</f>
        <v>9900</v>
      </c>
      <c r="I802" s="2"/>
      <c r="J802" s="1" t="s">
        <v>646</v>
      </c>
      <c r="K802" s="2">
        <v>45843.0</v>
      </c>
      <c r="L802" s="5"/>
      <c r="M802" s="9" t="s">
        <v>22</v>
      </c>
      <c r="N802" s="9" t="s">
        <v>23</v>
      </c>
      <c r="O802" s="10">
        <f>'data on outstanding creditors'!$E802*100/107</f>
        <v>9252.336449</v>
      </c>
      <c r="P802" s="10">
        <f>'data on outstanding creditors'!$E802-'data on outstanding creditors'!$O802</f>
        <v>647.6635514</v>
      </c>
      <c r="Q802" s="7">
        <f>DAY('data on outstanding creditors'!$B802)</f>
        <v>28</v>
      </c>
      <c r="R802" s="7">
        <f>MONTH('data on outstanding creditors'!$B802)</f>
        <v>1</v>
      </c>
      <c r="S802" s="7">
        <f>YEAR('data on outstanding creditors'!$B802)</f>
        <v>2025</v>
      </c>
      <c r="T802" s="11" t="str">
        <f>'data on outstanding creditors'!$C802&amp;" "&amp;'data on outstanding creditors'!$D802&amp;" "&amp;TEXT('data on outstanding creditors'!$E802,"#,##0.00")</f>
        <v>บ.แอตแลนติค ฟาร์มาซูติคอล PIN2501620 9,900.00</v>
      </c>
      <c r="U802" s="12"/>
    </row>
    <row r="803" ht="13.5" customHeight="1">
      <c r="A803" s="1"/>
      <c r="B803" s="2">
        <v>45685.0</v>
      </c>
      <c r="C803" s="9" t="s">
        <v>1297</v>
      </c>
      <c r="D803" s="1" t="s">
        <v>1301</v>
      </c>
      <c r="E803" s="4">
        <v>16500.0</v>
      </c>
      <c r="F803" s="4"/>
      <c r="G803" s="4"/>
      <c r="H803" s="4">
        <f>'data on outstanding creditors'!$E803-'data on outstanding creditors'!$F803-'data on outstanding creditors'!$G803</f>
        <v>16500</v>
      </c>
      <c r="I803" s="2"/>
      <c r="J803" s="1" t="s">
        <v>646</v>
      </c>
      <c r="K803" s="2">
        <v>45843.0</v>
      </c>
      <c r="L803" s="5"/>
      <c r="M803" s="9" t="s">
        <v>22</v>
      </c>
      <c r="N803" s="9" t="s">
        <v>23</v>
      </c>
      <c r="O803" s="10">
        <f>'data on outstanding creditors'!$E803*100/107</f>
        <v>15420.56075</v>
      </c>
      <c r="P803" s="10">
        <f>'data on outstanding creditors'!$E803-'data on outstanding creditors'!$O803</f>
        <v>1079.439252</v>
      </c>
      <c r="Q803" s="7">
        <f>DAY('data on outstanding creditors'!$B803)</f>
        <v>28</v>
      </c>
      <c r="R803" s="7">
        <f>MONTH('data on outstanding creditors'!$B803)</f>
        <v>1</v>
      </c>
      <c r="S803" s="7">
        <f>YEAR('data on outstanding creditors'!$B803)</f>
        <v>2025</v>
      </c>
      <c r="T803" s="11" t="str">
        <f>'data on outstanding creditors'!$C803&amp;" "&amp;'data on outstanding creditors'!$D803&amp;" "&amp;TEXT('data on outstanding creditors'!$E803,"#,##0.00")</f>
        <v>บ.แอตแลนติค ฟาร์มาซูติคอล PIN2502100 16,500.00</v>
      </c>
      <c r="U803" s="12"/>
    </row>
    <row r="804" ht="13.5" customHeight="1">
      <c r="A804" s="1"/>
      <c r="B804" s="2">
        <v>45687.0</v>
      </c>
      <c r="C804" s="9" t="s">
        <v>1234</v>
      </c>
      <c r="D804" s="1" t="s">
        <v>1302</v>
      </c>
      <c r="E804" s="4">
        <v>2750.0</v>
      </c>
      <c r="F804" s="4"/>
      <c r="G804" s="4"/>
      <c r="H804" s="4">
        <f>'data on outstanding creditors'!$E804-'data on outstanding creditors'!$F804-'data on outstanding creditors'!$G804</f>
        <v>2750</v>
      </c>
      <c r="I804" s="2"/>
      <c r="J804" s="1" t="s">
        <v>646</v>
      </c>
      <c r="K804" s="2">
        <v>45855.0</v>
      </c>
      <c r="L804" s="5"/>
      <c r="M804" s="9" t="s">
        <v>22</v>
      </c>
      <c r="N804" s="9" t="s">
        <v>23</v>
      </c>
      <c r="O804" s="10">
        <f>'data on outstanding creditors'!$E804*100/107</f>
        <v>2570.093458</v>
      </c>
      <c r="P804" s="10">
        <f>'data on outstanding creditors'!$E804-'data on outstanding creditors'!$O804</f>
        <v>179.9065421</v>
      </c>
      <c r="Q804" s="7">
        <f>DAY('data on outstanding creditors'!$B804)</f>
        <v>30</v>
      </c>
      <c r="R804" s="7">
        <f>MONTH('data on outstanding creditors'!$B804)</f>
        <v>1</v>
      </c>
      <c r="S804" s="7">
        <f>YEAR('data on outstanding creditors'!$B804)</f>
        <v>2025</v>
      </c>
      <c r="T804" s="11" t="str">
        <f>'data on outstanding creditors'!$C804&amp;" "&amp;'data on outstanding creditors'!$D804&amp;" "&amp;TEXT('data on outstanding creditors'!$E804,"#,##0.00")</f>
        <v>บ.คอนติเนนเติล-ฟาร์ม 250101206 2,750.00</v>
      </c>
      <c r="U804" s="12"/>
    </row>
    <row r="805" ht="13.5" customHeight="1">
      <c r="A805" s="1"/>
      <c r="B805" s="2">
        <v>45687.0</v>
      </c>
      <c r="C805" s="9" t="s">
        <v>1303</v>
      </c>
      <c r="D805" s="1" t="s">
        <v>1304</v>
      </c>
      <c r="E805" s="4">
        <v>3338.4</v>
      </c>
      <c r="F805" s="4"/>
      <c r="G805" s="4"/>
      <c r="H805" s="4">
        <f>'data on outstanding creditors'!$E805-'data on outstanding creditors'!$F805-'data on outstanding creditors'!$G805</f>
        <v>3338.4</v>
      </c>
      <c r="I805" s="2"/>
      <c r="J805" s="1" t="s">
        <v>646</v>
      </c>
      <c r="K805" s="2">
        <v>45866.0</v>
      </c>
      <c r="L805" s="5"/>
      <c r="M805" s="9" t="s">
        <v>22</v>
      </c>
      <c r="N805" s="9" t="s">
        <v>23</v>
      </c>
      <c r="O805" s="10">
        <f>'data on outstanding creditors'!$E805*100/107</f>
        <v>3120</v>
      </c>
      <c r="P805" s="10">
        <f>'data on outstanding creditors'!$E805-'data on outstanding creditors'!$O805</f>
        <v>218.4</v>
      </c>
      <c r="Q805" s="7">
        <f>DAY('data on outstanding creditors'!$B805)</f>
        <v>30</v>
      </c>
      <c r="R805" s="7">
        <f>MONTH('data on outstanding creditors'!$B805)</f>
        <v>1</v>
      </c>
      <c r="S805" s="7">
        <f>YEAR('data on outstanding creditors'!$B805)</f>
        <v>2025</v>
      </c>
      <c r="T805" s="11" t="str">
        <f>'data on outstanding creditors'!$C805&amp;" "&amp;'data on outstanding creditors'!$D805&amp;" "&amp;TEXT('data on outstanding creditors'!$E805,"#,##0.00")</f>
        <v>บ.บี.เอ็ล.เอช.เทร็ดดิ้ง 1068002568 3,338.40</v>
      </c>
      <c r="U805" s="12"/>
    </row>
    <row r="806" ht="13.5" customHeight="1">
      <c r="A806" s="1"/>
      <c r="B806" s="2">
        <v>45687.0</v>
      </c>
      <c r="C806" s="9" t="s">
        <v>1230</v>
      </c>
      <c r="D806" s="1" t="s">
        <v>1305</v>
      </c>
      <c r="E806" s="4">
        <v>51000.0</v>
      </c>
      <c r="F806" s="4"/>
      <c r="G806" s="4"/>
      <c r="H806" s="4">
        <f>'data on outstanding creditors'!$E806-'data on outstanding creditors'!$F806-'data on outstanding creditors'!$G806</f>
        <v>51000</v>
      </c>
      <c r="I806" s="2"/>
      <c r="J806" s="1" t="s">
        <v>646</v>
      </c>
      <c r="K806" s="2">
        <v>45928.0</v>
      </c>
      <c r="L806" s="5"/>
      <c r="M806" s="9" t="s">
        <v>22</v>
      </c>
      <c r="N806" s="9" t="s">
        <v>23</v>
      </c>
      <c r="O806" s="10">
        <f>'data on outstanding creditors'!$E806*100/107</f>
        <v>47663.5514</v>
      </c>
      <c r="P806" s="10">
        <f>'data on outstanding creditors'!$E806-'data on outstanding creditors'!$O806</f>
        <v>3336.448598</v>
      </c>
      <c r="Q806" s="7">
        <f>DAY('data on outstanding creditors'!$B806)</f>
        <v>30</v>
      </c>
      <c r="R806" s="7">
        <f>MONTH('data on outstanding creditors'!$B806)</f>
        <v>1</v>
      </c>
      <c r="S806" s="7">
        <f>YEAR('data on outstanding creditors'!$B806)</f>
        <v>2025</v>
      </c>
      <c r="T806" s="11" t="str">
        <f>'data on outstanding creditors'!$C806&amp;" "&amp;'data on outstanding creditors'!$D806&amp;" "&amp;TEXT('data on outstanding creditors'!$E806,"#,##0.00")</f>
        <v>บ.พรอส ฟาร์มา INV-L-IM\2025013498 51,000.00</v>
      </c>
      <c r="U806" s="12"/>
    </row>
    <row r="807" ht="13.5" customHeight="1">
      <c r="A807" s="1"/>
      <c r="B807" s="2">
        <v>45687.0</v>
      </c>
      <c r="C807" s="9" t="s">
        <v>396</v>
      </c>
      <c r="D807" s="1" t="s">
        <v>1306</v>
      </c>
      <c r="E807" s="4">
        <v>43600.0</v>
      </c>
      <c r="F807" s="4"/>
      <c r="G807" s="4"/>
      <c r="H807" s="4">
        <f>'data on outstanding creditors'!$E807-'data on outstanding creditors'!$F807-'data on outstanding creditors'!$G807</f>
        <v>43600</v>
      </c>
      <c r="I807" s="2"/>
      <c r="J807" s="1" t="s">
        <v>757</v>
      </c>
      <c r="K807" s="2">
        <v>45749.0</v>
      </c>
      <c r="L807" s="5"/>
      <c r="M807" s="9" t="s">
        <v>22</v>
      </c>
      <c r="N807" s="9" t="s">
        <v>23</v>
      </c>
      <c r="O807" s="10">
        <f>'data on outstanding creditors'!$E807*100/107</f>
        <v>40747.66355</v>
      </c>
      <c r="P807" s="10">
        <f>'data on outstanding creditors'!$E807-'data on outstanding creditors'!$O807</f>
        <v>2852.336449</v>
      </c>
      <c r="Q807" s="7">
        <f>DAY('data on outstanding creditors'!$B807)</f>
        <v>30</v>
      </c>
      <c r="R807" s="7">
        <f>MONTH('data on outstanding creditors'!$B807)</f>
        <v>1</v>
      </c>
      <c r="S807" s="7">
        <f>YEAR('data on outstanding creditors'!$B807)</f>
        <v>2025</v>
      </c>
      <c r="T807" s="11" t="str">
        <f>'data on outstanding creditors'!$C807&amp;" "&amp;'data on outstanding creditors'!$D807&amp;" "&amp;TEXT('data on outstanding creditors'!$E807,"#,##0.00")</f>
        <v>บ.เยเนอรัล ฮอสปิตัล โปรดัคส์ 25IN08014262 43,600.00</v>
      </c>
      <c r="U807" s="12"/>
    </row>
    <row r="808" ht="13.5" customHeight="1">
      <c r="A808" s="1"/>
      <c r="B808" s="2">
        <v>45687.0</v>
      </c>
      <c r="C808" s="9" t="s">
        <v>1243</v>
      </c>
      <c r="D808" s="1" t="s">
        <v>1307</v>
      </c>
      <c r="E808" s="4">
        <v>50000.0</v>
      </c>
      <c r="F808" s="4"/>
      <c r="G808" s="4"/>
      <c r="H808" s="4">
        <f>'data on outstanding creditors'!$E808-'data on outstanding creditors'!$F808-'data on outstanding creditors'!$G808</f>
        <v>50000</v>
      </c>
      <c r="I808" s="2"/>
      <c r="J808" s="1" t="s">
        <v>646</v>
      </c>
      <c r="K808" s="2">
        <v>45815.0</v>
      </c>
      <c r="L808" s="5"/>
      <c r="M808" s="9" t="s">
        <v>22</v>
      </c>
      <c r="N808" s="9" t="s">
        <v>23</v>
      </c>
      <c r="O808" s="10">
        <f>'data on outstanding creditors'!$E808*100/107</f>
        <v>46728.97196</v>
      </c>
      <c r="P808" s="10">
        <f>'data on outstanding creditors'!$E808-'data on outstanding creditors'!$O808</f>
        <v>3271.028037</v>
      </c>
      <c r="Q808" s="7">
        <f>DAY('data on outstanding creditors'!$B808)</f>
        <v>30</v>
      </c>
      <c r="R808" s="7">
        <f>MONTH('data on outstanding creditors'!$B808)</f>
        <v>1</v>
      </c>
      <c r="S808" s="7">
        <f>YEAR('data on outstanding creditors'!$B808)</f>
        <v>2025</v>
      </c>
      <c r="T808" s="11" t="str">
        <f>'data on outstanding creditors'!$C808&amp;" "&amp;'data on outstanding creditors'!$D808&amp;" "&amp;TEXT('data on outstanding creditors'!$E808,"#,##0.00")</f>
        <v>บ.วี.แอนด์.วี.กรุงเทพ 8103125866 50,000.00</v>
      </c>
      <c r="U808" s="12"/>
    </row>
    <row r="809" ht="13.5" customHeight="1">
      <c r="A809" s="1"/>
      <c r="B809" s="2">
        <v>45687.0</v>
      </c>
      <c r="C809" s="9" t="s">
        <v>1265</v>
      </c>
      <c r="D809" s="1" t="s">
        <v>1308</v>
      </c>
      <c r="E809" s="4">
        <v>3900.0</v>
      </c>
      <c r="F809" s="4"/>
      <c r="G809" s="4"/>
      <c r="H809" s="4">
        <f>'data on outstanding creditors'!$E809-'data on outstanding creditors'!$F809-'data on outstanding creditors'!$G809</f>
        <v>3900</v>
      </c>
      <c r="I809" s="2"/>
      <c r="J809" s="1" t="s">
        <v>646</v>
      </c>
      <c r="K809" s="2">
        <v>45827.0</v>
      </c>
      <c r="L809" s="5"/>
      <c r="M809" s="9" t="s">
        <v>22</v>
      </c>
      <c r="N809" s="9" t="s">
        <v>23</v>
      </c>
      <c r="O809" s="10">
        <f>'data on outstanding creditors'!$E809*100/107</f>
        <v>3644.859813</v>
      </c>
      <c r="P809" s="10">
        <f>'data on outstanding creditors'!$E809-'data on outstanding creditors'!$O809</f>
        <v>255.1401869</v>
      </c>
      <c r="Q809" s="7">
        <f>DAY('data on outstanding creditors'!$B809)</f>
        <v>30</v>
      </c>
      <c r="R809" s="7">
        <f>MONTH('data on outstanding creditors'!$B809)</f>
        <v>1</v>
      </c>
      <c r="S809" s="7">
        <f>YEAR('data on outstanding creditors'!$B809)</f>
        <v>2025</v>
      </c>
      <c r="T809" s="11" t="str">
        <f>'data on outstanding creditors'!$C809&amp;" "&amp;'data on outstanding creditors'!$D809&amp;" "&amp;TEXT('data on outstanding creditors'!$E809,"#,##0.00")</f>
        <v>บ.แอล.บี.เอส.แลบบอเรตอรี่ 855997 3,900.00</v>
      </c>
      <c r="U809" s="12"/>
    </row>
    <row r="810" ht="13.5" customHeight="1">
      <c r="A810" s="1"/>
      <c r="B810" s="2">
        <v>45687.0</v>
      </c>
      <c r="C810" s="9" t="s">
        <v>1265</v>
      </c>
      <c r="D810" s="1" t="s">
        <v>1309</v>
      </c>
      <c r="E810" s="4">
        <v>23200.0</v>
      </c>
      <c r="F810" s="4"/>
      <c r="G810" s="4"/>
      <c r="H810" s="4">
        <f>'data on outstanding creditors'!$E810-'data on outstanding creditors'!$F810-'data on outstanding creditors'!$G810</f>
        <v>23200</v>
      </c>
      <c r="I810" s="2"/>
      <c r="J810" s="1" t="s">
        <v>646</v>
      </c>
      <c r="K810" s="2">
        <v>45827.0</v>
      </c>
      <c r="L810" s="5"/>
      <c r="M810" s="9" t="s">
        <v>22</v>
      </c>
      <c r="N810" s="9" t="s">
        <v>23</v>
      </c>
      <c r="O810" s="10">
        <f>'data on outstanding creditors'!$E810*100/107</f>
        <v>21682.24299</v>
      </c>
      <c r="P810" s="10">
        <f>'data on outstanding creditors'!$E810-'data on outstanding creditors'!$O810</f>
        <v>1517.757009</v>
      </c>
      <c r="Q810" s="7">
        <f>DAY('data on outstanding creditors'!$B810)</f>
        <v>30</v>
      </c>
      <c r="R810" s="7">
        <f>MONTH('data on outstanding creditors'!$B810)</f>
        <v>1</v>
      </c>
      <c r="S810" s="7">
        <f>YEAR('data on outstanding creditors'!$B810)</f>
        <v>2025</v>
      </c>
      <c r="T810" s="11" t="str">
        <f>'data on outstanding creditors'!$C810&amp;" "&amp;'data on outstanding creditors'!$D810&amp;" "&amp;TEXT('data on outstanding creditors'!$E810,"#,##0.00")</f>
        <v>บ.แอล.บี.เอส.แลบบอเรตอรี่ 855587 23,200.00</v>
      </c>
      <c r="U810" s="12"/>
    </row>
    <row r="811" ht="13.5" customHeight="1">
      <c r="A811" s="1"/>
      <c r="B811" s="2">
        <v>45693.0</v>
      </c>
      <c r="C811" s="9" t="s">
        <v>922</v>
      </c>
      <c r="D811" s="1" t="s">
        <v>1310</v>
      </c>
      <c r="E811" s="4">
        <v>78000.0</v>
      </c>
      <c r="F811" s="4"/>
      <c r="G811" s="4"/>
      <c r="H811" s="4">
        <f>'data on outstanding creditors'!$E811-'data on outstanding creditors'!$F811-'data on outstanding creditors'!$G811</f>
        <v>78000</v>
      </c>
      <c r="I811" s="2"/>
      <c r="J811" s="1" t="s">
        <v>646</v>
      </c>
      <c r="K811" s="2">
        <v>45826.0</v>
      </c>
      <c r="L811" s="5"/>
      <c r="M811" s="9" t="s">
        <v>22</v>
      </c>
      <c r="N811" s="9" t="s">
        <v>23</v>
      </c>
      <c r="O811" s="10">
        <f>'data on outstanding creditors'!$E811*100/107</f>
        <v>72897.19626</v>
      </c>
      <c r="P811" s="10">
        <f>'data on outstanding creditors'!$E811-'data on outstanding creditors'!$O811</f>
        <v>5102.803738</v>
      </c>
      <c r="Q811" s="7">
        <f>DAY('data on outstanding creditors'!$B811)</f>
        <v>5</v>
      </c>
      <c r="R811" s="7">
        <f>MONTH('data on outstanding creditors'!$B811)</f>
        <v>2</v>
      </c>
      <c r="S811" s="7">
        <f>YEAR('data on outstanding creditors'!$B811)</f>
        <v>2025</v>
      </c>
      <c r="T811" s="11" t="str">
        <f>'data on outstanding creditors'!$C811&amp;" "&amp;'data on outstanding creditors'!$D811&amp;" "&amp;TEXT('data on outstanding creditors'!$E811,"#,##0.00")</f>
        <v>บ.เบอร์ลินฟาร์มาซูติคอลอินดัสตรี้ 6810111742 78,000.00</v>
      </c>
      <c r="U811" s="12"/>
    </row>
    <row r="812" ht="13.5" customHeight="1">
      <c r="A812" s="1"/>
      <c r="B812" s="2">
        <v>45693.0</v>
      </c>
      <c r="C812" s="9" t="s">
        <v>1247</v>
      </c>
      <c r="D812" s="1" t="s">
        <v>1311</v>
      </c>
      <c r="E812" s="4">
        <v>41800.0</v>
      </c>
      <c r="F812" s="4"/>
      <c r="G812" s="4"/>
      <c r="H812" s="4">
        <f>'data on outstanding creditors'!$E812-'data on outstanding creditors'!$F812-'data on outstanding creditors'!$G812</f>
        <v>41800</v>
      </c>
      <c r="I812" s="2"/>
      <c r="J812" s="1" t="s">
        <v>646</v>
      </c>
      <c r="K812" s="2">
        <v>45846.0</v>
      </c>
      <c r="L812" s="5"/>
      <c r="M812" s="9" t="s">
        <v>22</v>
      </c>
      <c r="N812" s="9" t="s">
        <v>23</v>
      </c>
      <c r="O812" s="10">
        <f>'data on outstanding creditors'!$E812*100/107</f>
        <v>39065.42056</v>
      </c>
      <c r="P812" s="10">
        <f>'data on outstanding creditors'!$E812-'data on outstanding creditors'!$O812</f>
        <v>2734.579439</v>
      </c>
      <c r="Q812" s="7">
        <f>DAY('data on outstanding creditors'!$B812)</f>
        <v>5</v>
      </c>
      <c r="R812" s="7">
        <f>MONTH('data on outstanding creditors'!$B812)</f>
        <v>2</v>
      </c>
      <c r="S812" s="7">
        <f>YEAR('data on outstanding creditors'!$B812)</f>
        <v>2025</v>
      </c>
      <c r="T812" s="11" t="str">
        <f>'data on outstanding creditors'!$C812&amp;" "&amp;'data on outstanding creditors'!$D812&amp;" "&amp;TEXT('data on outstanding creditors'!$E812,"#,##0.00")</f>
        <v>บ.เอ.เอ็น.บี.ลาบอรอตอรี่ 8370832235 41,800.00</v>
      </c>
      <c r="U812" s="12"/>
    </row>
    <row r="813" ht="13.5" customHeight="1">
      <c r="A813" s="1"/>
      <c r="B813" s="2">
        <v>45693.0</v>
      </c>
      <c r="C813" s="9" t="s">
        <v>1247</v>
      </c>
      <c r="D813" s="1" t="s">
        <v>1312</v>
      </c>
      <c r="E813" s="4">
        <v>41800.0</v>
      </c>
      <c r="F813" s="4"/>
      <c r="G813" s="4"/>
      <c r="H813" s="4">
        <f>'data on outstanding creditors'!$E813-'data on outstanding creditors'!$F813-'data on outstanding creditors'!$G813</f>
        <v>41800</v>
      </c>
      <c r="I813" s="2"/>
      <c r="J813" s="1" t="s">
        <v>646</v>
      </c>
      <c r="K813" s="2">
        <v>45846.0</v>
      </c>
      <c r="L813" s="5"/>
      <c r="M813" s="9" t="s">
        <v>22</v>
      </c>
      <c r="N813" s="9" t="s">
        <v>23</v>
      </c>
      <c r="O813" s="10">
        <f>'data on outstanding creditors'!$E813*100/107</f>
        <v>39065.42056</v>
      </c>
      <c r="P813" s="10">
        <f>'data on outstanding creditors'!$E813-'data on outstanding creditors'!$O813</f>
        <v>2734.579439</v>
      </c>
      <c r="Q813" s="7">
        <f>DAY('data on outstanding creditors'!$B813)</f>
        <v>5</v>
      </c>
      <c r="R813" s="7">
        <f>MONTH('data on outstanding creditors'!$B813)</f>
        <v>2</v>
      </c>
      <c r="S813" s="7">
        <f>YEAR('data on outstanding creditors'!$B813)</f>
        <v>2025</v>
      </c>
      <c r="T813" s="11" t="str">
        <f>'data on outstanding creditors'!$C813&amp;" "&amp;'data on outstanding creditors'!$D813&amp;" "&amp;TEXT('data on outstanding creditors'!$E813,"#,##0.00")</f>
        <v>บ.เอ.เอ็น.บี.ลาบอรอตอรี่ 8370833761 41,800.00</v>
      </c>
      <c r="U813" s="12"/>
    </row>
    <row r="814" ht="13.5" customHeight="1">
      <c r="A814" s="1"/>
      <c r="B814" s="2">
        <v>45694.0</v>
      </c>
      <c r="C814" s="9" t="s">
        <v>1265</v>
      </c>
      <c r="D814" s="1" t="s">
        <v>1313</v>
      </c>
      <c r="E814" s="4">
        <v>5500.0</v>
      </c>
      <c r="F814" s="4"/>
      <c r="G814" s="4"/>
      <c r="H814" s="4">
        <f>'data on outstanding creditors'!$E814-'data on outstanding creditors'!$F814-'data on outstanding creditors'!$G814</f>
        <v>5500</v>
      </c>
      <c r="I814" s="2"/>
      <c r="J814" s="1" t="s">
        <v>646</v>
      </c>
      <c r="K814" s="2">
        <v>45827.0</v>
      </c>
      <c r="L814" s="5"/>
      <c r="M814" s="9" t="s">
        <v>22</v>
      </c>
      <c r="N814" s="9" t="s">
        <v>23</v>
      </c>
      <c r="O814" s="10">
        <f>'data on outstanding creditors'!$E814*100/107</f>
        <v>5140.186916</v>
      </c>
      <c r="P814" s="10">
        <f>'data on outstanding creditors'!$E814-'data on outstanding creditors'!$O814</f>
        <v>359.8130841</v>
      </c>
      <c r="Q814" s="7">
        <f>DAY('data on outstanding creditors'!$B814)</f>
        <v>6</v>
      </c>
      <c r="R814" s="7">
        <f>MONTH('data on outstanding creditors'!$B814)</f>
        <v>2</v>
      </c>
      <c r="S814" s="7">
        <f>YEAR('data on outstanding creditors'!$B814)</f>
        <v>2025</v>
      </c>
      <c r="T814" s="11" t="str">
        <f>'data on outstanding creditors'!$C814&amp;" "&amp;'data on outstanding creditors'!$D814&amp;" "&amp;TEXT('data on outstanding creditors'!$E814,"#,##0.00")</f>
        <v>บ.แอล.บี.เอส.แลบบอเรตอรี่ 856916 5,500.00</v>
      </c>
      <c r="U814" s="12"/>
    </row>
    <row r="815" ht="13.5" customHeight="1">
      <c r="A815" s="1"/>
      <c r="B815" s="2">
        <v>45699.0</v>
      </c>
      <c r="C815" s="9" t="s">
        <v>1314</v>
      </c>
      <c r="D815" s="1" t="s">
        <v>1315</v>
      </c>
      <c r="E815" s="4">
        <v>12480.0</v>
      </c>
      <c r="F815" s="4"/>
      <c r="G815" s="4"/>
      <c r="H815" s="4">
        <f>'data on outstanding creditors'!$E815-'data on outstanding creditors'!$F815-'data on outstanding creditors'!$G815</f>
        <v>12480</v>
      </c>
      <c r="I815" s="2"/>
      <c r="J815" s="1" t="s">
        <v>646</v>
      </c>
      <c r="K815" s="2">
        <v>45877.0</v>
      </c>
      <c r="L815" s="5"/>
      <c r="M815" s="9" t="s">
        <v>22</v>
      </c>
      <c r="N815" s="9" t="s">
        <v>23</v>
      </c>
      <c r="O815" s="10">
        <f>'data on outstanding creditors'!$E815*100/107</f>
        <v>11663.5514</v>
      </c>
      <c r="P815" s="10">
        <f>'data on outstanding creditors'!$E815-'data on outstanding creditors'!$O815</f>
        <v>816.4485981</v>
      </c>
      <c r="Q815" s="7">
        <f>DAY('data on outstanding creditors'!$B815)</f>
        <v>11</v>
      </c>
      <c r="R815" s="7">
        <f>MONTH('data on outstanding creditors'!$B815)</f>
        <v>2</v>
      </c>
      <c r="S815" s="7">
        <f>YEAR('data on outstanding creditors'!$B815)</f>
        <v>2025</v>
      </c>
      <c r="T815" s="11" t="str">
        <f>'data on outstanding creditors'!$C815&amp;" "&amp;'data on outstanding creditors'!$D815&amp;" "&amp;TEXT('data on outstanding creditors'!$E815,"#,##0.00")</f>
        <v>บ.บูรพา ฟาร์มา DSP6800244 12,480.00</v>
      </c>
      <c r="U815" s="12"/>
    </row>
    <row r="816" ht="13.5" customHeight="1">
      <c r="A816" s="1"/>
      <c r="B816" s="2">
        <v>45699.0</v>
      </c>
      <c r="C816" s="9" t="s">
        <v>1314</v>
      </c>
      <c r="D816" s="1" t="s">
        <v>1316</v>
      </c>
      <c r="E816" s="4">
        <v>37440.0</v>
      </c>
      <c r="F816" s="4"/>
      <c r="G816" s="4"/>
      <c r="H816" s="4">
        <f>'data on outstanding creditors'!$E816-'data on outstanding creditors'!$F816-'data on outstanding creditors'!$G816</f>
        <v>37440</v>
      </c>
      <c r="I816" s="2"/>
      <c r="J816" s="1" t="s">
        <v>646</v>
      </c>
      <c r="K816" s="2">
        <v>45877.0</v>
      </c>
      <c r="L816" s="5"/>
      <c r="M816" s="9" t="s">
        <v>22</v>
      </c>
      <c r="N816" s="9" t="s">
        <v>23</v>
      </c>
      <c r="O816" s="10">
        <f>'data on outstanding creditors'!$E816*100/107</f>
        <v>34990.65421</v>
      </c>
      <c r="P816" s="10">
        <f>'data on outstanding creditors'!$E816-'data on outstanding creditors'!$O816</f>
        <v>2449.345794</v>
      </c>
      <c r="Q816" s="7">
        <f>DAY('data on outstanding creditors'!$B816)</f>
        <v>11</v>
      </c>
      <c r="R816" s="7">
        <f>MONTH('data on outstanding creditors'!$B816)</f>
        <v>2</v>
      </c>
      <c r="S816" s="7">
        <f>YEAR('data on outstanding creditors'!$B816)</f>
        <v>2025</v>
      </c>
      <c r="T816" s="11" t="str">
        <f>'data on outstanding creditors'!$C816&amp;" "&amp;'data on outstanding creditors'!$D816&amp;" "&amp;TEXT('data on outstanding creditors'!$E816,"#,##0.00")</f>
        <v>บ.บูรพา ฟาร์มา DSP6800265 37,440.00</v>
      </c>
      <c r="U816" s="12"/>
    </row>
    <row r="817" ht="13.5" customHeight="1">
      <c r="A817" s="1"/>
      <c r="B817" s="2">
        <v>45699.0</v>
      </c>
      <c r="C817" s="9" t="s">
        <v>771</v>
      </c>
      <c r="D817" s="1" t="s">
        <v>1317</v>
      </c>
      <c r="E817" s="4">
        <v>17500.0</v>
      </c>
      <c r="F817" s="4"/>
      <c r="G817" s="4"/>
      <c r="H817" s="4">
        <f>'data on outstanding creditors'!$E817-'data on outstanding creditors'!$F817-'data on outstanding creditors'!$G817</f>
        <v>17500</v>
      </c>
      <c r="I817" s="2"/>
      <c r="J817" s="1" t="s">
        <v>646</v>
      </c>
      <c r="K817" s="2">
        <v>45827.0</v>
      </c>
      <c r="L817" s="5"/>
      <c r="M817" s="9" t="s">
        <v>22</v>
      </c>
      <c r="N817" s="9" t="s">
        <v>23</v>
      </c>
      <c r="O817" s="10">
        <f>'data on outstanding creditors'!$E817*100/107</f>
        <v>16355.14019</v>
      </c>
      <c r="P817" s="10">
        <f>'data on outstanding creditors'!$E817-'data on outstanding creditors'!$O817</f>
        <v>1144.859813</v>
      </c>
      <c r="Q817" s="7">
        <f>DAY('data on outstanding creditors'!$B817)</f>
        <v>11</v>
      </c>
      <c r="R817" s="7">
        <f>MONTH('data on outstanding creditors'!$B817)</f>
        <v>2</v>
      </c>
      <c r="S817" s="7">
        <f>YEAR('data on outstanding creditors'!$B817)</f>
        <v>2025</v>
      </c>
      <c r="T817" s="11" t="str">
        <f>'data on outstanding creditors'!$C817&amp;" "&amp;'data on outstanding creditors'!$D817&amp;" "&amp;TEXT('data on outstanding creditors'!$E817,"#,##0.00")</f>
        <v>หจก.ภิญโญฟาร์มาซี IV6803469 17,500.00</v>
      </c>
      <c r="U817" s="12"/>
    </row>
    <row r="818" ht="13.5" customHeight="1">
      <c r="A818" s="1"/>
      <c r="B818" s="2">
        <v>45699.0</v>
      </c>
      <c r="C818" s="9" t="s">
        <v>771</v>
      </c>
      <c r="D818" s="1" t="s">
        <v>1318</v>
      </c>
      <c r="E818" s="4">
        <v>1500.0</v>
      </c>
      <c r="F818" s="4"/>
      <c r="G818" s="4"/>
      <c r="H818" s="4">
        <f>'data on outstanding creditors'!$E818-'data on outstanding creditors'!$F818-'data on outstanding creditors'!$G818</f>
        <v>1500</v>
      </c>
      <c r="I818" s="2"/>
      <c r="J818" s="1" t="s">
        <v>646</v>
      </c>
      <c r="K818" s="2">
        <v>45827.0</v>
      </c>
      <c r="L818" s="5"/>
      <c r="M818" s="9" t="s">
        <v>22</v>
      </c>
      <c r="N818" s="9" t="s">
        <v>23</v>
      </c>
      <c r="O818" s="10">
        <f>'data on outstanding creditors'!$E818*100/107</f>
        <v>1401.869159</v>
      </c>
      <c r="P818" s="10">
        <f>'data on outstanding creditors'!$E818-'data on outstanding creditors'!$O818</f>
        <v>98.13084112</v>
      </c>
      <c r="Q818" s="7">
        <f>DAY('data on outstanding creditors'!$B818)</f>
        <v>11</v>
      </c>
      <c r="R818" s="7">
        <f>MONTH('data on outstanding creditors'!$B818)</f>
        <v>2</v>
      </c>
      <c r="S818" s="7">
        <f>YEAR('data on outstanding creditors'!$B818)</f>
        <v>2025</v>
      </c>
      <c r="T818" s="11" t="str">
        <f>'data on outstanding creditors'!$C818&amp;" "&amp;'data on outstanding creditors'!$D818&amp;" "&amp;TEXT('data on outstanding creditors'!$E818,"#,##0.00")</f>
        <v>หจก.ภิญโญฟาร์มาซี IV6806256 1,500.00</v>
      </c>
      <c r="U818" s="12"/>
    </row>
    <row r="819" ht="13.5" customHeight="1">
      <c r="A819" s="1"/>
      <c r="B819" s="2">
        <v>45701.0</v>
      </c>
      <c r="C819" s="9" t="s">
        <v>1228</v>
      </c>
      <c r="D819" s="1" t="s">
        <v>1319</v>
      </c>
      <c r="E819" s="4">
        <v>9300.0</v>
      </c>
      <c r="F819" s="4"/>
      <c r="G819" s="4"/>
      <c r="H819" s="4">
        <f>'data on outstanding creditors'!$E819-'data on outstanding creditors'!$F819-'data on outstanding creditors'!$G819</f>
        <v>9300</v>
      </c>
      <c r="I819" s="2"/>
      <c r="J819" s="1" t="s">
        <v>646</v>
      </c>
      <c r="K819" s="2">
        <v>45928.0</v>
      </c>
      <c r="L819" s="5"/>
      <c r="M819" s="9" t="s">
        <v>22</v>
      </c>
      <c r="N819" s="9" t="s">
        <v>23</v>
      </c>
      <c r="O819" s="10">
        <f>'data on outstanding creditors'!$E819*100/107</f>
        <v>8691.588785</v>
      </c>
      <c r="P819" s="10">
        <f>'data on outstanding creditors'!$E819-'data on outstanding creditors'!$O819</f>
        <v>608.411215</v>
      </c>
      <c r="Q819" s="7">
        <f>DAY('data on outstanding creditors'!$B819)</f>
        <v>13</v>
      </c>
      <c r="R819" s="7">
        <f>MONTH('data on outstanding creditors'!$B819)</f>
        <v>2</v>
      </c>
      <c r="S819" s="7">
        <f>YEAR('data on outstanding creditors'!$B819)</f>
        <v>2025</v>
      </c>
      <c r="T819" s="11" t="str">
        <f>'data on outstanding creditors'!$C819&amp;" "&amp;'data on outstanding creditors'!$D819&amp;" "&amp;TEXT('data on outstanding creditors'!$E819,"#,##0.00")</f>
        <v>บ.2เอ็ม(เมด-เมเกอร์) Z0092324 9,300.00</v>
      </c>
      <c r="U819" s="12"/>
    </row>
    <row r="820" ht="13.5" customHeight="1">
      <c r="A820" s="1"/>
      <c r="B820" s="2">
        <v>45701.0</v>
      </c>
      <c r="C820" s="9" t="s">
        <v>1320</v>
      </c>
      <c r="D820" s="1" t="s">
        <v>1321</v>
      </c>
      <c r="E820" s="4">
        <v>16050.0</v>
      </c>
      <c r="F820" s="4"/>
      <c r="G820" s="4"/>
      <c r="H820" s="4">
        <f>'data on outstanding creditors'!$E820-'data on outstanding creditors'!$F820-'data on outstanding creditors'!$G820</f>
        <v>16050</v>
      </c>
      <c r="I820" s="2"/>
      <c r="J820" s="1" t="s">
        <v>646</v>
      </c>
      <c r="K820" s="2">
        <v>45866.0</v>
      </c>
      <c r="L820" s="5"/>
      <c r="M820" s="9" t="s">
        <v>22</v>
      </c>
      <c r="N820" s="9" t="s">
        <v>23</v>
      </c>
      <c r="O820" s="10">
        <f>'data on outstanding creditors'!$E820*100/107</f>
        <v>15000</v>
      </c>
      <c r="P820" s="10">
        <f>'data on outstanding creditors'!$E820-'data on outstanding creditors'!$O820</f>
        <v>1050</v>
      </c>
      <c r="Q820" s="7">
        <f>DAY('data on outstanding creditors'!$B820)</f>
        <v>13</v>
      </c>
      <c r="R820" s="7">
        <f>MONTH('data on outstanding creditors'!$B820)</f>
        <v>2</v>
      </c>
      <c r="S820" s="7">
        <f>YEAR('data on outstanding creditors'!$B820)</f>
        <v>2025</v>
      </c>
      <c r="T820" s="11" t="str">
        <f>'data on outstanding creditors'!$C820&amp;" "&amp;'data on outstanding creditors'!$D820&amp;" "&amp;TEXT('data on outstanding creditors'!$E820,"#,##0.00")</f>
        <v>บ.บี.เอ็ล.ฮั้ว 68004768 16,050.00</v>
      </c>
      <c r="U820" s="12"/>
    </row>
    <row r="821" ht="13.5" customHeight="1">
      <c r="A821" s="1"/>
      <c r="B821" s="2">
        <v>45701.0</v>
      </c>
      <c r="C821" s="9" t="s">
        <v>1245</v>
      </c>
      <c r="D821" s="1" t="s">
        <v>1322</v>
      </c>
      <c r="E821" s="4">
        <v>24000.0</v>
      </c>
      <c r="F821" s="4"/>
      <c r="G821" s="4"/>
      <c r="H821" s="4">
        <f>'data on outstanding creditors'!$E821-'data on outstanding creditors'!$F821-'data on outstanding creditors'!$G821</f>
        <v>24000</v>
      </c>
      <c r="I821" s="2"/>
      <c r="J821" s="1" t="s">
        <v>646</v>
      </c>
      <c r="K821" s="2">
        <v>45877.0</v>
      </c>
      <c r="L821" s="5"/>
      <c r="M821" s="9" t="s">
        <v>22</v>
      </c>
      <c r="N821" s="9" t="s">
        <v>23</v>
      </c>
      <c r="O821" s="10">
        <f>'data on outstanding creditors'!$E821*100/107</f>
        <v>22429.90654</v>
      </c>
      <c r="P821" s="10">
        <f>'data on outstanding creditors'!$E821-'data on outstanding creditors'!$O821</f>
        <v>1570.093458</v>
      </c>
      <c r="Q821" s="7">
        <f>DAY('data on outstanding creditors'!$B821)</f>
        <v>13</v>
      </c>
      <c r="R821" s="7">
        <f>MONTH('data on outstanding creditors'!$B821)</f>
        <v>2</v>
      </c>
      <c r="S821" s="7">
        <f>YEAR('data on outstanding creditors'!$B821)</f>
        <v>2025</v>
      </c>
      <c r="T821" s="11" t="str">
        <f>'data on outstanding creditors'!$C821&amp;" "&amp;'data on outstanding creditors'!$D821&amp;" "&amp;TEXT('data on outstanding creditors'!$E821,"#,##0.00")</f>
        <v>บ.สามัคคีเภสัช DM-251001562 24,000.00</v>
      </c>
      <c r="U821" s="12"/>
    </row>
    <row r="822" ht="13.5" customHeight="1">
      <c r="A822" s="1"/>
      <c r="B822" s="2">
        <v>45701.0</v>
      </c>
      <c r="C822" s="9" t="s">
        <v>1297</v>
      </c>
      <c r="D822" s="1" t="s">
        <v>1323</v>
      </c>
      <c r="E822" s="4">
        <v>7290.0</v>
      </c>
      <c r="F822" s="4"/>
      <c r="G822" s="4"/>
      <c r="H822" s="4">
        <f>'data on outstanding creditors'!$E822-'data on outstanding creditors'!$F822-'data on outstanding creditors'!$G822</f>
        <v>7290</v>
      </c>
      <c r="I822" s="2"/>
      <c r="J822" s="1" t="s">
        <v>646</v>
      </c>
      <c r="K822" s="2">
        <v>45843.0</v>
      </c>
      <c r="L822" s="5"/>
      <c r="M822" s="9" t="s">
        <v>22</v>
      </c>
      <c r="N822" s="9" t="s">
        <v>23</v>
      </c>
      <c r="O822" s="10">
        <f>'data on outstanding creditors'!$E822*100/107</f>
        <v>6813.084112</v>
      </c>
      <c r="P822" s="10">
        <f>'data on outstanding creditors'!$E822-'data on outstanding creditors'!$O822</f>
        <v>476.9158879</v>
      </c>
      <c r="Q822" s="7">
        <f>DAY('data on outstanding creditors'!$B822)</f>
        <v>13</v>
      </c>
      <c r="R822" s="7">
        <f>MONTH('data on outstanding creditors'!$B822)</f>
        <v>2</v>
      </c>
      <c r="S822" s="7">
        <f>YEAR('data on outstanding creditors'!$B822)</f>
        <v>2025</v>
      </c>
      <c r="T822" s="11" t="str">
        <f>'data on outstanding creditors'!$C822&amp;" "&amp;'data on outstanding creditors'!$D822&amp;" "&amp;TEXT('data on outstanding creditors'!$E822,"#,##0.00")</f>
        <v>บ.แอตแลนติค ฟาร์มาซูติคอล PIN2503648 7,290.00</v>
      </c>
      <c r="U822" s="12"/>
    </row>
    <row r="823" ht="13.5" customHeight="1">
      <c r="A823" s="1"/>
      <c r="B823" s="2">
        <v>45702.0</v>
      </c>
      <c r="C823" s="9" t="s">
        <v>965</v>
      </c>
      <c r="D823" s="1" t="s">
        <v>1324</v>
      </c>
      <c r="E823" s="4">
        <v>50022.6</v>
      </c>
      <c r="F823" s="4"/>
      <c r="G823" s="4"/>
      <c r="H823" s="4">
        <f>'data on outstanding creditors'!$E823-'data on outstanding creditors'!$F823-'data on outstanding creditors'!$G823</f>
        <v>50022.6</v>
      </c>
      <c r="I823" s="2"/>
      <c r="J823" s="1" t="s">
        <v>646</v>
      </c>
      <c r="K823" s="2">
        <v>45843.0</v>
      </c>
      <c r="L823" s="5"/>
      <c r="M823" s="9" t="s">
        <v>22</v>
      </c>
      <c r="N823" s="9" t="s">
        <v>23</v>
      </c>
      <c r="O823" s="10">
        <f>'data on outstanding creditors'!$E823*100/107</f>
        <v>46750.09346</v>
      </c>
      <c r="P823" s="10">
        <f>'data on outstanding creditors'!$E823-'data on outstanding creditors'!$O823</f>
        <v>3272.506542</v>
      </c>
      <c r="Q823" s="7">
        <f>DAY('data on outstanding creditors'!$B823)</f>
        <v>14</v>
      </c>
      <c r="R823" s="7">
        <f>MONTH('data on outstanding creditors'!$B823)</f>
        <v>2</v>
      </c>
      <c r="S823" s="7">
        <f>YEAR('data on outstanding creditors'!$B823)</f>
        <v>2025</v>
      </c>
      <c r="T823" s="11" t="str">
        <f>'data on outstanding creditors'!$C823&amp;" "&amp;'data on outstanding creditors'!$D823&amp;" "&amp;TEXT('data on outstanding creditors'!$E823,"#,##0.00")</f>
        <v>บ.แปซิฟิค เฮลธ์แคร์(ไทยแลนด์) 68008346 50,022.60</v>
      </c>
      <c r="U823" s="12"/>
    </row>
    <row r="824" ht="13.5" customHeight="1">
      <c r="A824" s="1"/>
      <c r="B824" s="2">
        <v>45702.0</v>
      </c>
      <c r="C824" s="9" t="s">
        <v>1232</v>
      </c>
      <c r="D824" s="1" t="s">
        <v>1325</v>
      </c>
      <c r="E824" s="4">
        <v>4500.0</v>
      </c>
      <c r="F824" s="4"/>
      <c r="G824" s="4"/>
      <c r="H824" s="4">
        <f>'data on outstanding creditors'!$E824-'data on outstanding creditors'!$F824-'data on outstanding creditors'!$G824</f>
        <v>4500</v>
      </c>
      <c r="I824" s="2"/>
      <c r="J824" s="1" t="s">
        <v>646</v>
      </c>
      <c r="K824" s="2">
        <v>45843.0</v>
      </c>
      <c r="L824" s="5"/>
      <c r="M824" s="9" t="s">
        <v>22</v>
      </c>
      <c r="N824" s="9" t="s">
        <v>23</v>
      </c>
      <c r="O824" s="10">
        <f>'data on outstanding creditors'!$E824*100/107</f>
        <v>4205.607477</v>
      </c>
      <c r="P824" s="10">
        <f>'data on outstanding creditors'!$E824-'data on outstanding creditors'!$O824</f>
        <v>294.3925234</v>
      </c>
      <c r="Q824" s="7">
        <f>DAY('data on outstanding creditors'!$B824)</f>
        <v>14</v>
      </c>
      <c r="R824" s="7">
        <f>MONTH('data on outstanding creditors'!$B824)</f>
        <v>2</v>
      </c>
      <c r="S824" s="7">
        <f>YEAR('data on outstanding creditors'!$B824)</f>
        <v>2025</v>
      </c>
      <c r="T824" s="11" t="str">
        <f>'data on outstanding creditors'!$C824&amp;" "&amp;'data on outstanding creditors'!$D824&amp;" "&amp;TEXT('data on outstanding creditors'!$E824,"#,##0.00")</f>
        <v>บ.มาสุ 252848 4,500.00</v>
      </c>
      <c r="U824" s="12"/>
    </row>
    <row r="825" ht="13.5" customHeight="1">
      <c r="A825" s="1"/>
      <c r="B825" s="2">
        <v>45702.0</v>
      </c>
      <c r="C825" s="9" t="s">
        <v>1297</v>
      </c>
      <c r="D825" s="1" t="s">
        <v>1326</v>
      </c>
      <c r="E825" s="4">
        <v>6300.0</v>
      </c>
      <c r="F825" s="4"/>
      <c r="G825" s="4"/>
      <c r="H825" s="4">
        <f>'data on outstanding creditors'!$E825-'data on outstanding creditors'!$F825-'data on outstanding creditors'!$G825</f>
        <v>6300</v>
      </c>
      <c r="I825" s="2"/>
      <c r="J825" s="1" t="s">
        <v>646</v>
      </c>
      <c r="K825" s="2">
        <v>45843.0</v>
      </c>
      <c r="L825" s="5"/>
      <c r="M825" s="9" t="s">
        <v>22</v>
      </c>
      <c r="N825" s="9" t="s">
        <v>23</v>
      </c>
      <c r="O825" s="10">
        <f>'data on outstanding creditors'!$E825*100/107</f>
        <v>5887.850467</v>
      </c>
      <c r="P825" s="10">
        <f>'data on outstanding creditors'!$E825-'data on outstanding creditors'!$O825</f>
        <v>412.1495327</v>
      </c>
      <c r="Q825" s="7">
        <f>DAY('data on outstanding creditors'!$B825)</f>
        <v>14</v>
      </c>
      <c r="R825" s="7">
        <f>MONTH('data on outstanding creditors'!$B825)</f>
        <v>2</v>
      </c>
      <c r="S825" s="7">
        <f>YEAR('data on outstanding creditors'!$B825)</f>
        <v>2025</v>
      </c>
      <c r="T825" s="11" t="str">
        <f>'data on outstanding creditors'!$C825&amp;" "&amp;'data on outstanding creditors'!$D825&amp;" "&amp;TEXT('data on outstanding creditors'!$E825,"#,##0.00")</f>
        <v>บ.แอตแลนติค ฟาร์มาซูติคอล PIN2504917 6,300.00</v>
      </c>
      <c r="U825" s="12"/>
    </row>
    <row r="826" ht="13.5" customHeight="1">
      <c r="A826" s="1"/>
      <c r="B826" s="2">
        <v>45702.0</v>
      </c>
      <c r="C826" s="9" t="s">
        <v>771</v>
      </c>
      <c r="D826" s="1" t="s">
        <v>1327</v>
      </c>
      <c r="E826" s="4">
        <v>16700.0</v>
      </c>
      <c r="F826" s="4"/>
      <c r="G826" s="4"/>
      <c r="H826" s="4">
        <f>'data on outstanding creditors'!$E826-'data on outstanding creditors'!$F826-'data on outstanding creditors'!$G826</f>
        <v>16700</v>
      </c>
      <c r="I826" s="2"/>
      <c r="J826" s="1" t="s">
        <v>646</v>
      </c>
      <c r="K826" s="2">
        <v>45827.0</v>
      </c>
      <c r="L826" s="5"/>
      <c r="M826" s="9" t="s">
        <v>22</v>
      </c>
      <c r="N826" s="9" t="s">
        <v>23</v>
      </c>
      <c r="O826" s="10">
        <f>'data on outstanding creditors'!$E826*100/107</f>
        <v>15607.47664</v>
      </c>
      <c r="P826" s="10">
        <f>'data on outstanding creditors'!$E826-'data on outstanding creditors'!$O826</f>
        <v>1092.523364</v>
      </c>
      <c r="Q826" s="7">
        <f>DAY('data on outstanding creditors'!$B826)</f>
        <v>14</v>
      </c>
      <c r="R826" s="7">
        <f>MONTH('data on outstanding creditors'!$B826)</f>
        <v>2</v>
      </c>
      <c r="S826" s="7">
        <f>YEAR('data on outstanding creditors'!$B826)</f>
        <v>2025</v>
      </c>
      <c r="T826" s="11" t="str">
        <f>'data on outstanding creditors'!$C826&amp;" "&amp;'data on outstanding creditors'!$D826&amp;" "&amp;TEXT('data on outstanding creditors'!$E826,"#,##0.00")</f>
        <v>หจก.ภิญโญฟาร์มาซี IV6807741 16,700.00</v>
      </c>
      <c r="U826" s="12"/>
    </row>
    <row r="827" ht="13.5" customHeight="1">
      <c r="A827" s="1"/>
      <c r="B827" s="2">
        <v>45705.0</v>
      </c>
      <c r="C827" s="9" t="s">
        <v>1328</v>
      </c>
      <c r="D827" s="1" t="s">
        <v>1329</v>
      </c>
      <c r="E827" s="4">
        <v>40000.0</v>
      </c>
      <c r="F827" s="4"/>
      <c r="G827" s="4"/>
      <c r="H827" s="4">
        <f>'data on outstanding creditors'!$E827-'data on outstanding creditors'!$F827-'data on outstanding creditors'!$G827</f>
        <v>40000</v>
      </c>
      <c r="I827" s="2"/>
      <c r="J827" s="1" t="s">
        <v>646</v>
      </c>
      <c r="K827" s="2">
        <v>45928.0</v>
      </c>
      <c r="L827" s="5"/>
      <c r="M827" s="9" t="s">
        <v>22</v>
      </c>
      <c r="N827" s="9" t="s">
        <v>23</v>
      </c>
      <c r="O827" s="10">
        <f>'data on outstanding creditors'!$E827*100/107</f>
        <v>37383.17757</v>
      </c>
      <c r="P827" s="10">
        <f>'data on outstanding creditors'!$E827-'data on outstanding creditors'!$O827</f>
        <v>2616.82243</v>
      </c>
      <c r="Q827" s="7">
        <f>DAY('data on outstanding creditors'!$B827)</f>
        <v>17</v>
      </c>
      <c r="R827" s="7">
        <f>MONTH('data on outstanding creditors'!$B827)</f>
        <v>2</v>
      </c>
      <c r="S827" s="7">
        <f>YEAR('data on outstanding creditors'!$B827)</f>
        <v>2025</v>
      </c>
      <c r="T827" s="11" t="str">
        <f>'data on outstanding creditors'!$C827&amp;" "&amp;'data on outstanding creditors'!$D827&amp;" "&amp;TEXT('data on outstanding creditors'!$E827,"#,##0.00")</f>
        <v>บ.แก้วมังกรเภสัช IV68020286 40,000.00</v>
      </c>
      <c r="U827" s="12"/>
    </row>
    <row r="828" ht="13.5" customHeight="1">
      <c r="A828" s="1"/>
      <c r="B828" s="2">
        <v>45705.0</v>
      </c>
      <c r="C828" s="9" t="s">
        <v>1330</v>
      </c>
      <c r="D828" s="1" t="s">
        <v>1331</v>
      </c>
      <c r="E828" s="4">
        <v>33000.0</v>
      </c>
      <c r="F828" s="4"/>
      <c r="G828" s="4"/>
      <c r="H828" s="4">
        <f>'data on outstanding creditors'!$E828-'data on outstanding creditors'!$F828-'data on outstanding creditors'!$G828</f>
        <v>33000</v>
      </c>
      <c r="I828" s="2"/>
      <c r="J828" s="1" t="s">
        <v>757</v>
      </c>
      <c r="K828" s="2">
        <v>45771.0</v>
      </c>
      <c r="L828" s="5"/>
      <c r="M828" s="9" t="s">
        <v>22</v>
      </c>
      <c r="N828" s="9" t="s">
        <v>23</v>
      </c>
      <c r="O828" s="10">
        <f>'data on outstanding creditors'!$E828*100/107</f>
        <v>30841.1215</v>
      </c>
      <c r="P828" s="10">
        <f>'data on outstanding creditors'!$E828-'data on outstanding creditors'!$O828</f>
        <v>2158.878505</v>
      </c>
      <c r="Q828" s="7">
        <f>DAY('data on outstanding creditors'!$B828)</f>
        <v>17</v>
      </c>
      <c r="R828" s="7">
        <f>MONTH('data on outstanding creditors'!$B828)</f>
        <v>2</v>
      </c>
      <c r="S828" s="7">
        <f>YEAR('data on outstanding creditors'!$B828)</f>
        <v>2025</v>
      </c>
      <c r="T828" s="11" t="str">
        <f>'data on outstanding creditors'!$C828&amp;" "&amp;'data on outstanding creditors'!$D828&amp;" "&amp;TEXT('data on outstanding creditors'!$E828,"#,##0.00")</f>
        <v>บ.ชุมชนเภสัชกรรม IV680200655 33,000.00</v>
      </c>
      <c r="U828" s="12"/>
    </row>
    <row r="829" ht="13.5" customHeight="1">
      <c r="A829" s="1"/>
      <c r="B829" s="2">
        <v>45705.0</v>
      </c>
      <c r="C829" s="9" t="s">
        <v>1330</v>
      </c>
      <c r="D829" s="1" t="s">
        <v>1332</v>
      </c>
      <c r="E829" s="4">
        <v>39000.0</v>
      </c>
      <c r="F829" s="4"/>
      <c r="G829" s="4"/>
      <c r="H829" s="4">
        <f>'data on outstanding creditors'!$E829-'data on outstanding creditors'!$F829-'data on outstanding creditors'!$G829</f>
        <v>39000</v>
      </c>
      <c r="I829" s="2"/>
      <c r="J829" s="1" t="s">
        <v>757</v>
      </c>
      <c r="K829" s="2">
        <v>45771.0</v>
      </c>
      <c r="L829" s="5"/>
      <c r="M829" s="9" t="s">
        <v>22</v>
      </c>
      <c r="N829" s="9" t="s">
        <v>23</v>
      </c>
      <c r="O829" s="10">
        <f>'data on outstanding creditors'!$E829*100/107</f>
        <v>36448.59813</v>
      </c>
      <c r="P829" s="10">
        <f>'data on outstanding creditors'!$E829-'data on outstanding creditors'!$O829</f>
        <v>2551.401869</v>
      </c>
      <c r="Q829" s="7">
        <f>DAY('data on outstanding creditors'!$B829)</f>
        <v>17</v>
      </c>
      <c r="R829" s="7">
        <f>MONTH('data on outstanding creditors'!$B829)</f>
        <v>2</v>
      </c>
      <c r="S829" s="7">
        <f>YEAR('data on outstanding creditors'!$B829)</f>
        <v>2025</v>
      </c>
      <c r="T829" s="11" t="str">
        <f>'data on outstanding creditors'!$C829&amp;" "&amp;'data on outstanding creditors'!$D829&amp;" "&amp;TEXT('data on outstanding creditors'!$E829,"#,##0.00")</f>
        <v>บ.ชุมชนเภสัชกรรม IV680201614 39,000.00</v>
      </c>
      <c r="U829" s="12"/>
    </row>
    <row r="830" ht="13.5" customHeight="1">
      <c r="A830" s="1"/>
      <c r="B830" s="2">
        <v>45705.0</v>
      </c>
      <c r="C830" s="9" t="s">
        <v>929</v>
      </c>
      <c r="D830" s="1" t="s">
        <v>1333</v>
      </c>
      <c r="E830" s="4">
        <v>11400.0</v>
      </c>
      <c r="F830" s="4"/>
      <c r="G830" s="4"/>
      <c r="H830" s="4">
        <f>'data on outstanding creditors'!$E830-'data on outstanding creditors'!$F830-'data on outstanding creditors'!$G830</f>
        <v>11400</v>
      </c>
      <c r="I830" s="2"/>
      <c r="J830" s="1" t="s">
        <v>646</v>
      </c>
      <c r="K830" s="2">
        <v>45887.0</v>
      </c>
      <c r="L830" s="5"/>
      <c r="M830" s="9" t="s">
        <v>22</v>
      </c>
      <c r="N830" s="9" t="s">
        <v>23</v>
      </c>
      <c r="O830" s="10">
        <f>'data on outstanding creditors'!$E830*100/107</f>
        <v>10654.20561</v>
      </c>
      <c r="P830" s="10">
        <f>'data on outstanding creditors'!$E830-'data on outstanding creditors'!$O830</f>
        <v>745.7943925</v>
      </c>
      <c r="Q830" s="7">
        <f>DAY('data on outstanding creditors'!$B830)</f>
        <v>17</v>
      </c>
      <c r="R830" s="7">
        <f>MONTH('data on outstanding creditors'!$B830)</f>
        <v>2</v>
      </c>
      <c r="S830" s="7">
        <f>YEAR('data on outstanding creditors'!$B830)</f>
        <v>2025</v>
      </c>
      <c r="T830" s="11" t="str">
        <f>'data on outstanding creditors'!$C830&amp;" "&amp;'data on outstanding creditors'!$D830&amp;" "&amp;TEXT('data on outstanding creditors'!$E830,"#,##0.00")</f>
        <v>บ.เยนเนอร์ราลดรั๊กส์เฮ้าส์ 25101712 11,400.00</v>
      </c>
      <c r="U830" s="12"/>
    </row>
    <row r="831" ht="13.5" customHeight="1">
      <c r="A831" s="1"/>
      <c r="B831" s="2">
        <v>45706.0</v>
      </c>
      <c r="C831" s="9" t="s">
        <v>1243</v>
      </c>
      <c r="D831" s="1" t="s">
        <v>1334</v>
      </c>
      <c r="E831" s="4">
        <v>46000.0</v>
      </c>
      <c r="F831" s="4"/>
      <c r="G831" s="4"/>
      <c r="H831" s="4">
        <f>'data on outstanding creditors'!$E831-'data on outstanding creditors'!$F831-'data on outstanding creditors'!$G831</f>
        <v>46000</v>
      </c>
      <c r="I831" s="2"/>
      <c r="J831" s="1" t="s">
        <v>646</v>
      </c>
      <c r="K831" s="2">
        <v>45815.0</v>
      </c>
      <c r="L831" s="5"/>
      <c r="M831" s="9" t="s">
        <v>22</v>
      </c>
      <c r="N831" s="9" t="s">
        <v>23</v>
      </c>
      <c r="O831" s="10">
        <f>'data on outstanding creditors'!$E831*100/107</f>
        <v>42990.65421</v>
      </c>
      <c r="P831" s="10">
        <f>'data on outstanding creditors'!$E831-'data on outstanding creditors'!$O831</f>
        <v>3009.345794</v>
      </c>
      <c r="Q831" s="7">
        <f>DAY('data on outstanding creditors'!$B831)</f>
        <v>18</v>
      </c>
      <c r="R831" s="7">
        <f>MONTH('data on outstanding creditors'!$B831)</f>
        <v>2</v>
      </c>
      <c r="S831" s="7">
        <f>YEAR('data on outstanding creditors'!$B831)</f>
        <v>2025</v>
      </c>
      <c r="T831" s="11" t="str">
        <f>'data on outstanding creditors'!$C831&amp;" "&amp;'data on outstanding creditors'!$D831&amp;" "&amp;TEXT('data on outstanding creditors'!$E831,"#,##0.00")</f>
        <v>บ.วี.แอนด์.วี.กรุงเทพ 8103156379 46,000.00</v>
      </c>
      <c r="U831" s="12"/>
    </row>
    <row r="832" ht="13.5" customHeight="1">
      <c r="A832" s="1"/>
      <c r="B832" s="2">
        <v>45706.0</v>
      </c>
      <c r="C832" s="9" t="s">
        <v>1297</v>
      </c>
      <c r="D832" s="1" t="s">
        <v>1335</v>
      </c>
      <c r="E832" s="4">
        <v>16500.0</v>
      </c>
      <c r="F832" s="4"/>
      <c r="G832" s="4"/>
      <c r="H832" s="4">
        <f>'data on outstanding creditors'!$E832-'data on outstanding creditors'!$F832-'data on outstanding creditors'!$G832</f>
        <v>16500</v>
      </c>
      <c r="I832" s="2"/>
      <c r="J832" s="1" t="s">
        <v>646</v>
      </c>
      <c r="K832" s="2">
        <v>45843.0</v>
      </c>
      <c r="L832" s="5"/>
      <c r="M832" s="9" t="s">
        <v>22</v>
      </c>
      <c r="N832" s="9" t="s">
        <v>23</v>
      </c>
      <c r="O832" s="10">
        <f>'data on outstanding creditors'!$E832*100/107</f>
        <v>15420.56075</v>
      </c>
      <c r="P832" s="10">
        <f>'data on outstanding creditors'!$E832-'data on outstanding creditors'!$O832</f>
        <v>1079.439252</v>
      </c>
      <c r="Q832" s="7">
        <f>DAY('data on outstanding creditors'!$B832)</f>
        <v>18</v>
      </c>
      <c r="R832" s="7">
        <f>MONTH('data on outstanding creditors'!$B832)</f>
        <v>2</v>
      </c>
      <c r="S832" s="7">
        <f>YEAR('data on outstanding creditors'!$B832)</f>
        <v>2025</v>
      </c>
      <c r="T832" s="11" t="str">
        <f>'data on outstanding creditors'!$C832&amp;" "&amp;'data on outstanding creditors'!$D832&amp;" "&amp;TEXT('data on outstanding creditors'!$E832,"#,##0.00")</f>
        <v>บ.แอตแลนติค ฟาร์มาซูติคอล PIN2505515 16,500.00</v>
      </c>
      <c r="U832" s="12"/>
    </row>
    <row r="833" ht="13.5" customHeight="1">
      <c r="A833" s="1"/>
      <c r="B833" s="2">
        <v>45708.0</v>
      </c>
      <c r="C833" s="9" t="s">
        <v>1303</v>
      </c>
      <c r="D833" s="1" t="s">
        <v>1336</v>
      </c>
      <c r="E833" s="4">
        <v>69122.0</v>
      </c>
      <c r="F833" s="4"/>
      <c r="G833" s="4"/>
      <c r="H833" s="4">
        <f>'data on outstanding creditors'!$E833-'data on outstanding creditors'!$F833-'data on outstanding creditors'!$G833</f>
        <v>69122</v>
      </c>
      <c r="I833" s="2"/>
      <c r="J833" s="1" t="s">
        <v>646</v>
      </c>
      <c r="K833" s="2">
        <v>45866.0</v>
      </c>
      <c r="L833" s="5"/>
      <c r="M833" s="9" t="s">
        <v>22</v>
      </c>
      <c r="N833" s="9" t="s">
        <v>23</v>
      </c>
      <c r="O833" s="10">
        <f>'data on outstanding creditors'!$E833*100/107</f>
        <v>64600</v>
      </c>
      <c r="P833" s="10">
        <f>'data on outstanding creditors'!$E833-'data on outstanding creditors'!$O833</f>
        <v>4522</v>
      </c>
      <c r="Q833" s="7">
        <f>DAY('data on outstanding creditors'!$B833)</f>
        <v>20</v>
      </c>
      <c r="R833" s="7">
        <f>MONTH('data on outstanding creditors'!$B833)</f>
        <v>2</v>
      </c>
      <c r="S833" s="7">
        <f>YEAR('data on outstanding creditors'!$B833)</f>
        <v>2025</v>
      </c>
      <c r="T833" s="11" t="str">
        <f>'data on outstanding creditors'!$C833&amp;" "&amp;'data on outstanding creditors'!$D833&amp;" "&amp;TEXT('data on outstanding creditors'!$E833,"#,##0.00")</f>
        <v>บ.บี.เอ็ล.เอช.เทร็ดดิ้ง 1068004378 69,122.00</v>
      </c>
      <c r="U833" s="12"/>
    </row>
    <row r="834" ht="13.5" customHeight="1">
      <c r="A834" s="1"/>
      <c r="B834" s="2">
        <v>45708.0</v>
      </c>
      <c r="C834" s="9" t="s">
        <v>1243</v>
      </c>
      <c r="D834" s="1" t="s">
        <v>1337</v>
      </c>
      <c r="E834" s="4">
        <v>24000.0</v>
      </c>
      <c r="F834" s="4"/>
      <c r="G834" s="4"/>
      <c r="H834" s="4">
        <f>'data on outstanding creditors'!$E834-'data on outstanding creditors'!$F834-'data on outstanding creditors'!$G834</f>
        <v>24000</v>
      </c>
      <c r="I834" s="2"/>
      <c r="J834" s="1" t="s">
        <v>646</v>
      </c>
      <c r="K834" s="2">
        <v>45815.0</v>
      </c>
      <c r="L834" s="5"/>
      <c r="M834" s="9" t="s">
        <v>22</v>
      </c>
      <c r="N834" s="9" t="s">
        <v>23</v>
      </c>
      <c r="O834" s="10">
        <f>'data on outstanding creditors'!$E834*100/107</f>
        <v>22429.90654</v>
      </c>
      <c r="P834" s="10">
        <f>'data on outstanding creditors'!$E834-'data on outstanding creditors'!$O834</f>
        <v>1570.093458</v>
      </c>
      <c r="Q834" s="7">
        <f>DAY('data on outstanding creditors'!$B834)</f>
        <v>20</v>
      </c>
      <c r="R834" s="7">
        <f>MONTH('data on outstanding creditors'!$B834)</f>
        <v>2</v>
      </c>
      <c r="S834" s="7">
        <f>YEAR('data on outstanding creditors'!$B834)</f>
        <v>2025</v>
      </c>
      <c r="T834" s="11" t="str">
        <f>'data on outstanding creditors'!$C834&amp;" "&amp;'data on outstanding creditors'!$D834&amp;" "&amp;TEXT('data on outstanding creditors'!$E834,"#,##0.00")</f>
        <v>บ.วี.แอนด์.วี.กรุงเทพ 8103164823 24,000.00</v>
      </c>
      <c r="U834" s="12"/>
    </row>
    <row r="835" ht="13.5" customHeight="1">
      <c r="A835" s="1"/>
      <c r="B835" s="2">
        <v>45708.0</v>
      </c>
      <c r="C835" s="9" t="s">
        <v>1243</v>
      </c>
      <c r="D835" s="1" t="s">
        <v>1338</v>
      </c>
      <c r="E835" s="4">
        <v>64400.0</v>
      </c>
      <c r="F835" s="4"/>
      <c r="G835" s="4"/>
      <c r="H835" s="4">
        <f>'data on outstanding creditors'!$E835-'data on outstanding creditors'!$F835-'data on outstanding creditors'!$G835</f>
        <v>64400</v>
      </c>
      <c r="I835" s="2"/>
      <c r="J835" s="1" t="s">
        <v>646</v>
      </c>
      <c r="K835" s="2">
        <v>45815.0</v>
      </c>
      <c r="L835" s="5"/>
      <c r="M835" s="9" t="s">
        <v>22</v>
      </c>
      <c r="N835" s="9" t="s">
        <v>23</v>
      </c>
      <c r="O835" s="10">
        <f>'data on outstanding creditors'!$E835*100/107</f>
        <v>60186.91589</v>
      </c>
      <c r="P835" s="10">
        <f>'data on outstanding creditors'!$E835-'data on outstanding creditors'!$O835</f>
        <v>4213.084112</v>
      </c>
      <c r="Q835" s="7">
        <f>DAY('data on outstanding creditors'!$B835)</f>
        <v>20</v>
      </c>
      <c r="R835" s="7">
        <f>MONTH('data on outstanding creditors'!$B835)</f>
        <v>2</v>
      </c>
      <c r="S835" s="7">
        <f>YEAR('data on outstanding creditors'!$B835)</f>
        <v>2025</v>
      </c>
      <c r="T835" s="11" t="str">
        <f>'data on outstanding creditors'!$C835&amp;" "&amp;'data on outstanding creditors'!$D835&amp;" "&amp;TEXT('data on outstanding creditors'!$E835,"#,##0.00")</f>
        <v>บ.วี.แอนด์.วี.กรุงเทพ 8103164824 64,400.00</v>
      </c>
      <c r="U835" s="12"/>
    </row>
    <row r="836" ht="13.5" customHeight="1">
      <c r="A836" s="1"/>
      <c r="B836" s="2">
        <v>45708.0</v>
      </c>
      <c r="C836" s="9" t="s">
        <v>771</v>
      </c>
      <c r="D836" s="1" t="s">
        <v>1339</v>
      </c>
      <c r="E836" s="4">
        <v>8800.0</v>
      </c>
      <c r="F836" s="4"/>
      <c r="G836" s="4"/>
      <c r="H836" s="4">
        <f>'data on outstanding creditors'!$E836-'data on outstanding creditors'!$F836-'data on outstanding creditors'!$G836</f>
        <v>8800</v>
      </c>
      <c r="I836" s="2"/>
      <c r="J836" s="1" t="s">
        <v>646</v>
      </c>
      <c r="K836" s="2">
        <v>45827.0</v>
      </c>
      <c r="L836" s="5"/>
      <c r="M836" s="9" t="s">
        <v>22</v>
      </c>
      <c r="N836" s="9" t="s">
        <v>23</v>
      </c>
      <c r="O836" s="10">
        <f>'data on outstanding creditors'!$E836*100/107</f>
        <v>8224.299065</v>
      </c>
      <c r="P836" s="10">
        <f>'data on outstanding creditors'!$E836-'data on outstanding creditors'!$O836</f>
        <v>575.7009346</v>
      </c>
      <c r="Q836" s="7">
        <f>DAY('data on outstanding creditors'!$B836)</f>
        <v>20</v>
      </c>
      <c r="R836" s="7">
        <f>MONTH('data on outstanding creditors'!$B836)</f>
        <v>2</v>
      </c>
      <c r="S836" s="7">
        <f>YEAR('data on outstanding creditors'!$B836)</f>
        <v>2025</v>
      </c>
      <c r="T836" s="11" t="str">
        <f>'data on outstanding creditors'!$C836&amp;" "&amp;'data on outstanding creditors'!$D836&amp;" "&amp;TEXT('data on outstanding creditors'!$E836,"#,##0.00")</f>
        <v>หจก.ภิญโญฟาร์มาซี IV6808381 8,800.00</v>
      </c>
      <c r="U836" s="12"/>
    </row>
    <row r="837" ht="13.5" customHeight="1">
      <c r="A837" s="1"/>
      <c r="B837" s="2">
        <v>45708.0</v>
      </c>
      <c r="C837" s="9" t="s">
        <v>771</v>
      </c>
      <c r="D837" s="1" t="s">
        <v>1340</v>
      </c>
      <c r="E837" s="4">
        <v>73440.0</v>
      </c>
      <c r="F837" s="4"/>
      <c r="G837" s="4"/>
      <c r="H837" s="4">
        <f>'data on outstanding creditors'!$E837-'data on outstanding creditors'!$F837-'data on outstanding creditors'!$G837</f>
        <v>73440</v>
      </c>
      <c r="I837" s="2"/>
      <c r="J837" s="1" t="s">
        <v>646</v>
      </c>
      <c r="K837" s="2">
        <v>45827.0</v>
      </c>
      <c r="L837" s="5"/>
      <c r="M837" s="9" t="s">
        <v>22</v>
      </c>
      <c r="N837" s="9" t="s">
        <v>23</v>
      </c>
      <c r="O837" s="10">
        <f>'data on outstanding creditors'!$E837*100/107</f>
        <v>68635.51402</v>
      </c>
      <c r="P837" s="10">
        <f>'data on outstanding creditors'!$E837-'data on outstanding creditors'!$O837</f>
        <v>4804.485981</v>
      </c>
      <c r="Q837" s="7">
        <f>DAY('data on outstanding creditors'!$B837)</f>
        <v>20</v>
      </c>
      <c r="R837" s="7">
        <f>MONTH('data on outstanding creditors'!$B837)</f>
        <v>2</v>
      </c>
      <c r="S837" s="7">
        <f>YEAR('data on outstanding creditors'!$B837)</f>
        <v>2025</v>
      </c>
      <c r="T837" s="11" t="str">
        <f>'data on outstanding creditors'!$C837&amp;" "&amp;'data on outstanding creditors'!$D837&amp;" "&amp;TEXT('data on outstanding creditors'!$E837,"#,##0.00")</f>
        <v>หจก.ภิญโญฟาร์มาซี IV6808382 73,440.00</v>
      </c>
      <c r="U837" s="12"/>
    </row>
    <row r="838" ht="13.5" customHeight="1">
      <c r="A838" s="1"/>
      <c r="B838" s="2">
        <v>45709.0</v>
      </c>
      <c r="C838" s="9" t="s">
        <v>767</v>
      </c>
      <c r="D838" s="1" t="s">
        <v>1341</v>
      </c>
      <c r="E838" s="4">
        <v>128400.0</v>
      </c>
      <c r="F838" s="4"/>
      <c r="G838" s="4"/>
      <c r="H838" s="4">
        <f>'data on outstanding creditors'!$E838-'data on outstanding creditors'!$F838-'data on outstanding creditors'!$G838</f>
        <v>128400</v>
      </c>
      <c r="I838" s="2"/>
      <c r="J838" s="1" t="s">
        <v>757</v>
      </c>
      <c r="K838" s="2">
        <v>45804.0</v>
      </c>
      <c r="L838" s="5"/>
      <c r="M838" s="9" t="s">
        <v>22</v>
      </c>
      <c r="N838" s="9" t="s">
        <v>23</v>
      </c>
      <c r="O838" s="10">
        <f>'data on outstanding creditors'!$E838*100/107</f>
        <v>120000</v>
      </c>
      <c r="P838" s="10">
        <f>'data on outstanding creditors'!$E838-'data on outstanding creditors'!$O838</f>
        <v>8400</v>
      </c>
      <c r="Q838" s="7">
        <f>DAY('data on outstanding creditors'!$B838)</f>
        <v>21</v>
      </c>
      <c r="R838" s="7">
        <f>MONTH('data on outstanding creditors'!$B838)</f>
        <v>2</v>
      </c>
      <c r="S838" s="7">
        <f>YEAR('data on outstanding creditors'!$B838)</f>
        <v>2025</v>
      </c>
      <c r="T838" s="11" t="str">
        <f>'data on outstanding creditors'!$C838&amp;" "&amp;'data on outstanding creditors'!$D838&amp;" "&amp;TEXT('data on outstanding creditors'!$E838,"#,##0.00")</f>
        <v>บ.คอสม่า เทรดดิ้ง 310257400857 128,400.00</v>
      </c>
      <c r="U838" s="12"/>
    </row>
    <row r="839" ht="13.5" customHeight="1">
      <c r="A839" s="1"/>
      <c r="B839" s="2">
        <v>45709.0</v>
      </c>
      <c r="C839" s="9" t="s">
        <v>396</v>
      </c>
      <c r="D839" s="1" t="s">
        <v>1342</v>
      </c>
      <c r="E839" s="4">
        <v>23200.0</v>
      </c>
      <c r="F839" s="4"/>
      <c r="G839" s="4"/>
      <c r="H839" s="4">
        <f>'data on outstanding creditors'!$E839-'data on outstanding creditors'!$F839-'data on outstanding creditors'!$G839</f>
        <v>23200</v>
      </c>
      <c r="I839" s="2"/>
      <c r="J839" s="1" t="s">
        <v>757</v>
      </c>
      <c r="K839" s="2">
        <v>45770.0</v>
      </c>
      <c r="L839" s="5"/>
      <c r="M839" s="9" t="s">
        <v>22</v>
      </c>
      <c r="N839" s="9" t="s">
        <v>23</v>
      </c>
      <c r="O839" s="10">
        <f>'data on outstanding creditors'!$E839*100/107</f>
        <v>21682.24299</v>
      </c>
      <c r="P839" s="10">
        <f>'data on outstanding creditors'!$E839-'data on outstanding creditors'!$O839</f>
        <v>1517.757009</v>
      </c>
      <c r="Q839" s="7">
        <f>DAY('data on outstanding creditors'!$B839)</f>
        <v>21</v>
      </c>
      <c r="R839" s="7">
        <f>MONTH('data on outstanding creditors'!$B839)</f>
        <v>2</v>
      </c>
      <c r="S839" s="7">
        <f>YEAR('data on outstanding creditors'!$B839)</f>
        <v>2025</v>
      </c>
      <c r="T839" s="11" t="str">
        <f>'data on outstanding creditors'!$C839&amp;" "&amp;'data on outstanding creditors'!$D839&amp;" "&amp;TEXT('data on outstanding creditors'!$E839,"#,##0.00")</f>
        <v>บ.เยเนอรัล ฮอสปิตัล โปรดัคส์ 25IN08014771 23,200.00</v>
      </c>
      <c r="U839" s="12"/>
    </row>
    <row r="840" ht="13.5" customHeight="1">
      <c r="A840" s="1"/>
      <c r="B840" s="2">
        <v>45709.0</v>
      </c>
      <c r="C840" s="9" t="s">
        <v>396</v>
      </c>
      <c r="D840" s="1" t="s">
        <v>1343</v>
      </c>
      <c r="E840" s="4">
        <v>23200.0</v>
      </c>
      <c r="F840" s="4"/>
      <c r="G840" s="4"/>
      <c r="H840" s="4">
        <f>'data on outstanding creditors'!$E840-'data on outstanding creditors'!$F840-'data on outstanding creditors'!$G840</f>
        <v>23200</v>
      </c>
      <c r="I840" s="2"/>
      <c r="J840" s="1" t="s">
        <v>757</v>
      </c>
      <c r="K840" s="2">
        <v>45770.0</v>
      </c>
      <c r="L840" s="5"/>
      <c r="M840" s="9" t="s">
        <v>22</v>
      </c>
      <c r="N840" s="9" t="s">
        <v>23</v>
      </c>
      <c r="O840" s="10">
        <f>'data on outstanding creditors'!$E840*100/107</f>
        <v>21682.24299</v>
      </c>
      <c r="P840" s="10">
        <f>'data on outstanding creditors'!$E840-'data on outstanding creditors'!$O840</f>
        <v>1517.757009</v>
      </c>
      <c r="Q840" s="7">
        <f>DAY('data on outstanding creditors'!$B840)</f>
        <v>21</v>
      </c>
      <c r="R840" s="7">
        <f>MONTH('data on outstanding creditors'!$B840)</f>
        <v>2</v>
      </c>
      <c r="S840" s="7">
        <f>YEAR('data on outstanding creditors'!$B840)</f>
        <v>2025</v>
      </c>
      <c r="T840" s="11" t="str">
        <f>'data on outstanding creditors'!$C840&amp;" "&amp;'data on outstanding creditors'!$D840&amp;" "&amp;TEXT('data on outstanding creditors'!$E840,"#,##0.00")</f>
        <v>บ.เยเนอรัล ฮอสปิตัล โปรดัคส์ 25IN08023439 23,200.00</v>
      </c>
      <c r="U840" s="12"/>
    </row>
    <row r="841" ht="13.5" customHeight="1">
      <c r="A841" s="1"/>
      <c r="B841" s="2">
        <v>45709.0</v>
      </c>
      <c r="C841" s="9" t="s">
        <v>1320</v>
      </c>
      <c r="D841" s="1" t="s">
        <v>1344</v>
      </c>
      <c r="E841" s="4">
        <v>60990.0</v>
      </c>
      <c r="F841" s="4"/>
      <c r="G841" s="4"/>
      <c r="H841" s="4">
        <f>'data on outstanding creditors'!$E841-'data on outstanding creditors'!$F841-'data on outstanding creditors'!$G841</f>
        <v>60990</v>
      </c>
      <c r="I841" s="2"/>
      <c r="J841" s="1" t="s">
        <v>646</v>
      </c>
      <c r="K841" s="2">
        <v>45866.0</v>
      </c>
      <c r="L841" s="5"/>
      <c r="M841" s="9" t="s">
        <v>22</v>
      </c>
      <c r="N841" s="9" t="s">
        <v>23</v>
      </c>
      <c r="O841" s="10">
        <f>'data on outstanding creditors'!$E841*100/107</f>
        <v>57000</v>
      </c>
      <c r="P841" s="10">
        <f>'data on outstanding creditors'!$E841-'data on outstanding creditors'!$O841</f>
        <v>3990</v>
      </c>
      <c r="Q841" s="7">
        <f>DAY('data on outstanding creditors'!$B841)</f>
        <v>21</v>
      </c>
      <c r="R841" s="7">
        <f>MONTH('data on outstanding creditors'!$B841)</f>
        <v>2</v>
      </c>
      <c r="S841" s="7">
        <f>YEAR('data on outstanding creditors'!$B841)</f>
        <v>2025</v>
      </c>
      <c r="T841" s="11" t="str">
        <f>'data on outstanding creditors'!$C841&amp;" "&amp;'data on outstanding creditors'!$D841&amp;" "&amp;TEXT('data on outstanding creditors'!$E841,"#,##0.00")</f>
        <v>บ.บี.เอ็ล.ฮั้ว 68006599 60,990.00</v>
      </c>
      <c r="U841" s="12"/>
    </row>
    <row r="842" ht="13.5" customHeight="1">
      <c r="A842" s="1"/>
      <c r="B842" s="2">
        <v>45709.0</v>
      </c>
      <c r="C842" s="9" t="s">
        <v>1297</v>
      </c>
      <c r="D842" s="1" t="s">
        <v>1345</v>
      </c>
      <c r="E842" s="4">
        <v>36000.0</v>
      </c>
      <c r="F842" s="4"/>
      <c r="G842" s="4"/>
      <c r="H842" s="4">
        <f>'data on outstanding creditors'!$E842-'data on outstanding creditors'!$F842-'data on outstanding creditors'!$G842</f>
        <v>36000</v>
      </c>
      <c r="I842" s="2"/>
      <c r="J842" s="1" t="s">
        <v>646</v>
      </c>
      <c r="K842" s="2">
        <v>45843.0</v>
      </c>
      <c r="L842" s="5"/>
      <c r="M842" s="9" t="s">
        <v>22</v>
      </c>
      <c r="N842" s="9" t="s">
        <v>23</v>
      </c>
      <c r="O842" s="10">
        <f>'data on outstanding creditors'!$E842*100/107</f>
        <v>33644.85981</v>
      </c>
      <c r="P842" s="10">
        <f>'data on outstanding creditors'!$E842-'data on outstanding creditors'!$O842</f>
        <v>2355.140187</v>
      </c>
      <c r="Q842" s="7">
        <f>DAY('data on outstanding creditors'!$B842)</f>
        <v>21</v>
      </c>
      <c r="R842" s="7">
        <f>MONTH('data on outstanding creditors'!$B842)</f>
        <v>2</v>
      </c>
      <c r="S842" s="7">
        <f>YEAR('data on outstanding creditors'!$B842)</f>
        <v>2025</v>
      </c>
      <c r="T842" s="11" t="str">
        <f>'data on outstanding creditors'!$C842&amp;" "&amp;'data on outstanding creditors'!$D842&amp;" "&amp;TEXT('data on outstanding creditors'!$E842,"#,##0.00")</f>
        <v>บ.แอตแลนติค ฟาร์มาซูติคอล PIN2505846 36,000.00</v>
      </c>
      <c r="U842" s="12"/>
    </row>
    <row r="843" ht="13.5" customHeight="1">
      <c r="A843" s="1"/>
      <c r="B843" s="2">
        <v>45709.0</v>
      </c>
      <c r="C843" s="9" t="s">
        <v>965</v>
      </c>
      <c r="D843" s="1" t="s">
        <v>1346</v>
      </c>
      <c r="E843" s="4">
        <v>39998.32</v>
      </c>
      <c r="F843" s="4"/>
      <c r="G843" s="4"/>
      <c r="H843" s="4">
        <f>'data on outstanding creditors'!$E843-'data on outstanding creditors'!$F843-'data on outstanding creditors'!$G843</f>
        <v>39998.32</v>
      </c>
      <c r="I843" s="2"/>
      <c r="J843" s="1" t="s">
        <v>646</v>
      </c>
      <c r="K843" s="2">
        <v>45843.0</v>
      </c>
      <c r="L843" s="5"/>
      <c r="M843" s="9" t="s">
        <v>22</v>
      </c>
      <c r="N843" s="9" t="s">
        <v>23</v>
      </c>
      <c r="O843" s="10">
        <f>'data on outstanding creditors'!$E843*100/107</f>
        <v>37381.60748</v>
      </c>
      <c r="P843" s="10">
        <f>'data on outstanding creditors'!$E843-'data on outstanding creditors'!$O843</f>
        <v>2616.712523</v>
      </c>
      <c r="Q843" s="7">
        <f>DAY('data on outstanding creditors'!$B843)</f>
        <v>21</v>
      </c>
      <c r="R843" s="7">
        <f>MONTH('data on outstanding creditors'!$B843)</f>
        <v>2</v>
      </c>
      <c r="S843" s="7">
        <f>YEAR('data on outstanding creditors'!$B843)</f>
        <v>2025</v>
      </c>
      <c r="T843" s="11" t="str">
        <f>'data on outstanding creditors'!$C843&amp;" "&amp;'data on outstanding creditors'!$D843&amp;" "&amp;TEXT('data on outstanding creditors'!$E843,"#,##0.00")</f>
        <v>บ.แปซิฟิค เฮลธ์แคร์(ไทยแลนด์) 68010681 39,998.32</v>
      </c>
      <c r="U843" s="12"/>
    </row>
    <row r="844" ht="13.5" customHeight="1">
      <c r="A844" s="1"/>
      <c r="B844" s="2">
        <v>45713.0</v>
      </c>
      <c r="C844" s="9" t="s">
        <v>1265</v>
      </c>
      <c r="D844" s="1" t="s">
        <v>1347</v>
      </c>
      <c r="E844" s="4">
        <v>4000.0</v>
      </c>
      <c r="F844" s="4"/>
      <c r="G844" s="4"/>
      <c r="H844" s="4">
        <f>'data on outstanding creditors'!$E844-'data on outstanding creditors'!$F844-'data on outstanding creditors'!$G844</f>
        <v>4000</v>
      </c>
      <c r="I844" s="2"/>
      <c r="J844" s="1" t="s">
        <v>646</v>
      </c>
      <c r="K844" s="2">
        <v>45827.0</v>
      </c>
      <c r="L844" s="5"/>
      <c r="M844" s="9" t="s">
        <v>22</v>
      </c>
      <c r="N844" s="9" t="s">
        <v>23</v>
      </c>
      <c r="O844" s="10">
        <f>'data on outstanding creditors'!$E844*100/107</f>
        <v>3738.317757</v>
      </c>
      <c r="P844" s="10">
        <f>'data on outstanding creditors'!$E844-'data on outstanding creditors'!$O844</f>
        <v>261.682243</v>
      </c>
      <c r="Q844" s="7">
        <f>DAY('data on outstanding creditors'!$B844)</f>
        <v>25</v>
      </c>
      <c r="R844" s="7">
        <f>MONTH('data on outstanding creditors'!$B844)</f>
        <v>2</v>
      </c>
      <c r="S844" s="7">
        <f>YEAR('data on outstanding creditors'!$B844)</f>
        <v>2025</v>
      </c>
      <c r="T844" s="11" t="str">
        <f>'data on outstanding creditors'!$C844&amp;" "&amp;'data on outstanding creditors'!$D844&amp;" "&amp;TEXT('data on outstanding creditors'!$E844,"#,##0.00")</f>
        <v>บ.แอล.บี.เอส.แลบบอเรตอรี่ 859738 4,000.00</v>
      </c>
      <c r="U844" s="12"/>
    </row>
    <row r="845" ht="13.5" customHeight="1">
      <c r="A845" s="1"/>
      <c r="B845" s="2">
        <v>45713.0</v>
      </c>
      <c r="C845" s="9" t="s">
        <v>1230</v>
      </c>
      <c r="D845" s="1" t="s">
        <v>1348</v>
      </c>
      <c r="E845" s="4">
        <v>51000.0</v>
      </c>
      <c r="F845" s="4"/>
      <c r="G845" s="4"/>
      <c r="H845" s="4">
        <f>'data on outstanding creditors'!$E845-'data on outstanding creditors'!$F845-'data on outstanding creditors'!$G845</f>
        <v>51000</v>
      </c>
      <c r="I845" s="2"/>
      <c r="J845" s="1" t="s">
        <v>646</v>
      </c>
      <c r="K845" s="2">
        <v>45928.0</v>
      </c>
      <c r="L845" s="5"/>
      <c r="M845" s="9" t="s">
        <v>22</v>
      </c>
      <c r="N845" s="9" t="s">
        <v>23</v>
      </c>
      <c r="O845" s="10">
        <f>'data on outstanding creditors'!$E845*100/107</f>
        <v>47663.5514</v>
      </c>
      <c r="P845" s="10">
        <f>'data on outstanding creditors'!$E845-'data on outstanding creditors'!$O845</f>
        <v>3336.448598</v>
      </c>
      <c r="Q845" s="7">
        <f>DAY('data on outstanding creditors'!$B845)</f>
        <v>25</v>
      </c>
      <c r="R845" s="7">
        <f>MONTH('data on outstanding creditors'!$B845)</f>
        <v>2</v>
      </c>
      <c r="S845" s="7">
        <f>YEAR('data on outstanding creditors'!$B845)</f>
        <v>2025</v>
      </c>
      <c r="T845" s="11" t="str">
        <f>'data on outstanding creditors'!$C845&amp;" "&amp;'data on outstanding creditors'!$D845&amp;" "&amp;TEXT('data on outstanding creditors'!$E845,"#,##0.00")</f>
        <v>บ.พรอส ฟาร์มา INV-L-IM\2025022568 51,000.00</v>
      </c>
      <c r="U845" s="12"/>
    </row>
    <row r="846" ht="13.5" customHeight="1">
      <c r="A846" s="1"/>
      <c r="B846" s="2">
        <v>45713.0</v>
      </c>
      <c r="C846" s="9" t="s">
        <v>1349</v>
      </c>
      <c r="D846" s="1" t="s">
        <v>1350</v>
      </c>
      <c r="E846" s="4">
        <v>24000.0</v>
      </c>
      <c r="F846" s="4"/>
      <c r="G846" s="4"/>
      <c r="H846" s="4">
        <f>'data on outstanding creditors'!$E846-'data on outstanding creditors'!$F846-'data on outstanding creditors'!$G846</f>
        <v>24000</v>
      </c>
      <c r="I846" s="2"/>
      <c r="J846" s="1" t="s">
        <v>646</v>
      </c>
      <c r="K846" s="2">
        <v>45843.0</v>
      </c>
      <c r="L846" s="5"/>
      <c r="M846" s="9" t="s">
        <v>22</v>
      </c>
      <c r="N846" s="9" t="s">
        <v>23</v>
      </c>
      <c r="O846" s="10">
        <f>'data on outstanding creditors'!$E846*100/107</f>
        <v>22429.90654</v>
      </c>
      <c r="P846" s="10">
        <f>'data on outstanding creditors'!$E846-'data on outstanding creditors'!$O846</f>
        <v>1570.093458</v>
      </c>
      <c r="Q846" s="7">
        <f>DAY('data on outstanding creditors'!$B846)</f>
        <v>25</v>
      </c>
      <c r="R846" s="7">
        <f>MONTH('data on outstanding creditors'!$B846)</f>
        <v>2</v>
      </c>
      <c r="S846" s="7">
        <f>YEAR('data on outstanding creditors'!$B846)</f>
        <v>2025</v>
      </c>
      <c r="T846" s="11" t="str">
        <f>'data on outstanding creditors'!$C846&amp;" "&amp;'data on outstanding creditors'!$D846&amp;" "&amp;TEXT('data on outstanding creditors'!$E846,"#,##0.00")</f>
        <v>บ.ฟาร์มาดิกา DIS250220-008 24,000.00</v>
      </c>
      <c r="U846" s="12"/>
    </row>
    <row r="847" ht="13.5" customHeight="1">
      <c r="A847" s="1"/>
      <c r="B847" s="2">
        <v>45714.0</v>
      </c>
      <c r="C847" s="9" t="s">
        <v>1247</v>
      </c>
      <c r="D847" s="1" t="s">
        <v>1351</v>
      </c>
      <c r="E847" s="4">
        <v>41800.0</v>
      </c>
      <c r="F847" s="4"/>
      <c r="G847" s="4"/>
      <c r="H847" s="4">
        <f>'data on outstanding creditors'!$E847-'data on outstanding creditors'!$F847-'data on outstanding creditors'!$G847</f>
        <v>41800</v>
      </c>
      <c r="I847" s="2"/>
      <c r="J847" s="1" t="s">
        <v>646</v>
      </c>
      <c r="K847" s="2">
        <v>45846.0</v>
      </c>
      <c r="L847" s="5"/>
      <c r="M847" s="9" t="s">
        <v>22</v>
      </c>
      <c r="N847" s="9" t="s">
        <v>23</v>
      </c>
      <c r="O847" s="10">
        <f>'data on outstanding creditors'!$E847*100/107</f>
        <v>39065.42056</v>
      </c>
      <c r="P847" s="10">
        <f>'data on outstanding creditors'!$E847-'data on outstanding creditors'!$O847</f>
        <v>2734.579439</v>
      </c>
      <c r="Q847" s="7">
        <f>DAY('data on outstanding creditors'!$B847)</f>
        <v>26</v>
      </c>
      <c r="R847" s="7">
        <f>MONTH('data on outstanding creditors'!$B847)</f>
        <v>2</v>
      </c>
      <c r="S847" s="7">
        <f>YEAR('data on outstanding creditors'!$B847)</f>
        <v>2025</v>
      </c>
      <c r="T847" s="11" t="str">
        <f>'data on outstanding creditors'!$C847&amp;" "&amp;'data on outstanding creditors'!$D847&amp;" "&amp;TEXT('data on outstanding creditors'!$E847,"#,##0.00")</f>
        <v>บ.เอ.เอ็น.บี.ลาบอรอตอรี่ 8370836789 41,800.00</v>
      </c>
      <c r="U847" s="12"/>
    </row>
    <row r="848" ht="13.5" customHeight="1">
      <c r="A848" s="1"/>
      <c r="B848" s="2">
        <v>45714.0</v>
      </c>
      <c r="C848" s="9" t="s">
        <v>1247</v>
      </c>
      <c r="D848" s="1" t="s">
        <v>1352</v>
      </c>
      <c r="E848" s="4">
        <v>41800.0</v>
      </c>
      <c r="F848" s="4"/>
      <c r="G848" s="4"/>
      <c r="H848" s="4">
        <f>'data on outstanding creditors'!$E848-'data on outstanding creditors'!$F848-'data on outstanding creditors'!$G848</f>
        <v>41800</v>
      </c>
      <c r="I848" s="2"/>
      <c r="J848" s="1" t="s">
        <v>646</v>
      </c>
      <c r="K848" s="2">
        <v>45846.0</v>
      </c>
      <c r="L848" s="5"/>
      <c r="M848" s="9" t="s">
        <v>22</v>
      </c>
      <c r="N848" s="9" t="s">
        <v>23</v>
      </c>
      <c r="O848" s="10">
        <f>'data on outstanding creditors'!$E848*100/107</f>
        <v>39065.42056</v>
      </c>
      <c r="P848" s="10">
        <f>'data on outstanding creditors'!$E848-'data on outstanding creditors'!$O848</f>
        <v>2734.579439</v>
      </c>
      <c r="Q848" s="7">
        <f>DAY('data on outstanding creditors'!$B848)</f>
        <v>26</v>
      </c>
      <c r="R848" s="7">
        <f>MONTH('data on outstanding creditors'!$B848)</f>
        <v>2</v>
      </c>
      <c r="S848" s="7">
        <f>YEAR('data on outstanding creditors'!$B848)</f>
        <v>2025</v>
      </c>
      <c r="T848" s="11" t="str">
        <f>'data on outstanding creditors'!$C848&amp;" "&amp;'data on outstanding creditors'!$D848&amp;" "&amp;TEXT('data on outstanding creditors'!$E848,"#,##0.00")</f>
        <v>บ.เอ.เอ็น.บี.ลาบอรอตอรี่ 8370836792 41,800.00</v>
      </c>
      <c r="U848" s="12"/>
    </row>
    <row r="849" ht="13.5" customHeight="1">
      <c r="A849" s="1"/>
      <c r="B849" s="2">
        <v>45714.0</v>
      </c>
      <c r="C849" s="9" t="s">
        <v>763</v>
      </c>
      <c r="D849" s="1" t="s">
        <v>1353</v>
      </c>
      <c r="E849" s="4">
        <v>83460.0</v>
      </c>
      <c r="F849" s="4"/>
      <c r="G849" s="4"/>
      <c r="H849" s="4">
        <f>'data on outstanding creditors'!$E849-'data on outstanding creditors'!$F849-'data on outstanding creditors'!$G849</f>
        <v>83460</v>
      </c>
      <c r="I849" s="2"/>
      <c r="J849" s="1" t="s">
        <v>757</v>
      </c>
      <c r="K849" s="2">
        <v>45783.0</v>
      </c>
      <c r="L849" s="5"/>
      <c r="M849" s="9" t="s">
        <v>22</v>
      </c>
      <c r="N849" s="9" t="s">
        <v>23</v>
      </c>
      <c r="O849" s="10">
        <f>'data on outstanding creditors'!$E849*100/107</f>
        <v>78000</v>
      </c>
      <c r="P849" s="10">
        <f>'data on outstanding creditors'!$E849-'data on outstanding creditors'!$O849</f>
        <v>5460</v>
      </c>
      <c r="Q849" s="7">
        <f>DAY('data on outstanding creditors'!$B849)</f>
        <v>26</v>
      </c>
      <c r="R849" s="7">
        <f>MONTH('data on outstanding creditors'!$B849)</f>
        <v>2</v>
      </c>
      <c r="S849" s="7">
        <f>YEAR('data on outstanding creditors'!$B849)</f>
        <v>2025</v>
      </c>
      <c r="T849" s="11" t="str">
        <f>'data on outstanding creditors'!$C849&amp;" "&amp;'data on outstanding creditors'!$D849&amp;" "&amp;TEXT('data on outstanding creditors'!$E849,"#,##0.00")</f>
        <v>บ.อัลลายแอนซ์ ฟาร์มา B56802098 83,460.00</v>
      </c>
      <c r="U849" s="12"/>
    </row>
    <row r="850" ht="13.5" customHeight="1">
      <c r="A850" s="1"/>
      <c r="B850" s="2">
        <v>45714.0</v>
      </c>
      <c r="C850" s="9" t="s">
        <v>1297</v>
      </c>
      <c r="D850" s="1" t="s">
        <v>1354</v>
      </c>
      <c r="E850" s="4">
        <v>27240.0</v>
      </c>
      <c r="F850" s="4"/>
      <c r="G850" s="4"/>
      <c r="H850" s="4">
        <f>'data on outstanding creditors'!$E850-'data on outstanding creditors'!$F850-'data on outstanding creditors'!$G850</f>
        <v>27240</v>
      </c>
      <c r="I850" s="2"/>
      <c r="J850" s="1" t="s">
        <v>646</v>
      </c>
      <c r="K850" s="2">
        <v>45843.0</v>
      </c>
      <c r="L850" s="5"/>
      <c r="M850" s="9" t="s">
        <v>22</v>
      </c>
      <c r="N850" s="9" t="s">
        <v>23</v>
      </c>
      <c r="O850" s="10">
        <f>'data on outstanding creditors'!$E850*100/107</f>
        <v>25457.94393</v>
      </c>
      <c r="P850" s="10">
        <f>'data on outstanding creditors'!$E850-'data on outstanding creditors'!$O850</f>
        <v>1782.056075</v>
      </c>
      <c r="Q850" s="7">
        <f>DAY('data on outstanding creditors'!$B850)</f>
        <v>26</v>
      </c>
      <c r="R850" s="7">
        <f>MONTH('data on outstanding creditors'!$B850)</f>
        <v>2</v>
      </c>
      <c r="S850" s="7">
        <f>YEAR('data on outstanding creditors'!$B850)</f>
        <v>2025</v>
      </c>
      <c r="T850" s="11" t="str">
        <f>'data on outstanding creditors'!$C850&amp;" "&amp;'data on outstanding creditors'!$D850&amp;" "&amp;TEXT('data on outstanding creditors'!$E850,"#,##0.00")</f>
        <v>บ.แอตแลนติค ฟาร์มาซูติคอล PIN2506642 27,240.00</v>
      </c>
      <c r="U850" s="12"/>
    </row>
    <row r="851" ht="13.5" customHeight="1">
      <c r="A851" s="1"/>
      <c r="B851" s="2">
        <v>45714.0</v>
      </c>
      <c r="C851" s="9" t="s">
        <v>1265</v>
      </c>
      <c r="D851" s="1" t="s">
        <v>1355</v>
      </c>
      <c r="E851" s="4">
        <v>10400.0</v>
      </c>
      <c r="F851" s="4"/>
      <c r="G851" s="4"/>
      <c r="H851" s="4">
        <f>'data on outstanding creditors'!$E851-'data on outstanding creditors'!$F851-'data on outstanding creditors'!$G851</f>
        <v>10400</v>
      </c>
      <c r="I851" s="2"/>
      <c r="J851" s="1" t="s">
        <v>646</v>
      </c>
      <c r="K851" s="2">
        <v>45827.0</v>
      </c>
      <c r="L851" s="5"/>
      <c r="M851" s="9" t="s">
        <v>22</v>
      </c>
      <c r="N851" s="9" t="s">
        <v>23</v>
      </c>
      <c r="O851" s="10">
        <f>'data on outstanding creditors'!$E851*100/107</f>
        <v>9719.626168</v>
      </c>
      <c r="P851" s="10">
        <f>'data on outstanding creditors'!$E851-'data on outstanding creditors'!$O851</f>
        <v>680.3738318</v>
      </c>
      <c r="Q851" s="7">
        <f>DAY('data on outstanding creditors'!$B851)</f>
        <v>26</v>
      </c>
      <c r="R851" s="7">
        <f>MONTH('data on outstanding creditors'!$B851)</f>
        <v>2</v>
      </c>
      <c r="S851" s="7">
        <f>YEAR('data on outstanding creditors'!$B851)</f>
        <v>2025</v>
      </c>
      <c r="T851" s="11" t="str">
        <f>'data on outstanding creditors'!$C851&amp;" "&amp;'data on outstanding creditors'!$D851&amp;" "&amp;TEXT('data on outstanding creditors'!$E851,"#,##0.00")</f>
        <v>บ.แอล.บี.เอส.แลบบอเรตอรี่ 859916 10,400.00</v>
      </c>
      <c r="U851" s="12"/>
    </row>
    <row r="852" ht="13.5" customHeight="1">
      <c r="A852" s="1"/>
      <c r="B852" s="2">
        <v>45715.0</v>
      </c>
      <c r="C852" s="9" t="s">
        <v>1297</v>
      </c>
      <c r="D852" s="1" t="s">
        <v>1356</v>
      </c>
      <c r="E852" s="4">
        <v>82000.0</v>
      </c>
      <c r="F852" s="4"/>
      <c r="G852" s="4"/>
      <c r="H852" s="4">
        <f>'data on outstanding creditors'!$E852-'data on outstanding creditors'!$F852-'data on outstanding creditors'!$G852</f>
        <v>82000</v>
      </c>
      <c r="I852" s="2"/>
      <c r="J852" s="1" t="s">
        <v>646</v>
      </c>
      <c r="K852" s="2">
        <v>45843.0</v>
      </c>
      <c r="L852" s="5"/>
      <c r="M852" s="9" t="s">
        <v>22</v>
      </c>
      <c r="N852" s="9" t="s">
        <v>23</v>
      </c>
      <c r="O852" s="10">
        <f>'data on outstanding creditors'!$E852*100/107</f>
        <v>76635.51402</v>
      </c>
      <c r="P852" s="10">
        <f>'data on outstanding creditors'!$E852-'data on outstanding creditors'!$O852</f>
        <v>5364.485981</v>
      </c>
      <c r="Q852" s="7">
        <f>DAY('data on outstanding creditors'!$B852)</f>
        <v>27</v>
      </c>
      <c r="R852" s="7">
        <f>MONTH('data on outstanding creditors'!$B852)</f>
        <v>2</v>
      </c>
      <c r="S852" s="7">
        <f>YEAR('data on outstanding creditors'!$B852)</f>
        <v>2025</v>
      </c>
      <c r="T852" s="11" t="str">
        <f>'data on outstanding creditors'!$C852&amp;" "&amp;'data on outstanding creditors'!$D852&amp;" "&amp;TEXT('data on outstanding creditors'!$E852,"#,##0.00")</f>
        <v>บ.แอตแลนติค ฟาร์มาซูติคอล PIN2506884 82,000.00</v>
      </c>
      <c r="U852" s="12"/>
    </row>
    <row r="853" ht="13.5" customHeight="1">
      <c r="A853" s="1"/>
      <c r="B853" s="2">
        <v>45715.0</v>
      </c>
      <c r="C853" s="9" t="s">
        <v>1243</v>
      </c>
      <c r="D853" s="1" t="s">
        <v>1357</v>
      </c>
      <c r="E853" s="4">
        <v>20000.0</v>
      </c>
      <c r="F853" s="4"/>
      <c r="G853" s="4"/>
      <c r="H853" s="4">
        <f>'data on outstanding creditors'!$E853-'data on outstanding creditors'!$F853-'data on outstanding creditors'!$G853</f>
        <v>20000</v>
      </c>
      <c r="I853" s="2"/>
      <c r="J853" s="1" t="s">
        <v>646</v>
      </c>
      <c r="K853" s="2">
        <v>45815.0</v>
      </c>
      <c r="L853" s="5"/>
      <c r="M853" s="9" t="s">
        <v>22</v>
      </c>
      <c r="N853" s="9" t="s">
        <v>23</v>
      </c>
      <c r="O853" s="10">
        <f>'data on outstanding creditors'!$E853*100/107</f>
        <v>18691.58879</v>
      </c>
      <c r="P853" s="10">
        <f>'data on outstanding creditors'!$E853-'data on outstanding creditors'!$O853</f>
        <v>1308.411215</v>
      </c>
      <c r="Q853" s="7">
        <f>DAY('data on outstanding creditors'!$B853)</f>
        <v>27</v>
      </c>
      <c r="R853" s="7">
        <f>MONTH('data on outstanding creditors'!$B853)</f>
        <v>2</v>
      </c>
      <c r="S853" s="7">
        <f>YEAR('data on outstanding creditors'!$B853)</f>
        <v>2025</v>
      </c>
      <c r="T853" s="11" t="str">
        <f>'data on outstanding creditors'!$C853&amp;" "&amp;'data on outstanding creditors'!$D853&amp;" "&amp;TEXT('data on outstanding creditors'!$E853,"#,##0.00")</f>
        <v>บ.วี.แอนด์.วี.กรุงเทพ 8103180094 20,000.00</v>
      </c>
      <c r="U853" s="12"/>
    </row>
    <row r="854" ht="13.5" customHeight="1">
      <c r="A854" s="1"/>
      <c r="B854" s="2">
        <v>45715.0</v>
      </c>
      <c r="C854" s="9" t="s">
        <v>1243</v>
      </c>
      <c r="D854" s="1" t="s">
        <v>1358</v>
      </c>
      <c r="E854" s="4">
        <v>12500.0</v>
      </c>
      <c r="F854" s="4"/>
      <c r="G854" s="4"/>
      <c r="H854" s="4">
        <f>'data on outstanding creditors'!$E854-'data on outstanding creditors'!$F854-'data on outstanding creditors'!$G854</f>
        <v>12500</v>
      </c>
      <c r="I854" s="2"/>
      <c r="J854" s="1" t="s">
        <v>646</v>
      </c>
      <c r="K854" s="2">
        <v>45815.0</v>
      </c>
      <c r="L854" s="5"/>
      <c r="M854" s="9" t="s">
        <v>22</v>
      </c>
      <c r="N854" s="9" t="s">
        <v>23</v>
      </c>
      <c r="O854" s="10">
        <f>'data on outstanding creditors'!$E854*100/107</f>
        <v>11682.24299</v>
      </c>
      <c r="P854" s="10">
        <f>'data on outstanding creditors'!$E854-'data on outstanding creditors'!$O854</f>
        <v>817.7570093</v>
      </c>
      <c r="Q854" s="7">
        <f>DAY('data on outstanding creditors'!$B854)</f>
        <v>27</v>
      </c>
      <c r="R854" s="7">
        <f>MONTH('data on outstanding creditors'!$B854)</f>
        <v>2</v>
      </c>
      <c r="S854" s="7">
        <f>YEAR('data on outstanding creditors'!$B854)</f>
        <v>2025</v>
      </c>
      <c r="T854" s="11" t="str">
        <f>'data on outstanding creditors'!$C854&amp;" "&amp;'data on outstanding creditors'!$D854&amp;" "&amp;TEXT('data on outstanding creditors'!$E854,"#,##0.00")</f>
        <v>บ.วี.แอนด์.วี.กรุงเทพ 8103174338 12,500.00</v>
      </c>
      <c r="U854" s="12"/>
    </row>
    <row r="855" ht="13.5" customHeight="1">
      <c r="A855" s="1"/>
      <c r="B855" s="2">
        <v>45715.0</v>
      </c>
      <c r="C855" s="9" t="s">
        <v>1243</v>
      </c>
      <c r="D855" s="1" t="s">
        <v>1359</v>
      </c>
      <c r="E855" s="4">
        <v>12500.0</v>
      </c>
      <c r="F855" s="4"/>
      <c r="G855" s="4"/>
      <c r="H855" s="4">
        <f>'data on outstanding creditors'!$E855-'data on outstanding creditors'!$F855-'data on outstanding creditors'!$G855</f>
        <v>12500</v>
      </c>
      <c r="I855" s="2"/>
      <c r="J855" s="1" t="s">
        <v>646</v>
      </c>
      <c r="K855" s="2">
        <v>45815.0</v>
      </c>
      <c r="L855" s="5"/>
      <c r="M855" s="9" t="s">
        <v>22</v>
      </c>
      <c r="N855" s="9" t="s">
        <v>23</v>
      </c>
      <c r="O855" s="10">
        <f>'data on outstanding creditors'!$E855*100/107</f>
        <v>11682.24299</v>
      </c>
      <c r="P855" s="10">
        <f>'data on outstanding creditors'!$E855-'data on outstanding creditors'!$O855</f>
        <v>817.7570093</v>
      </c>
      <c r="Q855" s="7">
        <f>DAY('data on outstanding creditors'!$B855)</f>
        <v>27</v>
      </c>
      <c r="R855" s="7">
        <f>MONTH('data on outstanding creditors'!$B855)</f>
        <v>2</v>
      </c>
      <c r="S855" s="7">
        <f>YEAR('data on outstanding creditors'!$B855)</f>
        <v>2025</v>
      </c>
      <c r="T855" s="11" t="str">
        <f>'data on outstanding creditors'!$C855&amp;" "&amp;'data on outstanding creditors'!$D855&amp;" "&amp;TEXT('data on outstanding creditors'!$E855,"#,##0.00")</f>
        <v>บ.วี.แอนด์.วี.กรุงเทพ 8103185273 12,500.00</v>
      </c>
      <c r="U855" s="12"/>
    </row>
    <row r="856" ht="13.5" customHeight="1">
      <c r="A856" s="1"/>
      <c r="B856" s="2">
        <v>45720.0</v>
      </c>
      <c r="C856" s="9" t="s">
        <v>1360</v>
      </c>
      <c r="D856" s="1" t="s">
        <v>1361</v>
      </c>
      <c r="E856" s="4">
        <v>7680.0</v>
      </c>
      <c r="F856" s="4"/>
      <c r="G856" s="4"/>
      <c r="H856" s="4">
        <f>'data on outstanding creditors'!$E856-'data on outstanding creditors'!$F856-'data on outstanding creditors'!$G856</f>
        <v>7680</v>
      </c>
      <c r="I856" s="2"/>
      <c r="J856" s="1" t="s">
        <v>646</v>
      </c>
      <c r="K856" s="2">
        <v>45866.0</v>
      </c>
      <c r="L856" s="5"/>
      <c r="M856" s="9" t="s">
        <v>22</v>
      </c>
      <c r="N856" s="9" t="s">
        <v>23</v>
      </c>
      <c r="O856" s="10">
        <f>'data on outstanding creditors'!$E856*100/107</f>
        <v>7177.570093</v>
      </c>
      <c r="P856" s="10">
        <f>'data on outstanding creditors'!$E856-'data on outstanding creditors'!$O856</f>
        <v>502.4299065</v>
      </c>
      <c r="Q856" s="7">
        <f>DAY('data on outstanding creditors'!$B856)</f>
        <v>4</v>
      </c>
      <c r="R856" s="7">
        <f>MONTH('data on outstanding creditors'!$B856)</f>
        <v>3</v>
      </c>
      <c r="S856" s="7">
        <f>YEAR('data on outstanding creditors'!$B856)</f>
        <v>2025</v>
      </c>
      <c r="T856" s="11" t="str">
        <f>'data on outstanding creditors'!$C856&amp;" "&amp;'data on outstanding creditors'!$D856&amp;" "&amp;TEXT('data on outstanding creditors'!$E856,"#,##0.00")</f>
        <v>บ.วิทยาศรม 3-2500086 7,680.00</v>
      </c>
      <c r="U856" s="12"/>
    </row>
    <row r="857" ht="13.5" customHeight="1">
      <c r="A857" s="1"/>
      <c r="B857" s="2">
        <v>45720.0</v>
      </c>
      <c r="C857" s="9" t="s">
        <v>771</v>
      </c>
      <c r="D857" s="1" t="s">
        <v>1362</v>
      </c>
      <c r="E857" s="4">
        <v>57400.0</v>
      </c>
      <c r="F857" s="4"/>
      <c r="G857" s="4"/>
      <c r="H857" s="4">
        <f>'data on outstanding creditors'!$E857-'data on outstanding creditors'!$F857-'data on outstanding creditors'!$G857</f>
        <v>57400</v>
      </c>
      <c r="I857" s="2"/>
      <c r="J857" s="1" t="s">
        <v>646</v>
      </c>
      <c r="K857" s="2">
        <v>45827.0</v>
      </c>
      <c r="L857" s="5"/>
      <c r="M857" s="9" t="s">
        <v>22</v>
      </c>
      <c r="N857" s="9" t="s">
        <v>23</v>
      </c>
      <c r="O857" s="10">
        <f>'data on outstanding creditors'!$E857*100/107</f>
        <v>53644.85981</v>
      </c>
      <c r="P857" s="10">
        <f>'data on outstanding creditors'!$E857-'data on outstanding creditors'!$O857</f>
        <v>3755.140187</v>
      </c>
      <c r="Q857" s="7">
        <f>DAY('data on outstanding creditors'!$B857)</f>
        <v>4</v>
      </c>
      <c r="R857" s="7">
        <f>MONTH('data on outstanding creditors'!$B857)</f>
        <v>3</v>
      </c>
      <c r="S857" s="7">
        <f>YEAR('data on outstanding creditors'!$B857)</f>
        <v>2025</v>
      </c>
      <c r="T857" s="11" t="str">
        <f>'data on outstanding creditors'!$C857&amp;" "&amp;'data on outstanding creditors'!$D857&amp;" "&amp;TEXT('data on outstanding creditors'!$E857,"#,##0.00")</f>
        <v>หจก.ภิญโญฟาร์มาซี IV6810868 57,400.00</v>
      </c>
      <c r="U857" s="12"/>
    </row>
    <row r="858" ht="13.5" customHeight="1">
      <c r="A858" s="1"/>
      <c r="B858" s="2">
        <v>45721.0</v>
      </c>
      <c r="C858" s="9" t="s">
        <v>396</v>
      </c>
      <c r="D858" s="1" t="s">
        <v>1363</v>
      </c>
      <c r="E858" s="4">
        <v>44000.0</v>
      </c>
      <c r="F858" s="4"/>
      <c r="G858" s="4"/>
      <c r="H858" s="4">
        <f>'data on outstanding creditors'!$E858-'data on outstanding creditors'!$F858-'data on outstanding creditors'!$G858</f>
        <v>44000</v>
      </c>
      <c r="I858" s="2"/>
      <c r="J858" s="1" t="s">
        <v>757</v>
      </c>
      <c r="K858" s="2">
        <v>45793.0</v>
      </c>
      <c r="L858" s="5"/>
      <c r="M858" s="9" t="s">
        <v>22</v>
      </c>
      <c r="N858" s="9" t="s">
        <v>23</v>
      </c>
      <c r="O858" s="10">
        <f>'data on outstanding creditors'!$E858*100/107</f>
        <v>41121.49533</v>
      </c>
      <c r="P858" s="10">
        <f>'data on outstanding creditors'!$E858-'data on outstanding creditors'!$O858</f>
        <v>2878.504673</v>
      </c>
      <c r="Q858" s="7">
        <f>DAY('data on outstanding creditors'!$B858)</f>
        <v>5</v>
      </c>
      <c r="R858" s="7">
        <f>MONTH('data on outstanding creditors'!$B858)</f>
        <v>3</v>
      </c>
      <c r="S858" s="7">
        <f>YEAR('data on outstanding creditors'!$B858)</f>
        <v>2025</v>
      </c>
      <c r="T858" s="11" t="str">
        <f>'data on outstanding creditors'!$C858&amp;" "&amp;'data on outstanding creditors'!$D858&amp;" "&amp;TEXT('data on outstanding creditors'!$E858,"#,##0.00")</f>
        <v>บ.เยเนอรัล ฮอสปิตัล โปรดัคส์ 25IN08024948 44,000.00</v>
      </c>
      <c r="U858" s="12"/>
    </row>
    <row r="859" ht="13.5" customHeight="1">
      <c r="A859" s="1"/>
      <c r="B859" s="2">
        <v>45721.0</v>
      </c>
      <c r="C859" s="9" t="s">
        <v>1297</v>
      </c>
      <c r="D859" s="1" t="s">
        <v>1364</v>
      </c>
      <c r="E859" s="4">
        <v>5760.0</v>
      </c>
      <c r="F859" s="4"/>
      <c r="G859" s="4"/>
      <c r="H859" s="4">
        <f>'data on outstanding creditors'!$E859-'data on outstanding creditors'!$F859-'data on outstanding creditors'!$G859</f>
        <v>5760</v>
      </c>
      <c r="I859" s="2"/>
      <c r="J859" s="1" t="s">
        <v>646</v>
      </c>
      <c r="K859" s="2">
        <v>45843.0</v>
      </c>
      <c r="L859" s="5"/>
      <c r="M859" s="9" t="s">
        <v>22</v>
      </c>
      <c r="N859" s="9" t="s">
        <v>23</v>
      </c>
      <c r="O859" s="10">
        <f>'data on outstanding creditors'!$E859*100/107</f>
        <v>5383.17757</v>
      </c>
      <c r="P859" s="10">
        <f>'data on outstanding creditors'!$E859-'data on outstanding creditors'!$O859</f>
        <v>376.8224299</v>
      </c>
      <c r="Q859" s="7">
        <f>DAY('data on outstanding creditors'!$B859)</f>
        <v>5</v>
      </c>
      <c r="R859" s="7">
        <f>MONTH('data on outstanding creditors'!$B859)</f>
        <v>3</v>
      </c>
      <c r="S859" s="7">
        <f>YEAR('data on outstanding creditors'!$B859)</f>
        <v>2025</v>
      </c>
      <c r="T859" s="11" t="str">
        <f>'data on outstanding creditors'!$C859&amp;" "&amp;'data on outstanding creditors'!$D859&amp;" "&amp;TEXT('data on outstanding creditors'!$E859,"#,##0.00")</f>
        <v>บ.แอตแลนติค ฟาร์มาซูติคอล PIN2507391 5,760.00</v>
      </c>
      <c r="U859" s="12"/>
    </row>
    <row r="860" ht="13.5" customHeight="1">
      <c r="A860" s="1"/>
      <c r="B860" s="2">
        <v>45722.0</v>
      </c>
      <c r="C860" s="9" t="s">
        <v>771</v>
      </c>
      <c r="D860" s="1" t="s">
        <v>1365</v>
      </c>
      <c r="E860" s="4">
        <v>3150.0</v>
      </c>
      <c r="F860" s="4"/>
      <c r="G860" s="4"/>
      <c r="H860" s="4">
        <f>'data on outstanding creditors'!$E860-'data on outstanding creditors'!$F860-'data on outstanding creditors'!$G860</f>
        <v>3150</v>
      </c>
      <c r="I860" s="2"/>
      <c r="J860" s="1" t="s">
        <v>646</v>
      </c>
      <c r="K860" s="2">
        <v>45827.0</v>
      </c>
      <c r="L860" s="5"/>
      <c r="M860" s="9" t="s">
        <v>22</v>
      </c>
      <c r="N860" s="9" t="s">
        <v>23</v>
      </c>
      <c r="O860" s="10">
        <f>'data on outstanding creditors'!$E860*100/107</f>
        <v>2943.925234</v>
      </c>
      <c r="P860" s="10">
        <f>'data on outstanding creditors'!$E860-'data on outstanding creditors'!$O860</f>
        <v>206.0747664</v>
      </c>
      <c r="Q860" s="7">
        <f>DAY('data on outstanding creditors'!$B860)</f>
        <v>6</v>
      </c>
      <c r="R860" s="7">
        <f>MONTH('data on outstanding creditors'!$B860)</f>
        <v>3</v>
      </c>
      <c r="S860" s="7">
        <f>YEAR('data on outstanding creditors'!$B860)</f>
        <v>2025</v>
      </c>
      <c r="T860" s="11" t="str">
        <f>'data on outstanding creditors'!$C860&amp;" "&amp;'data on outstanding creditors'!$D860&amp;" "&amp;TEXT('data on outstanding creditors'!$E860,"#,##0.00")</f>
        <v>หจก.ภิญโญฟาร์มาซี IV6811635 3,150.00</v>
      </c>
      <c r="U860" s="12"/>
    </row>
    <row r="861" ht="13.5" customHeight="1">
      <c r="A861" s="1"/>
      <c r="B861" s="2">
        <v>45723.0</v>
      </c>
      <c r="C861" s="9" t="s">
        <v>1243</v>
      </c>
      <c r="D861" s="1" t="s">
        <v>1366</v>
      </c>
      <c r="E861" s="4">
        <v>25000.0</v>
      </c>
      <c r="F861" s="4"/>
      <c r="G861" s="4"/>
      <c r="H861" s="4">
        <f>'data on outstanding creditors'!$E861-'data on outstanding creditors'!$F861-'data on outstanding creditors'!$G861</f>
        <v>25000</v>
      </c>
      <c r="I861" s="2"/>
      <c r="J861" s="1" t="s">
        <v>646</v>
      </c>
      <c r="K861" s="2">
        <v>45815.0</v>
      </c>
      <c r="L861" s="5"/>
      <c r="M861" s="9" t="s">
        <v>22</v>
      </c>
      <c r="N861" s="9" t="s">
        <v>23</v>
      </c>
      <c r="O861" s="10">
        <f>'data on outstanding creditors'!$E861*100/107</f>
        <v>23364.48598</v>
      </c>
      <c r="P861" s="10">
        <f>'data on outstanding creditors'!$E861-'data on outstanding creditors'!$O861</f>
        <v>1635.514019</v>
      </c>
      <c r="Q861" s="7">
        <f>DAY('data on outstanding creditors'!$B861)</f>
        <v>7</v>
      </c>
      <c r="R861" s="7">
        <f>MONTH('data on outstanding creditors'!$B861)</f>
        <v>3</v>
      </c>
      <c r="S861" s="7">
        <f>YEAR('data on outstanding creditors'!$B861)</f>
        <v>2025</v>
      </c>
      <c r="T861" s="11" t="str">
        <f>'data on outstanding creditors'!$C861&amp;" "&amp;'data on outstanding creditors'!$D861&amp;" "&amp;TEXT('data on outstanding creditors'!$E861,"#,##0.00")</f>
        <v>บ.วี.แอนด์.วี.กรุงเทพ 8103138133 25,000.00</v>
      </c>
      <c r="U861" s="12"/>
    </row>
    <row r="862" ht="13.5" customHeight="1">
      <c r="A862" s="1"/>
      <c r="B862" s="2">
        <v>45723.0</v>
      </c>
      <c r="C862" s="9" t="s">
        <v>1243</v>
      </c>
      <c r="D862" s="1" t="s">
        <v>1367</v>
      </c>
      <c r="E862" s="4">
        <v>25000.0</v>
      </c>
      <c r="F862" s="4"/>
      <c r="G862" s="4"/>
      <c r="H862" s="4">
        <f>'data on outstanding creditors'!$E862-'data on outstanding creditors'!$F862-'data on outstanding creditors'!$G862</f>
        <v>25000</v>
      </c>
      <c r="I862" s="2"/>
      <c r="J862" s="1" t="s">
        <v>646</v>
      </c>
      <c r="K862" s="2">
        <v>45815.0</v>
      </c>
      <c r="L862" s="5"/>
      <c r="M862" s="9" t="s">
        <v>22</v>
      </c>
      <c r="N862" s="9" t="s">
        <v>23</v>
      </c>
      <c r="O862" s="10">
        <f>'data on outstanding creditors'!$E862*100/107</f>
        <v>23364.48598</v>
      </c>
      <c r="P862" s="10">
        <f>'data on outstanding creditors'!$E862-'data on outstanding creditors'!$O862</f>
        <v>1635.514019</v>
      </c>
      <c r="Q862" s="7">
        <f>DAY('data on outstanding creditors'!$B862)</f>
        <v>7</v>
      </c>
      <c r="R862" s="7">
        <f>MONTH('data on outstanding creditors'!$B862)</f>
        <v>3</v>
      </c>
      <c r="S862" s="7">
        <f>YEAR('data on outstanding creditors'!$B862)</f>
        <v>2025</v>
      </c>
      <c r="T862" s="11" t="str">
        <f>'data on outstanding creditors'!$C862&amp;" "&amp;'data on outstanding creditors'!$D862&amp;" "&amp;TEXT('data on outstanding creditors'!$E862,"#,##0.00")</f>
        <v>บ.วี.แอนด์.วี.กรุงเทพ 8103197079 25,000.00</v>
      </c>
      <c r="U862" s="12"/>
    </row>
    <row r="863" ht="13.5" customHeight="1">
      <c r="A863" s="1"/>
      <c r="B863" s="2">
        <v>45723.0</v>
      </c>
      <c r="C863" s="9" t="s">
        <v>396</v>
      </c>
      <c r="D863" s="1" t="s">
        <v>1368</v>
      </c>
      <c r="E863" s="4">
        <v>27000.0</v>
      </c>
      <c r="F863" s="4"/>
      <c r="G863" s="4"/>
      <c r="H863" s="4">
        <f>'data on outstanding creditors'!$E863-'data on outstanding creditors'!$F863-'data on outstanding creditors'!$G863</f>
        <v>27000</v>
      </c>
      <c r="I863" s="2"/>
      <c r="J863" s="1" t="s">
        <v>757</v>
      </c>
      <c r="K863" s="2">
        <v>45783.0</v>
      </c>
      <c r="L863" s="5"/>
      <c r="M863" s="9" t="s">
        <v>22</v>
      </c>
      <c r="N863" s="9" t="s">
        <v>23</v>
      </c>
      <c r="O863" s="10">
        <f>'data on outstanding creditors'!$E863*100/107</f>
        <v>25233.64486</v>
      </c>
      <c r="P863" s="10">
        <f>'data on outstanding creditors'!$E863-'data on outstanding creditors'!$O863</f>
        <v>1766.35514</v>
      </c>
      <c r="Q863" s="7">
        <f>DAY('data on outstanding creditors'!$B863)</f>
        <v>7</v>
      </c>
      <c r="R863" s="7">
        <f>MONTH('data on outstanding creditors'!$B863)</f>
        <v>3</v>
      </c>
      <c r="S863" s="7">
        <f>YEAR('data on outstanding creditors'!$B863)</f>
        <v>2025</v>
      </c>
      <c r="T863" s="11" t="str">
        <f>'data on outstanding creditors'!$C863&amp;" "&amp;'data on outstanding creditors'!$D863&amp;" "&amp;TEXT('data on outstanding creditors'!$E863,"#,##0.00")</f>
        <v>บ.เยเนอรัล ฮอสปิตัล โปรดัคส์ 25IR00020019 27,000.00</v>
      </c>
      <c r="U863" s="12"/>
    </row>
    <row r="864" ht="13.5" customHeight="1">
      <c r="A864" s="1"/>
      <c r="B864" s="2">
        <v>45723.0</v>
      </c>
      <c r="C864" s="9" t="s">
        <v>1349</v>
      </c>
      <c r="D864" s="1" t="s">
        <v>1369</v>
      </c>
      <c r="E864" s="4">
        <v>5670.0</v>
      </c>
      <c r="F864" s="4"/>
      <c r="G864" s="4"/>
      <c r="H864" s="4">
        <f>'data on outstanding creditors'!$E864-'data on outstanding creditors'!$F864-'data on outstanding creditors'!$G864</f>
        <v>5670</v>
      </c>
      <c r="I864" s="2"/>
      <c r="J864" s="1" t="s">
        <v>646</v>
      </c>
      <c r="K864" s="2">
        <v>45843.0</v>
      </c>
      <c r="L864" s="5"/>
      <c r="M864" s="9" t="s">
        <v>22</v>
      </c>
      <c r="N864" s="9" t="s">
        <v>23</v>
      </c>
      <c r="O864" s="10">
        <f>'data on outstanding creditors'!$E864*100/107</f>
        <v>5299.065421</v>
      </c>
      <c r="P864" s="10">
        <f>'data on outstanding creditors'!$E864-'data on outstanding creditors'!$O864</f>
        <v>370.9345794</v>
      </c>
      <c r="Q864" s="7">
        <f>DAY('data on outstanding creditors'!$B864)</f>
        <v>7</v>
      </c>
      <c r="R864" s="7">
        <f>MONTH('data on outstanding creditors'!$B864)</f>
        <v>3</v>
      </c>
      <c r="S864" s="7">
        <f>YEAR('data on outstanding creditors'!$B864)</f>
        <v>2025</v>
      </c>
      <c r="T864" s="11" t="str">
        <f>'data on outstanding creditors'!$C864&amp;" "&amp;'data on outstanding creditors'!$D864&amp;" "&amp;TEXT('data on outstanding creditors'!$E864,"#,##0.00")</f>
        <v>บ.ฟาร์มาดิกา DIS250305-084 5,670.00</v>
      </c>
      <c r="U864" s="12"/>
    </row>
    <row r="865" ht="13.5" customHeight="1">
      <c r="A865" s="1"/>
      <c r="B865" s="2">
        <v>45726.0</v>
      </c>
      <c r="C865" s="9" t="s">
        <v>396</v>
      </c>
      <c r="D865" s="1" t="s">
        <v>1370</v>
      </c>
      <c r="E865" s="4">
        <v>43600.0</v>
      </c>
      <c r="F865" s="4"/>
      <c r="G865" s="4"/>
      <c r="H865" s="4">
        <f>'data on outstanding creditors'!$E865-'data on outstanding creditors'!$F865-'data on outstanding creditors'!$G865</f>
        <v>43600</v>
      </c>
      <c r="I865" s="2"/>
      <c r="J865" s="1" t="s">
        <v>757</v>
      </c>
      <c r="K865" s="2">
        <v>45783.0</v>
      </c>
      <c r="L865" s="5"/>
      <c r="M865" s="9" t="s">
        <v>22</v>
      </c>
      <c r="N865" s="9" t="s">
        <v>23</v>
      </c>
      <c r="O865" s="10">
        <f>'data on outstanding creditors'!$E865*100/107</f>
        <v>40747.66355</v>
      </c>
      <c r="P865" s="10">
        <f>'data on outstanding creditors'!$E865-'data on outstanding creditors'!$O865</f>
        <v>2852.336449</v>
      </c>
      <c r="Q865" s="7">
        <f>DAY('data on outstanding creditors'!$B865)</f>
        <v>10</v>
      </c>
      <c r="R865" s="7">
        <f>MONTH('data on outstanding creditors'!$B865)</f>
        <v>3</v>
      </c>
      <c r="S865" s="7">
        <f>YEAR('data on outstanding creditors'!$B865)</f>
        <v>2025</v>
      </c>
      <c r="T865" s="11" t="str">
        <f>'data on outstanding creditors'!$C865&amp;" "&amp;'data on outstanding creditors'!$D865&amp;" "&amp;TEXT('data on outstanding creditors'!$E865,"#,##0.00")</f>
        <v>บ.เยเนอรัล ฮอสปิตัล โปรดัคส์ 25IN08030567 43,600.00</v>
      </c>
      <c r="U865" s="12"/>
    </row>
    <row r="866" ht="13.5" customHeight="1">
      <c r="A866" s="1"/>
      <c r="B866" s="2">
        <v>45726.0</v>
      </c>
      <c r="C866" s="9" t="s">
        <v>1371</v>
      </c>
      <c r="D866" s="1" t="s">
        <v>1372</v>
      </c>
      <c r="E866" s="4">
        <v>38000.0</v>
      </c>
      <c r="F866" s="4"/>
      <c r="G866" s="4"/>
      <c r="H866" s="4">
        <f>'data on outstanding creditors'!$E866-'data on outstanding creditors'!$F866-'data on outstanding creditors'!$G866</f>
        <v>38000</v>
      </c>
      <c r="I866" s="2"/>
      <c r="J866" s="1" t="s">
        <v>646</v>
      </c>
      <c r="K866" s="2">
        <v>45877.0</v>
      </c>
      <c r="L866" s="5"/>
      <c r="M866" s="9" t="s">
        <v>22</v>
      </c>
      <c r="N866" s="9" t="s">
        <v>23</v>
      </c>
      <c r="O866" s="10">
        <f>'data on outstanding creditors'!$E866*100/107</f>
        <v>35514.01869</v>
      </c>
      <c r="P866" s="10">
        <f>'data on outstanding creditors'!$E866-'data on outstanding creditors'!$O866</f>
        <v>2485.981308</v>
      </c>
      <c r="Q866" s="7">
        <f>DAY('data on outstanding creditors'!$B866)</f>
        <v>10</v>
      </c>
      <c r="R866" s="7">
        <f>MONTH('data on outstanding creditors'!$B866)</f>
        <v>3</v>
      </c>
      <c r="S866" s="7">
        <f>YEAR('data on outstanding creditors'!$B866)</f>
        <v>2025</v>
      </c>
      <c r="T866" s="11" t="str">
        <f>'data on outstanding creditors'!$C866&amp;" "&amp;'data on outstanding creditors'!$D866&amp;" "&amp;TEXT('data on outstanding creditors'!$E866,"#,##0.00")</f>
        <v>บ.แอตแลนต้า เมดดิคแคร์ BI/225030157 38,000.00</v>
      </c>
      <c r="U866" s="12"/>
    </row>
    <row r="867" ht="13.5" customHeight="1">
      <c r="A867" s="1"/>
      <c r="B867" s="2">
        <v>45728.0</v>
      </c>
      <c r="C867" s="9" t="s">
        <v>1314</v>
      </c>
      <c r="D867" s="1" t="s">
        <v>1373</v>
      </c>
      <c r="E867" s="4">
        <v>24000.0</v>
      </c>
      <c r="F867" s="4"/>
      <c r="G867" s="4"/>
      <c r="H867" s="4">
        <f>'data on outstanding creditors'!$E867-'data on outstanding creditors'!$F867-'data on outstanding creditors'!$G867</f>
        <v>24000</v>
      </c>
      <c r="I867" s="2"/>
      <c r="J867" s="1" t="s">
        <v>646</v>
      </c>
      <c r="K867" s="2">
        <v>45877.0</v>
      </c>
      <c r="L867" s="5"/>
      <c r="M867" s="9" t="s">
        <v>22</v>
      </c>
      <c r="N867" s="9" t="s">
        <v>23</v>
      </c>
      <c r="O867" s="10">
        <f>'data on outstanding creditors'!$E867*100/107</f>
        <v>22429.90654</v>
      </c>
      <c r="P867" s="10">
        <f>'data on outstanding creditors'!$E867-'data on outstanding creditors'!$O867</f>
        <v>1570.093458</v>
      </c>
      <c r="Q867" s="7">
        <f>DAY('data on outstanding creditors'!$B867)</f>
        <v>12</v>
      </c>
      <c r="R867" s="7">
        <f>MONTH('data on outstanding creditors'!$B867)</f>
        <v>3</v>
      </c>
      <c r="S867" s="7">
        <f>YEAR('data on outstanding creditors'!$B867)</f>
        <v>2025</v>
      </c>
      <c r="T867" s="11" t="str">
        <f>'data on outstanding creditors'!$C867&amp;" "&amp;'data on outstanding creditors'!$D867&amp;" "&amp;TEXT('data on outstanding creditors'!$E867,"#,##0.00")</f>
        <v>บ.บูรพา ฟาร์มา DSP6800553 24,000.00</v>
      </c>
      <c r="U867" s="12"/>
    </row>
    <row r="868" ht="13.5" customHeight="1">
      <c r="A868" s="1"/>
      <c r="B868" s="2">
        <v>45728.0</v>
      </c>
      <c r="C868" s="9" t="s">
        <v>1243</v>
      </c>
      <c r="D868" s="1" t="s">
        <v>1374</v>
      </c>
      <c r="E868" s="4">
        <v>15000.0</v>
      </c>
      <c r="F868" s="4"/>
      <c r="G868" s="4"/>
      <c r="H868" s="4">
        <f>'data on outstanding creditors'!$E868-'data on outstanding creditors'!$F868-'data on outstanding creditors'!$G868</f>
        <v>15000</v>
      </c>
      <c r="I868" s="2"/>
      <c r="J868" s="1" t="s">
        <v>757</v>
      </c>
      <c r="K868" s="2">
        <v>45810.0</v>
      </c>
      <c r="L868" s="5"/>
      <c r="M868" s="9" t="s">
        <v>22</v>
      </c>
      <c r="N868" s="9" t="s">
        <v>23</v>
      </c>
      <c r="O868" s="10">
        <f>'data on outstanding creditors'!$E868*100/107</f>
        <v>14018.69159</v>
      </c>
      <c r="P868" s="10">
        <f>'data on outstanding creditors'!$E868-'data on outstanding creditors'!$O868</f>
        <v>981.3084112</v>
      </c>
      <c r="Q868" s="7">
        <f>DAY('data on outstanding creditors'!$B868)</f>
        <v>12</v>
      </c>
      <c r="R868" s="7">
        <f>MONTH('data on outstanding creditors'!$B868)</f>
        <v>3</v>
      </c>
      <c r="S868" s="7">
        <f>YEAR('data on outstanding creditors'!$B868)</f>
        <v>2025</v>
      </c>
      <c r="T868" s="11" t="str">
        <f>'data on outstanding creditors'!$C868&amp;" "&amp;'data on outstanding creditors'!$D868&amp;" "&amp;TEXT('data on outstanding creditors'!$E868,"#,##0.00")</f>
        <v>บ.วี.แอนด์.วี.กรุงเทพ 8103203101 15,000.00</v>
      </c>
      <c r="U868" s="12"/>
    </row>
    <row r="869" ht="13.5" customHeight="1">
      <c r="A869" s="1"/>
      <c r="B869" s="2">
        <v>45728.0</v>
      </c>
      <c r="C869" s="9" t="s">
        <v>763</v>
      </c>
      <c r="D869" s="1" t="s">
        <v>1375</v>
      </c>
      <c r="E869" s="4">
        <v>17250.0</v>
      </c>
      <c r="F869" s="4"/>
      <c r="G869" s="4"/>
      <c r="H869" s="4">
        <f>'data on outstanding creditors'!$E869-'data on outstanding creditors'!$F869-'data on outstanding creditors'!$G869</f>
        <v>17250</v>
      </c>
      <c r="I869" s="2"/>
      <c r="J869" s="1" t="s">
        <v>646</v>
      </c>
      <c r="K869" s="2">
        <v>45894.0</v>
      </c>
      <c r="L869" s="5"/>
      <c r="M869" s="9" t="s">
        <v>22</v>
      </c>
      <c r="N869" s="9" t="s">
        <v>23</v>
      </c>
      <c r="O869" s="10">
        <f>'data on outstanding creditors'!$E869*100/107</f>
        <v>16121.49533</v>
      </c>
      <c r="P869" s="10">
        <f>'data on outstanding creditors'!$E869-'data on outstanding creditors'!$O869</f>
        <v>1128.504673</v>
      </c>
      <c r="Q869" s="7">
        <f>DAY('data on outstanding creditors'!$B869)</f>
        <v>12</v>
      </c>
      <c r="R869" s="7">
        <f>MONTH('data on outstanding creditors'!$B869)</f>
        <v>3</v>
      </c>
      <c r="S869" s="7">
        <f>YEAR('data on outstanding creditors'!$B869)</f>
        <v>2025</v>
      </c>
      <c r="T869" s="11" t="str">
        <f>'data on outstanding creditors'!$C869&amp;" "&amp;'data on outstanding creditors'!$D869&amp;" "&amp;TEXT('data on outstanding creditors'!$E869,"#,##0.00")</f>
        <v>บ.อัลลายแอนซ์ ฟาร์มา B26803065 17,250.00</v>
      </c>
      <c r="U869" s="12"/>
    </row>
    <row r="870" ht="13.5" customHeight="1">
      <c r="A870" s="1"/>
      <c r="B870" s="2">
        <v>45729.0</v>
      </c>
      <c r="C870" s="9" t="s">
        <v>771</v>
      </c>
      <c r="D870" s="1" t="s">
        <v>1376</v>
      </c>
      <c r="E870" s="4">
        <v>82000.0</v>
      </c>
      <c r="F870" s="4"/>
      <c r="G870" s="4"/>
      <c r="H870" s="4">
        <f>'data on outstanding creditors'!$E870-'data on outstanding creditors'!$F870-'data on outstanding creditors'!$G870</f>
        <v>82000</v>
      </c>
      <c r="I870" s="2"/>
      <c r="J870" s="1" t="s">
        <v>646</v>
      </c>
      <c r="K870" s="2">
        <v>45827.0</v>
      </c>
      <c r="L870" s="5"/>
      <c r="M870" s="9" t="s">
        <v>22</v>
      </c>
      <c r="N870" s="9" t="s">
        <v>23</v>
      </c>
      <c r="O870" s="10">
        <f>'data on outstanding creditors'!$E870*100/107</f>
        <v>76635.51402</v>
      </c>
      <c r="P870" s="10">
        <f>'data on outstanding creditors'!$E870-'data on outstanding creditors'!$O870</f>
        <v>5364.485981</v>
      </c>
      <c r="Q870" s="7">
        <f>DAY('data on outstanding creditors'!$B870)</f>
        <v>13</v>
      </c>
      <c r="R870" s="7">
        <f>MONTH('data on outstanding creditors'!$B870)</f>
        <v>3</v>
      </c>
      <c r="S870" s="7">
        <f>YEAR('data on outstanding creditors'!$B870)</f>
        <v>2025</v>
      </c>
      <c r="T870" s="11" t="str">
        <f>'data on outstanding creditors'!$C870&amp;" "&amp;'data on outstanding creditors'!$D870&amp;" "&amp;TEXT('data on outstanding creditors'!$E870,"#,##0.00")</f>
        <v>หจก.ภิญโญฟาร์มาซี IV6813142 82,000.00</v>
      </c>
      <c r="U870" s="12"/>
    </row>
    <row r="871" ht="13.5" customHeight="1">
      <c r="A871" s="1"/>
      <c r="B871" s="2">
        <v>45729.0</v>
      </c>
      <c r="C871" s="9" t="s">
        <v>1232</v>
      </c>
      <c r="D871" s="1" t="s">
        <v>1377</v>
      </c>
      <c r="E871" s="4">
        <v>4500.0</v>
      </c>
      <c r="F871" s="4"/>
      <c r="G871" s="4"/>
      <c r="H871" s="4">
        <f>'data on outstanding creditors'!$E871-'data on outstanding creditors'!$F871-'data on outstanding creditors'!$G871</f>
        <v>4500</v>
      </c>
      <c r="I871" s="2"/>
      <c r="J871" s="1" t="s">
        <v>646</v>
      </c>
      <c r="K871" s="2">
        <v>45843.0</v>
      </c>
      <c r="L871" s="5"/>
      <c r="M871" s="9" t="s">
        <v>22</v>
      </c>
      <c r="N871" s="9" t="s">
        <v>23</v>
      </c>
      <c r="O871" s="10">
        <f>'data on outstanding creditors'!$E871*100/107</f>
        <v>4205.607477</v>
      </c>
      <c r="P871" s="10">
        <f>'data on outstanding creditors'!$E871-'data on outstanding creditors'!$O871</f>
        <v>294.3925234</v>
      </c>
      <c r="Q871" s="7">
        <f>DAY('data on outstanding creditors'!$B871)</f>
        <v>13</v>
      </c>
      <c r="R871" s="7">
        <f>MONTH('data on outstanding creditors'!$B871)</f>
        <v>3</v>
      </c>
      <c r="S871" s="7">
        <f>YEAR('data on outstanding creditors'!$B871)</f>
        <v>2025</v>
      </c>
      <c r="T871" s="11" t="str">
        <f>'data on outstanding creditors'!$C871&amp;" "&amp;'data on outstanding creditors'!$D871&amp;" "&amp;TEXT('data on outstanding creditors'!$E871,"#,##0.00")</f>
        <v>บ.มาสุ 254094 4,500.00</v>
      </c>
      <c r="U871" s="12"/>
    </row>
    <row r="872" ht="13.5" customHeight="1">
      <c r="A872" s="1"/>
      <c r="B872" s="2">
        <v>45729.0</v>
      </c>
      <c r="C872" s="9" t="s">
        <v>263</v>
      </c>
      <c r="D872" s="1" t="s">
        <v>1378</v>
      </c>
      <c r="E872" s="4">
        <v>37500.0</v>
      </c>
      <c r="F872" s="4"/>
      <c r="G872" s="4"/>
      <c r="H872" s="4">
        <f>'data on outstanding creditors'!$E872-'data on outstanding creditors'!$F872-'data on outstanding creditors'!$G872</f>
        <v>37500</v>
      </c>
      <c r="I872" s="2"/>
      <c r="J872" s="1" t="s">
        <v>646</v>
      </c>
      <c r="K872" s="2">
        <v>45928.0</v>
      </c>
      <c r="L872" s="5"/>
      <c r="M872" s="9" t="s">
        <v>22</v>
      </c>
      <c r="N872" s="9" t="s">
        <v>23</v>
      </c>
      <c r="O872" s="10">
        <f>'data on outstanding creditors'!$E872*100/107</f>
        <v>35046.72897</v>
      </c>
      <c r="P872" s="10">
        <f>'data on outstanding creditors'!$E872-'data on outstanding creditors'!$O872</f>
        <v>2453.271028</v>
      </c>
      <c r="Q872" s="7">
        <f>DAY('data on outstanding creditors'!$B872)</f>
        <v>13</v>
      </c>
      <c r="R872" s="7">
        <f>MONTH('data on outstanding creditors'!$B872)</f>
        <v>3</v>
      </c>
      <c r="S872" s="7">
        <f>YEAR('data on outstanding creditors'!$B872)</f>
        <v>2025</v>
      </c>
      <c r="T872" s="11" t="str">
        <f>'data on outstanding creditors'!$C872&amp;" "&amp;'data on outstanding creditors'!$D872&amp;" "&amp;TEXT('data on outstanding creditors'!$E872,"#,##0.00")</f>
        <v>บ.เอเบิ้ล เมดิคอล B2503/0128 37,500.00</v>
      </c>
      <c r="U872" s="12"/>
    </row>
    <row r="873" ht="13.5" customHeight="1">
      <c r="A873" s="1"/>
      <c r="B873" s="2">
        <v>45729.0</v>
      </c>
      <c r="C873" s="9" t="s">
        <v>1265</v>
      </c>
      <c r="D873" s="1" t="s">
        <v>1379</v>
      </c>
      <c r="E873" s="4">
        <v>10200.0</v>
      </c>
      <c r="F873" s="4"/>
      <c r="G873" s="4"/>
      <c r="H873" s="4">
        <f>'data on outstanding creditors'!$E873-'data on outstanding creditors'!$F873-'data on outstanding creditors'!$G873</f>
        <v>10200</v>
      </c>
      <c r="I873" s="2"/>
      <c r="J873" s="1" t="s">
        <v>646</v>
      </c>
      <c r="K873" s="2">
        <v>45827.0</v>
      </c>
      <c r="L873" s="5"/>
      <c r="M873" s="9" t="s">
        <v>22</v>
      </c>
      <c r="N873" s="9" t="s">
        <v>23</v>
      </c>
      <c r="O873" s="10">
        <f>'data on outstanding creditors'!$E873*100/107</f>
        <v>9532.71028</v>
      </c>
      <c r="P873" s="10">
        <f>'data on outstanding creditors'!$E873-'data on outstanding creditors'!$O873</f>
        <v>667.2897196</v>
      </c>
      <c r="Q873" s="7">
        <f>DAY('data on outstanding creditors'!$B873)</f>
        <v>13</v>
      </c>
      <c r="R873" s="7">
        <f>MONTH('data on outstanding creditors'!$B873)</f>
        <v>3</v>
      </c>
      <c r="S873" s="7">
        <f>YEAR('data on outstanding creditors'!$B873)</f>
        <v>2025</v>
      </c>
      <c r="T873" s="11" t="str">
        <f>'data on outstanding creditors'!$C873&amp;" "&amp;'data on outstanding creditors'!$D873&amp;" "&amp;TEXT('data on outstanding creditors'!$E873,"#,##0.00")</f>
        <v>บ.แอล.บี.เอส.แลบบอเรตอรี่ 862387 10,200.00</v>
      </c>
      <c r="U873" s="12"/>
    </row>
    <row r="874" ht="13.5" customHeight="1">
      <c r="A874" s="1"/>
      <c r="B874" s="2">
        <v>45730.0</v>
      </c>
      <c r="C874" s="9" t="s">
        <v>771</v>
      </c>
      <c r="D874" s="1" t="s">
        <v>1380</v>
      </c>
      <c r="E874" s="4">
        <v>24000.0</v>
      </c>
      <c r="F874" s="4"/>
      <c r="G874" s="4"/>
      <c r="H874" s="4">
        <f>'data on outstanding creditors'!$E874-'data on outstanding creditors'!$F874-'data on outstanding creditors'!$G874</f>
        <v>24000</v>
      </c>
      <c r="I874" s="2"/>
      <c r="J874" s="1" t="s">
        <v>646</v>
      </c>
      <c r="K874" s="2">
        <v>45827.0</v>
      </c>
      <c r="L874" s="5"/>
      <c r="M874" s="9" t="s">
        <v>22</v>
      </c>
      <c r="N874" s="9" t="s">
        <v>23</v>
      </c>
      <c r="O874" s="10">
        <f>'data on outstanding creditors'!$E874*100/107</f>
        <v>22429.90654</v>
      </c>
      <c r="P874" s="10">
        <f>'data on outstanding creditors'!$E874-'data on outstanding creditors'!$O874</f>
        <v>1570.093458</v>
      </c>
      <c r="Q874" s="7">
        <f>DAY('data on outstanding creditors'!$B874)</f>
        <v>14</v>
      </c>
      <c r="R874" s="7">
        <f>MONTH('data on outstanding creditors'!$B874)</f>
        <v>3</v>
      </c>
      <c r="S874" s="7">
        <f>YEAR('data on outstanding creditors'!$B874)</f>
        <v>2025</v>
      </c>
      <c r="T874" s="11" t="str">
        <f>'data on outstanding creditors'!$C874&amp;" "&amp;'data on outstanding creditors'!$D874&amp;" "&amp;TEXT('data on outstanding creditors'!$E874,"#,##0.00")</f>
        <v>หจก.ภิญโญฟาร์มาซี IV6813288 24,000.00</v>
      </c>
      <c r="U874" s="12"/>
    </row>
    <row r="875" ht="13.5" customHeight="1">
      <c r="A875" s="1"/>
      <c r="B875" s="2">
        <v>45734.0</v>
      </c>
      <c r="C875" s="9" t="s">
        <v>1381</v>
      </c>
      <c r="D875" s="1" t="s">
        <v>1382</v>
      </c>
      <c r="E875" s="4">
        <v>43200.0</v>
      </c>
      <c r="F875" s="4"/>
      <c r="G875" s="4"/>
      <c r="H875" s="4">
        <f>'data on outstanding creditors'!$E875-'data on outstanding creditors'!$F875-'data on outstanding creditors'!$G875</f>
        <v>43200</v>
      </c>
      <c r="I875" s="2"/>
      <c r="J875" s="1" t="s">
        <v>646</v>
      </c>
      <c r="K875" s="2">
        <v>45877.0</v>
      </c>
      <c r="L875" s="5"/>
      <c r="M875" s="9" t="s">
        <v>22</v>
      </c>
      <c r="N875" s="9" t="s">
        <v>23</v>
      </c>
      <c r="O875" s="10">
        <f>'data on outstanding creditors'!$E875*100/107</f>
        <v>40373.83178</v>
      </c>
      <c r="P875" s="10">
        <f>'data on outstanding creditors'!$E875-'data on outstanding creditors'!$O875</f>
        <v>2826.168224</v>
      </c>
      <c r="Q875" s="7">
        <f>DAY('data on outstanding creditors'!$B875)</f>
        <v>18</v>
      </c>
      <c r="R875" s="7">
        <f>MONTH('data on outstanding creditors'!$B875)</f>
        <v>3</v>
      </c>
      <c r="S875" s="7">
        <f>YEAR('data on outstanding creditors'!$B875)</f>
        <v>2025</v>
      </c>
      <c r="T875" s="11" t="str">
        <f>'data on outstanding creditors'!$C875&amp;" "&amp;'data on outstanding creditors'!$D875&amp;" "&amp;TEXT('data on outstanding creditors'!$E875,"#,##0.00")</f>
        <v>บ.ที เอ็น พี เฮลท์แคร์ 8103205168 43,200.00</v>
      </c>
      <c r="U875" s="12"/>
    </row>
    <row r="876" ht="13.5" customHeight="1">
      <c r="A876" s="1"/>
      <c r="B876" s="2">
        <v>45734.0</v>
      </c>
      <c r="C876" s="9" t="s">
        <v>1383</v>
      </c>
      <c r="D876" s="1" t="s">
        <v>1384</v>
      </c>
      <c r="E876" s="4">
        <v>37500.0</v>
      </c>
      <c r="F876" s="4"/>
      <c r="G876" s="4"/>
      <c r="H876" s="4">
        <f>'data on outstanding creditors'!$E876-'data on outstanding creditors'!$F876-'data on outstanding creditors'!$G876</f>
        <v>37500</v>
      </c>
      <c r="I876" s="2"/>
      <c r="J876" s="1" t="s">
        <v>757</v>
      </c>
      <c r="K876" s="2">
        <v>45810.0</v>
      </c>
      <c r="L876" s="5"/>
      <c r="M876" s="9" t="s">
        <v>22</v>
      </c>
      <c r="N876" s="9" t="s">
        <v>23</v>
      </c>
      <c r="O876" s="10">
        <f>'data on outstanding creditors'!$E876*100/107</f>
        <v>35046.72897</v>
      </c>
      <c r="P876" s="10">
        <f>'data on outstanding creditors'!$E876-'data on outstanding creditors'!$O876</f>
        <v>2453.271028</v>
      </c>
      <c r="Q876" s="7">
        <f>DAY('data on outstanding creditors'!$B876)</f>
        <v>18</v>
      </c>
      <c r="R876" s="7">
        <f>MONTH('data on outstanding creditors'!$B876)</f>
        <v>3</v>
      </c>
      <c r="S876" s="7">
        <f>YEAR('data on outstanding creditors'!$B876)</f>
        <v>2025</v>
      </c>
      <c r="T876" s="11" t="str">
        <f>'data on outstanding creditors'!$C876&amp;" "&amp;'data on outstanding creditors'!$D876&amp;" "&amp;TEXT('data on outstanding creditors'!$E876,"#,##0.00")</f>
        <v>บ.ยูเมด้า 315066 37,500.00</v>
      </c>
      <c r="U876" s="12"/>
    </row>
    <row r="877" ht="13.5" customHeight="1">
      <c r="A877" s="1"/>
      <c r="B877" s="2">
        <v>45734.0</v>
      </c>
      <c r="C877" s="9" t="s">
        <v>1234</v>
      </c>
      <c r="D877" s="1" t="s">
        <v>1385</v>
      </c>
      <c r="E877" s="4">
        <v>8800.0</v>
      </c>
      <c r="F877" s="4"/>
      <c r="G877" s="4"/>
      <c r="H877" s="4">
        <f>'data on outstanding creditors'!$E877-'data on outstanding creditors'!$F877-'data on outstanding creditors'!$G877</f>
        <v>8800</v>
      </c>
      <c r="I877" s="2"/>
      <c r="J877" s="1" t="s">
        <v>646</v>
      </c>
      <c r="K877" s="2">
        <v>45877.0</v>
      </c>
      <c r="L877" s="5"/>
      <c r="M877" s="9" t="s">
        <v>22</v>
      </c>
      <c r="N877" s="9" t="s">
        <v>23</v>
      </c>
      <c r="O877" s="10">
        <f>'data on outstanding creditors'!$E877*100/107</f>
        <v>8224.299065</v>
      </c>
      <c r="P877" s="10">
        <f>'data on outstanding creditors'!$E877-'data on outstanding creditors'!$O877</f>
        <v>575.7009346</v>
      </c>
      <c r="Q877" s="7">
        <f>DAY('data on outstanding creditors'!$B877)</f>
        <v>18</v>
      </c>
      <c r="R877" s="7">
        <f>MONTH('data on outstanding creditors'!$B877)</f>
        <v>3</v>
      </c>
      <c r="S877" s="7">
        <f>YEAR('data on outstanding creditors'!$B877)</f>
        <v>2025</v>
      </c>
      <c r="T877" s="11" t="str">
        <f>'data on outstanding creditors'!$C877&amp;" "&amp;'data on outstanding creditors'!$D877&amp;" "&amp;TEXT('data on outstanding creditors'!$E877,"#,##0.00")</f>
        <v>บ.คอนติเนนเติล-ฟาร์ม 250300632 8,800.00</v>
      </c>
      <c r="U877" s="12"/>
    </row>
    <row r="878" ht="13.5" customHeight="1">
      <c r="A878" s="1"/>
      <c r="B878" s="2">
        <v>45734.0</v>
      </c>
      <c r="C878" s="9" t="s">
        <v>1386</v>
      </c>
      <c r="D878" s="1" t="s">
        <v>1387</v>
      </c>
      <c r="E878" s="4">
        <v>11400.0</v>
      </c>
      <c r="F878" s="4"/>
      <c r="G878" s="4"/>
      <c r="H878" s="4">
        <f>'data on outstanding creditors'!$E878-'data on outstanding creditors'!$F878-'data on outstanding creditors'!$G878</f>
        <v>11400</v>
      </c>
      <c r="I878" s="2"/>
      <c r="J878" s="1" t="s">
        <v>646</v>
      </c>
      <c r="K878" s="2">
        <v>45906.0</v>
      </c>
      <c r="L878" s="5"/>
      <c r="M878" s="9" t="s">
        <v>22</v>
      </c>
      <c r="N878" s="9" t="s">
        <v>23</v>
      </c>
      <c r="O878" s="10">
        <f>'data on outstanding creditors'!$E878*100/107</f>
        <v>10654.20561</v>
      </c>
      <c r="P878" s="10">
        <f>'data on outstanding creditors'!$E878-'data on outstanding creditors'!$O878</f>
        <v>745.7943925</v>
      </c>
      <c r="Q878" s="7">
        <f>DAY('data on outstanding creditors'!$B878)</f>
        <v>18</v>
      </c>
      <c r="R878" s="7">
        <f>MONTH('data on outstanding creditors'!$B878)</f>
        <v>3</v>
      </c>
      <c r="S878" s="7">
        <f>YEAR('data on outstanding creditors'!$B878)</f>
        <v>2025</v>
      </c>
      <c r="T878" s="11" t="str">
        <f>'data on outstanding creditors'!$C878&amp;" "&amp;'data on outstanding creditors'!$D878&amp;" "&amp;TEXT('data on outstanding creditors'!$E878,"#,##0.00")</f>
        <v>บ.ฟาร์ม่า อินโนวา 6801508 11,400.00</v>
      </c>
      <c r="U878" s="12"/>
    </row>
    <row r="879" ht="13.5" customHeight="1">
      <c r="A879" s="1"/>
      <c r="B879" s="2">
        <v>45734.0</v>
      </c>
      <c r="C879" s="9" t="s">
        <v>1232</v>
      </c>
      <c r="D879" s="1" t="s">
        <v>1388</v>
      </c>
      <c r="E879" s="4">
        <v>20000.0</v>
      </c>
      <c r="F879" s="4"/>
      <c r="G879" s="4"/>
      <c r="H879" s="4">
        <f>'data on outstanding creditors'!$E879-'data on outstanding creditors'!$F879-'data on outstanding creditors'!$G879</f>
        <v>20000</v>
      </c>
      <c r="I879" s="2"/>
      <c r="J879" s="1" t="s">
        <v>646</v>
      </c>
      <c r="K879" s="2">
        <v>45843.0</v>
      </c>
      <c r="L879" s="5"/>
      <c r="M879" s="9" t="s">
        <v>22</v>
      </c>
      <c r="N879" s="9" t="s">
        <v>23</v>
      </c>
      <c r="O879" s="10">
        <f>'data on outstanding creditors'!$E879*100/107</f>
        <v>18691.58879</v>
      </c>
      <c r="P879" s="10">
        <f>'data on outstanding creditors'!$E879-'data on outstanding creditors'!$O879</f>
        <v>1308.411215</v>
      </c>
      <c r="Q879" s="7">
        <f>DAY('data on outstanding creditors'!$B879)</f>
        <v>18</v>
      </c>
      <c r="R879" s="7">
        <f>MONTH('data on outstanding creditors'!$B879)</f>
        <v>3</v>
      </c>
      <c r="S879" s="7">
        <f>YEAR('data on outstanding creditors'!$B879)</f>
        <v>2025</v>
      </c>
      <c r="T879" s="11" t="str">
        <f>'data on outstanding creditors'!$C879&amp;" "&amp;'data on outstanding creditors'!$D879&amp;" "&amp;TEXT('data on outstanding creditors'!$E879,"#,##0.00")</f>
        <v>บ.มาสุ 254262 20,000.00</v>
      </c>
      <c r="U879" s="12"/>
    </row>
    <row r="880" ht="13.5" customHeight="1">
      <c r="A880" s="1"/>
      <c r="B880" s="2">
        <v>45734.0</v>
      </c>
      <c r="C880" s="9" t="s">
        <v>263</v>
      </c>
      <c r="D880" s="1" t="s">
        <v>1389</v>
      </c>
      <c r="E880" s="4">
        <v>78000.0</v>
      </c>
      <c r="F880" s="4"/>
      <c r="G880" s="4"/>
      <c r="H880" s="4">
        <f>'data on outstanding creditors'!$E880-'data on outstanding creditors'!$F880-'data on outstanding creditors'!$G880</f>
        <v>78000</v>
      </c>
      <c r="I880" s="2"/>
      <c r="J880" s="1" t="s">
        <v>646</v>
      </c>
      <c r="K880" s="2">
        <v>45928.0</v>
      </c>
      <c r="L880" s="5"/>
      <c r="M880" s="9" t="s">
        <v>22</v>
      </c>
      <c r="N880" s="9" t="s">
        <v>23</v>
      </c>
      <c r="O880" s="10">
        <f>'data on outstanding creditors'!$E880*100/107</f>
        <v>72897.19626</v>
      </c>
      <c r="P880" s="10">
        <f>'data on outstanding creditors'!$E880-'data on outstanding creditors'!$O880</f>
        <v>5102.803738</v>
      </c>
      <c r="Q880" s="7">
        <f>DAY('data on outstanding creditors'!$B880)</f>
        <v>18</v>
      </c>
      <c r="R880" s="7">
        <f>MONTH('data on outstanding creditors'!$B880)</f>
        <v>3</v>
      </c>
      <c r="S880" s="7">
        <f>YEAR('data on outstanding creditors'!$B880)</f>
        <v>2025</v>
      </c>
      <c r="T880" s="11" t="str">
        <f>'data on outstanding creditors'!$C880&amp;" "&amp;'data on outstanding creditors'!$D880&amp;" "&amp;TEXT('data on outstanding creditors'!$E880,"#,##0.00")</f>
        <v>บ.เอเบิ้ล เมดิคอล B2503/0213 78,000.00</v>
      </c>
      <c r="U880" s="12"/>
    </row>
    <row r="881" ht="13.5" customHeight="1">
      <c r="A881" s="1"/>
      <c r="B881" s="2">
        <v>45734.0</v>
      </c>
      <c r="C881" s="9" t="s">
        <v>263</v>
      </c>
      <c r="D881" s="1" t="s">
        <v>1390</v>
      </c>
      <c r="E881" s="4">
        <v>50000.0</v>
      </c>
      <c r="F881" s="4"/>
      <c r="G881" s="4"/>
      <c r="H881" s="4">
        <f>'data on outstanding creditors'!$E881-'data on outstanding creditors'!$F881-'data on outstanding creditors'!$G881</f>
        <v>50000</v>
      </c>
      <c r="I881" s="2"/>
      <c r="J881" s="1" t="s">
        <v>646</v>
      </c>
      <c r="K881" s="2">
        <v>45928.0</v>
      </c>
      <c r="L881" s="5"/>
      <c r="M881" s="9" t="s">
        <v>22</v>
      </c>
      <c r="N881" s="9" t="s">
        <v>23</v>
      </c>
      <c r="O881" s="10">
        <f>'data on outstanding creditors'!$E881*100/107</f>
        <v>46728.97196</v>
      </c>
      <c r="P881" s="10">
        <f>'data on outstanding creditors'!$E881-'data on outstanding creditors'!$O881</f>
        <v>3271.028037</v>
      </c>
      <c r="Q881" s="7">
        <f>DAY('data on outstanding creditors'!$B881)</f>
        <v>18</v>
      </c>
      <c r="R881" s="7">
        <f>MONTH('data on outstanding creditors'!$B881)</f>
        <v>3</v>
      </c>
      <c r="S881" s="7">
        <f>YEAR('data on outstanding creditors'!$B881)</f>
        <v>2025</v>
      </c>
      <c r="T881" s="11" t="str">
        <f>'data on outstanding creditors'!$C881&amp;" "&amp;'data on outstanding creditors'!$D881&amp;" "&amp;TEXT('data on outstanding creditors'!$E881,"#,##0.00")</f>
        <v>บ.เอเบิ้ล เมดิคอล M2503/0160 50,000.00</v>
      </c>
      <c r="U881" s="12"/>
    </row>
    <row r="882" ht="13.5" customHeight="1">
      <c r="A882" s="1"/>
      <c r="B882" s="2">
        <v>45734.0</v>
      </c>
      <c r="C882" s="9" t="s">
        <v>1391</v>
      </c>
      <c r="D882" s="1" t="s">
        <v>1392</v>
      </c>
      <c r="E882" s="4">
        <v>11750.0</v>
      </c>
      <c r="F882" s="4"/>
      <c r="G882" s="4"/>
      <c r="H882" s="4">
        <f>'data on outstanding creditors'!$E882-'data on outstanding creditors'!$F882-'data on outstanding creditors'!$G882</f>
        <v>11750</v>
      </c>
      <c r="I882" s="2"/>
      <c r="J882" s="1" t="s">
        <v>646</v>
      </c>
      <c r="K882" s="2">
        <v>45928.0</v>
      </c>
      <c r="L882" s="5"/>
      <c r="M882" s="9" t="s">
        <v>22</v>
      </c>
      <c r="N882" s="9" t="s">
        <v>23</v>
      </c>
      <c r="O882" s="10">
        <f>'data on outstanding creditors'!$E882*100/107</f>
        <v>10981.30841</v>
      </c>
      <c r="P882" s="10">
        <f>'data on outstanding creditors'!$E882-'data on outstanding creditors'!$O882</f>
        <v>768.6915888</v>
      </c>
      <c r="Q882" s="7">
        <f>DAY('data on outstanding creditors'!$B882)</f>
        <v>18</v>
      </c>
      <c r="R882" s="7">
        <f>MONTH('data on outstanding creditors'!$B882)</f>
        <v>3</v>
      </c>
      <c r="S882" s="7">
        <f>YEAR('data on outstanding creditors'!$B882)</f>
        <v>2025</v>
      </c>
      <c r="T882" s="11" t="str">
        <f>'data on outstanding creditors'!$C882&amp;" "&amp;'data on outstanding creditors'!$D882&amp;" "&amp;TEXT('data on outstanding creditors'!$E882,"#,##0.00")</f>
        <v>บ.ที.พี.ดรัก แลบบอราทอรี่ส์ VIV125030892 11,750.00</v>
      </c>
      <c r="U882" s="12"/>
    </row>
    <row r="883" ht="13.5" customHeight="1">
      <c r="A883" s="1"/>
      <c r="B883" s="2">
        <v>45734.0</v>
      </c>
      <c r="C883" s="9" t="s">
        <v>884</v>
      </c>
      <c r="D883" s="1" t="s">
        <v>1393</v>
      </c>
      <c r="E883" s="4">
        <v>36500.0</v>
      </c>
      <c r="F883" s="4"/>
      <c r="G883" s="4"/>
      <c r="H883" s="4">
        <f>'data on outstanding creditors'!$E883-'data on outstanding creditors'!$F883-'data on outstanding creditors'!$G883</f>
        <v>36500</v>
      </c>
      <c r="I883" s="2"/>
      <c r="J883" s="1" t="s">
        <v>646</v>
      </c>
      <c r="K883" s="2">
        <v>45843.0</v>
      </c>
      <c r="L883" s="5"/>
      <c r="M883" s="9" t="s">
        <v>22</v>
      </c>
      <c r="N883" s="9" t="s">
        <v>23</v>
      </c>
      <c r="O883" s="10">
        <f>'data on outstanding creditors'!$E883*100/107</f>
        <v>34112.14953</v>
      </c>
      <c r="P883" s="10">
        <f>'data on outstanding creditors'!$E883-'data on outstanding creditors'!$O883</f>
        <v>2387.850467</v>
      </c>
      <c r="Q883" s="7">
        <f>DAY('data on outstanding creditors'!$B883)</f>
        <v>18</v>
      </c>
      <c r="R883" s="7">
        <f>MONTH('data on outstanding creditors'!$B883)</f>
        <v>3</v>
      </c>
      <c r="S883" s="7">
        <f>YEAR('data on outstanding creditors'!$B883)</f>
        <v>2025</v>
      </c>
      <c r="T883" s="11" t="str">
        <f>'data on outstanding creditors'!$C883&amp;" "&amp;'data on outstanding creditors'!$D883&amp;" "&amp;TEXT('data on outstanding creditors'!$E883,"#,##0.00")</f>
        <v>บ.เอสพีเอส เมดิคอล 112503002455 36,500.00</v>
      </c>
      <c r="U883" s="12"/>
    </row>
    <row r="884" ht="13.5" customHeight="1">
      <c r="A884" s="1"/>
      <c r="B884" s="2">
        <v>45734.0</v>
      </c>
      <c r="C884" s="9" t="s">
        <v>922</v>
      </c>
      <c r="D884" s="1" t="s">
        <v>1394</v>
      </c>
      <c r="E884" s="4">
        <v>80000.0</v>
      </c>
      <c r="F884" s="4"/>
      <c r="G884" s="4"/>
      <c r="H884" s="4">
        <f>'data on outstanding creditors'!$E884-'data on outstanding creditors'!$F884-'data on outstanding creditors'!$G884</f>
        <v>80000</v>
      </c>
      <c r="I884" s="2"/>
      <c r="J884" s="1" t="s">
        <v>646</v>
      </c>
      <c r="K884" s="2">
        <v>45815.0</v>
      </c>
      <c r="L884" s="5"/>
      <c r="M884" s="9" t="s">
        <v>22</v>
      </c>
      <c r="N884" s="9" t="s">
        <v>23</v>
      </c>
      <c r="O884" s="10">
        <f>'data on outstanding creditors'!$E884*100/107</f>
        <v>74766.35514</v>
      </c>
      <c r="P884" s="10">
        <f>'data on outstanding creditors'!$E884-'data on outstanding creditors'!$O884</f>
        <v>5233.64486</v>
      </c>
      <c r="Q884" s="7">
        <f>DAY('data on outstanding creditors'!$B884)</f>
        <v>18</v>
      </c>
      <c r="R884" s="7">
        <f>MONTH('data on outstanding creditors'!$B884)</f>
        <v>3</v>
      </c>
      <c r="S884" s="7">
        <f>YEAR('data on outstanding creditors'!$B884)</f>
        <v>2025</v>
      </c>
      <c r="T884" s="11" t="str">
        <f>'data on outstanding creditors'!$C884&amp;" "&amp;'data on outstanding creditors'!$D884&amp;" "&amp;TEXT('data on outstanding creditors'!$E884,"#,##0.00")</f>
        <v>บ.เบอร์ลินฟาร์มาซูติคอลอินดัสตรี้ 6810304713 80,000.00</v>
      </c>
      <c r="U884" s="12"/>
    </row>
    <row r="885" ht="13.5" customHeight="1">
      <c r="A885" s="1"/>
      <c r="B885" s="2">
        <v>45734.0</v>
      </c>
      <c r="C885" s="9" t="s">
        <v>922</v>
      </c>
      <c r="D885" s="1" t="s">
        <v>1395</v>
      </c>
      <c r="E885" s="4">
        <v>85400.0</v>
      </c>
      <c r="F885" s="4"/>
      <c r="G885" s="4"/>
      <c r="H885" s="4">
        <f>'data on outstanding creditors'!$E885-'data on outstanding creditors'!$F885-'data on outstanding creditors'!$G885</f>
        <v>85400</v>
      </c>
      <c r="I885" s="2"/>
      <c r="J885" s="1" t="s">
        <v>646</v>
      </c>
      <c r="K885" s="2">
        <v>45815.0</v>
      </c>
      <c r="L885" s="5"/>
      <c r="M885" s="9" t="s">
        <v>22</v>
      </c>
      <c r="N885" s="9" t="s">
        <v>23</v>
      </c>
      <c r="O885" s="10">
        <f>'data on outstanding creditors'!$E885*100/107</f>
        <v>79813.08411</v>
      </c>
      <c r="P885" s="10">
        <f>'data on outstanding creditors'!$E885-'data on outstanding creditors'!$O885</f>
        <v>5586.915888</v>
      </c>
      <c r="Q885" s="7">
        <f>DAY('data on outstanding creditors'!$B885)</f>
        <v>18</v>
      </c>
      <c r="R885" s="7">
        <f>MONTH('data on outstanding creditors'!$B885)</f>
        <v>3</v>
      </c>
      <c r="S885" s="7">
        <f>YEAR('data on outstanding creditors'!$B885)</f>
        <v>2025</v>
      </c>
      <c r="T885" s="11" t="str">
        <f>'data on outstanding creditors'!$C885&amp;" "&amp;'data on outstanding creditors'!$D885&amp;" "&amp;TEXT('data on outstanding creditors'!$E885,"#,##0.00")</f>
        <v>บ.เบอร์ลินฟาร์มาซูติคอลอินดัสตรี้ 6810304763 85,400.00</v>
      </c>
      <c r="U885" s="12"/>
    </row>
    <row r="886" ht="13.5" customHeight="1">
      <c r="A886" s="1"/>
      <c r="B886" s="2">
        <v>45734.0</v>
      </c>
      <c r="C886" s="9" t="s">
        <v>396</v>
      </c>
      <c r="D886" s="1" t="s">
        <v>1396</v>
      </c>
      <c r="E886" s="4">
        <v>31600.0</v>
      </c>
      <c r="F886" s="4"/>
      <c r="G886" s="4"/>
      <c r="H886" s="4">
        <f>'data on outstanding creditors'!$E886-'data on outstanding creditors'!$F886-'data on outstanding creditors'!$G886</f>
        <v>31600</v>
      </c>
      <c r="I886" s="2"/>
      <c r="J886" s="1" t="s">
        <v>757</v>
      </c>
      <c r="K886" s="2">
        <v>45810.0</v>
      </c>
      <c r="L886" s="5"/>
      <c r="M886" s="9" t="s">
        <v>22</v>
      </c>
      <c r="N886" s="9" t="s">
        <v>23</v>
      </c>
      <c r="O886" s="10">
        <f>'data on outstanding creditors'!$E886*100/107</f>
        <v>29532.71028</v>
      </c>
      <c r="P886" s="10">
        <f>'data on outstanding creditors'!$E886-'data on outstanding creditors'!$O886</f>
        <v>2067.28972</v>
      </c>
      <c r="Q886" s="7">
        <f>DAY('data on outstanding creditors'!$B886)</f>
        <v>18</v>
      </c>
      <c r="R886" s="7">
        <f>MONTH('data on outstanding creditors'!$B886)</f>
        <v>3</v>
      </c>
      <c r="S886" s="7">
        <f>YEAR('data on outstanding creditors'!$B886)</f>
        <v>2025</v>
      </c>
      <c r="T886" s="11" t="str">
        <f>'data on outstanding creditors'!$C886&amp;" "&amp;'data on outstanding creditors'!$D886&amp;" "&amp;TEXT('data on outstanding creditors'!$E886,"#,##0.00")</f>
        <v>บ.เยเนอรัล ฮอสปิตัล โปรดัคส์ 25IN08032367 31,600.00</v>
      </c>
      <c r="U886" s="12"/>
    </row>
    <row r="887" ht="13.5" customHeight="1">
      <c r="A887" s="1"/>
      <c r="B887" s="2">
        <v>45734.0</v>
      </c>
      <c r="C887" s="9" t="s">
        <v>763</v>
      </c>
      <c r="D887" s="1" t="s">
        <v>1397</v>
      </c>
      <c r="E887" s="4">
        <v>39800.0</v>
      </c>
      <c r="F887" s="4"/>
      <c r="G887" s="4"/>
      <c r="H887" s="4">
        <f>'data on outstanding creditors'!$E887-'data on outstanding creditors'!$F887-'data on outstanding creditors'!$G887</f>
        <v>39800</v>
      </c>
      <c r="I887" s="2"/>
      <c r="J887" s="1" t="s">
        <v>646</v>
      </c>
      <c r="K887" s="2">
        <v>45894.0</v>
      </c>
      <c r="L887" s="5"/>
      <c r="M887" s="9" t="s">
        <v>22</v>
      </c>
      <c r="N887" s="9" t="s">
        <v>23</v>
      </c>
      <c r="O887" s="10">
        <f>'data on outstanding creditors'!$E887*100/107</f>
        <v>37196.26168</v>
      </c>
      <c r="P887" s="10">
        <f>'data on outstanding creditors'!$E887-'data on outstanding creditors'!$O887</f>
        <v>2603.738318</v>
      </c>
      <c r="Q887" s="7">
        <f>DAY('data on outstanding creditors'!$B887)</f>
        <v>18</v>
      </c>
      <c r="R887" s="7">
        <f>MONTH('data on outstanding creditors'!$B887)</f>
        <v>3</v>
      </c>
      <c r="S887" s="7">
        <f>YEAR('data on outstanding creditors'!$B887)</f>
        <v>2025</v>
      </c>
      <c r="T887" s="11" t="str">
        <f>'data on outstanding creditors'!$C887&amp;" "&amp;'data on outstanding creditors'!$D887&amp;" "&amp;TEXT('data on outstanding creditors'!$E887,"#,##0.00")</f>
        <v>บ.อัลลายแอนซ์ ฟาร์มา B26803132 39,800.00</v>
      </c>
      <c r="U887" s="12"/>
    </row>
    <row r="888" ht="13.5" customHeight="1">
      <c r="A888" s="1"/>
      <c r="B888" s="2">
        <v>45735.0</v>
      </c>
      <c r="C888" s="9" t="s">
        <v>263</v>
      </c>
      <c r="D888" s="1" t="s">
        <v>1398</v>
      </c>
      <c r="E888" s="4">
        <v>9900.0</v>
      </c>
      <c r="F888" s="4"/>
      <c r="G888" s="4"/>
      <c r="H888" s="4">
        <f>'data on outstanding creditors'!$E888-'data on outstanding creditors'!$F888-'data on outstanding creditors'!$G888</f>
        <v>9900</v>
      </c>
      <c r="I888" s="2"/>
      <c r="J888" s="1" t="s">
        <v>646</v>
      </c>
      <c r="K888" s="2">
        <v>45928.0</v>
      </c>
      <c r="L888" s="5"/>
      <c r="M888" s="9" t="s">
        <v>22</v>
      </c>
      <c r="N888" s="9" t="s">
        <v>23</v>
      </c>
      <c r="O888" s="10">
        <f>'data on outstanding creditors'!$E888*100/107</f>
        <v>9252.336449</v>
      </c>
      <c r="P888" s="10">
        <f>'data on outstanding creditors'!$E888-'data on outstanding creditors'!$O888</f>
        <v>647.6635514</v>
      </c>
      <c r="Q888" s="7">
        <f>DAY('data on outstanding creditors'!$B888)</f>
        <v>19</v>
      </c>
      <c r="R888" s="7">
        <f>MONTH('data on outstanding creditors'!$B888)</f>
        <v>3</v>
      </c>
      <c r="S888" s="7">
        <f>YEAR('data on outstanding creditors'!$B888)</f>
        <v>2025</v>
      </c>
      <c r="T888" s="11" t="str">
        <f>'data on outstanding creditors'!$C888&amp;" "&amp;'data on outstanding creditors'!$D888&amp;" "&amp;TEXT('data on outstanding creditors'!$E888,"#,##0.00")</f>
        <v>บ.เอเบิ้ล เมดิคอล M2503/0288 9,900.00</v>
      </c>
      <c r="U888" s="12"/>
    </row>
    <row r="889" ht="13.5" customHeight="1">
      <c r="A889" s="1"/>
      <c r="B889" s="2">
        <v>45735.0</v>
      </c>
      <c r="C889" s="9" t="s">
        <v>922</v>
      </c>
      <c r="D889" s="1" t="s">
        <v>1399</v>
      </c>
      <c r="E889" s="4">
        <v>57000.0</v>
      </c>
      <c r="F889" s="4"/>
      <c r="G889" s="4"/>
      <c r="H889" s="4">
        <f>'data on outstanding creditors'!$E889-'data on outstanding creditors'!$F889-'data on outstanding creditors'!$G889</f>
        <v>57000</v>
      </c>
      <c r="I889" s="2"/>
      <c r="J889" s="1" t="s">
        <v>646</v>
      </c>
      <c r="K889" s="2">
        <v>45815.0</v>
      </c>
      <c r="L889" s="5"/>
      <c r="M889" s="9" t="s">
        <v>22</v>
      </c>
      <c r="N889" s="9" t="s">
        <v>23</v>
      </c>
      <c r="O889" s="10">
        <f>'data on outstanding creditors'!$E889*100/107</f>
        <v>53271.02804</v>
      </c>
      <c r="P889" s="10">
        <f>'data on outstanding creditors'!$E889-'data on outstanding creditors'!$O889</f>
        <v>3728.971963</v>
      </c>
      <c r="Q889" s="7">
        <f>DAY('data on outstanding creditors'!$B889)</f>
        <v>19</v>
      </c>
      <c r="R889" s="7">
        <f>MONTH('data on outstanding creditors'!$B889)</f>
        <v>3</v>
      </c>
      <c r="S889" s="7">
        <f>YEAR('data on outstanding creditors'!$B889)</f>
        <v>2025</v>
      </c>
      <c r="T889" s="11" t="str">
        <f>'data on outstanding creditors'!$C889&amp;" "&amp;'data on outstanding creditors'!$D889&amp;" "&amp;TEXT('data on outstanding creditors'!$E889,"#,##0.00")</f>
        <v>บ.เบอร์ลินฟาร์มาซูติคอลอินดัสตรี้ 6810305422 57,000.00</v>
      </c>
      <c r="U889" s="12"/>
    </row>
    <row r="890" ht="13.5" customHeight="1">
      <c r="A890" s="1"/>
      <c r="B890" s="2">
        <v>45735.0</v>
      </c>
      <c r="C890" s="9" t="s">
        <v>922</v>
      </c>
      <c r="D890" s="1" t="s">
        <v>1400</v>
      </c>
      <c r="E890" s="4">
        <v>76000.0</v>
      </c>
      <c r="F890" s="4"/>
      <c r="G890" s="4"/>
      <c r="H890" s="4">
        <f>'data on outstanding creditors'!$E890-'data on outstanding creditors'!$F890-'data on outstanding creditors'!$G890</f>
        <v>76000</v>
      </c>
      <c r="I890" s="2"/>
      <c r="J890" s="1" t="s">
        <v>646</v>
      </c>
      <c r="K890" s="2">
        <v>45815.0</v>
      </c>
      <c r="L890" s="5"/>
      <c r="M890" s="9" t="s">
        <v>22</v>
      </c>
      <c r="N890" s="9" t="s">
        <v>23</v>
      </c>
      <c r="O890" s="10">
        <f>'data on outstanding creditors'!$E890*100/107</f>
        <v>71028.03738</v>
      </c>
      <c r="P890" s="10">
        <f>'data on outstanding creditors'!$E890-'data on outstanding creditors'!$O890</f>
        <v>4971.962617</v>
      </c>
      <c r="Q890" s="7">
        <f>DAY('data on outstanding creditors'!$B890)</f>
        <v>19</v>
      </c>
      <c r="R890" s="7">
        <f>MONTH('data on outstanding creditors'!$B890)</f>
        <v>3</v>
      </c>
      <c r="S890" s="7">
        <f>YEAR('data on outstanding creditors'!$B890)</f>
        <v>2025</v>
      </c>
      <c r="T890" s="11" t="str">
        <f>'data on outstanding creditors'!$C890&amp;" "&amp;'data on outstanding creditors'!$D890&amp;" "&amp;TEXT('data on outstanding creditors'!$E890,"#,##0.00")</f>
        <v>บ.เบอร์ลินฟาร์มาซูติคอลอินดัสตรี้ 6810305474 76,000.00</v>
      </c>
      <c r="U890" s="12"/>
    </row>
    <row r="891" ht="13.5" customHeight="1">
      <c r="A891" s="1"/>
      <c r="B891" s="2">
        <v>45737.0</v>
      </c>
      <c r="C891" s="9" t="s">
        <v>771</v>
      </c>
      <c r="D891" s="1" t="s">
        <v>1401</v>
      </c>
      <c r="E891" s="4">
        <v>30870.0</v>
      </c>
      <c r="F891" s="4"/>
      <c r="G891" s="4"/>
      <c r="H891" s="4">
        <f>'data on outstanding creditors'!$E891-'data on outstanding creditors'!$F891-'data on outstanding creditors'!$G891</f>
        <v>30870</v>
      </c>
      <c r="I891" s="2"/>
      <c r="J891" s="1" t="s">
        <v>646</v>
      </c>
      <c r="K891" s="2">
        <v>45827.0</v>
      </c>
      <c r="L891" s="5"/>
      <c r="M891" s="9" t="s">
        <v>22</v>
      </c>
      <c r="N891" s="9" t="s">
        <v>23</v>
      </c>
      <c r="O891" s="10">
        <f>'data on outstanding creditors'!$E891*100/107</f>
        <v>28850.46729</v>
      </c>
      <c r="P891" s="10">
        <f>'data on outstanding creditors'!$E891-'data on outstanding creditors'!$O891</f>
        <v>2019.53271</v>
      </c>
      <c r="Q891" s="7">
        <f>DAY('data on outstanding creditors'!$B891)</f>
        <v>21</v>
      </c>
      <c r="R891" s="7">
        <f>MONTH('data on outstanding creditors'!$B891)</f>
        <v>3</v>
      </c>
      <c r="S891" s="7">
        <f>YEAR('data on outstanding creditors'!$B891)</f>
        <v>2025</v>
      </c>
      <c r="T891" s="11" t="str">
        <f>'data on outstanding creditors'!$C891&amp;" "&amp;'data on outstanding creditors'!$D891&amp;" "&amp;TEXT('data on outstanding creditors'!$E891,"#,##0.00")</f>
        <v>หจก.ภิญโญฟาร์มาซี IV6804516 30,870.00</v>
      </c>
      <c r="U891" s="12"/>
    </row>
    <row r="892" ht="13.5" customHeight="1">
      <c r="A892" s="1"/>
      <c r="B892" s="2">
        <v>45737.0</v>
      </c>
      <c r="C892" s="9" t="s">
        <v>1402</v>
      </c>
      <c r="D892" s="1" t="s">
        <v>1403</v>
      </c>
      <c r="E892" s="4">
        <v>6240.0</v>
      </c>
      <c r="F892" s="4"/>
      <c r="G892" s="4"/>
      <c r="H892" s="4">
        <f>'data on outstanding creditors'!$E892-'data on outstanding creditors'!$F892-'data on outstanding creditors'!$G892</f>
        <v>6240</v>
      </c>
      <c r="I892" s="2"/>
      <c r="J892" s="1" t="s">
        <v>646</v>
      </c>
      <c r="K892" s="2">
        <v>45887.0</v>
      </c>
      <c r="L892" s="5"/>
      <c r="M892" s="9" t="s">
        <v>22</v>
      </c>
      <c r="N892" s="9" t="s">
        <v>23</v>
      </c>
      <c r="O892" s="10">
        <f>'data on outstanding creditors'!$E892*100/107</f>
        <v>5831.775701</v>
      </c>
      <c r="P892" s="10">
        <f>'data on outstanding creditors'!$E892-'data on outstanding creditors'!$O892</f>
        <v>408.2242991</v>
      </c>
      <c r="Q892" s="7">
        <f>DAY('data on outstanding creditors'!$B892)</f>
        <v>21</v>
      </c>
      <c r="R892" s="7">
        <f>MONTH('data on outstanding creditors'!$B892)</f>
        <v>3</v>
      </c>
      <c r="S892" s="7">
        <f>YEAR('data on outstanding creditors'!$B892)</f>
        <v>2025</v>
      </c>
      <c r="T892" s="11" t="str">
        <f>'data on outstanding creditors'!$C892&amp;" "&amp;'data on outstanding creditors'!$D892&amp;" "&amp;TEXT('data on outstanding creditors'!$E892,"#,##0.00")</f>
        <v>บ.โรงงานเภสัชกรรมแหลมทองการแพทย์ IV6803/0170 6,240.00</v>
      </c>
      <c r="U892" s="12"/>
    </row>
    <row r="893" ht="13.5" customHeight="1">
      <c r="A893" s="1"/>
      <c r="B893" s="2">
        <v>45737.0</v>
      </c>
      <c r="C893" s="9" t="s">
        <v>1230</v>
      </c>
      <c r="D893" s="1" t="s">
        <v>1404</v>
      </c>
      <c r="E893" s="4">
        <v>51000.0</v>
      </c>
      <c r="F893" s="4"/>
      <c r="G893" s="4"/>
      <c r="H893" s="4">
        <f>'data on outstanding creditors'!$E893-'data on outstanding creditors'!$F893-'data on outstanding creditors'!$G893</f>
        <v>51000</v>
      </c>
      <c r="I893" s="2"/>
      <c r="J893" s="1" t="s">
        <v>646</v>
      </c>
      <c r="K893" s="2">
        <v>45928.0</v>
      </c>
      <c r="L893" s="5"/>
      <c r="M893" s="9" t="s">
        <v>22</v>
      </c>
      <c r="N893" s="9" t="s">
        <v>23</v>
      </c>
      <c r="O893" s="10">
        <f>'data on outstanding creditors'!$E893*100/107</f>
        <v>47663.5514</v>
      </c>
      <c r="P893" s="10">
        <f>'data on outstanding creditors'!$E893-'data on outstanding creditors'!$O893</f>
        <v>3336.448598</v>
      </c>
      <c r="Q893" s="7">
        <f>DAY('data on outstanding creditors'!$B893)</f>
        <v>21</v>
      </c>
      <c r="R893" s="7">
        <f>MONTH('data on outstanding creditors'!$B893)</f>
        <v>3</v>
      </c>
      <c r="S893" s="7">
        <f>YEAR('data on outstanding creditors'!$B893)</f>
        <v>2025</v>
      </c>
      <c r="T893" s="11" t="str">
        <f>'data on outstanding creditors'!$C893&amp;" "&amp;'data on outstanding creditors'!$D893&amp;" "&amp;TEXT('data on outstanding creditors'!$E893,"#,##0.00")</f>
        <v>บ.พรอส ฟาร์มา INV-ศ-IM\2025031993 51,000.00</v>
      </c>
      <c r="U893" s="12"/>
    </row>
    <row r="894" ht="13.5" customHeight="1">
      <c r="A894" s="1"/>
      <c r="B894" s="2">
        <v>45737.0</v>
      </c>
      <c r="C894" s="9" t="s">
        <v>929</v>
      </c>
      <c r="D894" s="1" t="s">
        <v>1405</v>
      </c>
      <c r="E894" s="4">
        <v>8250.0</v>
      </c>
      <c r="F894" s="4"/>
      <c r="G894" s="4"/>
      <c r="H894" s="4">
        <f>'data on outstanding creditors'!$E894-'data on outstanding creditors'!$F894-'data on outstanding creditors'!$G894</f>
        <v>8250</v>
      </c>
      <c r="I894" s="2"/>
      <c r="J894" s="1" t="s">
        <v>646</v>
      </c>
      <c r="K894" s="2">
        <v>45887.0</v>
      </c>
      <c r="L894" s="5"/>
      <c r="M894" s="9" t="s">
        <v>22</v>
      </c>
      <c r="N894" s="9" t="s">
        <v>23</v>
      </c>
      <c r="O894" s="10">
        <f>'data on outstanding creditors'!$E894*100/107</f>
        <v>7710.280374</v>
      </c>
      <c r="P894" s="10">
        <f>'data on outstanding creditors'!$E894-'data on outstanding creditors'!$O894</f>
        <v>539.7196262</v>
      </c>
      <c r="Q894" s="7">
        <f>DAY('data on outstanding creditors'!$B894)</f>
        <v>21</v>
      </c>
      <c r="R894" s="7">
        <f>MONTH('data on outstanding creditors'!$B894)</f>
        <v>3</v>
      </c>
      <c r="S894" s="7">
        <f>YEAR('data on outstanding creditors'!$B894)</f>
        <v>2025</v>
      </c>
      <c r="T894" s="11" t="str">
        <f>'data on outstanding creditors'!$C894&amp;" "&amp;'data on outstanding creditors'!$D894&amp;" "&amp;TEXT('data on outstanding creditors'!$E894,"#,##0.00")</f>
        <v>บ.เยนเนอร์ราลดรั๊กส์เฮ้าส์ 25102842 8,250.00</v>
      </c>
      <c r="U894" s="12"/>
    </row>
    <row r="895" ht="13.5" customHeight="1">
      <c r="A895" s="1"/>
      <c r="B895" s="2">
        <v>45737.0</v>
      </c>
      <c r="C895" s="9" t="s">
        <v>263</v>
      </c>
      <c r="D895" s="1" t="s">
        <v>1406</v>
      </c>
      <c r="E895" s="4">
        <v>75000.0</v>
      </c>
      <c r="F895" s="4"/>
      <c r="G895" s="4"/>
      <c r="H895" s="4">
        <f>'data on outstanding creditors'!$E895-'data on outstanding creditors'!$F895-'data on outstanding creditors'!$G895</f>
        <v>75000</v>
      </c>
      <c r="I895" s="2"/>
      <c r="J895" s="1" t="s">
        <v>646</v>
      </c>
      <c r="K895" s="2">
        <v>45928.0</v>
      </c>
      <c r="L895" s="5"/>
      <c r="M895" s="9" t="s">
        <v>22</v>
      </c>
      <c r="N895" s="9" t="s">
        <v>23</v>
      </c>
      <c r="O895" s="10">
        <f>'data on outstanding creditors'!$E895*100/107</f>
        <v>70093.45794</v>
      </c>
      <c r="P895" s="10">
        <f>'data on outstanding creditors'!$E895-'data on outstanding creditors'!$O895</f>
        <v>4906.542056</v>
      </c>
      <c r="Q895" s="7">
        <f>DAY('data on outstanding creditors'!$B895)</f>
        <v>21</v>
      </c>
      <c r="R895" s="7">
        <f>MONTH('data on outstanding creditors'!$B895)</f>
        <v>3</v>
      </c>
      <c r="S895" s="7">
        <f>YEAR('data on outstanding creditors'!$B895)</f>
        <v>2025</v>
      </c>
      <c r="T895" s="11" t="str">
        <f>'data on outstanding creditors'!$C895&amp;" "&amp;'data on outstanding creditors'!$D895&amp;" "&amp;TEXT('data on outstanding creditors'!$E895,"#,##0.00")</f>
        <v>บ.เอเบิ้ล เมดิคอล B2503/0306 75,000.00</v>
      </c>
      <c r="U895" s="12"/>
    </row>
    <row r="896" ht="13.5" customHeight="1">
      <c r="A896" s="1"/>
      <c r="B896" s="2">
        <v>45737.0</v>
      </c>
      <c r="C896" s="9" t="s">
        <v>396</v>
      </c>
      <c r="D896" s="1" t="s">
        <v>1407</v>
      </c>
      <c r="E896" s="4">
        <v>42750.0</v>
      </c>
      <c r="F896" s="4"/>
      <c r="G896" s="4"/>
      <c r="H896" s="4">
        <f>'data on outstanding creditors'!$E896-'data on outstanding creditors'!$F896-'data on outstanding creditors'!$G896</f>
        <v>42750</v>
      </c>
      <c r="I896" s="2"/>
      <c r="J896" s="1" t="s">
        <v>757</v>
      </c>
      <c r="K896" s="2">
        <v>45810.0</v>
      </c>
      <c r="L896" s="5"/>
      <c r="M896" s="9" t="s">
        <v>22</v>
      </c>
      <c r="N896" s="9" t="s">
        <v>23</v>
      </c>
      <c r="O896" s="10">
        <f>'data on outstanding creditors'!$E896*100/107</f>
        <v>39953.27103</v>
      </c>
      <c r="P896" s="10">
        <f>'data on outstanding creditors'!$E896-'data on outstanding creditors'!$O896</f>
        <v>2796.728972</v>
      </c>
      <c r="Q896" s="7">
        <f>DAY('data on outstanding creditors'!$B896)</f>
        <v>21</v>
      </c>
      <c r="R896" s="7">
        <f>MONTH('data on outstanding creditors'!$B896)</f>
        <v>3</v>
      </c>
      <c r="S896" s="7">
        <f>YEAR('data on outstanding creditors'!$B896)</f>
        <v>2025</v>
      </c>
      <c r="T896" s="11" t="str">
        <f>'data on outstanding creditors'!$C896&amp;" "&amp;'data on outstanding creditors'!$D896&amp;" "&amp;TEXT('data on outstanding creditors'!$E896,"#,##0.00")</f>
        <v>บ.เยเนอรัล ฮอสปิตัล โปรดัคส์ 25IN08032906 42,750.00</v>
      </c>
      <c r="U896" s="12"/>
    </row>
    <row r="897" ht="13.5" customHeight="1">
      <c r="A897" s="1"/>
      <c r="B897" s="2">
        <v>45740.0</v>
      </c>
      <c r="C897" s="9" t="s">
        <v>1320</v>
      </c>
      <c r="D897" s="1" t="s">
        <v>1408</v>
      </c>
      <c r="E897" s="4">
        <v>16050.0</v>
      </c>
      <c r="F897" s="4"/>
      <c r="G897" s="4"/>
      <c r="H897" s="4">
        <f>'data on outstanding creditors'!$E897-'data on outstanding creditors'!$F897-'data on outstanding creditors'!$G897</f>
        <v>16050</v>
      </c>
      <c r="I897" s="2"/>
      <c r="J897" s="1" t="s">
        <v>646</v>
      </c>
      <c r="K897" s="2">
        <v>45866.0</v>
      </c>
      <c r="L897" s="5"/>
      <c r="M897" s="9" t="s">
        <v>22</v>
      </c>
      <c r="N897" s="9" t="s">
        <v>23</v>
      </c>
      <c r="O897" s="10">
        <f>'data on outstanding creditors'!$E897*100/107</f>
        <v>15000</v>
      </c>
      <c r="P897" s="10">
        <f>'data on outstanding creditors'!$E897-'data on outstanding creditors'!$O897</f>
        <v>1050</v>
      </c>
      <c r="Q897" s="7">
        <f>DAY('data on outstanding creditors'!$B897)</f>
        <v>24</v>
      </c>
      <c r="R897" s="7">
        <f>MONTH('data on outstanding creditors'!$B897)</f>
        <v>3</v>
      </c>
      <c r="S897" s="7">
        <f>YEAR('data on outstanding creditors'!$B897)</f>
        <v>2025</v>
      </c>
      <c r="T897" s="11" t="str">
        <f>'data on outstanding creditors'!$C897&amp;" "&amp;'data on outstanding creditors'!$D897&amp;" "&amp;TEXT('data on outstanding creditors'!$E897,"#,##0.00")</f>
        <v>บ.บี.เอ็ล.ฮั้ว 68010657 16,050.00</v>
      </c>
      <c r="U897" s="12"/>
    </row>
    <row r="898" ht="13.5" customHeight="1">
      <c r="A898" s="1"/>
      <c r="B898" s="2">
        <v>45740.0</v>
      </c>
      <c r="C898" s="9" t="s">
        <v>1391</v>
      </c>
      <c r="D898" s="1" t="s">
        <v>1409</v>
      </c>
      <c r="E898" s="4">
        <v>19200.0</v>
      </c>
      <c r="F898" s="4"/>
      <c r="G898" s="4"/>
      <c r="H898" s="4">
        <f>'data on outstanding creditors'!$E898-'data on outstanding creditors'!$F898-'data on outstanding creditors'!$G898</f>
        <v>19200</v>
      </c>
      <c r="I898" s="2"/>
      <c r="J898" s="1" t="s">
        <v>646</v>
      </c>
      <c r="K898" s="2">
        <v>45928.0</v>
      </c>
      <c r="L898" s="5"/>
      <c r="M898" s="9" t="s">
        <v>22</v>
      </c>
      <c r="N898" s="9" t="s">
        <v>23</v>
      </c>
      <c r="O898" s="10">
        <f>'data on outstanding creditors'!$E898*100/107</f>
        <v>17943.92523</v>
      </c>
      <c r="P898" s="10">
        <f>'data on outstanding creditors'!$E898-'data on outstanding creditors'!$O898</f>
        <v>1256.074766</v>
      </c>
      <c r="Q898" s="7">
        <f>DAY('data on outstanding creditors'!$B898)</f>
        <v>24</v>
      </c>
      <c r="R898" s="7">
        <f>MONTH('data on outstanding creditors'!$B898)</f>
        <v>3</v>
      </c>
      <c r="S898" s="7">
        <f>YEAR('data on outstanding creditors'!$B898)</f>
        <v>2025</v>
      </c>
      <c r="T898" s="11" t="str">
        <f>'data on outstanding creditors'!$C898&amp;" "&amp;'data on outstanding creditors'!$D898&amp;" "&amp;TEXT('data on outstanding creditors'!$E898,"#,##0.00")</f>
        <v>บ.ที.พี.ดรัก แลบบอราทอรี่ส์ VIV125031428 19,200.00</v>
      </c>
      <c r="U898" s="12"/>
    </row>
    <row r="899" ht="13.5" customHeight="1">
      <c r="A899" s="1"/>
      <c r="B899" s="2">
        <v>45740.0</v>
      </c>
      <c r="C899" s="9" t="s">
        <v>771</v>
      </c>
      <c r="D899" s="1" t="s">
        <v>1410</v>
      </c>
      <c r="E899" s="4">
        <v>8800.0</v>
      </c>
      <c r="F899" s="4"/>
      <c r="G899" s="4"/>
      <c r="H899" s="4">
        <f>'data on outstanding creditors'!$E899-'data on outstanding creditors'!$F899-'data on outstanding creditors'!$G899</f>
        <v>8800</v>
      </c>
      <c r="I899" s="2"/>
      <c r="J899" s="1" t="s">
        <v>646</v>
      </c>
      <c r="K899" s="2">
        <v>45827.0</v>
      </c>
      <c r="L899" s="5"/>
      <c r="M899" s="9" t="s">
        <v>22</v>
      </c>
      <c r="N899" s="9" t="s">
        <v>23</v>
      </c>
      <c r="O899" s="10">
        <f>'data on outstanding creditors'!$E899*100/107</f>
        <v>8224.299065</v>
      </c>
      <c r="P899" s="10">
        <f>'data on outstanding creditors'!$E899-'data on outstanding creditors'!$O899</f>
        <v>575.7009346</v>
      </c>
      <c r="Q899" s="7">
        <f>DAY('data on outstanding creditors'!$B899)</f>
        <v>24</v>
      </c>
      <c r="R899" s="7">
        <f>MONTH('data on outstanding creditors'!$B899)</f>
        <v>3</v>
      </c>
      <c r="S899" s="7">
        <f>YEAR('data on outstanding creditors'!$B899)</f>
        <v>2025</v>
      </c>
      <c r="T899" s="11" t="str">
        <f>'data on outstanding creditors'!$C899&amp;" "&amp;'data on outstanding creditors'!$D899&amp;" "&amp;TEXT('data on outstanding creditors'!$E899,"#,##0.00")</f>
        <v>หจก.ภิญโญฟาร์มาซี IV6815345 8,800.00</v>
      </c>
      <c r="U899" s="12"/>
    </row>
    <row r="900" ht="13.5" customHeight="1">
      <c r="A900" s="1"/>
      <c r="B900" s="2">
        <v>45741.0</v>
      </c>
      <c r="C900" s="9" t="s">
        <v>1391</v>
      </c>
      <c r="D900" s="1" t="s">
        <v>1411</v>
      </c>
      <c r="E900" s="4">
        <v>4000.0</v>
      </c>
      <c r="F900" s="4"/>
      <c r="G900" s="4"/>
      <c r="H900" s="4">
        <f>'data on outstanding creditors'!$E900-'data on outstanding creditors'!$F900-'data on outstanding creditors'!$G900</f>
        <v>4000</v>
      </c>
      <c r="I900" s="2"/>
      <c r="J900" s="1" t="s">
        <v>646</v>
      </c>
      <c r="K900" s="2">
        <v>45928.0</v>
      </c>
      <c r="L900" s="5"/>
      <c r="M900" s="9" t="s">
        <v>22</v>
      </c>
      <c r="N900" s="9" t="s">
        <v>23</v>
      </c>
      <c r="O900" s="10">
        <f>'data on outstanding creditors'!$E900*100/107</f>
        <v>3738.317757</v>
      </c>
      <c r="P900" s="10">
        <f>'data on outstanding creditors'!$E900-'data on outstanding creditors'!$O900</f>
        <v>261.682243</v>
      </c>
      <c r="Q900" s="7">
        <f>DAY('data on outstanding creditors'!$B900)</f>
        <v>25</v>
      </c>
      <c r="R900" s="7">
        <f>MONTH('data on outstanding creditors'!$B900)</f>
        <v>3</v>
      </c>
      <c r="S900" s="7">
        <f>YEAR('data on outstanding creditors'!$B900)</f>
        <v>2025</v>
      </c>
      <c r="T900" s="11" t="str">
        <f>'data on outstanding creditors'!$C900&amp;" "&amp;'data on outstanding creditors'!$D900&amp;" "&amp;TEXT('data on outstanding creditors'!$E900,"#,##0.00")</f>
        <v>บ.ที.พี.ดรัก แลบบอราทอรี่ส์ VIV125031679 4,000.00</v>
      </c>
      <c r="U900" s="12"/>
    </row>
    <row r="901" ht="13.5" customHeight="1">
      <c r="A901" s="1"/>
      <c r="B901" s="2">
        <v>45741.0</v>
      </c>
      <c r="C901" s="9" t="s">
        <v>1391</v>
      </c>
      <c r="D901" s="1" t="s">
        <v>1412</v>
      </c>
      <c r="E901" s="4">
        <v>16500.0</v>
      </c>
      <c r="F901" s="4"/>
      <c r="G901" s="4"/>
      <c r="H901" s="4">
        <f>'data on outstanding creditors'!$E901-'data on outstanding creditors'!$F901-'data on outstanding creditors'!$G901</f>
        <v>16500</v>
      </c>
      <c r="I901" s="2"/>
      <c r="J901" s="1" t="s">
        <v>646</v>
      </c>
      <c r="K901" s="2">
        <v>45928.0</v>
      </c>
      <c r="L901" s="5"/>
      <c r="M901" s="9" t="s">
        <v>22</v>
      </c>
      <c r="N901" s="9" t="s">
        <v>23</v>
      </c>
      <c r="O901" s="10">
        <f>'data on outstanding creditors'!$E901*100/107</f>
        <v>15420.56075</v>
      </c>
      <c r="P901" s="10">
        <f>'data on outstanding creditors'!$E901-'data on outstanding creditors'!$O901</f>
        <v>1079.439252</v>
      </c>
      <c r="Q901" s="7">
        <f>DAY('data on outstanding creditors'!$B901)</f>
        <v>25</v>
      </c>
      <c r="R901" s="7">
        <f>MONTH('data on outstanding creditors'!$B901)</f>
        <v>3</v>
      </c>
      <c r="S901" s="7">
        <f>YEAR('data on outstanding creditors'!$B901)</f>
        <v>2025</v>
      </c>
      <c r="T901" s="11" t="str">
        <f>'data on outstanding creditors'!$C901&amp;" "&amp;'data on outstanding creditors'!$D901&amp;" "&amp;TEXT('data on outstanding creditors'!$E901,"#,##0.00")</f>
        <v>บ.ที.พี.ดรัก แลบบอราทอรี่ส์ VIV125031764 16,500.00</v>
      </c>
      <c r="U901" s="12"/>
    </row>
    <row r="902" ht="13.5" customHeight="1">
      <c r="A902" s="1"/>
      <c r="B902" s="2">
        <v>45741.0</v>
      </c>
      <c r="C902" s="9" t="s">
        <v>1391</v>
      </c>
      <c r="D902" s="1" t="s">
        <v>1413</v>
      </c>
      <c r="E902" s="4">
        <v>11400.0</v>
      </c>
      <c r="F902" s="4"/>
      <c r="G902" s="4"/>
      <c r="H902" s="4">
        <f>'data on outstanding creditors'!$E902-'data on outstanding creditors'!$F902-'data on outstanding creditors'!$G902</f>
        <v>11400</v>
      </c>
      <c r="I902" s="2"/>
      <c r="J902" s="1" t="s">
        <v>646</v>
      </c>
      <c r="K902" s="2">
        <v>45928.0</v>
      </c>
      <c r="L902" s="5"/>
      <c r="M902" s="9" t="s">
        <v>22</v>
      </c>
      <c r="N902" s="9" t="s">
        <v>23</v>
      </c>
      <c r="O902" s="10">
        <f>'data on outstanding creditors'!$E902*100/107</f>
        <v>10654.20561</v>
      </c>
      <c r="P902" s="10">
        <f>'data on outstanding creditors'!$E902-'data on outstanding creditors'!$O902</f>
        <v>745.7943925</v>
      </c>
      <c r="Q902" s="7">
        <f>DAY('data on outstanding creditors'!$B902)</f>
        <v>25</v>
      </c>
      <c r="R902" s="7">
        <f>MONTH('data on outstanding creditors'!$B902)</f>
        <v>3</v>
      </c>
      <c r="S902" s="7">
        <f>YEAR('data on outstanding creditors'!$B902)</f>
        <v>2025</v>
      </c>
      <c r="T902" s="11" t="str">
        <f>'data on outstanding creditors'!$C902&amp;" "&amp;'data on outstanding creditors'!$D902&amp;" "&amp;TEXT('data on outstanding creditors'!$E902,"#,##0.00")</f>
        <v>บ.ที.พี.ดรัก แลบบอราทอรี่ส์ VIV125031989 11,400.00</v>
      </c>
      <c r="U902" s="12"/>
    </row>
    <row r="903" ht="13.5" customHeight="1">
      <c r="A903" s="1"/>
      <c r="B903" s="2">
        <v>45741.0</v>
      </c>
      <c r="C903" s="9" t="s">
        <v>1414</v>
      </c>
      <c r="D903" s="1" t="s">
        <v>1415</v>
      </c>
      <c r="E903" s="4">
        <v>37500.0</v>
      </c>
      <c r="F903" s="4"/>
      <c r="G903" s="4"/>
      <c r="H903" s="4">
        <f>'data on outstanding creditors'!$E903-'data on outstanding creditors'!$F903-'data on outstanding creditors'!$G903</f>
        <v>37500</v>
      </c>
      <c r="I903" s="2"/>
      <c r="J903" s="1" t="s">
        <v>646</v>
      </c>
      <c r="K903" s="2">
        <v>45855.0</v>
      </c>
      <c r="L903" s="5"/>
      <c r="M903" s="9" t="s">
        <v>22</v>
      </c>
      <c r="N903" s="9" t="s">
        <v>23</v>
      </c>
      <c r="O903" s="10">
        <f>'data on outstanding creditors'!$E903*100/107</f>
        <v>35046.72897</v>
      </c>
      <c r="P903" s="10">
        <f>'data on outstanding creditors'!$E903-'data on outstanding creditors'!$O903</f>
        <v>2453.271028</v>
      </c>
      <c r="Q903" s="7">
        <f>DAY('data on outstanding creditors'!$B903)</f>
        <v>25</v>
      </c>
      <c r="R903" s="7">
        <f>MONTH('data on outstanding creditors'!$B903)</f>
        <v>3</v>
      </c>
      <c r="S903" s="7">
        <f>YEAR('data on outstanding creditors'!$B903)</f>
        <v>2025</v>
      </c>
      <c r="T903" s="11" t="str">
        <f>'data on outstanding creditors'!$C903&amp;" "&amp;'data on outstanding creditors'!$D903&amp;" "&amp;TEXT('data on outstanding creditors'!$E903,"#,##0.00")</f>
        <v>บ.ฟาร์มีน่า 68382391 37,500.00</v>
      </c>
      <c r="U903" s="12"/>
    </row>
    <row r="904" ht="13.5" customHeight="1">
      <c r="A904" s="1"/>
      <c r="B904" s="2">
        <v>45741.0</v>
      </c>
      <c r="C904" s="9" t="s">
        <v>1414</v>
      </c>
      <c r="D904" s="1" t="s">
        <v>1416</v>
      </c>
      <c r="E904" s="4">
        <v>12750.0</v>
      </c>
      <c r="F904" s="4"/>
      <c r="G904" s="4"/>
      <c r="H904" s="4">
        <f>'data on outstanding creditors'!$E904-'data on outstanding creditors'!$F904-'data on outstanding creditors'!$G904</f>
        <v>12750</v>
      </c>
      <c r="I904" s="2"/>
      <c r="J904" s="1" t="s">
        <v>646</v>
      </c>
      <c r="K904" s="2">
        <v>45855.0</v>
      </c>
      <c r="L904" s="5"/>
      <c r="M904" s="9" t="s">
        <v>22</v>
      </c>
      <c r="N904" s="9" t="s">
        <v>23</v>
      </c>
      <c r="O904" s="10">
        <f>'data on outstanding creditors'!$E904*100/107</f>
        <v>11915.88785</v>
      </c>
      <c r="P904" s="10">
        <f>'data on outstanding creditors'!$E904-'data on outstanding creditors'!$O904</f>
        <v>834.1121495</v>
      </c>
      <c r="Q904" s="7">
        <f>DAY('data on outstanding creditors'!$B904)</f>
        <v>25</v>
      </c>
      <c r="R904" s="7">
        <f>MONTH('data on outstanding creditors'!$B904)</f>
        <v>3</v>
      </c>
      <c r="S904" s="7">
        <f>YEAR('data on outstanding creditors'!$B904)</f>
        <v>2025</v>
      </c>
      <c r="T904" s="11" t="str">
        <f>'data on outstanding creditors'!$C904&amp;" "&amp;'data on outstanding creditors'!$D904&amp;" "&amp;TEXT('data on outstanding creditors'!$E904,"#,##0.00")</f>
        <v>บ.ฟาร์มีน่า 68382449 12,750.00</v>
      </c>
      <c r="U904" s="12"/>
    </row>
    <row r="905" ht="13.5" customHeight="1">
      <c r="A905" s="1"/>
      <c r="B905" s="2">
        <v>45741.0</v>
      </c>
      <c r="C905" s="9" t="s">
        <v>884</v>
      </c>
      <c r="D905" s="1" t="s">
        <v>1417</v>
      </c>
      <c r="E905" s="4">
        <v>81000.0</v>
      </c>
      <c r="F905" s="4"/>
      <c r="G905" s="4"/>
      <c r="H905" s="4">
        <f>'data on outstanding creditors'!$E905-'data on outstanding creditors'!$F905-'data on outstanding creditors'!$G905</f>
        <v>81000</v>
      </c>
      <c r="I905" s="2"/>
      <c r="J905" s="1" t="s">
        <v>646</v>
      </c>
      <c r="K905" s="2">
        <v>45843.0</v>
      </c>
      <c r="L905" s="5"/>
      <c r="M905" s="9" t="s">
        <v>22</v>
      </c>
      <c r="N905" s="9" t="s">
        <v>23</v>
      </c>
      <c r="O905" s="10">
        <f>'data on outstanding creditors'!$E905*100/107</f>
        <v>75700.93458</v>
      </c>
      <c r="P905" s="10">
        <f>'data on outstanding creditors'!$E905-'data on outstanding creditors'!$O905</f>
        <v>5299.065421</v>
      </c>
      <c r="Q905" s="7">
        <f>DAY('data on outstanding creditors'!$B905)</f>
        <v>25</v>
      </c>
      <c r="R905" s="7">
        <f>MONTH('data on outstanding creditors'!$B905)</f>
        <v>3</v>
      </c>
      <c r="S905" s="7">
        <f>YEAR('data on outstanding creditors'!$B905)</f>
        <v>2025</v>
      </c>
      <c r="T905" s="11" t="str">
        <f>'data on outstanding creditors'!$C905&amp;" "&amp;'data on outstanding creditors'!$D905&amp;" "&amp;TEXT('data on outstanding creditors'!$E905,"#,##0.00")</f>
        <v>บ.เอสพีเอส เมดิคอล 112503004677 81,000.00</v>
      </c>
      <c r="U905" s="12"/>
    </row>
    <row r="906" ht="13.5" customHeight="1">
      <c r="A906" s="1"/>
      <c r="B906" s="2">
        <v>45741.0</v>
      </c>
      <c r="C906" s="9" t="s">
        <v>1247</v>
      </c>
      <c r="D906" s="1" t="s">
        <v>1418</v>
      </c>
      <c r="E906" s="4">
        <v>41800.0</v>
      </c>
      <c r="F906" s="4"/>
      <c r="G906" s="4"/>
      <c r="H906" s="4">
        <f>'data on outstanding creditors'!$E906-'data on outstanding creditors'!$F906-'data on outstanding creditors'!$G906</f>
        <v>41800</v>
      </c>
      <c r="I906" s="2"/>
      <c r="J906" s="1" t="s">
        <v>646</v>
      </c>
      <c r="K906" s="2">
        <v>45846.0</v>
      </c>
      <c r="L906" s="5"/>
      <c r="M906" s="9" t="s">
        <v>22</v>
      </c>
      <c r="N906" s="9" t="s">
        <v>23</v>
      </c>
      <c r="O906" s="10">
        <f>'data on outstanding creditors'!$E906*100/107</f>
        <v>39065.42056</v>
      </c>
      <c r="P906" s="10">
        <f>'data on outstanding creditors'!$E906-'data on outstanding creditors'!$O906</f>
        <v>2734.579439</v>
      </c>
      <c r="Q906" s="7">
        <f>DAY('data on outstanding creditors'!$B906)</f>
        <v>25</v>
      </c>
      <c r="R906" s="7">
        <f>MONTH('data on outstanding creditors'!$B906)</f>
        <v>3</v>
      </c>
      <c r="S906" s="7">
        <f>YEAR('data on outstanding creditors'!$B906)</f>
        <v>2025</v>
      </c>
      <c r="T906" s="11" t="str">
        <f>'data on outstanding creditors'!$C906&amp;" "&amp;'data on outstanding creditors'!$D906&amp;" "&amp;TEXT('data on outstanding creditors'!$E906,"#,##0.00")</f>
        <v>บ.เอ.เอ็น.บี.ลาบอรอตอรี่ 8370851550 41,800.00</v>
      </c>
      <c r="U906" s="12"/>
    </row>
    <row r="907" ht="13.5" customHeight="1">
      <c r="A907" s="1"/>
      <c r="B907" s="2">
        <v>45741.0</v>
      </c>
      <c r="C907" s="9" t="s">
        <v>1247</v>
      </c>
      <c r="D907" s="1" t="s">
        <v>1419</v>
      </c>
      <c r="E907" s="4">
        <v>41800.0</v>
      </c>
      <c r="F907" s="4"/>
      <c r="G907" s="4"/>
      <c r="H907" s="4">
        <f>'data on outstanding creditors'!$E907-'data on outstanding creditors'!$F907-'data on outstanding creditors'!$G907</f>
        <v>41800</v>
      </c>
      <c r="I907" s="2"/>
      <c r="J907" s="1" t="s">
        <v>646</v>
      </c>
      <c r="K907" s="2">
        <v>45846.0</v>
      </c>
      <c r="L907" s="5"/>
      <c r="M907" s="9" t="s">
        <v>22</v>
      </c>
      <c r="N907" s="9" t="s">
        <v>23</v>
      </c>
      <c r="O907" s="10">
        <f>'data on outstanding creditors'!$E907*100/107</f>
        <v>39065.42056</v>
      </c>
      <c r="P907" s="10">
        <f>'data on outstanding creditors'!$E907-'data on outstanding creditors'!$O907</f>
        <v>2734.579439</v>
      </c>
      <c r="Q907" s="7">
        <f>DAY('data on outstanding creditors'!$B907)</f>
        <v>25</v>
      </c>
      <c r="R907" s="7">
        <f>MONTH('data on outstanding creditors'!$B907)</f>
        <v>3</v>
      </c>
      <c r="S907" s="7">
        <f>YEAR('data on outstanding creditors'!$B907)</f>
        <v>2025</v>
      </c>
      <c r="T907" s="11" t="str">
        <f>'data on outstanding creditors'!$C907&amp;" "&amp;'data on outstanding creditors'!$D907&amp;" "&amp;TEXT('data on outstanding creditors'!$E907,"#,##0.00")</f>
        <v>บ.เอ.เอ็น.บี.ลาบอรอตอรี่ 8370851551 41,800.00</v>
      </c>
      <c r="U907" s="12"/>
    </row>
    <row r="908" ht="13.5" customHeight="1">
      <c r="A908" s="1"/>
      <c r="B908" s="2">
        <v>45742.0</v>
      </c>
      <c r="C908" s="9" t="s">
        <v>1330</v>
      </c>
      <c r="D908" s="1" t="s">
        <v>1420</v>
      </c>
      <c r="E908" s="4">
        <v>34500.0</v>
      </c>
      <c r="F908" s="4"/>
      <c r="G908" s="4"/>
      <c r="H908" s="4">
        <f>'data on outstanding creditors'!$E908-'data on outstanding creditors'!$F908-'data on outstanding creditors'!$G908</f>
        <v>34500</v>
      </c>
      <c r="I908" s="2"/>
      <c r="J908" s="1" t="s">
        <v>757</v>
      </c>
      <c r="K908" s="2">
        <v>45810.0</v>
      </c>
      <c r="L908" s="5"/>
      <c r="M908" s="9" t="s">
        <v>22</v>
      </c>
      <c r="N908" s="9" t="s">
        <v>23</v>
      </c>
      <c r="O908" s="10">
        <f>'data on outstanding creditors'!$E908*100/107</f>
        <v>32242.99065</v>
      </c>
      <c r="P908" s="10">
        <f>'data on outstanding creditors'!$E908-'data on outstanding creditors'!$O908</f>
        <v>2257.009346</v>
      </c>
      <c r="Q908" s="7">
        <f>DAY('data on outstanding creditors'!$B908)</f>
        <v>26</v>
      </c>
      <c r="R908" s="7">
        <f>MONTH('data on outstanding creditors'!$B908)</f>
        <v>3</v>
      </c>
      <c r="S908" s="7">
        <f>YEAR('data on outstanding creditors'!$B908)</f>
        <v>2025</v>
      </c>
      <c r="T908" s="11" t="str">
        <f>'data on outstanding creditors'!$C908&amp;" "&amp;'data on outstanding creditors'!$D908&amp;" "&amp;TEXT('data on outstanding creditors'!$E908,"#,##0.00")</f>
        <v>บ.ชุมชนเภสัชกรรม IV680304931 34,500.00</v>
      </c>
      <c r="U908" s="12"/>
    </row>
    <row r="909" ht="13.5" customHeight="1">
      <c r="A909" s="1"/>
      <c r="B909" s="2">
        <v>45742.0</v>
      </c>
      <c r="C909" s="9" t="s">
        <v>780</v>
      </c>
      <c r="D909" s="1" t="s">
        <v>1421</v>
      </c>
      <c r="E909" s="4">
        <v>73188.0</v>
      </c>
      <c r="F909" s="4"/>
      <c r="G909" s="4"/>
      <c r="H909" s="4">
        <f>'data on outstanding creditors'!$E909-'data on outstanding creditors'!$F909-'data on outstanding creditors'!$G909</f>
        <v>73188</v>
      </c>
      <c r="I909" s="2"/>
      <c r="J909" s="1" t="s">
        <v>646</v>
      </c>
      <c r="K909" s="2">
        <v>45855.0</v>
      </c>
      <c r="L909" s="5"/>
      <c r="M909" s="9" t="s">
        <v>22</v>
      </c>
      <c r="N909" s="9" t="s">
        <v>23</v>
      </c>
      <c r="O909" s="10">
        <f>'data on outstanding creditors'!$E909*100/107</f>
        <v>68400</v>
      </c>
      <c r="P909" s="10">
        <f>'data on outstanding creditors'!$E909-'data on outstanding creditors'!$O909</f>
        <v>4788</v>
      </c>
      <c r="Q909" s="7">
        <f>DAY('data on outstanding creditors'!$B909)</f>
        <v>26</v>
      </c>
      <c r="R909" s="7">
        <f>MONTH('data on outstanding creditors'!$B909)</f>
        <v>3</v>
      </c>
      <c r="S909" s="7">
        <f>YEAR('data on outstanding creditors'!$B909)</f>
        <v>2025</v>
      </c>
      <c r="T909" s="11" t="str">
        <f>'data on outstanding creditors'!$C909&amp;" "&amp;'data on outstanding creditors'!$D909&amp;" "&amp;TEXT('data on outstanding creditors'!$E909,"#,##0.00")</f>
        <v>บ.แคสป้า ฟาร์มาซูติคอล(ประเทศไทย) C68030423 73,188.00</v>
      </c>
      <c r="U909" s="12"/>
    </row>
    <row r="910" ht="13.5" customHeight="1">
      <c r="A910" s="1"/>
      <c r="B910" s="2">
        <v>45742.0</v>
      </c>
      <c r="C910" s="9" t="s">
        <v>1422</v>
      </c>
      <c r="D910" s="1" t="s">
        <v>1423</v>
      </c>
      <c r="E910" s="4">
        <v>54000.0</v>
      </c>
      <c r="F910" s="4"/>
      <c r="G910" s="4"/>
      <c r="H910" s="4">
        <f>'data on outstanding creditors'!$E910-'data on outstanding creditors'!$F910-'data on outstanding creditors'!$G910</f>
        <v>54000</v>
      </c>
      <c r="I910" s="2"/>
      <c r="J910" s="1" t="s">
        <v>646</v>
      </c>
      <c r="K910" s="2">
        <v>45885.0</v>
      </c>
      <c r="L910" s="5"/>
      <c r="M910" s="9" t="s">
        <v>22</v>
      </c>
      <c r="N910" s="9" t="s">
        <v>23</v>
      </c>
      <c r="O910" s="10">
        <f>'data on outstanding creditors'!$E910*100/107</f>
        <v>50467.28972</v>
      </c>
      <c r="P910" s="10">
        <f>'data on outstanding creditors'!$E910-'data on outstanding creditors'!$O910</f>
        <v>3532.71028</v>
      </c>
      <c r="Q910" s="7">
        <f>DAY('data on outstanding creditors'!$B910)</f>
        <v>26</v>
      </c>
      <c r="R910" s="7">
        <f>MONTH('data on outstanding creditors'!$B910)</f>
        <v>3</v>
      </c>
      <c r="S910" s="7">
        <f>YEAR('data on outstanding creditors'!$B910)</f>
        <v>2025</v>
      </c>
      <c r="T910" s="11" t="str">
        <f>'data on outstanding creditors'!$C910&amp;" "&amp;'data on outstanding creditors'!$D910&amp;" "&amp;TEXT('data on outstanding creditors'!$E910,"#,##0.00")</f>
        <v>บ.ดีซีเอช ออดิกา (ปรเทศไทย) UG94616698 54,000.00</v>
      </c>
      <c r="U910" s="12"/>
    </row>
    <row r="911" ht="13.5" customHeight="1">
      <c r="A911" s="1"/>
      <c r="B911" s="2">
        <v>45742.0</v>
      </c>
      <c r="C911" s="9" t="s">
        <v>922</v>
      </c>
      <c r="D911" s="1" t="s">
        <v>1424</v>
      </c>
      <c r="E911" s="4">
        <v>58400.0</v>
      </c>
      <c r="F911" s="4"/>
      <c r="G911" s="4"/>
      <c r="H911" s="4">
        <f>'data on outstanding creditors'!$E911-'data on outstanding creditors'!$F911-'data on outstanding creditors'!$G911</f>
        <v>58400</v>
      </c>
      <c r="I911" s="2"/>
      <c r="J911" s="1" t="s">
        <v>646</v>
      </c>
      <c r="K911" s="2">
        <v>45815.0</v>
      </c>
      <c r="L911" s="5"/>
      <c r="M911" s="9" t="s">
        <v>22</v>
      </c>
      <c r="N911" s="9" t="s">
        <v>23</v>
      </c>
      <c r="O911" s="10">
        <f>'data on outstanding creditors'!$E911*100/107</f>
        <v>54579.43925</v>
      </c>
      <c r="P911" s="10">
        <f>'data on outstanding creditors'!$E911-'data on outstanding creditors'!$O911</f>
        <v>3820.560748</v>
      </c>
      <c r="Q911" s="7">
        <f>DAY('data on outstanding creditors'!$B911)</f>
        <v>26</v>
      </c>
      <c r="R911" s="7">
        <f>MONTH('data on outstanding creditors'!$B911)</f>
        <v>3</v>
      </c>
      <c r="S911" s="7">
        <f>YEAR('data on outstanding creditors'!$B911)</f>
        <v>2025</v>
      </c>
      <c r="T911" s="11" t="str">
        <f>'data on outstanding creditors'!$C911&amp;" "&amp;'data on outstanding creditors'!$D911&amp;" "&amp;TEXT('data on outstanding creditors'!$E911,"#,##0.00")</f>
        <v>บ.เบอร์ลินฟาร์มาซูติคอลอินดัสตรี้ 6810307475 58,400.00</v>
      </c>
      <c r="U911" s="12"/>
    </row>
    <row r="912" ht="13.5" customHeight="1">
      <c r="A912" s="1"/>
      <c r="B912" s="2">
        <v>45742.0</v>
      </c>
      <c r="C912" s="9" t="s">
        <v>1230</v>
      </c>
      <c r="D912" s="1" t="s">
        <v>1425</v>
      </c>
      <c r="E912" s="4">
        <v>3600.0</v>
      </c>
      <c r="F912" s="4"/>
      <c r="G912" s="4"/>
      <c r="H912" s="4">
        <f>'data on outstanding creditors'!$E912-'data on outstanding creditors'!$F912-'data on outstanding creditors'!$G912</f>
        <v>3600</v>
      </c>
      <c r="I912" s="2"/>
      <c r="J912" s="1" t="s">
        <v>646</v>
      </c>
      <c r="K912" s="2">
        <v>45928.0</v>
      </c>
      <c r="L912" s="5"/>
      <c r="M912" s="9" t="s">
        <v>22</v>
      </c>
      <c r="N912" s="9" t="s">
        <v>23</v>
      </c>
      <c r="O912" s="10">
        <f>'data on outstanding creditors'!$E912*100/107</f>
        <v>3364.485981</v>
      </c>
      <c r="P912" s="10">
        <f>'data on outstanding creditors'!$E912-'data on outstanding creditors'!$O912</f>
        <v>235.5140187</v>
      </c>
      <c r="Q912" s="7">
        <f>DAY('data on outstanding creditors'!$B912)</f>
        <v>26</v>
      </c>
      <c r="R912" s="7">
        <f>MONTH('data on outstanding creditors'!$B912)</f>
        <v>3</v>
      </c>
      <c r="S912" s="7">
        <f>YEAR('data on outstanding creditors'!$B912)</f>
        <v>2025</v>
      </c>
      <c r="T912" s="11" t="str">
        <f>'data on outstanding creditors'!$C912&amp;" "&amp;'data on outstanding creditors'!$D912&amp;" "&amp;TEXT('data on outstanding creditors'!$E912,"#,##0.00")</f>
        <v>บ.พรอส ฟาร์มา INV-L-IM\2025033546 3,600.00</v>
      </c>
      <c r="U912" s="12"/>
    </row>
    <row r="913" ht="13.5" customHeight="1">
      <c r="A913" s="1"/>
      <c r="B913" s="2">
        <v>45743.0</v>
      </c>
      <c r="C913" s="9" t="s">
        <v>1391</v>
      </c>
      <c r="D913" s="1" t="s">
        <v>1426</v>
      </c>
      <c r="E913" s="4">
        <v>4000.0</v>
      </c>
      <c r="F913" s="4"/>
      <c r="G913" s="4"/>
      <c r="H913" s="4">
        <f>'data on outstanding creditors'!$E913-'data on outstanding creditors'!$F913-'data on outstanding creditors'!$G913</f>
        <v>4000</v>
      </c>
      <c r="I913" s="2"/>
      <c r="J913" s="1" t="s">
        <v>646</v>
      </c>
      <c r="K913" s="2">
        <v>45928.0</v>
      </c>
      <c r="L913" s="5"/>
      <c r="M913" s="9" t="s">
        <v>22</v>
      </c>
      <c r="N913" s="9" t="s">
        <v>23</v>
      </c>
      <c r="O913" s="10">
        <f>'data on outstanding creditors'!$E913*100/107</f>
        <v>3738.317757</v>
      </c>
      <c r="P913" s="10">
        <f>'data on outstanding creditors'!$E913-'data on outstanding creditors'!$O913</f>
        <v>261.682243</v>
      </c>
      <c r="Q913" s="7">
        <f>DAY('data on outstanding creditors'!$B913)</f>
        <v>27</v>
      </c>
      <c r="R913" s="7">
        <f>MONTH('data on outstanding creditors'!$B913)</f>
        <v>3</v>
      </c>
      <c r="S913" s="7">
        <f>YEAR('data on outstanding creditors'!$B913)</f>
        <v>2025</v>
      </c>
      <c r="T913" s="11" t="str">
        <f>'data on outstanding creditors'!$C913&amp;" "&amp;'data on outstanding creditors'!$D913&amp;" "&amp;TEXT('data on outstanding creditors'!$E913,"#,##0.00")</f>
        <v>บ.ที.พี.ดรัก แลบบอราทอรี่ส์ VIV125031093 4,000.00</v>
      </c>
      <c r="U913" s="12"/>
    </row>
    <row r="914" ht="13.5" customHeight="1">
      <c r="A914" s="1"/>
      <c r="B914" s="2">
        <v>45744.0</v>
      </c>
      <c r="C914" s="9" t="s">
        <v>929</v>
      </c>
      <c r="D914" s="1" t="s">
        <v>1427</v>
      </c>
      <c r="E914" s="4">
        <v>39000.0</v>
      </c>
      <c r="F914" s="4"/>
      <c r="G914" s="4"/>
      <c r="H914" s="4">
        <f>'data on outstanding creditors'!$E914-'data on outstanding creditors'!$F914-'data on outstanding creditors'!$G914</f>
        <v>39000</v>
      </c>
      <c r="I914" s="2"/>
      <c r="J914" s="1" t="s">
        <v>646</v>
      </c>
      <c r="K914" s="2">
        <v>45887.0</v>
      </c>
      <c r="L914" s="5"/>
      <c r="M914" s="9" t="s">
        <v>22</v>
      </c>
      <c r="N914" s="9" t="s">
        <v>23</v>
      </c>
      <c r="O914" s="10">
        <f>'data on outstanding creditors'!$E914*100/107</f>
        <v>36448.59813</v>
      </c>
      <c r="P914" s="10">
        <f>'data on outstanding creditors'!$E914-'data on outstanding creditors'!$O914</f>
        <v>2551.401869</v>
      </c>
      <c r="Q914" s="7">
        <f>DAY('data on outstanding creditors'!$B914)</f>
        <v>28</v>
      </c>
      <c r="R914" s="7">
        <f>MONTH('data on outstanding creditors'!$B914)</f>
        <v>3</v>
      </c>
      <c r="S914" s="7">
        <f>YEAR('data on outstanding creditors'!$B914)</f>
        <v>2025</v>
      </c>
      <c r="T914" s="11" t="str">
        <f>'data on outstanding creditors'!$C914&amp;" "&amp;'data on outstanding creditors'!$D914&amp;" "&amp;TEXT('data on outstanding creditors'!$E914,"#,##0.00")</f>
        <v>บ.เยนเนอร์ราลดรั๊กส์เฮ้าส์ 25103187 39,000.00</v>
      </c>
      <c r="U914" s="12"/>
    </row>
    <row r="915" ht="13.5" customHeight="1">
      <c r="A915" s="1"/>
      <c r="B915" s="2">
        <v>45744.0</v>
      </c>
      <c r="C915" s="9" t="s">
        <v>771</v>
      </c>
      <c r="D915" s="1" t="s">
        <v>1428</v>
      </c>
      <c r="E915" s="4">
        <v>54000.0</v>
      </c>
      <c r="F915" s="4"/>
      <c r="G915" s="4"/>
      <c r="H915" s="4">
        <f>'data on outstanding creditors'!$E915-'data on outstanding creditors'!$F915-'data on outstanding creditors'!$G915</f>
        <v>54000</v>
      </c>
      <c r="I915" s="2"/>
      <c r="J915" s="1" t="s">
        <v>646</v>
      </c>
      <c r="K915" s="2">
        <v>45827.0</v>
      </c>
      <c r="L915" s="5"/>
      <c r="M915" s="9" t="s">
        <v>22</v>
      </c>
      <c r="N915" s="9" t="s">
        <v>23</v>
      </c>
      <c r="O915" s="10">
        <f>'data on outstanding creditors'!$E915*100/107</f>
        <v>50467.28972</v>
      </c>
      <c r="P915" s="10">
        <f>'data on outstanding creditors'!$E915-'data on outstanding creditors'!$O915</f>
        <v>3532.71028</v>
      </c>
      <c r="Q915" s="7">
        <f>DAY('data on outstanding creditors'!$B915)</f>
        <v>28</v>
      </c>
      <c r="R915" s="7">
        <f>MONTH('data on outstanding creditors'!$B915)</f>
        <v>3</v>
      </c>
      <c r="S915" s="7">
        <f>YEAR('data on outstanding creditors'!$B915)</f>
        <v>2025</v>
      </c>
      <c r="T915" s="11" t="str">
        <f>'data on outstanding creditors'!$C915&amp;" "&amp;'data on outstanding creditors'!$D915&amp;" "&amp;TEXT('data on outstanding creditors'!$E915,"#,##0.00")</f>
        <v>หจก.ภิญโญฟาร์มาซี IV6815861 54,000.00</v>
      </c>
      <c r="U915" s="12"/>
    </row>
    <row r="916" ht="13.5" customHeight="1">
      <c r="A916" s="1"/>
      <c r="B916" s="2">
        <v>45744.0</v>
      </c>
      <c r="C916" s="9" t="s">
        <v>763</v>
      </c>
      <c r="D916" s="1" t="s">
        <v>1429</v>
      </c>
      <c r="E916" s="4">
        <v>34500.0</v>
      </c>
      <c r="F916" s="4"/>
      <c r="G916" s="4"/>
      <c r="H916" s="4">
        <f>'data on outstanding creditors'!$E916-'data on outstanding creditors'!$F916-'data on outstanding creditors'!$G916</f>
        <v>34500</v>
      </c>
      <c r="I916" s="2"/>
      <c r="J916" s="1" t="s">
        <v>646</v>
      </c>
      <c r="K916" s="2">
        <v>45894.0</v>
      </c>
      <c r="L916" s="5"/>
      <c r="M916" s="9" t="s">
        <v>22</v>
      </c>
      <c r="N916" s="9" t="s">
        <v>23</v>
      </c>
      <c r="O916" s="10">
        <f>'data on outstanding creditors'!$E916*100/107</f>
        <v>32242.99065</v>
      </c>
      <c r="P916" s="10">
        <f>'data on outstanding creditors'!$E916-'data on outstanding creditors'!$O916</f>
        <v>2257.009346</v>
      </c>
      <c r="Q916" s="7">
        <f>DAY('data on outstanding creditors'!$B916)</f>
        <v>28</v>
      </c>
      <c r="R916" s="7">
        <f>MONTH('data on outstanding creditors'!$B916)</f>
        <v>3</v>
      </c>
      <c r="S916" s="7">
        <f>YEAR('data on outstanding creditors'!$B916)</f>
        <v>2025</v>
      </c>
      <c r="T916" s="11" t="str">
        <f>'data on outstanding creditors'!$C916&amp;" "&amp;'data on outstanding creditors'!$D916&amp;" "&amp;TEXT('data on outstanding creditors'!$E916,"#,##0.00")</f>
        <v>บ.อัลลายแอนซ์ ฟาร์มา B26803250 34,500.00</v>
      </c>
      <c r="U916" s="12"/>
    </row>
    <row r="917" ht="13.5" customHeight="1">
      <c r="A917" s="1"/>
      <c r="B917" s="2">
        <v>45749.0</v>
      </c>
      <c r="C917" s="9" t="s">
        <v>1247</v>
      </c>
      <c r="D917" s="1" t="s">
        <v>1430</v>
      </c>
      <c r="E917" s="4">
        <v>41800.0</v>
      </c>
      <c r="F917" s="4"/>
      <c r="G917" s="4"/>
      <c r="H917" s="4">
        <f>'data on outstanding creditors'!$E917-'data on outstanding creditors'!$F917-'data on outstanding creditors'!$G917</f>
        <v>41800</v>
      </c>
      <c r="I917" s="2"/>
      <c r="J917" s="1" t="s">
        <v>646</v>
      </c>
      <c r="K917" s="2">
        <v>45954.0</v>
      </c>
      <c r="L917" s="5"/>
      <c r="M917" s="9" t="s">
        <v>22</v>
      </c>
      <c r="N917" s="9" t="s">
        <v>23</v>
      </c>
      <c r="O917" s="10">
        <f>'data on outstanding creditors'!$E917*100/107</f>
        <v>39065.42056</v>
      </c>
      <c r="P917" s="10">
        <f>'data on outstanding creditors'!$E917-'data on outstanding creditors'!$O917</f>
        <v>2734.579439</v>
      </c>
      <c r="Q917" s="7">
        <f>DAY('data on outstanding creditors'!$B917)</f>
        <v>2</v>
      </c>
      <c r="R917" s="7">
        <f>MONTH('data on outstanding creditors'!$B917)</f>
        <v>4</v>
      </c>
      <c r="S917" s="7">
        <f>YEAR('data on outstanding creditors'!$B917)</f>
        <v>2025</v>
      </c>
      <c r="T917" s="11" t="str">
        <f>'data on outstanding creditors'!$C917&amp;" "&amp;'data on outstanding creditors'!$D917&amp;" "&amp;TEXT('data on outstanding creditors'!$E917,"#,##0.00")</f>
        <v>บ.เอ.เอ็น.บี.ลาบอรอตอรี่ 8370851552 41,800.00</v>
      </c>
      <c r="U917" s="12"/>
    </row>
    <row r="918" ht="13.5" customHeight="1">
      <c r="A918" s="1"/>
      <c r="B918" s="2">
        <v>45749.0</v>
      </c>
      <c r="C918" s="9" t="s">
        <v>1247</v>
      </c>
      <c r="D918" s="1" t="s">
        <v>1431</v>
      </c>
      <c r="E918" s="4">
        <v>41800.0</v>
      </c>
      <c r="F918" s="4"/>
      <c r="G918" s="4"/>
      <c r="H918" s="4">
        <f>'data on outstanding creditors'!$E918-'data on outstanding creditors'!$F918-'data on outstanding creditors'!$G918</f>
        <v>41800</v>
      </c>
      <c r="I918" s="2"/>
      <c r="J918" s="1" t="s">
        <v>646</v>
      </c>
      <c r="K918" s="2">
        <v>45954.0</v>
      </c>
      <c r="L918" s="5"/>
      <c r="M918" s="9" t="s">
        <v>22</v>
      </c>
      <c r="N918" s="9" t="s">
        <v>23</v>
      </c>
      <c r="O918" s="10">
        <f>'data on outstanding creditors'!$E918*100/107</f>
        <v>39065.42056</v>
      </c>
      <c r="P918" s="10">
        <f>'data on outstanding creditors'!$E918-'data on outstanding creditors'!$O918</f>
        <v>2734.579439</v>
      </c>
      <c r="Q918" s="7">
        <f>DAY('data on outstanding creditors'!$B918)</f>
        <v>2</v>
      </c>
      <c r="R918" s="7">
        <f>MONTH('data on outstanding creditors'!$B918)</f>
        <v>4</v>
      </c>
      <c r="S918" s="7">
        <f>YEAR('data on outstanding creditors'!$B918)</f>
        <v>2025</v>
      </c>
      <c r="T918" s="11" t="str">
        <f>'data on outstanding creditors'!$C918&amp;" "&amp;'data on outstanding creditors'!$D918&amp;" "&amp;TEXT('data on outstanding creditors'!$E918,"#,##0.00")</f>
        <v>บ.เอ.เอ็น.บี.ลาบอรอตอรี่ 8370851553 41,800.00</v>
      </c>
      <c r="U918" s="12"/>
    </row>
    <row r="919" ht="13.5" customHeight="1">
      <c r="A919" s="1"/>
      <c r="B919" s="2">
        <v>45749.0</v>
      </c>
      <c r="C919" s="9" t="s">
        <v>1432</v>
      </c>
      <c r="D919" s="1" t="s">
        <v>1433</v>
      </c>
      <c r="E919" s="4">
        <v>40000.0</v>
      </c>
      <c r="F919" s="4"/>
      <c r="G919" s="4"/>
      <c r="H919" s="4">
        <f>'data on outstanding creditors'!$E919-'data on outstanding creditors'!$F919-'data on outstanding creditors'!$G919</f>
        <v>40000</v>
      </c>
      <c r="I919" s="2"/>
      <c r="J919" s="1" t="s">
        <v>646</v>
      </c>
      <c r="K919" s="2">
        <v>45877.0</v>
      </c>
      <c r="L919" s="5"/>
      <c r="M919" s="9" t="s">
        <v>22</v>
      </c>
      <c r="N919" s="9" t="s">
        <v>23</v>
      </c>
      <c r="O919" s="10">
        <f>'data on outstanding creditors'!$E919*100/107</f>
        <v>37383.17757</v>
      </c>
      <c r="P919" s="10">
        <f>'data on outstanding creditors'!$E919-'data on outstanding creditors'!$O919</f>
        <v>2616.82243</v>
      </c>
      <c r="Q919" s="7">
        <f>DAY('data on outstanding creditors'!$B919)</f>
        <v>2</v>
      </c>
      <c r="R919" s="7">
        <f>MONTH('data on outstanding creditors'!$B919)</f>
        <v>4</v>
      </c>
      <c r="S919" s="7">
        <f>YEAR('data on outstanding creditors'!$B919)</f>
        <v>2025</v>
      </c>
      <c r="T919" s="11" t="str">
        <f>'data on outstanding creditors'!$C919&amp;" "&amp;'data on outstanding creditors'!$D919&amp;" "&amp;TEXT('data on outstanding creditors'!$E919,"#,##0.00")</f>
        <v>บ.ยูโทเปี้ยน IV2503788 40,000.00</v>
      </c>
      <c r="U919" s="12"/>
    </row>
    <row r="920" ht="13.5" customHeight="1">
      <c r="A920" s="1"/>
      <c r="B920" s="2">
        <v>45749.0</v>
      </c>
      <c r="C920" s="9" t="s">
        <v>1371</v>
      </c>
      <c r="D920" s="1" t="s">
        <v>1434</v>
      </c>
      <c r="E920" s="4">
        <v>47400.0</v>
      </c>
      <c r="F920" s="4"/>
      <c r="G920" s="4"/>
      <c r="H920" s="4">
        <f>'data on outstanding creditors'!$E920-'data on outstanding creditors'!$F920-'data on outstanding creditors'!$G920</f>
        <v>47400</v>
      </c>
      <c r="I920" s="2"/>
      <c r="J920" s="1" t="s">
        <v>646</v>
      </c>
      <c r="K920" s="2">
        <v>45877.0</v>
      </c>
      <c r="L920" s="5"/>
      <c r="M920" s="9" t="s">
        <v>22</v>
      </c>
      <c r="N920" s="9" t="s">
        <v>23</v>
      </c>
      <c r="O920" s="10">
        <f>'data on outstanding creditors'!$E920*100/107</f>
        <v>44299.06542</v>
      </c>
      <c r="P920" s="10">
        <f>'data on outstanding creditors'!$E920-'data on outstanding creditors'!$O920</f>
        <v>3100.934579</v>
      </c>
      <c r="Q920" s="7">
        <f>DAY('data on outstanding creditors'!$B920)</f>
        <v>2</v>
      </c>
      <c r="R920" s="7">
        <f>MONTH('data on outstanding creditors'!$B920)</f>
        <v>4</v>
      </c>
      <c r="S920" s="7">
        <f>YEAR('data on outstanding creditors'!$B920)</f>
        <v>2025</v>
      </c>
      <c r="T920" s="11" t="str">
        <f>'data on outstanding creditors'!$C920&amp;" "&amp;'data on outstanding creditors'!$D920&amp;" "&amp;TEXT('data on outstanding creditors'!$E920,"#,##0.00")</f>
        <v>บ.แอตแลนต้า เมดดิคแคร์ BI/225030668 47,400.00</v>
      </c>
      <c r="U920" s="12"/>
    </row>
    <row r="921" ht="13.5" customHeight="1">
      <c r="A921" s="1"/>
      <c r="B921" s="2">
        <v>45749.0</v>
      </c>
      <c r="C921" s="9" t="s">
        <v>1232</v>
      </c>
      <c r="D921" s="1" t="s">
        <v>1435</v>
      </c>
      <c r="E921" s="4">
        <v>36000.0</v>
      </c>
      <c r="F921" s="4"/>
      <c r="G921" s="4"/>
      <c r="H921" s="4">
        <f>'data on outstanding creditors'!$E921-'data on outstanding creditors'!$F921-'data on outstanding creditors'!$G921</f>
        <v>36000</v>
      </c>
      <c r="I921" s="2"/>
      <c r="J921" s="1" t="s">
        <v>646</v>
      </c>
      <c r="K921" s="2">
        <v>45843.0</v>
      </c>
      <c r="L921" s="5"/>
      <c r="M921" s="9" t="s">
        <v>22</v>
      </c>
      <c r="N921" s="9" t="s">
        <v>23</v>
      </c>
      <c r="O921" s="10">
        <f>'data on outstanding creditors'!$E921*100/107</f>
        <v>33644.85981</v>
      </c>
      <c r="P921" s="10">
        <f>'data on outstanding creditors'!$E921-'data on outstanding creditors'!$O921</f>
        <v>2355.140187</v>
      </c>
      <c r="Q921" s="7">
        <f>DAY('data on outstanding creditors'!$B921)</f>
        <v>2</v>
      </c>
      <c r="R921" s="7">
        <f>MONTH('data on outstanding creditors'!$B921)</f>
        <v>4</v>
      </c>
      <c r="S921" s="7">
        <f>YEAR('data on outstanding creditors'!$B921)</f>
        <v>2025</v>
      </c>
      <c r="T921" s="11" t="str">
        <f>'data on outstanding creditors'!$C921&amp;" "&amp;'data on outstanding creditors'!$D921&amp;" "&amp;TEXT('data on outstanding creditors'!$E921,"#,##0.00")</f>
        <v>บ.มาสุ 254952 36,000.00</v>
      </c>
      <c r="U921" s="12"/>
    </row>
    <row r="922" ht="13.5" customHeight="1">
      <c r="A922" s="1"/>
      <c r="B922" s="2">
        <v>45749.0</v>
      </c>
      <c r="C922" s="9" t="s">
        <v>1243</v>
      </c>
      <c r="D922" s="1" t="s">
        <v>1436</v>
      </c>
      <c r="E922" s="4">
        <v>50000.0</v>
      </c>
      <c r="F922" s="4"/>
      <c r="G922" s="4"/>
      <c r="H922" s="4">
        <f>'data on outstanding creditors'!$E922-'data on outstanding creditors'!$F922-'data on outstanding creditors'!$G922</f>
        <v>50000</v>
      </c>
      <c r="I922" s="2"/>
      <c r="J922" s="1" t="s">
        <v>757</v>
      </c>
      <c r="K922" s="2">
        <v>45814.0</v>
      </c>
      <c r="L922" s="5"/>
      <c r="M922" s="9" t="s">
        <v>22</v>
      </c>
      <c r="N922" s="9" t="s">
        <v>23</v>
      </c>
      <c r="O922" s="10">
        <f>'data on outstanding creditors'!$E922*100/107</f>
        <v>46728.97196</v>
      </c>
      <c r="P922" s="10">
        <f>'data on outstanding creditors'!$E922-'data on outstanding creditors'!$O922</f>
        <v>3271.028037</v>
      </c>
      <c r="Q922" s="7">
        <f>DAY('data on outstanding creditors'!$B922)</f>
        <v>2</v>
      </c>
      <c r="R922" s="7">
        <f>MONTH('data on outstanding creditors'!$B922)</f>
        <v>4</v>
      </c>
      <c r="S922" s="7">
        <f>YEAR('data on outstanding creditors'!$B922)</f>
        <v>2025</v>
      </c>
      <c r="T922" s="11" t="str">
        <f>'data on outstanding creditors'!$C922&amp;" "&amp;'data on outstanding creditors'!$D922&amp;" "&amp;TEXT('data on outstanding creditors'!$E922,"#,##0.00")</f>
        <v>บ.วี.แอนด์.วี.กรุงเทพ 8103247475 50,000.00</v>
      </c>
      <c r="U922" s="12"/>
    </row>
    <row r="923" ht="13.5" customHeight="1">
      <c r="A923" s="1"/>
      <c r="B923" s="2">
        <v>45749.0</v>
      </c>
      <c r="C923" s="9" t="s">
        <v>263</v>
      </c>
      <c r="D923" s="1" t="s">
        <v>1437</v>
      </c>
      <c r="E923" s="4">
        <v>122400.0</v>
      </c>
      <c r="F923" s="4"/>
      <c r="G923" s="4"/>
      <c r="H923" s="4">
        <f>'data on outstanding creditors'!$E923-'data on outstanding creditors'!$F923-'data on outstanding creditors'!$G923</f>
        <v>122400</v>
      </c>
      <c r="I923" s="2"/>
      <c r="J923" s="1" t="s">
        <v>646</v>
      </c>
      <c r="K923" s="2">
        <v>45928.0</v>
      </c>
      <c r="L923" s="5"/>
      <c r="M923" s="9" t="s">
        <v>22</v>
      </c>
      <c r="N923" s="9" t="s">
        <v>23</v>
      </c>
      <c r="O923" s="10">
        <f>'data on outstanding creditors'!$E923*100/107</f>
        <v>114392.5234</v>
      </c>
      <c r="P923" s="10">
        <f>'data on outstanding creditors'!$E923-'data on outstanding creditors'!$O923</f>
        <v>8007.476636</v>
      </c>
      <c r="Q923" s="7">
        <f>DAY('data on outstanding creditors'!$B923)</f>
        <v>2</v>
      </c>
      <c r="R923" s="7">
        <f>MONTH('data on outstanding creditors'!$B923)</f>
        <v>4</v>
      </c>
      <c r="S923" s="7">
        <f>YEAR('data on outstanding creditors'!$B923)</f>
        <v>2025</v>
      </c>
      <c r="T923" s="11" t="str">
        <f>'data on outstanding creditors'!$C923&amp;" "&amp;'data on outstanding creditors'!$D923&amp;" "&amp;TEXT('data on outstanding creditors'!$E923,"#,##0.00")</f>
        <v>บ.เอเบิ้ล เมดิคอล M2503/0612 122,400.00</v>
      </c>
      <c r="U923" s="12"/>
    </row>
    <row r="924" ht="13.5" customHeight="1">
      <c r="A924" s="1"/>
      <c r="B924" s="2">
        <v>45749.0</v>
      </c>
      <c r="C924" s="9" t="s">
        <v>1303</v>
      </c>
      <c r="D924" s="1" t="s">
        <v>1438</v>
      </c>
      <c r="E924" s="4">
        <v>33063.0</v>
      </c>
      <c r="F924" s="4"/>
      <c r="G924" s="4"/>
      <c r="H924" s="4">
        <f>'data on outstanding creditors'!$E924-'data on outstanding creditors'!$F924-'data on outstanding creditors'!$G924</f>
        <v>33063</v>
      </c>
      <c r="I924" s="2"/>
      <c r="J924" s="1" t="s">
        <v>646</v>
      </c>
      <c r="K924" s="2">
        <v>45866.0</v>
      </c>
      <c r="L924" s="5"/>
      <c r="M924" s="9" t="s">
        <v>22</v>
      </c>
      <c r="N924" s="9" t="s">
        <v>23</v>
      </c>
      <c r="O924" s="10">
        <f>'data on outstanding creditors'!$E924*100/107</f>
        <v>30900</v>
      </c>
      <c r="P924" s="10">
        <f>'data on outstanding creditors'!$E924-'data on outstanding creditors'!$O924</f>
        <v>2163</v>
      </c>
      <c r="Q924" s="7">
        <f>DAY('data on outstanding creditors'!$B924)</f>
        <v>2</v>
      </c>
      <c r="R924" s="7">
        <f>MONTH('data on outstanding creditors'!$B924)</f>
        <v>4</v>
      </c>
      <c r="S924" s="7">
        <f>YEAR('data on outstanding creditors'!$B924)</f>
        <v>2025</v>
      </c>
      <c r="T924" s="11" t="str">
        <f>'data on outstanding creditors'!$C924&amp;" "&amp;'data on outstanding creditors'!$D924&amp;" "&amp;TEXT('data on outstanding creditors'!$E924,"#,##0.00")</f>
        <v>บ.บี.เอ็ล.เอช.เทร็ดดิ้ง 1068008437 33,063.00</v>
      </c>
      <c r="U924" s="12"/>
    </row>
    <row r="925" ht="13.5" customHeight="1">
      <c r="A925" s="1"/>
      <c r="B925" s="2">
        <v>45749.0</v>
      </c>
      <c r="C925" s="9" t="s">
        <v>761</v>
      </c>
      <c r="D925" s="1" t="s">
        <v>1439</v>
      </c>
      <c r="E925" s="4">
        <v>114900.0</v>
      </c>
      <c r="F925" s="4"/>
      <c r="G925" s="4"/>
      <c r="H925" s="4">
        <f>'data on outstanding creditors'!$E925-'data on outstanding creditors'!$F925-'data on outstanding creditors'!$G925</f>
        <v>114900</v>
      </c>
      <c r="I925" s="2"/>
      <c r="J925" s="1" t="s">
        <v>646</v>
      </c>
      <c r="K925" s="2">
        <v>45866.0</v>
      </c>
      <c r="L925" s="5"/>
      <c r="M925" s="9" t="s">
        <v>22</v>
      </c>
      <c r="N925" s="9" t="s">
        <v>23</v>
      </c>
      <c r="O925" s="10">
        <f>'data on outstanding creditors'!$E925*100/107</f>
        <v>107383.1776</v>
      </c>
      <c r="P925" s="10">
        <f>'data on outstanding creditors'!$E925-'data on outstanding creditors'!$O925</f>
        <v>7516.82243</v>
      </c>
      <c r="Q925" s="7">
        <f>DAY('data on outstanding creditors'!$B925)</f>
        <v>2</v>
      </c>
      <c r="R925" s="7">
        <f>MONTH('data on outstanding creditors'!$B925)</f>
        <v>4</v>
      </c>
      <c r="S925" s="7">
        <f>YEAR('data on outstanding creditors'!$B925)</f>
        <v>2025</v>
      </c>
      <c r="T925" s="11" t="str">
        <f>'data on outstanding creditors'!$C925&amp;" "&amp;'data on outstanding creditors'!$D925&amp;" "&amp;TEXT('data on outstanding creditors'!$E925,"#,##0.00")</f>
        <v>บ.แมคโครฟาร์แลบ ML25035041 114,900.00</v>
      </c>
      <c r="U925" s="12"/>
    </row>
    <row r="926" ht="13.5" customHeight="1">
      <c r="A926" s="1"/>
      <c r="B926" s="2">
        <v>45751.0</v>
      </c>
      <c r="C926" s="9" t="s">
        <v>1440</v>
      </c>
      <c r="D926" s="1" t="s">
        <v>1441</v>
      </c>
      <c r="E926" s="4">
        <v>12000.0</v>
      </c>
      <c r="F926" s="4"/>
      <c r="G926" s="4"/>
      <c r="H926" s="4">
        <f>'data on outstanding creditors'!$E926-'data on outstanding creditors'!$F926-'data on outstanding creditors'!$G926</f>
        <v>12000</v>
      </c>
      <c r="I926" s="2"/>
      <c r="J926" s="1" t="s">
        <v>646</v>
      </c>
      <c r="K926" s="2">
        <v>45855.0</v>
      </c>
      <c r="L926" s="5"/>
      <c r="M926" s="9" t="s">
        <v>22</v>
      </c>
      <c r="N926" s="9" t="s">
        <v>23</v>
      </c>
      <c r="O926" s="10">
        <f>'data on outstanding creditors'!$E926*100/107</f>
        <v>11214.95327</v>
      </c>
      <c r="P926" s="10">
        <f>'data on outstanding creditors'!$E926-'data on outstanding creditors'!$O926</f>
        <v>785.046729</v>
      </c>
      <c r="Q926" s="7">
        <f>DAY('data on outstanding creditors'!$B926)</f>
        <v>4</v>
      </c>
      <c r="R926" s="7">
        <f>MONTH('data on outstanding creditors'!$B926)</f>
        <v>4</v>
      </c>
      <c r="S926" s="7">
        <f>YEAR('data on outstanding creditors'!$B926)</f>
        <v>2025</v>
      </c>
      <c r="T926" s="11" t="str">
        <f>'data on outstanding creditors'!$C926&amp;" "&amp;'data on outstanding creditors'!$D926&amp;" "&amp;TEXT('data on outstanding creditors'!$E926,"#,##0.00")</f>
        <v>บ.เวสโก ฟาร์มาซูติคอล IV68031450 12,000.00</v>
      </c>
      <c r="U926" s="12"/>
    </row>
    <row r="927" ht="13.5" customHeight="1">
      <c r="A927" s="1"/>
      <c r="B927" s="2">
        <v>45751.0</v>
      </c>
      <c r="C927" s="9" t="s">
        <v>771</v>
      </c>
      <c r="D927" s="1" t="s">
        <v>1442</v>
      </c>
      <c r="E927" s="4">
        <v>51450.0</v>
      </c>
      <c r="F927" s="4"/>
      <c r="G927" s="4"/>
      <c r="H927" s="4">
        <f>'data on outstanding creditors'!$E927-'data on outstanding creditors'!$F927-'data on outstanding creditors'!$G927</f>
        <v>51450</v>
      </c>
      <c r="I927" s="2"/>
      <c r="J927" s="1" t="s">
        <v>646</v>
      </c>
      <c r="K927" s="2">
        <v>45827.0</v>
      </c>
      <c r="L927" s="5"/>
      <c r="M927" s="9" t="s">
        <v>22</v>
      </c>
      <c r="N927" s="9" t="s">
        <v>23</v>
      </c>
      <c r="O927" s="10">
        <f>'data on outstanding creditors'!$E927*100/107</f>
        <v>48084.11215</v>
      </c>
      <c r="P927" s="10">
        <f>'data on outstanding creditors'!$E927-'data on outstanding creditors'!$O927</f>
        <v>3365.88785</v>
      </c>
      <c r="Q927" s="7">
        <f>DAY('data on outstanding creditors'!$B927)</f>
        <v>4</v>
      </c>
      <c r="R927" s="7">
        <f>MONTH('data on outstanding creditors'!$B927)</f>
        <v>4</v>
      </c>
      <c r="S927" s="7">
        <f>YEAR('data on outstanding creditors'!$B927)</f>
        <v>2025</v>
      </c>
      <c r="T927" s="11" t="str">
        <f>'data on outstanding creditors'!$C927&amp;" "&amp;'data on outstanding creditors'!$D927&amp;" "&amp;TEXT('data on outstanding creditors'!$E927,"#,##0.00")</f>
        <v>หจก.ภิญโญฟาร์มาซี IV6817267 51,450.00</v>
      </c>
      <c r="U927" s="12"/>
    </row>
    <row r="928" ht="13.5" customHeight="1">
      <c r="A928" s="1"/>
      <c r="B928" s="2">
        <v>45751.0</v>
      </c>
      <c r="C928" s="9" t="s">
        <v>1303</v>
      </c>
      <c r="D928" s="1" t="s">
        <v>1443</v>
      </c>
      <c r="E928" s="4">
        <v>77040.0</v>
      </c>
      <c r="F928" s="4"/>
      <c r="G928" s="4"/>
      <c r="H928" s="4">
        <f>'data on outstanding creditors'!$E928-'data on outstanding creditors'!$F928-'data on outstanding creditors'!$G928</f>
        <v>77040</v>
      </c>
      <c r="I928" s="2"/>
      <c r="J928" s="1" t="s">
        <v>646</v>
      </c>
      <c r="K928" s="2">
        <v>45866.0</v>
      </c>
      <c r="L928" s="5"/>
      <c r="M928" s="9" t="s">
        <v>22</v>
      </c>
      <c r="N928" s="9" t="s">
        <v>23</v>
      </c>
      <c r="O928" s="10">
        <f>'data on outstanding creditors'!$E928*100/107</f>
        <v>72000</v>
      </c>
      <c r="P928" s="10">
        <f>'data on outstanding creditors'!$E928-'data on outstanding creditors'!$O928</f>
        <v>5040</v>
      </c>
      <c r="Q928" s="7">
        <f>DAY('data on outstanding creditors'!$B928)</f>
        <v>4</v>
      </c>
      <c r="R928" s="7">
        <f>MONTH('data on outstanding creditors'!$B928)</f>
        <v>4</v>
      </c>
      <c r="S928" s="7">
        <f>YEAR('data on outstanding creditors'!$B928)</f>
        <v>2025</v>
      </c>
      <c r="T928" s="11" t="str">
        <f>'data on outstanding creditors'!$C928&amp;" "&amp;'data on outstanding creditors'!$D928&amp;" "&amp;TEXT('data on outstanding creditors'!$E928,"#,##0.00")</f>
        <v>บ.บี.เอ็ล.เอช.เทร็ดดิ้ง 1068008508 77,040.00</v>
      </c>
      <c r="U928" s="12"/>
    </row>
    <row r="929" ht="13.5" customHeight="1">
      <c r="A929" s="1"/>
      <c r="B929" s="2">
        <v>45751.0</v>
      </c>
      <c r="C929" s="9" t="s">
        <v>922</v>
      </c>
      <c r="D929" s="1" t="s">
        <v>1444</v>
      </c>
      <c r="E929" s="4">
        <v>17850.0</v>
      </c>
      <c r="F929" s="4"/>
      <c r="G929" s="4"/>
      <c r="H929" s="4">
        <f>'data on outstanding creditors'!$E929-'data on outstanding creditors'!$F929-'data on outstanding creditors'!$G929</f>
        <v>17850</v>
      </c>
      <c r="I929" s="2"/>
      <c r="J929" s="1" t="s">
        <v>646</v>
      </c>
      <c r="K929" s="2">
        <v>45855.0</v>
      </c>
      <c r="L929" s="5"/>
      <c r="M929" s="9" t="s">
        <v>22</v>
      </c>
      <c r="N929" s="9" t="s">
        <v>23</v>
      </c>
      <c r="O929" s="10">
        <f>'data on outstanding creditors'!$E929*100/107</f>
        <v>16682.24299</v>
      </c>
      <c r="P929" s="10">
        <f>'data on outstanding creditors'!$E929-'data on outstanding creditors'!$O929</f>
        <v>1167.757009</v>
      </c>
      <c r="Q929" s="7">
        <f>DAY('data on outstanding creditors'!$B929)</f>
        <v>4</v>
      </c>
      <c r="R929" s="7">
        <f>MONTH('data on outstanding creditors'!$B929)</f>
        <v>4</v>
      </c>
      <c r="S929" s="7">
        <f>YEAR('data on outstanding creditors'!$B929)</f>
        <v>2025</v>
      </c>
      <c r="T929" s="11" t="str">
        <f>'data on outstanding creditors'!$C929&amp;" "&amp;'data on outstanding creditors'!$D929&amp;" "&amp;TEXT('data on outstanding creditors'!$E929,"#,##0.00")</f>
        <v>บ.เบอร์ลินฟาร์มาซูติคอลอินดัสตรี้ 6810309559 17,850.00</v>
      </c>
      <c r="U929" s="12"/>
    </row>
    <row r="930" ht="13.5" customHeight="1">
      <c r="A930" s="1"/>
      <c r="B930" s="2">
        <v>45756.0</v>
      </c>
      <c r="C930" s="9" t="s">
        <v>1402</v>
      </c>
      <c r="D930" s="1" t="s">
        <v>1445</v>
      </c>
      <c r="E930" s="4">
        <v>6240.0</v>
      </c>
      <c r="F930" s="4"/>
      <c r="G930" s="4"/>
      <c r="H930" s="4">
        <f>'data on outstanding creditors'!$E930-'data on outstanding creditors'!$F930-'data on outstanding creditors'!$G930</f>
        <v>6240</v>
      </c>
      <c r="I930" s="2"/>
      <c r="J930" s="1" t="s">
        <v>646</v>
      </c>
      <c r="K930" s="2">
        <v>45887.0</v>
      </c>
      <c r="L930" s="5"/>
      <c r="M930" s="9" t="s">
        <v>22</v>
      </c>
      <c r="N930" s="9" t="s">
        <v>23</v>
      </c>
      <c r="O930" s="10">
        <f>'data on outstanding creditors'!$E930*100/107</f>
        <v>5831.775701</v>
      </c>
      <c r="P930" s="10">
        <f>'data on outstanding creditors'!$E930-'data on outstanding creditors'!$O930</f>
        <v>408.2242991</v>
      </c>
      <c r="Q930" s="7">
        <f>DAY('data on outstanding creditors'!$B930)</f>
        <v>9</v>
      </c>
      <c r="R930" s="7">
        <f>MONTH('data on outstanding creditors'!$B930)</f>
        <v>4</v>
      </c>
      <c r="S930" s="7">
        <f>YEAR('data on outstanding creditors'!$B930)</f>
        <v>2025</v>
      </c>
      <c r="T930" s="11" t="str">
        <f>'data on outstanding creditors'!$C930&amp;" "&amp;'data on outstanding creditors'!$D930&amp;" "&amp;TEXT('data on outstanding creditors'!$E930,"#,##0.00")</f>
        <v>บ.โรงงานเภสัชกรรมแหลมทองการแพทย์ IV6803/0444 6,240.00</v>
      </c>
      <c r="U930" s="12"/>
    </row>
    <row r="931" ht="13.5" customHeight="1">
      <c r="A931" s="1"/>
      <c r="B931" s="2">
        <v>45756.0</v>
      </c>
      <c r="C931" s="9" t="s">
        <v>1265</v>
      </c>
      <c r="D931" s="1" t="s">
        <v>1446</v>
      </c>
      <c r="E931" s="4">
        <v>23200.0</v>
      </c>
      <c r="F931" s="4"/>
      <c r="G931" s="4"/>
      <c r="H931" s="4">
        <f>'data on outstanding creditors'!$E931-'data on outstanding creditors'!$F931-'data on outstanding creditors'!$G931</f>
        <v>23200</v>
      </c>
      <c r="I931" s="2"/>
      <c r="J931" s="1" t="s">
        <v>646</v>
      </c>
      <c r="K931" s="2">
        <v>45944.0</v>
      </c>
      <c r="L931" s="5"/>
      <c r="M931" s="9" t="s">
        <v>22</v>
      </c>
      <c r="N931" s="9" t="s">
        <v>23</v>
      </c>
      <c r="O931" s="10">
        <f>'data on outstanding creditors'!$E931*100/107</f>
        <v>21682.24299</v>
      </c>
      <c r="P931" s="10">
        <f>'data on outstanding creditors'!$E931-'data on outstanding creditors'!$O931</f>
        <v>1517.757009</v>
      </c>
      <c r="Q931" s="7">
        <f>DAY('data on outstanding creditors'!$B931)</f>
        <v>9</v>
      </c>
      <c r="R931" s="7">
        <f>MONTH('data on outstanding creditors'!$B931)</f>
        <v>4</v>
      </c>
      <c r="S931" s="7">
        <f>YEAR('data on outstanding creditors'!$B931)</f>
        <v>2025</v>
      </c>
      <c r="T931" s="11" t="str">
        <f>'data on outstanding creditors'!$C931&amp;" "&amp;'data on outstanding creditors'!$D931&amp;" "&amp;TEXT('data on outstanding creditors'!$E931,"#,##0.00")</f>
        <v>บ.แอล.บี.เอส.แลบบอเรตอรี่ 865817 23,200.00</v>
      </c>
      <c r="U931" s="12"/>
    </row>
    <row r="932" ht="13.5" customHeight="1">
      <c r="A932" s="1"/>
      <c r="B932" s="2">
        <v>45756.0</v>
      </c>
      <c r="C932" s="9" t="s">
        <v>263</v>
      </c>
      <c r="D932" s="1" t="s">
        <v>1447</v>
      </c>
      <c r="E932" s="4">
        <v>12900.0</v>
      </c>
      <c r="F932" s="4"/>
      <c r="G932" s="4"/>
      <c r="H932" s="4">
        <f>'data on outstanding creditors'!$E932-'data on outstanding creditors'!$F932-'data on outstanding creditors'!$G932</f>
        <v>12900</v>
      </c>
      <c r="I932" s="2"/>
      <c r="J932" s="1" t="s">
        <v>646</v>
      </c>
      <c r="K932" s="2">
        <v>45928.0</v>
      </c>
      <c r="L932" s="5"/>
      <c r="M932" s="9" t="s">
        <v>22</v>
      </c>
      <c r="N932" s="9" t="s">
        <v>23</v>
      </c>
      <c r="O932" s="10">
        <f>'data on outstanding creditors'!$E932*100/107</f>
        <v>12056.07477</v>
      </c>
      <c r="P932" s="10">
        <f>'data on outstanding creditors'!$E932-'data on outstanding creditors'!$O932</f>
        <v>843.9252336</v>
      </c>
      <c r="Q932" s="7">
        <f>DAY('data on outstanding creditors'!$B932)</f>
        <v>9</v>
      </c>
      <c r="R932" s="7">
        <f>MONTH('data on outstanding creditors'!$B932)</f>
        <v>4</v>
      </c>
      <c r="S932" s="7">
        <f>YEAR('data on outstanding creditors'!$B932)</f>
        <v>2025</v>
      </c>
      <c r="T932" s="11" t="str">
        <f>'data on outstanding creditors'!$C932&amp;" "&amp;'data on outstanding creditors'!$D932&amp;" "&amp;TEXT('data on outstanding creditors'!$E932,"#,##0.00")</f>
        <v>บ.เอเบิ้ล เมดิคอล B2503/0605 12,900.00</v>
      </c>
      <c r="U932" s="12"/>
    </row>
    <row r="933" ht="13.5" customHeight="1">
      <c r="A933" s="1"/>
      <c r="B933" s="2">
        <v>45756.0</v>
      </c>
      <c r="C933" s="9" t="s">
        <v>20</v>
      </c>
      <c r="D933" s="1" t="s">
        <v>1448</v>
      </c>
      <c r="E933" s="4">
        <v>15000.0</v>
      </c>
      <c r="F933" s="4"/>
      <c r="G933" s="4"/>
      <c r="H933" s="4">
        <f>'data on outstanding creditors'!$E933-'data on outstanding creditors'!$F933-'data on outstanding creditors'!$G933</f>
        <v>15000</v>
      </c>
      <c r="I933" s="2"/>
      <c r="J933" s="1" t="s">
        <v>646</v>
      </c>
      <c r="K933" s="2">
        <v>45855.0</v>
      </c>
      <c r="L933" s="5"/>
      <c r="M933" s="9" t="s">
        <v>22</v>
      </c>
      <c r="N933" s="9" t="s">
        <v>23</v>
      </c>
      <c r="O933" s="10">
        <f>'data on outstanding creditors'!$E933*100/107</f>
        <v>14018.69159</v>
      </c>
      <c r="P933" s="10">
        <f>'data on outstanding creditors'!$E933-'data on outstanding creditors'!$O933</f>
        <v>981.3084112</v>
      </c>
      <c r="Q933" s="7">
        <f>DAY('data on outstanding creditors'!$B933)</f>
        <v>9</v>
      </c>
      <c r="R933" s="7">
        <f>MONTH('data on outstanding creditors'!$B933)</f>
        <v>4</v>
      </c>
      <c r="S933" s="7">
        <f>YEAR('data on outstanding creditors'!$B933)</f>
        <v>2025</v>
      </c>
      <c r="T933" s="11" t="str">
        <f>'data on outstanding creditors'!$C933&amp;" "&amp;'data on outstanding creditors'!$D933&amp;" "&amp;TEXT('data on outstanding creditors'!$E933,"#,##0.00")</f>
        <v>บ.พีเอ็มแอล ฟาร์มาซูติคอลส์ SIS250401-040 15,000.00</v>
      </c>
      <c r="U933" s="12"/>
    </row>
    <row r="934" ht="13.5" customHeight="1">
      <c r="A934" s="1"/>
      <c r="B934" s="2">
        <v>45756.0</v>
      </c>
      <c r="C934" s="9" t="s">
        <v>1297</v>
      </c>
      <c r="D934" s="1" t="s">
        <v>1449</v>
      </c>
      <c r="E934" s="4">
        <v>45000.0</v>
      </c>
      <c r="F934" s="4"/>
      <c r="G934" s="4"/>
      <c r="H934" s="4">
        <f>'data on outstanding creditors'!$E934-'data on outstanding creditors'!$F934-'data on outstanding creditors'!$G934</f>
        <v>45000</v>
      </c>
      <c r="I934" s="2"/>
      <c r="J934" s="1" t="s">
        <v>646</v>
      </c>
      <c r="K934" s="2">
        <v>45928.0</v>
      </c>
      <c r="L934" s="5"/>
      <c r="M934" s="9" t="s">
        <v>22</v>
      </c>
      <c r="N934" s="9" t="s">
        <v>23</v>
      </c>
      <c r="O934" s="10">
        <f>'data on outstanding creditors'!$E934*100/107</f>
        <v>42056.07477</v>
      </c>
      <c r="P934" s="10">
        <f>'data on outstanding creditors'!$E934-'data on outstanding creditors'!$O934</f>
        <v>2943.925234</v>
      </c>
      <c r="Q934" s="7">
        <f>DAY('data on outstanding creditors'!$B934)</f>
        <v>9</v>
      </c>
      <c r="R934" s="7">
        <f>MONTH('data on outstanding creditors'!$B934)</f>
        <v>4</v>
      </c>
      <c r="S934" s="7">
        <f>YEAR('data on outstanding creditors'!$B934)</f>
        <v>2025</v>
      </c>
      <c r="T934" s="11" t="str">
        <f>'data on outstanding creditors'!$C934&amp;" "&amp;'data on outstanding creditors'!$D934&amp;" "&amp;TEXT('data on outstanding creditors'!$E934,"#,##0.00")</f>
        <v>บ.แอตแลนติค ฟาร์มาซูติคอล PIN2511741 45,000.00</v>
      </c>
      <c r="U934" s="12"/>
    </row>
    <row r="935" ht="13.5" customHeight="1">
      <c r="A935" s="1"/>
      <c r="B935" s="2">
        <v>45756.0</v>
      </c>
      <c r="C935" s="9" t="s">
        <v>1450</v>
      </c>
      <c r="D935" s="1" t="s">
        <v>1451</v>
      </c>
      <c r="E935" s="4">
        <v>19046.0</v>
      </c>
      <c r="F935" s="4"/>
      <c r="G935" s="4"/>
      <c r="H935" s="4">
        <f>'data on outstanding creditors'!$E935-'data on outstanding creditors'!$F935-'data on outstanding creditors'!$G935</f>
        <v>19046</v>
      </c>
      <c r="I935" s="2"/>
      <c r="J935" s="1" t="s">
        <v>646</v>
      </c>
      <c r="K935" s="2">
        <v>45843.0</v>
      </c>
      <c r="L935" s="5"/>
      <c r="M935" s="9" t="s">
        <v>22</v>
      </c>
      <c r="N935" s="9" t="s">
        <v>23</v>
      </c>
      <c r="O935" s="10">
        <f>'data on outstanding creditors'!$E935*100/107</f>
        <v>17800</v>
      </c>
      <c r="P935" s="10">
        <f>'data on outstanding creditors'!$E935-'data on outstanding creditors'!$O935</f>
        <v>1246</v>
      </c>
      <c r="Q935" s="7">
        <f>DAY('data on outstanding creditors'!$B935)</f>
        <v>9</v>
      </c>
      <c r="R935" s="7">
        <f>MONTH('data on outstanding creditors'!$B935)</f>
        <v>4</v>
      </c>
      <c r="S935" s="7">
        <f>YEAR('data on outstanding creditors'!$B935)</f>
        <v>2025</v>
      </c>
      <c r="T935" s="11" t="str">
        <f>'data on outstanding creditors'!$C935&amp;" "&amp;'data on outstanding creditors'!$D935&amp;" "&amp;TEXT('data on outstanding creditors'!$E935,"#,##0.00")</f>
        <v>บ.อุยเฮง อินเตอร์เนชั่นแนล เฮลท์แคร์ OH-2-2-2025001315 19,046.00</v>
      </c>
      <c r="U935" s="12"/>
    </row>
    <row r="936" ht="13.5" customHeight="1">
      <c r="A936" s="1"/>
      <c r="B936" s="2">
        <v>45756.0</v>
      </c>
      <c r="C936" s="9" t="s">
        <v>1381</v>
      </c>
      <c r="D936" s="1" t="s">
        <v>1452</v>
      </c>
      <c r="E936" s="4">
        <v>90000.0</v>
      </c>
      <c r="F936" s="4"/>
      <c r="G936" s="4"/>
      <c r="H936" s="4">
        <f>'data on outstanding creditors'!$E936-'data on outstanding creditors'!$F936-'data on outstanding creditors'!$G936</f>
        <v>90000</v>
      </c>
      <c r="I936" s="2"/>
      <c r="J936" s="1" t="s">
        <v>646</v>
      </c>
      <c r="K936" s="2">
        <v>45877.0</v>
      </c>
      <c r="L936" s="5"/>
      <c r="M936" s="9" t="s">
        <v>22</v>
      </c>
      <c r="N936" s="9" t="s">
        <v>23</v>
      </c>
      <c r="O936" s="10">
        <f>'data on outstanding creditors'!$E936*100/107</f>
        <v>84112.14953</v>
      </c>
      <c r="P936" s="10">
        <f>'data on outstanding creditors'!$E936-'data on outstanding creditors'!$O936</f>
        <v>5887.850467</v>
      </c>
      <c r="Q936" s="7">
        <f>DAY('data on outstanding creditors'!$B936)</f>
        <v>9</v>
      </c>
      <c r="R936" s="7">
        <f>MONTH('data on outstanding creditors'!$B936)</f>
        <v>4</v>
      </c>
      <c r="S936" s="7">
        <f>YEAR('data on outstanding creditors'!$B936)</f>
        <v>2025</v>
      </c>
      <c r="T936" s="11" t="str">
        <f>'data on outstanding creditors'!$C936&amp;" "&amp;'data on outstanding creditors'!$D936&amp;" "&amp;TEXT('data on outstanding creditors'!$E936,"#,##0.00")</f>
        <v>บ.ที เอ็น พี เฮลท์แคร์ 8103255635 90,000.00</v>
      </c>
      <c r="U936" s="12"/>
    </row>
    <row r="937" ht="13.5" customHeight="1">
      <c r="A937" s="1"/>
      <c r="B937" s="2">
        <v>45756.0</v>
      </c>
      <c r="C937" s="9" t="s">
        <v>965</v>
      </c>
      <c r="D937" s="1" t="s">
        <v>1453</v>
      </c>
      <c r="E937" s="4">
        <v>50022.6</v>
      </c>
      <c r="F937" s="4"/>
      <c r="G937" s="4"/>
      <c r="H937" s="4">
        <f>'data on outstanding creditors'!$E937-'data on outstanding creditors'!$F937-'data on outstanding creditors'!$G937</f>
        <v>50022.6</v>
      </c>
      <c r="I937" s="2"/>
      <c r="J937" s="1" t="s">
        <v>646</v>
      </c>
      <c r="K937" s="2">
        <v>45881.0</v>
      </c>
      <c r="L937" s="5"/>
      <c r="M937" s="9" t="s">
        <v>22</v>
      </c>
      <c r="N937" s="9" t="s">
        <v>23</v>
      </c>
      <c r="O937" s="10">
        <f>'data on outstanding creditors'!$E937*100/107</f>
        <v>46750.09346</v>
      </c>
      <c r="P937" s="10">
        <f>'data on outstanding creditors'!$E937-'data on outstanding creditors'!$O937</f>
        <v>3272.506542</v>
      </c>
      <c r="Q937" s="7">
        <f>DAY('data on outstanding creditors'!$B937)</f>
        <v>9</v>
      </c>
      <c r="R937" s="7">
        <f>MONTH('data on outstanding creditors'!$B937)</f>
        <v>4</v>
      </c>
      <c r="S937" s="7">
        <f>YEAR('data on outstanding creditors'!$B937)</f>
        <v>2025</v>
      </c>
      <c r="T937" s="11" t="str">
        <f>'data on outstanding creditors'!$C937&amp;" "&amp;'data on outstanding creditors'!$D937&amp;" "&amp;TEXT('data on outstanding creditors'!$E937,"#,##0.00")</f>
        <v>บ.แปซิฟิค เฮลธ์แคร์(ไทยแลนด์) 68018325 50,022.60</v>
      </c>
      <c r="U937" s="12"/>
    </row>
    <row r="938" ht="13.5" customHeight="1">
      <c r="A938" s="1"/>
      <c r="B938" s="2">
        <v>45756.0</v>
      </c>
      <c r="C938" s="9" t="s">
        <v>1454</v>
      </c>
      <c r="D938" s="1" t="s">
        <v>1455</v>
      </c>
      <c r="E938" s="4">
        <v>57800.0</v>
      </c>
      <c r="F938" s="4"/>
      <c r="G938" s="4"/>
      <c r="H938" s="4">
        <f>'data on outstanding creditors'!$E938-'data on outstanding creditors'!$F938-'data on outstanding creditors'!$G938</f>
        <v>57800</v>
      </c>
      <c r="I938" s="2"/>
      <c r="J938" s="1" t="s">
        <v>646</v>
      </c>
      <c r="K938" s="2">
        <v>45855.0</v>
      </c>
      <c r="L938" s="5"/>
      <c r="M938" s="9" t="s">
        <v>22</v>
      </c>
      <c r="N938" s="9" t="s">
        <v>23</v>
      </c>
      <c r="O938" s="10">
        <f>'data on outstanding creditors'!$E938*100/107</f>
        <v>54018.69159</v>
      </c>
      <c r="P938" s="10">
        <f>'data on outstanding creditors'!$E938-'data on outstanding creditors'!$O938</f>
        <v>3781.308411</v>
      </c>
      <c r="Q938" s="7">
        <f>DAY('data on outstanding creditors'!$B938)</f>
        <v>9</v>
      </c>
      <c r="R938" s="7">
        <f>MONTH('data on outstanding creditors'!$B938)</f>
        <v>4</v>
      </c>
      <c r="S938" s="7">
        <f>YEAR('data on outstanding creditors'!$B938)</f>
        <v>2025</v>
      </c>
      <c r="T938" s="11" t="str">
        <f>'data on outstanding creditors'!$C938&amp;" "&amp;'data on outstanding creditors'!$D938&amp;" "&amp;TEXT('data on outstanding creditors'!$E938,"#,##0.00")</f>
        <v>บ.พรีเมด ฟาร์มา พลัส PL680400120 57,800.00</v>
      </c>
      <c r="U938" s="12"/>
    </row>
    <row r="939" ht="13.5" customHeight="1">
      <c r="A939" s="1"/>
      <c r="B939" s="2">
        <v>45756.0</v>
      </c>
      <c r="C939" s="9" t="s">
        <v>1288</v>
      </c>
      <c r="D939" s="1" t="s">
        <v>1456</v>
      </c>
      <c r="E939" s="4">
        <v>10528.8</v>
      </c>
      <c r="F939" s="4"/>
      <c r="G939" s="4"/>
      <c r="H939" s="4">
        <f>'data on outstanding creditors'!$E939-'data on outstanding creditors'!$F939-'data on outstanding creditors'!$G939</f>
        <v>10528.8</v>
      </c>
      <c r="I939" s="2"/>
      <c r="J939" s="1" t="s">
        <v>646</v>
      </c>
      <c r="K939" s="2">
        <v>45856.0</v>
      </c>
      <c r="L939" s="5"/>
      <c r="M939" s="9" t="s">
        <v>22</v>
      </c>
      <c r="N939" s="9" t="s">
        <v>23</v>
      </c>
      <c r="O939" s="10">
        <f>'data on outstanding creditors'!$E939*100/107</f>
        <v>9840</v>
      </c>
      <c r="P939" s="10">
        <f>'data on outstanding creditors'!$E939-'data on outstanding creditors'!$O939</f>
        <v>688.8</v>
      </c>
      <c r="Q939" s="7">
        <f>DAY('data on outstanding creditors'!$B939)</f>
        <v>9</v>
      </c>
      <c r="R939" s="7">
        <f>MONTH('data on outstanding creditors'!$B939)</f>
        <v>4</v>
      </c>
      <c r="S939" s="7">
        <f>YEAR('data on outstanding creditors'!$B939)</f>
        <v>2025</v>
      </c>
      <c r="T939" s="11" t="str">
        <f>'data on outstanding creditors'!$C939&amp;" "&amp;'data on outstanding creditors'!$D939&amp;" "&amp;TEXT('data on outstanding creditors'!$E939,"#,##0.00")</f>
        <v>บ.เจ เอส วิชั่น 100498197 10,528.80</v>
      </c>
      <c r="U939" s="12"/>
    </row>
    <row r="940" ht="13.5" customHeight="1">
      <c r="A940" s="1"/>
      <c r="B940" s="2">
        <v>45757.0</v>
      </c>
      <c r="C940" s="9" t="s">
        <v>1247</v>
      </c>
      <c r="D940" s="1" t="s">
        <v>1457</v>
      </c>
      <c r="E940" s="4">
        <v>11400.0</v>
      </c>
      <c r="F940" s="4"/>
      <c r="G940" s="4"/>
      <c r="H940" s="4">
        <f>'data on outstanding creditors'!$E940-'data on outstanding creditors'!$F940-'data on outstanding creditors'!$G940</f>
        <v>11400</v>
      </c>
      <c r="I940" s="2"/>
      <c r="J940" s="1" t="s">
        <v>646</v>
      </c>
      <c r="K940" s="2">
        <v>45954.0</v>
      </c>
      <c r="L940" s="5"/>
      <c r="M940" s="9" t="s">
        <v>22</v>
      </c>
      <c r="N940" s="9" t="s">
        <v>23</v>
      </c>
      <c r="O940" s="10">
        <f>'data on outstanding creditors'!$E940*100/107</f>
        <v>10654.20561</v>
      </c>
      <c r="P940" s="10">
        <f>'data on outstanding creditors'!$E940-'data on outstanding creditors'!$O940</f>
        <v>745.7943925</v>
      </c>
      <c r="Q940" s="7">
        <f>DAY('data on outstanding creditors'!$B940)</f>
        <v>10</v>
      </c>
      <c r="R940" s="7">
        <f>MONTH('data on outstanding creditors'!$B940)</f>
        <v>4</v>
      </c>
      <c r="S940" s="7">
        <f>YEAR('data on outstanding creditors'!$B940)</f>
        <v>2025</v>
      </c>
      <c r="T940" s="11" t="str">
        <f>'data on outstanding creditors'!$C940&amp;" "&amp;'data on outstanding creditors'!$D940&amp;" "&amp;TEXT('data on outstanding creditors'!$E940,"#,##0.00")</f>
        <v>บ.เอ.เอ็น.บี.ลาบอรอตอรี่ 8370861399 11,400.00</v>
      </c>
      <c r="U940" s="12"/>
    </row>
    <row r="941" ht="13.5" customHeight="1">
      <c r="A941" s="1"/>
      <c r="B941" s="2">
        <v>45757.0</v>
      </c>
      <c r="C941" s="9" t="s">
        <v>1247</v>
      </c>
      <c r="D941" s="1" t="s">
        <v>1458</v>
      </c>
      <c r="E941" s="4">
        <v>41800.0</v>
      </c>
      <c r="F941" s="4"/>
      <c r="G941" s="4"/>
      <c r="H941" s="4">
        <f>'data on outstanding creditors'!$E941-'data on outstanding creditors'!$F941-'data on outstanding creditors'!$G941</f>
        <v>41800</v>
      </c>
      <c r="I941" s="2"/>
      <c r="J941" s="1" t="s">
        <v>757</v>
      </c>
      <c r="K941" s="2">
        <v>45829.0</v>
      </c>
      <c r="L941" s="5"/>
      <c r="M941" s="9" t="s">
        <v>22</v>
      </c>
      <c r="N941" s="9" t="s">
        <v>23</v>
      </c>
      <c r="O941" s="10">
        <f>'data on outstanding creditors'!$E941*100/107</f>
        <v>39065.42056</v>
      </c>
      <c r="P941" s="10">
        <f>'data on outstanding creditors'!$E941-'data on outstanding creditors'!$O941</f>
        <v>2734.579439</v>
      </c>
      <c r="Q941" s="7">
        <f>DAY('data on outstanding creditors'!$B941)</f>
        <v>10</v>
      </c>
      <c r="R941" s="7">
        <f>MONTH('data on outstanding creditors'!$B941)</f>
        <v>4</v>
      </c>
      <c r="S941" s="7">
        <f>YEAR('data on outstanding creditors'!$B941)</f>
        <v>2025</v>
      </c>
      <c r="T941" s="11" t="str">
        <f>'data on outstanding creditors'!$C941&amp;" "&amp;'data on outstanding creditors'!$D941&amp;" "&amp;TEXT('data on outstanding creditors'!$E941,"#,##0.00")</f>
        <v>บ.เอ.เอ็น.บี.ลาบอรอตอรี่ 8370861400 41,800.00</v>
      </c>
      <c r="U941" s="12"/>
    </row>
    <row r="942" ht="13.5" customHeight="1">
      <c r="A942" s="1"/>
      <c r="B942" s="2">
        <v>45757.0</v>
      </c>
      <c r="C942" s="9" t="s">
        <v>1247</v>
      </c>
      <c r="D942" s="1" t="s">
        <v>1459</v>
      </c>
      <c r="E942" s="4">
        <v>41800.0</v>
      </c>
      <c r="F942" s="4"/>
      <c r="G942" s="4"/>
      <c r="H942" s="4">
        <f>'data on outstanding creditors'!$E942-'data on outstanding creditors'!$F942-'data on outstanding creditors'!$G942</f>
        <v>41800</v>
      </c>
      <c r="I942" s="2"/>
      <c r="J942" s="1" t="s">
        <v>757</v>
      </c>
      <c r="K942" s="2">
        <v>45952.0</v>
      </c>
      <c r="L942" s="5"/>
      <c r="M942" s="9" t="s">
        <v>22</v>
      </c>
      <c r="N942" s="9" t="s">
        <v>23</v>
      </c>
      <c r="O942" s="10">
        <f>'data on outstanding creditors'!$E942*100/107</f>
        <v>39065.42056</v>
      </c>
      <c r="P942" s="10">
        <f>'data on outstanding creditors'!$E942-'data on outstanding creditors'!$O942</f>
        <v>2734.579439</v>
      </c>
      <c r="Q942" s="7">
        <f>DAY('data on outstanding creditors'!$B942)</f>
        <v>10</v>
      </c>
      <c r="R942" s="7">
        <f>MONTH('data on outstanding creditors'!$B942)</f>
        <v>4</v>
      </c>
      <c r="S942" s="7">
        <f>YEAR('data on outstanding creditors'!$B942)</f>
        <v>2025</v>
      </c>
      <c r="T942" s="11" t="str">
        <f>'data on outstanding creditors'!$C942&amp;" "&amp;'data on outstanding creditors'!$D942&amp;" "&amp;TEXT('data on outstanding creditors'!$E942,"#,##0.00")</f>
        <v>บ.เอ.เอ็น.บี.ลาบอรอตอรี่ 8370863096 41,800.00</v>
      </c>
      <c r="U942" s="12"/>
    </row>
    <row r="943" ht="13.5" customHeight="1">
      <c r="A943" s="1"/>
      <c r="B943" s="2">
        <v>45758.0</v>
      </c>
      <c r="C943" s="9" t="s">
        <v>1328</v>
      </c>
      <c r="D943" s="1" t="s">
        <v>1460</v>
      </c>
      <c r="E943" s="4">
        <v>9000.0</v>
      </c>
      <c r="F943" s="4"/>
      <c r="G943" s="4"/>
      <c r="H943" s="4">
        <f>'data on outstanding creditors'!$E943-'data on outstanding creditors'!$F943-'data on outstanding creditors'!$G943</f>
        <v>9000</v>
      </c>
      <c r="I943" s="2"/>
      <c r="J943" s="1" t="s">
        <v>646</v>
      </c>
      <c r="K943" s="2">
        <v>45928.0</v>
      </c>
      <c r="L943" s="5"/>
      <c r="M943" s="9" t="s">
        <v>22</v>
      </c>
      <c r="N943" s="9" t="s">
        <v>23</v>
      </c>
      <c r="O943" s="10">
        <f>'data on outstanding creditors'!$E943*100/107</f>
        <v>8411.214953</v>
      </c>
      <c r="P943" s="10">
        <f>'data on outstanding creditors'!$E943-'data on outstanding creditors'!$O943</f>
        <v>588.7850467</v>
      </c>
      <c r="Q943" s="7">
        <f>DAY('data on outstanding creditors'!$B943)</f>
        <v>11</v>
      </c>
      <c r="R943" s="7">
        <f>MONTH('data on outstanding creditors'!$B943)</f>
        <v>4</v>
      </c>
      <c r="S943" s="7">
        <f>YEAR('data on outstanding creditors'!$B943)</f>
        <v>2025</v>
      </c>
      <c r="T943" s="11" t="str">
        <f>'data on outstanding creditors'!$C943&amp;" "&amp;'data on outstanding creditors'!$D943&amp;" "&amp;TEXT('data on outstanding creditors'!$E943,"#,##0.00")</f>
        <v>บ.แก้วมังกรเภสัช IV68040194 9,000.00</v>
      </c>
      <c r="U943" s="12"/>
    </row>
    <row r="944" ht="13.5" customHeight="1">
      <c r="A944" s="1"/>
      <c r="B944" s="2">
        <v>45758.0</v>
      </c>
      <c r="C944" s="9" t="s">
        <v>1230</v>
      </c>
      <c r="D944" s="1" t="s">
        <v>1461</v>
      </c>
      <c r="E944" s="4">
        <v>42000.0</v>
      </c>
      <c r="F944" s="4"/>
      <c r="G944" s="4"/>
      <c r="H944" s="4">
        <f>'data on outstanding creditors'!$E944-'data on outstanding creditors'!$F944-'data on outstanding creditors'!$G944</f>
        <v>42000</v>
      </c>
      <c r="I944" s="2"/>
      <c r="J944" s="1" t="s">
        <v>646</v>
      </c>
      <c r="K944" s="2">
        <v>45928.0</v>
      </c>
      <c r="L944" s="5"/>
      <c r="M944" s="9" t="s">
        <v>22</v>
      </c>
      <c r="N944" s="9" t="s">
        <v>23</v>
      </c>
      <c r="O944" s="10">
        <f>'data on outstanding creditors'!$E944*100/107</f>
        <v>39252.33645</v>
      </c>
      <c r="P944" s="10">
        <f>'data on outstanding creditors'!$E944-'data on outstanding creditors'!$O944</f>
        <v>2747.663551</v>
      </c>
      <c r="Q944" s="7">
        <f>DAY('data on outstanding creditors'!$B944)</f>
        <v>11</v>
      </c>
      <c r="R944" s="7">
        <f>MONTH('data on outstanding creditors'!$B944)</f>
        <v>4</v>
      </c>
      <c r="S944" s="7">
        <f>YEAR('data on outstanding creditors'!$B944)</f>
        <v>2025</v>
      </c>
      <c r="T944" s="11" t="str">
        <f>'data on outstanding creditors'!$C944&amp;" "&amp;'data on outstanding creditors'!$D944&amp;" "&amp;TEXT('data on outstanding creditors'!$E944,"#,##0.00")</f>
        <v>บ.พรอส ฟาร์มา INV-L-IM\2025040893 42,000.00</v>
      </c>
      <c r="U944" s="12"/>
    </row>
    <row r="945" ht="13.5" customHeight="1">
      <c r="A945" s="1"/>
      <c r="B945" s="2">
        <v>45758.0</v>
      </c>
      <c r="C945" s="9" t="s">
        <v>922</v>
      </c>
      <c r="D945" s="1" t="s">
        <v>1462</v>
      </c>
      <c r="E945" s="4">
        <v>9300.0</v>
      </c>
      <c r="F945" s="4"/>
      <c r="G945" s="4"/>
      <c r="H945" s="4">
        <f>'data on outstanding creditors'!$E945-'data on outstanding creditors'!$F945-'data on outstanding creditors'!$G945</f>
        <v>9300</v>
      </c>
      <c r="I945" s="2"/>
      <c r="J945" s="1" t="s">
        <v>646</v>
      </c>
      <c r="K945" s="2">
        <v>45855.0</v>
      </c>
      <c r="L945" s="5"/>
      <c r="M945" s="9" t="s">
        <v>22</v>
      </c>
      <c r="N945" s="9" t="s">
        <v>23</v>
      </c>
      <c r="O945" s="10">
        <f>'data on outstanding creditors'!$E945*100/107</f>
        <v>8691.588785</v>
      </c>
      <c r="P945" s="10">
        <f>'data on outstanding creditors'!$E945-'data on outstanding creditors'!$O945</f>
        <v>608.411215</v>
      </c>
      <c r="Q945" s="7">
        <f>DAY('data on outstanding creditors'!$B945)</f>
        <v>11</v>
      </c>
      <c r="R945" s="7">
        <f>MONTH('data on outstanding creditors'!$B945)</f>
        <v>4</v>
      </c>
      <c r="S945" s="7">
        <f>YEAR('data on outstanding creditors'!$B945)</f>
        <v>2025</v>
      </c>
      <c r="T945" s="11" t="str">
        <f>'data on outstanding creditors'!$C945&amp;" "&amp;'data on outstanding creditors'!$D945&amp;" "&amp;TEXT('data on outstanding creditors'!$E945,"#,##0.00")</f>
        <v>บ.เบอร์ลินฟาร์มาซูติคอลอินดัสตรี้ 6810401592 9,300.00</v>
      </c>
      <c r="U945" s="12"/>
    </row>
    <row r="946" ht="13.5" customHeight="1">
      <c r="A946" s="1"/>
      <c r="B946" s="2">
        <v>45758.0</v>
      </c>
      <c r="C946" s="9" t="s">
        <v>1328</v>
      </c>
      <c r="D946" s="1" t="s">
        <v>1463</v>
      </c>
      <c r="E946" s="4">
        <v>40000.0</v>
      </c>
      <c r="F946" s="4"/>
      <c r="G946" s="4"/>
      <c r="H946" s="4">
        <f>'data on outstanding creditors'!$E946-'data on outstanding creditors'!$F946-'data on outstanding creditors'!$G946</f>
        <v>40000</v>
      </c>
      <c r="I946" s="2"/>
      <c r="J946" s="1" t="s">
        <v>646</v>
      </c>
      <c r="K946" s="2">
        <v>45928.0</v>
      </c>
      <c r="L946" s="5"/>
      <c r="M946" s="9" t="s">
        <v>22</v>
      </c>
      <c r="N946" s="9" t="s">
        <v>23</v>
      </c>
      <c r="O946" s="10">
        <f>'data on outstanding creditors'!$E946*100/107</f>
        <v>37383.17757</v>
      </c>
      <c r="P946" s="10">
        <f>'data on outstanding creditors'!$E946-'data on outstanding creditors'!$O946</f>
        <v>2616.82243</v>
      </c>
      <c r="Q946" s="7">
        <f>DAY('data on outstanding creditors'!$B946)</f>
        <v>11</v>
      </c>
      <c r="R946" s="7">
        <f>MONTH('data on outstanding creditors'!$B946)</f>
        <v>4</v>
      </c>
      <c r="S946" s="7">
        <f>YEAR('data on outstanding creditors'!$B946)</f>
        <v>2025</v>
      </c>
      <c r="T946" s="11" t="str">
        <f>'data on outstanding creditors'!$C946&amp;" "&amp;'data on outstanding creditors'!$D946&amp;" "&amp;TEXT('data on outstanding creditors'!$E946,"#,##0.00")</f>
        <v>บ.แก้วมังกรเภสัช IV68040206 40,000.00</v>
      </c>
      <c r="U946" s="12"/>
    </row>
    <row r="947" ht="13.5" customHeight="1">
      <c r="A947" s="1"/>
      <c r="B947" s="2">
        <v>45758.0</v>
      </c>
      <c r="C947" s="9" t="s">
        <v>813</v>
      </c>
      <c r="D947" s="1" t="s">
        <v>1464</v>
      </c>
      <c r="E947" s="4">
        <v>35400.0</v>
      </c>
      <c r="F947" s="4"/>
      <c r="G947" s="4"/>
      <c r="H947" s="4">
        <f>'data on outstanding creditors'!$E947-'data on outstanding creditors'!$F947-'data on outstanding creditors'!$G947</f>
        <v>35400</v>
      </c>
      <c r="I947" s="2"/>
      <c r="J947" s="1" t="s">
        <v>646</v>
      </c>
      <c r="K947" s="2">
        <v>45906.0</v>
      </c>
      <c r="L947" s="5"/>
      <c r="M947" s="9" t="s">
        <v>22</v>
      </c>
      <c r="N947" s="9" t="s">
        <v>23</v>
      </c>
      <c r="O947" s="10">
        <f>'data on outstanding creditors'!$E947*100/107</f>
        <v>33084.11215</v>
      </c>
      <c r="P947" s="10">
        <f>'data on outstanding creditors'!$E947-'data on outstanding creditors'!$O947</f>
        <v>2315.88785</v>
      </c>
      <c r="Q947" s="7">
        <f>DAY('data on outstanding creditors'!$B947)</f>
        <v>11</v>
      </c>
      <c r="R947" s="7">
        <f>MONTH('data on outstanding creditors'!$B947)</f>
        <v>4</v>
      </c>
      <c r="S947" s="7">
        <f>YEAR('data on outstanding creditors'!$B947)</f>
        <v>2025</v>
      </c>
      <c r="T947" s="11" t="str">
        <f>'data on outstanding creditors'!$C947&amp;" "&amp;'data on outstanding creditors'!$D947&amp;" "&amp;TEXT('data on outstanding creditors'!$E947,"#,##0.00")</f>
        <v>บ.ที.แมน ฟาร์มาซูติคอล IST250054018 35,400.00</v>
      </c>
      <c r="U947" s="12"/>
    </row>
    <row r="948" ht="13.5" customHeight="1">
      <c r="A948" s="1"/>
      <c r="B948" s="2">
        <v>45758.0</v>
      </c>
      <c r="C948" s="9" t="s">
        <v>1279</v>
      </c>
      <c r="D948" s="1" t="s">
        <v>1465</v>
      </c>
      <c r="E948" s="4">
        <v>10800.0</v>
      </c>
      <c r="F948" s="4"/>
      <c r="G948" s="4"/>
      <c r="H948" s="4">
        <f>'data on outstanding creditors'!$E948-'data on outstanding creditors'!$F948-'data on outstanding creditors'!$G948</f>
        <v>10800</v>
      </c>
      <c r="I948" s="2"/>
      <c r="J948" s="1" t="s">
        <v>646</v>
      </c>
      <c r="K948" s="2">
        <v>45866.0</v>
      </c>
      <c r="L948" s="5"/>
      <c r="M948" s="9" t="s">
        <v>22</v>
      </c>
      <c r="N948" s="9" t="s">
        <v>23</v>
      </c>
      <c r="O948" s="10">
        <f>'data on outstanding creditors'!$E948*100/107</f>
        <v>10093.45794</v>
      </c>
      <c r="P948" s="10">
        <f>'data on outstanding creditors'!$E948-'data on outstanding creditors'!$O948</f>
        <v>706.5420561</v>
      </c>
      <c r="Q948" s="7">
        <f>DAY('data on outstanding creditors'!$B948)</f>
        <v>11</v>
      </c>
      <c r="R948" s="7">
        <f>MONTH('data on outstanding creditors'!$B948)</f>
        <v>4</v>
      </c>
      <c r="S948" s="7">
        <f>YEAR('data on outstanding creditors'!$B948)</f>
        <v>2025</v>
      </c>
      <c r="T948" s="11" t="str">
        <f>'data on outstanding creditors'!$C948&amp;" "&amp;'data on outstanding creditors'!$D948&amp;" "&amp;TEXT('data on outstanding creditors'!$E948,"#,##0.00")</f>
        <v>บ.ไบโอจีนีเทค IV250400511 10,800.00</v>
      </c>
      <c r="U948" s="12"/>
    </row>
    <row r="949" ht="13.5" customHeight="1">
      <c r="A949" s="1"/>
      <c r="B949" s="2">
        <v>45764.0</v>
      </c>
      <c r="C949" s="9" t="s">
        <v>1414</v>
      </c>
      <c r="D949" s="1" t="s">
        <v>1466</v>
      </c>
      <c r="E949" s="4">
        <v>22500.0</v>
      </c>
      <c r="F949" s="4"/>
      <c r="G949" s="4"/>
      <c r="H949" s="4">
        <f>'data on outstanding creditors'!$E949-'data on outstanding creditors'!$F949-'data on outstanding creditors'!$G949</f>
        <v>22500</v>
      </c>
      <c r="I949" s="2"/>
      <c r="J949" s="1" t="s">
        <v>646</v>
      </c>
      <c r="K949" s="2">
        <v>45855.0</v>
      </c>
      <c r="L949" s="5"/>
      <c r="M949" s="9" t="s">
        <v>22</v>
      </c>
      <c r="N949" s="9" t="s">
        <v>23</v>
      </c>
      <c r="O949" s="10">
        <f>'data on outstanding creditors'!$E949*100/107</f>
        <v>21028.03738</v>
      </c>
      <c r="P949" s="10">
        <f>'data on outstanding creditors'!$E949-'data on outstanding creditors'!$O949</f>
        <v>1471.962617</v>
      </c>
      <c r="Q949" s="7">
        <f>DAY('data on outstanding creditors'!$B949)</f>
        <v>17</v>
      </c>
      <c r="R949" s="7">
        <f>MONTH('data on outstanding creditors'!$B949)</f>
        <v>4</v>
      </c>
      <c r="S949" s="7">
        <f>YEAR('data on outstanding creditors'!$B949)</f>
        <v>2025</v>
      </c>
      <c r="T949" s="11" t="str">
        <f>'data on outstanding creditors'!$C949&amp;" "&amp;'data on outstanding creditors'!$D949&amp;" "&amp;TEXT('data on outstanding creditors'!$E949,"#,##0.00")</f>
        <v>บ.ฟาร์มีน่า 68383056 22,500.00</v>
      </c>
      <c r="U949" s="12"/>
    </row>
    <row r="950" ht="13.5" customHeight="1">
      <c r="A950" s="1"/>
      <c r="B950" s="2">
        <v>45764.0</v>
      </c>
      <c r="C950" s="9" t="s">
        <v>771</v>
      </c>
      <c r="D950" s="1" t="s">
        <v>1467</v>
      </c>
      <c r="E950" s="4">
        <v>1015.0</v>
      </c>
      <c r="F950" s="4"/>
      <c r="G950" s="4"/>
      <c r="H950" s="4">
        <f>'data on outstanding creditors'!$E950-'data on outstanding creditors'!$F950-'data on outstanding creditors'!$G950</f>
        <v>1015</v>
      </c>
      <c r="I950" s="2"/>
      <c r="J950" s="1" t="s">
        <v>646</v>
      </c>
      <c r="K950" s="2">
        <v>45827.0</v>
      </c>
      <c r="L950" s="5"/>
      <c r="M950" s="9" t="s">
        <v>22</v>
      </c>
      <c r="N950" s="9" t="s">
        <v>23</v>
      </c>
      <c r="O950" s="10">
        <f>'data on outstanding creditors'!$E950*100/107</f>
        <v>948.5981308</v>
      </c>
      <c r="P950" s="10">
        <f>'data on outstanding creditors'!$E950-'data on outstanding creditors'!$O950</f>
        <v>66.40186916</v>
      </c>
      <c r="Q950" s="7">
        <f>DAY('data on outstanding creditors'!$B950)</f>
        <v>17</v>
      </c>
      <c r="R950" s="7">
        <f>MONTH('data on outstanding creditors'!$B950)</f>
        <v>4</v>
      </c>
      <c r="S950" s="7">
        <f>YEAR('data on outstanding creditors'!$B950)</f>
        <v>2025</v>
      </c>
      <c r="T950" s="11" t="str">
        <f>'data on outstanding creditors'!$C950&amp;" "&amp;'data on outstanding creditors'!$D950&amp;" "&amp;TEXT('data on outstanding creditors'!$E950,"#,##0.00")</f>
        <v>หจก.ภิญโญฟาร์มาซี IV6819664 1,015.00</v>
      </c>
      <c r="U950" s="12"/>
    </row>
    <row r="951" ht="13.5" customHeight="1">
      <c r="A951" s="1"/>
      <c r="B951" s="2">
        <v>45764.0</v>
      </c>
      <c r="C951" s="9" t="s">
        <v>761</v>
      </c>
      <c r="D951" s="1" t="s">
        <v>1468</v>
      </c>
      <c r="E951" s="4">
        <v>59706.0</v>
      </c>
      <c r="F951" s="4"/>
      <c r="G951" s="4"/>
      <c r="H951" s="4">
        <f>'data on outstanding creditors'!$E951-'data on outstanding creditors'!$F951-'data on outstanding creditors'!$G951</f>
        <v>59706</v>
      </c>
      <c r="I951" s="2"/>
      <c r="J951" s="1" t="s">
        <v>646</v>
      </c>
      <c r="K951" s="2">
        <v>45866.0</v>
      </c>
      <c r="L951" s="5"/>
      <c r="M951" s="9" t="s">
        <v>22</v>
      </c>
      <c r="N951" s="9" t="s">
        <v>23</v>
      </c>
      <c r="O951" s="10">
        <f>'data on outstanding creditors'!$E951*100/107</f>
        <v>55800</v>
      </c>
      <c r="P951" s="10">
        <f>'data on outstanding creditors'!$E951-'data on outstanding creditors'!$O951</f>
        <v>3906</v>
      </c>
      <c r="Q951" s="7">
        <f>DAY('data on outstanding creditors'!$B951)</f>
        <v>17</v>
      </c>
      <c r="R951" s="7">
        <f>MONTH('data on outstanding creditors'!$B951)</f>
        <v>4</v>
      </c>
      <c r="S951" s="7">
        <f>YEAR('data on outstanding creditors'!$B951)</f>
        <v>2025</v>
      </c>
      <c r="T951" s="11" t="str">
        <f>'data on outstanding creditors'!$C951&amp;" "&amp;'data on outstanding creditors'!$D951&amp;" "&amp;TEXT('data on outstanding creditors'!$E951,"#,##0.00")</f>
        <v>บ.แมคโครฟาร์แลบ ML25041835 59,706.00</v>
      </c>
      <c r="U951" s="12"/>
    </row>
    <row r="952" ht="13.5" customHeight="1">
      <c r="A952" s="1"/>
      <c r="B952" s="2">
        <v>45764.0</v>
      </c>
      <c r="C952" s="9" t="s">
        <v>1469</v>
      </c>
      <c r="D952" s="1" t="s">
        <v>1470</v>
      </c>
      <c r="E952" s="4">
        <v>12005.4</v>
      </c>
      <c r="F952" s="4"/>
      <c r="G952" s="4"/>
      <c r="H952" s="4">
        <f>'data on outstanding creditors'!$E952-'data on outstanding creditors'!$F952-'data on outstanding creditors'!$G952</f>
        <v>12005.4</v>
      </c>
      <c r="I952" s="2"/>
      <c r="J952" s="1" t="s">
        <v>757</v>
      </c>
      <c r="K952" s="2">
        <v>45828.0</v>
      </c>
      <c r="L952" s="5"/>
      <c r="M952" s="9" t="s">
        <v>22</v>
      </c>
      <c r="N952" s="9" t="s">
        <v>23</v>
      </c>
      <c r="O952" s="10">
        <f>'data on outstanding creditors'!$E952*100/107</f>
        <v>11220</v>
      </c>
      <c r="P952" s="10">
        <f>'data on outstanding creditors'!$E952-'data on outstanding creditors'!$O952</f>
        <v>785.4</v>
      </c>
      <c r="Q952" s="7">
        <f>DAY('data on outstanding creditors'!$B952)</f>
        <v>17</v>
      </c>
      <c r="R952" s="7">
        <f>MONTH('data on outstanding creditors'!$B952)</f>
        <v>4</v>
      </c>
      <c r="S952" s="7">
        <f>YEAR('data on outstanding creditors'!$B952)</f>
        <v>2025</v>
      </c>
      <c r="T952" s="11" t="str">
        <f>'data on outstanding creditors'!$C952&amp;" "&amp;'data on outstanding creditors'!$D952&amp;" "&amp;TEXT('data on outstanding creditors'!$E952,"#,##0.00")</f>
        <v>บ.สยามฟาร์มาซูติคอล 1250401955 12,005.40</v>
      </c>
      <c r="U952" s="12"/>
    </row>
    <row r="953" ht="13.5" customHeight="1">
      <c r="A953" s="1"/>
      <c r="B953" s="2">
        <v>45764.0</v>
      </c>
      <c r="C953" s="9" t="s">
        <v>1243</v>
      </c>
      <c r="D953" s="1" t="s">
        <v>1471</v>
      </c>
      <c r="E953" s="4">
        <v>66000.0</v>
      </c>
      <c r="F953" s="4"/>
      <c r="G953" s="4"/>
      <c r="H953" s="4">
        <f>'data on outstanding creditors'!$E953-'data on outstanding creditors'!$F953-'data on outstanding creditors'!$G953</f>
        <v>66000</v>
      </c>
      <c r="I953" s="2"/>
      <c r="J953" s="1" t="s">
        <v>757</v>
      </c>
      <c r="K953" s="2">
        <v>45828.0</v>
      </c>
      <c r="L953" s="5"/>
      <c r="M953" s="9" t="s">
        <v>22</v>
      </c>
      <c r="N953" s="9" t="s">
        <v>23</v>
      </c>
      <c r="O953" s="10">
        <f>'data on outstanding creditors'!$E953*100/107</f>
        <v>61682.24299</v>
      </c>
      <c r="P953" s="10">
        <f>'data on outstanding creditors'!$E953-'data on outstanding creditors'!$O953</f>
        <v>4317.757009</v>
      </c>
      <c r="Q953" s="7">
        <f>DAY('data on outstanding creditors'!$B953)</f>
        <v>17</v>
      </c>
      <c r="R953" s="7">
        <f>MONTH('data on outstanding creditors'!$B953)</f>
        <v>4</v>
      </c>
      <c r="S953" s="7">
        <f>YEAR('data on outstanding creditors'!$B953)</f>
        <v>2025</v>
      </c>
      <c r="T953" s="11" t="str">
        <f>'data on outstanding creditors'!$C953&amp;" "&amp;'data on outstanding creditors'!$D953&amp;" "&amp;TEXT('data on outstanding creditors'!$E953,"#,##0.00")</f>
        <v>บ.วี.แอนด์.วี.กรุงเทพ 8103256979 66,000.00</v>
      </c>
      <c r="U953" s="12"/>
    </row>
    <row r="954" ht="13.5" customHeight="1">
      <c r="A954" s="1"/>
      <c r="B954" s="2">
        <v>45764.0</v>
      </c>
      <c r="C954" s="9" t="s">
        <v>396</v>
      </c>
      <c r="D954" s="1" t="s">
        <v>1472</v>
      </c>
      <c r="E954" s="4">
        <v>43600.0</v>
      </c>
      <c r="F954" s="4"/>
      <c r="G954" s="4"/>
      <c r="H954" s="4">
        <f>'data on outstanding creditors'!$E954-'data on outstanding creditors'!$F954-'data on outstanding creditors'!$G954</f>
        <v>43600</v>
      </c>
      <c r="I954" s="2"/>
      <c r="J954" s="1" t="s">
        <v>757</v>
      </c>
      <c r="K954" s="2">
        <v>45828.0</v>
      </c>
      <c r="L954" s="5"/>
      <c r="M954" s="9" t="s">
        <v>22</v>
      </c>
      <c r="N954" s="9" t="s">
        <v>23</v>
      </c>
      <c r="O954" s="10">
        <f>'data on outstanding creditors'!$E954*100/107</f>
        <v>40747.66355</v>
      </c>
      <c r="P954" s="10">
        <f>'data on outstanding creditors'!$E954-'data on outstanding creditors'!$O954</f>
        <v>2852.336449</v>
      </c>
      <c r="Q954" s="7">
        <f>DAY('data on outstanding creditors'!$B954)</f>
        <v>17</v>
      </c>
      <c r="R954" s="7">
        <f>MONTH('data on outstanding creditors'!$B954)</f>
        <v>4</v>
      </c>
      <c r="S954" s="7">
        <f>YEAR('data on outstanding creditors'!$B954)</f>
        <v>2025</v>
      </c>
      <c r="T954" s="11" t="str">
        <f>'data on outstanding creditors'!$C954&amp;" "&amp;'data on outstanding creditors'!$D954&amp;" "&amp;TEXT('data on outstanding creditors'!$E954,"#,##0.00")</f>
        <v>บ.เยเนอรัล ฮอสปิตัล โปรดัคส์ 25IN08041325 43,600.00</v>
      </c>
      <c r="U954" s="12"/>
    </row>
    <row r="955" ht="13.5" customHeight="1">
      <c r="A955" s="1"/>
      <c r="B955" s="2">
        <v>45764.0</v>
      </c>
      <c r="C955" s="9" t="s">
        <v>1469</v>
      </c>
      <c r="D955" s="1" t="s">
        <v>1473</v>
      </c>
      <c r="E955" s="4">
        <v>66875.0</v>
      </c>
      <c r="F955" s="4"/>
      <c r="G955" s="4"/>
      <c r="H955" s="4">
        <f>'data on outstanding creditors'!$E955-'data on outstanding creditors'!$F955-'data on outstanding creditors'!$G955</f>
        <v>66875</v>
      </c>
      <c r="I955" s="2"/>
      <c r="J955" s="1" t="s">
        <v>757</v>
      </c>
      <c r="K955" s="2">
        <v>45828.0</v>
      </c>
      <c r="L955" s="5"/>
      <c r="M955" s="9" t="s">
        <v>22</v>
      </c>
      <c r="N955" s="9" t="s">
        <v>23</v>
      </c>
      <c r="O955" s="10">
        <f>'data on outstanding creditors'!$E955*100/107</f>
        <v>62500</v>
      </c>
      <c r="P955" s="10">
        <f>'data on outstanding creditors'!$E955-'data on outstanding creditors'!$O955</f>
        <v>4375</v>
      </c>
      <c r="Q955" s="7">
        <f>DAY('data on outstanding creditors'!$B955)</f>
        <v>17</v>
      </c>
      <c r="R955" s="7">
        <f>MONTH('data on outstanding creditors'!$B955)</f>
        <v>4</v>
      </c>
      <c r="S955" s="7">
        <f>YEAR('data on outstanding creditors'!$B955)</f>
        <v>2025</v>
      </c>
      <c r="T955" s="11" t="str">
        <f>'data on outstanding creditors'!$C955&amp;" "&amp;'data on outstanding creditors'!$D955&amp;" "&amp;TEXT('data on outstanding creditors'!$E955,"#,##0.00")</f>
        <v>บ.สยามฟาร์มาซูติคอล 1250401748 66,875.00</v>
      </c>
      <c r="U955" s="12"/>
    </row>
    <row r="956" ht="13.5" customHeight="1">
      <c r="A956" s="1"/>
      <c r="B956" s="2">
        <v>45764.0</v>
      </c>
      <c r="C956" s="9" t="s">
        <v>1469</v>
      </c>
      <c r="D956" s="1" t="s">
        <v>1474</v>
      </c>
      <c r="E956" s="4">
        <v>107000.0</v>
      </c>
      <c r="F956" s="4"/>
      <c r="G956" s="4"/>
      <c r="H956" s="4">
        <f>'data on outstanding creditors'!$E956-'data on outstanding creditors'!$F956-'data on outstanding creditors'!$G956</f>
        <v>107000</v>
      </c>
      <c r="I956" s="2"/>
      <c r="J956" s="1" t="s">
        <v>757</v>
      </c>
      <c r="K956" s="2">
        <v>45828.0</v>
      </c>
      <c r="L956" s="5"/>
      <c r="M956" s="9" t="s">
        <v>22</v>
      </c>
      <c r="N956" s="9" t="s">
        <v>23</v>
      </c>
      <c r="O956" s="10">
        <f>'data on outstanding creditors'!$E956*100/107</f>
        <v>100000</v>
      </c>
      <c r="P956" s="10">
        <f>'data on outstanding creditors'!$E956-'data on outstanding creditors'!$O956</f>
        <v>7000</v>
      </c>
      <c r="Q956" s="7">
        <f>DAY('data on outstanding creditors'!$B956)</f>
        <v>17</v>
      </c>
      <c r="R956" s="7">
        <f>MONTH('data on outstanding creditors'!$B956)</f>
        <v>4</v>
      </c>
      <c r="S956" s="7">
        <f>YEAR('data on outstanding creditors'!$B956)</f>
        <v>2025</v>
      </c>
      <c r="T956" s="11" t="str">
        <f>'data on outstanding creditors'!$C956&amp;" "&amp;'data on outstanding creditors'!$D956&amp;" "&amp;TEXT('data on outstanding creditors'!$E956,"#,##0.00")</f>
        <v>บ.สยามฟาร์มาซูติคอล 1250401956 107,000.00</v>
      </c>
      <c r="U956" s="12"/>
    </row>
    <row r="957" ht="13.5" customHeight="1">
      <c r="A957" s="1"/>
      <c r="B957" s="2">
        <v>45764.0</v>
      </c>
      <c r="C957" s="9" t="s">
        <v>396</v>
      </c>
      <c r="D957" s="1" t="s">
        <v>1475</v>
      </c>
      <c r="E957" s="4">
        <v>6000.0</v>
      </c>
      <c r="F957" s="4"/>
      <c r="G957" s="4"/>
      <c r="H957" s="4">
        <f>'data on outstanding creditors'!$E957-'data on outstanding creditors'!$F957-'data on outstanding creditors'!$G957</f>
        <v>6000</v>
      </c>
      <c r="I957" s="2"/>
      <c r="J957" s="1" t="s">
        <v>757</v>
      </c>
      <c r="K957" s="2">
        <v>45828.0</v>
      </c>
      <c r="L957" s="5"/>
      <c r="M957" s="9" t="s">
        <v>22</v>
      </c>
      <c r="N957" s="9" t="s">
        <v>23</v>
      </c>
      <c r="O957" s="10">
        <f>'data on outstanding creditors'!$E957*100/107</f>
        <v>5607.476636</v>
      </c>
      <c r="P957" s="10">
        <f>'data on outstanding creditors'!$E957-'data on outstanding creditors'!$O957</f>
        <v>392.5233645</v>
      </c>
      <c r="Q957" s="7">
        <f>DAY('data on outstanding creditors'!$B957)</f>
        <v>17</v>
      </c>
      <c r="R957" s="7">
        <f>MONTH('data on outstanding creditors'!$B957)</f>
        <v>4</v>
      </c>
      <c r="S957" s="7">
        <f>YEAR('data on outstanding creditors'!$B957)</f>
        <v>2025</v>
      </c>
      <c r="T957" s="11" t="str">
        <f>'data on outstanding creditors'!$C957&amp;" "&amp;'data on outstanding creditors'!$D957&amp;" "&amp;TEXT('data on outstanding creditors'!$E957,"#,##0.00")</f>
        <v>บ.เยเนอรัล ฮอสปิตัล โปรดัคส์ 25IN08041324 6,000.00</v>
      </c>
      <c r="U957" s="12"/>
    </row>
    <row r="958" ht="13.5" customHeight="1">
      <c r="A958" s="1"/>
      <c r="B958" s="2">
        <v>45764.0</v>
      </c>
      <c r="C958" s="9" t="s">
        <v>771</v>
      </c>
      <c r="D958" s="1" t="s">
        <v>1476</v>
      </c>
      <c r="E958" s="4">
        <v>34500.0</v>
      </c>
      <c r="F958" s="4"/>
      <c r="G958" s="4"/>
      <c r="H958" s="4">
        <f>'data on outstanding creditors'!$E958-'data on outstanding creditors'!$F958-'data on outstanding creditors'!$G958</f>
        <v>34500</v>
      </c>
      <c r="I958" s="2"/>
      <c r="J958" s="1" t="s">
        <v>646</v>
      </c>
      <c r="K958" s="2">
        <v>45928.0</v>
      </c>
      <c r="L958" s="5"/>
      <c r="M958" s="9" t="s">
        <v>22</v>
      </c>
      <c r="N958" s="9" t="s">
        <v>23</v>
      </c>
      <c r="O958" s="10">
        <f>'data on outstanding creditors'!$E958*100/107</f>
        <v>32242.99065</v>
      </c>
      <c r="P958" s="10">
        <f>'data on outstanding creditors'!$E958-'data on outstanding creditors'!$O958</f>
        <v>2257.009346</v>
      </c>
      <c r="Q958" s="7">
        <f>DAY('data on outstanding creditors'!$B958)</f>
        <v>17</v>
      </c>
      <c r="R958" s="7">
        <f>MONTH('data on outstanding creditors'!$B958)</f>
        <v>4</v>
      </c>
      <c r="S958" s="7">
        <f>YEAR('data on outstanding creditors'!$B958)</f>
        <v>2025</v>
      </c>
      <c r="T958" s="11" t="str">
        <f>'data on outstanding creditors'!$C958&amp;" "&amp;'data on outstanding creditors'!$D958&amp;" "&amp;TEXT('data on outstanding creditors'!$E958,"#,##0.00")</f>
        <v>หจก.ภิญโญฟาร์มาซี IV6819417 34,500.00</v>
      </c>
      <c r="U958" s="12"/>
    </row>
    <row r="959" ht="13.5" customHeight="1">
      <c r="A959" s="1"/>
      <c r="B959" s="2">
        <v>45764.0</v>
      </c>
      <c r="C959" s="9" t="s">
        <v>1432</v>
      </c>
      <c r="D959" s="1" t="s">
        <v>1477</v>
      </c>
      <c r="E959" s="4">
        <v>22500.0</v>
      </c>
      <c r="F959" s="4"/>
      <c r="G959" s="4"/>
      <c r="H959" s="4">
        <f>'data on outstanding creditors'!$E959-'data on outstanding creditors'!$F959-'data on outstanding creditors'!$G959</f>
        <v>22500</v>
      </c>
      <c r="I959" s="2"/>
      <c r="J959" s="1" t="s">
        <v>646</v>
      </c>
      <c r="K959" s="2">
        <v>45877.0</v>
      </c>
      <c r="L959" s="5"/>
      <c r="M959" s="9" t="s">
        <v>22</v>
      </c>
      <c r="N959" s="9" t="s">
        <v>23</v>
      </c>
      <c r="O959" s="10">
        <f>'data on outstanding creditors'!$E959*100/107</f>
        <v>21028.03738</v>
      </c>
      <c r="P959" s="10">
        <f>'data on outstanding creditors'!$E959-'data on outstanding creditors'!$O959</f>
        <v>1471.962617</v>
      </c>
      <c r="Q959" s="7">
        <f>DAY('data on outstanding creditors'!$B959)</f>
        <v>17</v>
      </c>
      <c r="R959" s="7">
        <f>MONTH('data on outstanding creditors'!$B959)</f>
        <v>4</v>
      </c>
      <c r="S959" s="7">
        <f>YEAR('data on outstanding creditors'!$B959)</f>
        <v>2025</v>
      </c>
      <c r="T959" s="11" t="str">
        <f>'data on outstanding creditors'!$C959&amp;" "&amp;'data on outstanding creditors'!$D959&amp;" "&amp;TEXT('data on outstanding creditors'!$E959,"#,##0.00")</f>
        <v>บ.ยูโทเปี้ยน IV2504168 22,500.00</v>
      </c>
      <c r="U959" s="12"/>
    </row>
    <row r="960" ht="13.5" customHeight="1">
      <c r="A960" s="1"/>
      <c r="B960" s="2">
        <v>45764.0</v>
      </c>
      <c r="C960" s="9" t="s">
        <v>1432</v>
      </c>
      <c r="D960" s="1" t="s">
        <v>1478</v>
      </c>
      <c r="E960" s="4">
        <v>7600.0</v>
      </c>
      <c r="F960" s="4"/>
      <c r="G960" s="4"/>
      <c r="H960" s="4">
        <f>'data on outstanding creditors'!$E960-'data on outstanding creditors'!$F960-'data on outstanding creditors'!$G960</f>
        <v>7600</v>
      </c>
      <c r="I960" s="2"/>
      <c r="J960" s="1" t="s">
        <v>646</v>
      </c>
      <c r="K960" s="2">
        <v>45877.0</v>
      </c>
      <c r="L960" s="5"/>
      <c r="M960" s="9" t="s">
        <v>22</v>
      </c>
      <c r="N960" s="9" t="s">
        <v>23</v>
      </c>
      <c r="O960" s="10">
        <f>'data on outstanding creditors'!$E960*100/107</f>
        <v>7102.803738</v>
      </c>
      <c r="P960" s="10">
        <f>'data on outstanding creditors'!$E960-'data on outstanding creditors'!$O960</f>
        <v>497.1962617</v>
      </c>
      <c r="Q960" s="7">
        <f>DAY('data on outstanding creditors'!$B960)</f>
        <v>17</v>
      </c>
      <c r="R960" s="7">
        <f>MONTH('data on outstanding creditors'!$B960)</f>
        <v>4</v>
      </c>
      <c r="S960" s="7">
        <f>YEAR('data on outstanding creditors'!$B960)</f>
        <v>2025</v>
      </c>
      <c r="T960" s="11" t="str">
        <f>'data on outstanding creditors'!$C960&amp;" "&amp;'data on outstanding creditors'!$D960&amp;" "&amp;TEXT('data on outstanding creditors'!$E960,"#,##0.00")</f>
        <v>บ.ยูโทเปี้ยน IV2504164 7,600.00</v>
      </c>
      <c r="U960" s="12"/>
    </row>
    <row r="961" ht="13.5" customHeight="1">
      <c r="A961" s="1"/>
      <c r="B961" s="2">
        <v>45764.0</v>
      </c>
      <c r="C961" s="9" t="s">
        <v>884</v>
      </c>
      <c r="D961" s="1" t="s">
        <v>1479</v>
      </c>
      <c r="E961" s="4">
        <v>26500.0</v>
      </c>
      <c r="F961" s="4"/>
      <c r="G961" s="4"/>
      <c r="H961" s="4">
        <f>'data on outstanding creditors'!$E961-'data on outstanding creditors'!$F961-'data on outstanding creditors'!$G961</f>
        <v>26500</v>
      </c>
      <c r="I961" s="2"/>
      <c r="J961" s="1" t="s">
        <v>646</v>
      </c>
      <c r="K961" s="2">
        <v>45866.0</v>
      </c>
      <c r="L961" s="5"/>
      <c r="M961" s="9" t="s">
        <v>22</v>
      </c>
      <c r="N961" s="9" t="s">
        <v>23</v>
      </c>
      <c r="O961" s="10">
        <f>'data on outstanding creditors'!$E961*100/107</f>
        <v>24766.35514</v>
      </c>
      <c r="P961" s="10">
        <f>'data on outstanding creditors'!$E961-'data on outstanding creditors'!$O961</f>
        <v>1733.64486</v>
      </c>
      <c r="Q961" s="7">
        <f>DAY('data on outstanding creditors'!$B961)</f>
        <v>17</v>
      </c>
      <c r="R961" s="7">
        <f>MONTH('data on outstanding creditors'!$B961)</f>
        <v>4</v>
      </c>
      <c r="S961" s="7">
        <f>YEAR('data on outstanding creditors'!$B961)</f>
        <v>2025</v>
      </c>
      <c r="T961" s="11" t="str">
        <f>'data on outstanding creditors'!$C961&amp;" "&amp;'data on outstanding creditors'!$D961&amp;" "&amp;TEXT('data on outstanding creditors'!$E961,"#,##0.00")</f>
        <v>บ.เอสพีเอส เมดิคอล 112504001169 26,500.00</v>
      </c>
      <c r="U961" s="12"/>
    </row>
    <row r="962" ht="13.5" customHeight="1">
      <c r="A962" s="1"/>
      <c r="B962" s="2">
        <v>45765.0</v>
      </c>
      <c r="C962" s="9" t="s">
        <v>771</v>
      </c>
      <c r="D962" s="1" t="s">
        <v>1480</v>
      </c>
      <c r="E962" s="4">
        <v>27000.0</v>
      </c>
      <c r="F962" s="4"/>
      <c r="G962" s="4"/>
      <c r="H962" s="4">
        <f>'data on outstanding creditors'!$E962-'data on outstanding creditors'!$F962-'data on outstanding creditors'!$G962</f>
        <v>27000</v>
      </c>
      <c r="I962" s="2"/>
      <c r="J962" s="1" t="s">
        <v>646</v>
      </c>
      <c r="K962" s="2">
        <v>45928.0</v>
      </c>
      <c r="L962" s="5"/>
      <c r="M962" s="9" t="s">
        <v>22</v>
      </c>
      <c r="N962" s="9" t="s">
        <v>23</v>
      </c>
      <c r="O962" s="10">
        <f>'data on outstanding creditors'!$E962*100/107</f>
        <v>25233.64486</v>
      </c>
      <c r="P962" s="10">
        <f>'data on outstanding creditors'!$E962-'data on outstanding creditors'!$O962</f>
        <v>1766.35514</v>
      </c>
      <c r="Q962" s="7">
        <f>DAY('data on outstanding creditors'!$B962)</f>
        <v>18</v>
      </c>
      <c r="R962" s="7">
        <f>MONTH('data on outstanding creditors'!$B962)</f>
        <v>4</v>
      </c>
      <c r="S962" s="7">
        <f>YEAR('data on outstanding creditors'!$B962)</f>
        <v>2025</v>
      </c>
      <c r="T962" s="11" t="str">
        <f>'data on outstanding creditors'!$C962&amp;" "&amp;'data on outstanding creditors'!$D962&amp;" "&amp;TEXT('data on outstanding creditors'!$E962,"#,##0.00")</f>
        <v>หจก.ภิญโญฟาร์มาซี IV6818921 27,000.00</v>
      </c>
      <c r="U962" s="12"/>
    </row>
    <row r="963" ht="13.5" customHeight="1">
      <c r="A963" s="1"/>
      <c r="B963" s="2">
        <v>45765.0</v>
      </c>
      <c r="C963" s="9" t="s">
        <v>771</v>
      </c>
      <c r="D963" s="1" t="s">
        <v>1481</v>
      </c>
      <c r="E963" s="4">
        <v>73440.0</v>
      </c>
      <c r="F963" s="4"/>
      <c r="G963" s="4"/>
      <c r="H963" s="4">
        <f>'data on outstanding creditors'!$E963-'data on outstanding creditors'!$F963-'data on outstanding creditors'!$G963</f>
        <v>73440</v>
      </c>
      <c r="I963" s="2"/>
      <c r="J963" s="1" t="s">
        <v>646</v>
      </c>
      <c r="K963" s="2">
        <v>45928.0</v>
      </c>
      <c r="L963" s="5"/>
      <c r="M963" s="9" t="s">
        <v>22</v>
      </c>
      <c r="N963" s="9" t="s">
        <v>23</v>
      </c>
      <c r="O963" s="10">
        <f>'data on outstanding creditors'!$E963*100/107</f>
        <v>68635.51402</v>
      </c>
      <c r="P963" s="10">
        <f>'data on outstanding creditors'!$E963-'data on outstanding creditors'!$O963</f>
        <v>4804.485981</v>
      </c>
      <c r="Q963" s="7">
        <f>DAY('data on outstanding creditors'!$B963)</f>
        <v>18</v>
      </c>
      <c r="R963" s="7">
        <f>MONTH('data on outstanding creditors'!$B963)</f>
        <v>4</v>
      </c>
      <c r="S963" s="7">
        <f>YEAR('data on outstanding creditors'!$B963)</f>
        <v>2025</v>
      </c>
      <c r="T963" s="11" t="str">
        <f>'data on outstanding creditors'!$C963&amp;" "&amp;'data on outstanding creditors'!$D963&amp;" "&amp;TEXT('data on outstanding creditors'!$E963,"#,##0.00")</f>
        <v>หจก.ภิญโญฟาร์มาซี IV6818922 73,440.00</v>
      </c>
      <c r="U963" s="12"/>
    </row>
    <row r="964" ht="13.5" customHeight="1">
      <c r="A964" s="1"/>
      <c r="B964" s="2">
        <v>45765.0</v>
      </c>
      <c r="C964" s="9" t="s">
        <v>884</v>
      </c>
      <c r="D964" s="1" t="s">
        <v>1482</v>
      </c>
      <c r="E964" s="4">
        <v>96150.0</v>
      </c>
      <c r="F964" s="4"/>
      <c r="G964" s="4"/>
      <c r="H964" s="4">
        <f>'data on outstanding creditors'!$E964-'data on outstanding creditors'!$F964-'data on outstanding creditors'!$G964</f>
        <v>96150</v>
      </c>
      <c r="I964" s="2"/>
      <c r="J964" s="1" t="s">
        <v>646</v>
      </c>
      <c r="K964" s="2">
        <v>45866.0</v>
      </c>
      <c r="L964" s="5"/>
      <c r="M964" s="9" t="s">
        <v>22</v>
      </c>
      <c r="N964" s="9" t="s">
        <v>23</v>
      </c>
      <c r="O964" s="10">
        <f>'data on outstanding creditors'!$E964*100/107</f>
        <v>89859.81308</v>
      </c>
      <c r="P964" s="10">
        <f>'data on outstanding creditors'!$E964-'data on outstanding creditors'!$O964</f>
        <v>6290.186916</v>
      </c>
      <c r="Q964" s="7">
        <f>DAY('data on outstanding creditors'!$B964)</f>
        <v>18</v>
      </c>
      <c r="R964" s="7">
        <f>MONTH('data on outstanding creditors'!$B964)</f>
        <v>4</v>
      </c>
      <c r="S964" s="7">
        <f>YEAR('data on outstanding creditors'!$B964)</f>
        <v>2025</v>
      </c>
      <c r="T964" s="11" t="str">
        <f>'data on outstanding creditors'!$C964&amp;" "&amp;'data on outstanding creditors'!$D964&amp;" "&amp;TEXT('data on outstanding creditors'!$E964,"#,##0.00")</f>
        <v>บ.เอสพีเอส เมดิคอล 112504001170 96,150.00</v>
      </c>
      <c r="U964" s="12"/>
    </row>
    <row r="965" ht="13.5" customHeight="1">
      <c r="A965" s="1"/>
      <c r="B965" s="2">
        <v>45765.0</v>
      </c>
      <c r="C965" s="9" t="s">
        <v>1297</v>
      </c>
      <c r="D965" s="1" t="s">
        <v>1483</v>
      </c>
      <c r="E965" s="4">
        <v>36000.0</v>
      </c>
      <c r="F965" s="4"/>
      <c r="G965" s="4"/>
      <c r="H965" s="4">
        <f>'data on outstanding creditors'!$E965-'data on outstanding creditors'!$F965-'data on outstanding creditors'!$G965</f>
        <v>36000</v>
      </c>
      <c r="I965" s="2"/>
      <c r="J965" s="1" t="s">
        <v>757</v>
      </c>
      <c r="K965" s="2">
        <v>45829.0</v>
      </c>
      <c r="L965" s="5"/>
      <c r="M965" s="9" t="s">
        <v>22</v>
      </c>
      <c r="N965" s="9" t="s">
        <v>23</v>
      </c>
      <c r="O965" s="10">
        <f>'data on outstanding creditors'!$E965*100/107</f>
        <v>33644.85981</v>
      </c>
      <c r="P965" s="10">
        <f>'data on outstanding creditors'!$E965-'data on outstanding creditors'!$O965</f>
        <v>2355.140187</v>
      </c>
      <c r="Q965" s="7">
        <f>DAY('data on outstanding creditors'!$B965)</f>
        <v>18</v>
      </c>
      <c r="R965" s="7">
        <f>MONTH('data on outstanding creditors'!$B965)</f>
        <v>4</v>
      </c>
      <c r="S965" s="7">
        <f>YEAR('data on outstanding creditors'!$B965)</f>
        <v>2025</v>
      </c>
      <c r="T965" s="11" t="str">
        <f>'data on outstanding creditors'!$C965&amp;" "&amp;'data on outstanding creditors'!$D965&amp;" "&amp;TEXT('data on outstanding creditors'!$E965,"#,##0.00")</f>
        <v>บ.แอตแลนติค ฟาร์มาซูติคอล PIN2512467 36,000.00</v>
      </c>
      <c r="U965" s="12"/>
    </row>
    <row r="966" ht="13.5" customHeight="1">
      <c r="A966" s="1"/>
      <c r="B966" s="2">
        <v>45765.0</v>
      </c>
      <c r="C966" s="9" t="s">
        <v>1297</v>
      </c>
      <c r="D966" s="1" t="s">
        <v>1484</v>
      </c>
      <c r="E966" s="4">
        <v>82000.0</v>
      </c>
      <c r="F966" s="4"/>
      <c r="G966" s="4"/>
      <c r="H966" s="4">
        <f>'data on outstanding creditors'!$E966-'data on outstanding creditors'!$F966-'data on outstanding creditors'!$G966</f>
        <v>82000</v>
      </c>
      <c r="I966" s="2"/>
      <c r="J966" s="1" t="s">
        <v>646</v>
      </c>
      <c r="K966" s="2">
        <v>45928.0</v>
      </c>
      <c r="L966" s="5"/>
      <c r="M966" s="9" t="s">
        <v>22</v>
      </c>
      <c r="N966" s="9" t="s">
        <v>23</v>
      </c>
      <c r="O966" s="10">
        <f>'data on outstanding creditors'!$E966*100/107</f>
        <v>76635.51402</v>
      </c>
      <c r="P966" s="10">
        <f>'data on outstanding creditors'!$E966-'data on outstanding creditors'!$O966</f>
        <v>5364.485981</v>
      </c>
      <c r="Q966" s="7">
        <f>DAY('data on outstanding creditors'!$B966)</f>
        <v>18</v>
      </c>
      <c r="R966" s="7">
        <f>MONTH('data on outstanding creditors'!$B966)</f>
        <v>4</v>
      </c>
      <c r="S966" s="7">
        <f>YEAR('data on outstanding creditors'!$B966)</f>
        <v>2025</v>
      </c>
      <c r="T966" s="11" t="str">
        <f>'data on outstanding creditors'!$C966&amp;" "&amp;'data on outstanding creditors'!$D966&amp;" "&amp;TEXT('data on outstanding creditors'!$E966,"#,##0.00")</f>
        <v>บ.แอตแลนติค ฟาร์มาซูติคอล PIN2512632 82,000.00</v>
      </c>
      <c r="U966" s="12"/>
    </row>
    <row r="967" ht="13.5" customHeight="1">
      <c r="A967" s="1"/>
      <c r="B967" s="2">
        <v>45765.0</v>
      </c>
      <c r="C967" s="9" t="s">
        <v>922</v>
      </c>
      <c r="D967" s="1" t="s">
        <v>1485</v>
      </c>
      <c r="E967" s="4">
        <v>76000.0</v>
      </c>
      <c r="F967" s="4"/>
      <c r="G967" s="4"/>
      <c r="H967" s="4">
        <f>'data on outstanding creditors'!$E967-'data on outstanding creditors'!$F967-'data on outstanding creditors'!$G967</f>
        <v>76000</v>
      </c>
      <c r="I967" s="2"/>
      <c r="J967" s="1" t="s">
        <v>646</v>
      </c>
      <c r="K967" s="2">
        <v>45855.0</v>
      </c>
      <c r="L967" s="5"/>
      <c r="M967" s="9" t="s">
        <v>22</v>
      </c>
      <c r="N967" s="9" t="s">
        <v>23</v>
      </c>
      <c r="O967" s="10">
        <f>'data on outstanding creditors'!$E967*100/107</f>
        <v>71028.03738</v>
      </c>
      <c r="P967" s="10">
        <f>'data on outstanding creditors'!$E967-'data on outstanding creditors'!$O967</f>
        <v>4971.962617</v>
      </c>
      <c r="Q967" s="7">
        <f>DAY('data on outstanding creditors'!$B967)</f>
        <v>18</v>
      </c>
      <c r="R967" s="7">
        <f>MONTH('data on outstanding creditors'!$B967)</f>
        <v>4</v>
      </c>
      <c r="S967" s="7">
        <f>YEAR('data on outstanding creditors'!$B967)</f>
        <v>2025</v>
      </c>
      <c r="T967" s="11" t="str">
        <f>'data on outstanding creditors'!$C967&amp;" "&amp;'data on outstanding creditors'!$D967&amp;" "&amp;TEXT('data on outstanding creditors'!$E967,"#,##0.00")</f>
        <v>บ.เบอร์ลินฟาร์มาซูติคอลอินดัสตรี้ 6810401720 76,000.00</v>
      </c>
      <c r="U967" s="12"/>
    </row>
    <row r="968" ht="13.5" customHeight="1">
      <c r="A968" s="1"/>
      <c r="B968" s="2">
        <v>45765.0</v>
      </c>
      <c r="C968" s="9" t="s">
        <v>922</v>
      </c>
      <c r="D968" s="1" t="s">
        <v>1486</v>
      </c>
      <c r="E968" s="4">
        <v>75000.0</v>
      </c>
      <c r="F968" s="4"/>
      <c r="G968" s="4"/>
      <c r="H968" s="4">
        <f>'data on outstanding creditors'!$E968-'data on outstanding creditors'!$F968-'data on outstanding creditors'!$G968</f>
        <v>75000</v>
      </c>
      <c r="I968" s="2"/>
      <c r="J968" s="1" t="s">
        <v>646</v>
      </c>
      <c r="K968" s="2">
        <v>45855.0</v>
      </c>
      <c r="L968" s="5"/>
      <c r="M968" s="9" t="s">
        <v>22</v>
      </c>
      <c r="N968" s="9" t="s">
        <v>23</v>
      </c>
      <c r="O968" s="10">
        <f>'data on outstanding creditors'!$E968*100/107</f>
        <v>70093.45794</v>
      </c>
      <c r="P968" s="10">
        <f>'data on outstanding creditors'!$E968-'data on outstanding creditors'!$O968</f>
        <v>4906.542056</v>
      </c>
      <c r="Q968" s="7">
        <f>DAY('data on outstanding creditors'!$B968)</f>
        <v>18</v>
      </c>
      <c r="R968" s="7">
        <f>MONTH('data on outstanding creditors'!$B968)</f>
        <v>4</v>
      </c>
      <c r="S968" s="7">
        <f>YEAR('data on outstanding creditors'!$B968)</f>
        <v>2025</v>
      </c>
      <c r="T968" s="11" t="str">
        <f>'data on outstanding creditors'!$C968&amp;" "&amp;'data on outstanding creditors'!$D968&amp;" "&amp;TEXT('data on outstanding creditors'!$E968,"#,##0.00")</f>
        <v>บ.เบอร์ลินฟาร์มาซูติคอลอินดัสตรี้ 6810401756 75,000.00</v>
      </c>
      <c r="U968" s="12"/>
    </row>
    <row r="969" ht="13.5" customHeight="1">
      <c r="A969" s="1"/>
      <c r="B969" s="2">
        <v>45765.0</v>
      </c>
      <c r="C969" s="9" t="s">
        <v>1330</v>
      </c>
      <c r="D969" s="1" t="s">
        <v>1487</v>
      </c>
      <c r="E969" s="4">
        <v>39000.0</v>
      </c>
      <c r="F969" s="4"/>
      <c r="G969" s="4"/>
      <c r="H969" s="4">
        <f>'data on outstanding creditors'!$E969-'data on outstanding creditors'!$F969-'data on outstanding creditors'!$G969</f>
        <v>39000</v>
      </c>
      <c r="I969" s="2"/>
      <c r="J969" s="1" t="s">
        <v>757</v>
      </c>
      <c r="K969" s="2">
        <v>45828.0</v>
      </c>
      <c r="L969" s="5"/>
      <c r="M969" s="9" t="s">
        <v>22</v>
      </c>
      <c r="N969" s="9" t="s">
        <v>23</v>
      </c>
      <c r="O969" s="10">
        <f>'data on outstanding creditors'!$E969*100/107</f>
        <v>36448.59813</v>
      </c>
      <c r="P969" s="10">
        <f>'data on outstanding creditors'!$E969-'data on outstanding creditors'!$O969</f>
        <v>2551.401869</v>
      </c>
      <c r="Q969" s="7">
        <f>DAY('data on outstanding creditors'!$B969)</f>
        <v>18</v>
      </c>
      <c r="R969" s="7">
        <f>MONTH('data on outstanding creditors'!$B969)</f>
        <v>4</v>
      </c>
      <c r="S969" s="7">
        <f>YEAR('data on outstanding creditors'!$B969)</f>
        <v>2025</v>
      </c>
      <c r="T969" s="11" t="str">
        <f>'data on outstanding creditors'!$C969&amp;" "&amp;'data on outstanding creditors'!$D969&amp;" "&amp;TEXT('data on outstanding creditors'!$E969,"#,##0.00")</f>
        <v>บ.ชุมชนเภสัชกรรม IV680401020 39,000.00</v>
      </c>
      <c r="U969" s="12"/>
    </row>
    <row r="970" ht="13.5" customHeight="1">
      <c r="A970" s="1"/>
      <c r="B970" s="2">
        <v>45765.0</v>
      </c>
      <c r="C970" s="9" t="s">
        <v>920</v>
      </c>
      <c r="D970" s="1" t="s">
        <v>1488</v>
      </c>
      <c r="E970" s="4">
        <v>7500.0</v>
      </c>
      <c r="F970" s="4"/>
      <c r="G970" s="4"/>
      <c r="H970" s="4">
        <f>'data on outstanding creditors'!$E970-'data on outstanding creditors'!$F970-'data on outstanding creditors'!$G970</f>
        <v>7500</v>
      </c>
      <c r="I970" s="2"/>
      <c r="J970" s="1" t="s">
        <v>646</v>
      </c>
      <c r="K970" s="2">
        <v>45855.0</v>
      </c>
      <c r="L970" s="5"/>
      <c r="M970" s="9" t="s">
        <v>22</v>
      </c>
      <c r="N970" s="9" t="s">
        <v>23</v>
      </c>
      <c r="O970" s="10">
        <f>'data on outstanding creditors'!$E970*100/107</f>
        <v>7009.345794</v>
      </c>
      <c r="P970" s="10">
        <f>'data on outstanding creditors'!$E970-'data on outstanding creditors'!$O970</f>
        <v>490.6542056</v>
      </c>
      <c r="Q970" s="7">
        <f>DAY('data on outstanding creditors'!$B970)</f>
        <v>18</v>
      </c>
      <c r="R970" s="7">
        <f>MONTH('data on outstanding creditors'!$B970)</f>
        <v>4</v>
      </c>
      <c r="S970" s="7">
        <f>YEAR('data on outstanding creditors'!$B970)</f>
        <v>2025</v>
      </c>
      <c r="T970" s="11" t="str">
        <f>'data on outstanding creditors'!$C970&amp;" "&amp;'data on outstanding creditors'!$D970&amp;" "&amp;TEXT('data on outstanding creditors'!$E970,"#,##0.00")</f>
        <v>บ.โปลิฟาร์ม IVU-68015528 7,500.00</v>
      </c>
      <c r="U970" s="12"/>
    </row>
    <row r="971" ht="13.5" customHeight="1">
      <c r="A971" s="1"/>
      <c r="B971" s="2">
        <v>45769.0</v>
      </c>
      <c r="C971" s="9" t="s">
        <v>256</v>
      </c>
      <c r="D971" s="1" t="s">
        <v>1489</v>
      </c>
      <c r="E971" s="4">
        <v>18300.0</v>
      </c>
      <c r="F971" s="4"/>
      <c r="G971" s="4"/>
      <c r="H971" s="4">
        <f>'data on outstanding creditors'!$E971-'data on outstanding creditors'!$F971-'data on outstanding creditors'!$G971</f>
        <v>18300</v>
      </c>
      <c r="I971" s="2"/>
      <c r="J971" s="1" t="s">
        <v>646</v>
      </c>
      <c r="K971" s="2">
        <v>45928.0</v>
      </c>
      <c r="L971" s="5"/>
      <c r="M971" s="9" t="s">
        <v>22</v>
      </c>
      <c r="N971" s="9" t="s">
        <v>23</v>
      </c>
      <c r="O971" s="10">
        <f>'data on outstanding creditors'!$E971*100/107</f>
        <v>17102.80374</v>
      </c>
      <c r="P971" s="10">
        <f>'data on outstanding creditors'!$E971-'data on outstanding creditors'!$O971</f>
        <v>1197.196262</v>
      </c>
      <c r="Q971" s="7">
        <f>DAY('data on outstanding creditors'!$B971)</f>
        <v>22</v>
      </c>
      <c r="R971" s="7">
        <f>MONTH('data on outstanding creditors'!$B971)</f>
        <v>4</v>
      </c>
      <c r="S971" s="7">
        <f>YEAR('data on outstanding creditors'!$B971)</f>
        <v>2025</v>
      </c>
      <c r="T971" s="11" t="str">
        <f>'data on outstanding creditors'!$C971&amp;" "&amp;'data on outstanding creditors'!$D971&amp;" "&amp;TEXT('data on outstanding creditors'!$E971,"#,##0.00")</f>
        <v>บ.พาตาร์แลบ(2517) INV125040924 18,300.00</v>
      </c>
      <c r="U971" s="12"/>
    </row>
    <row r="972" ht="13.5" customHeight="1">
      <c r="A972" s="1"/>
      <c r="B972" s="2">
        <v>45769.0</v>
      </c>
      <c r="C972" s="9" t="s">
        <v>771</v>
      </c>
      <c r="D972" s="1" t="s">
        <v>1490</v>
      </c>
      <c r="E972" s="4">
        <v>17500.0</v>
      </c>
      <c r="F972" s="4"/>
      <c r="G972" s="4"/>
      <c r="H972" s="4">
        <f>'data on outstanding creditors'!$E972-'data on outstanding creditors'!$F972-'data on outstanding creditors'!$G972</f>
        <v>17500</v>
      </c>
      <c r="I972" s="2"/>
      <c r="J972" s="1" t="s">
        <v>646</v>
      </c>
      <c r="K972" s="2">
        <v>45928.0</v>
      </c>
      <c r="L972" s="5"/>
      <c r="M972" s="9" t="s">
        <v>22</v>
      </c>
      <c r="N972" s="9" t="s">
        <v>23</v>
      </c>
      <c r="O972" s="10">
        <f>'data on outstanding creditors'!$E972*100/107</f>
        <v>16355.14019</v>
      </c>
      <c r="P972" s="10">
        <f>'data on outstanding creditors'!$E972-'data on outstanding creditors'!$O972</f>
        <v>1144.859813</v>
      </c>
      <c r="Q972" s="7">
        <f>DAY('data on outstanding creditors'!$B972)</f>
        <v>22</v>
      </c>
      <c r="R972" s="7">
        <f>MONTH('data on outstanding creditors'!$B972)</f>
        <v>4</v>
      </c>
      <c r="S972" s="7">
        <f>YEAR('data on outstanding creditors'!$B972)</f>
        <v>2025</v>
      </c>
      <c r="T972" s="11" t="str">
        <f>'data on outstanding creditors'!$C972&amp;" "&amp;'data on outstanding creditors'!$D972&amp;" "&amp;TEXT('data on outstanding creditors'!$E972,"#,##0.00")</f>
        <v>หจก.ภิญโญฟาร์มาซี IV6819599 17,500.00</v>
      </c>
      <c r="U972" s="12"/>
    </row>
    <row r="973" ht="13.5" customHeight="1">
      <c r="A973" s="1"/>
      <c r="B973" s="2">
        <v>45769.0</v>
      </c>
      <c r="C973" s="9" t="s">
        <v>929</v>
      </c>
      <c r="D973" s="1" t="s">
        <v>1491</v>
      </c>
      <c r="E973" s="4">
        <v>6200.0</v>
      </c>
      <c r="F973" s="4"/>
      <c r="G973" s="4"/>
      <c r="H973" s="4">
        <f>'data on outstanding creditors'!$E973-'data on outstanding creditors'!$F973-'data on outstanding creditors'!$G973</f>
        <v>6200</v>
      </c>
      <c r="I973" s="2"/>
      <c r="J973" s="1" t="s">
        <v>646</v>
      </c>
      <c r="K973" s="2">
        <v>45887.0</v>
      </c>
      <c r="L973" s="5"/>
      <c r="M973" s="9" t="s">
        <v>22</v>
      </c>
      <c r="N973" s="9" t="s">
        <v>23</v>
      </c>
      <c r="O973" s="10">
        <f>'data on outstanding creditors'!$E973*100/107</f>
        <v>5794.392523</v>
      </c>
      <c r="P973" s="10">
        <f>'data on outstanding creditors'!$E973-'data on outstanding creditors'!$O973</f>
        <v>405.6074766</v>
      </c>
      <c r="Q973" s="7">
        <f>DAY('data on outstanding creditors'!$B973)</f>
        <v>22</v>
      </c>
      <c r="R973" s="7">
        <f>MONTH('data on outstanding creditors'!$B973)</f>
        <v>4</v>
      </c>
      <c r="S973" s="7">
        <f>YEAR('data on outstanding creditors'!$B973)</f>
        <v>2025</v>
      </c>
      <c r="T973" s="11" t="str">
        <f>'data on outstanding creditors'!$C973&amp;" "&amp;'data on outstanding creditors'!$D973&amp;" "&amp;TEXT('data on outstanding creditors'!$E973,"#,##0.00")</f>
        <v>บ.เยนเนอร์ราลดรั๊กส์เฮ้าส์ 25103816 6,200.00</v>
      </c>
      <c r="U973" s="12"/>
    </row>
    <row r="974" ht="13.5" customHeight="1">
      <c r="A974" s="1"/>
      <c r="B974" s="2">
        <v>45769.0</v>
      </c>
      <c r="C974" s="9" t="s">
        <v>886</v>
      </c>
      <c r="D974" s="1" t="s">
        <v>1492</v>
      </c>
      <c r="E974" s="4">
        <v>98000.0</v>
      </c>
      <c r="F974" s="4"/>
      <c r="G974" s="4"/>
      <c r="H974" s="4">
        <f>'data on outstanding creditors'!$E974-'data on outstanding creditors'!$F974-'data on outstanding creditors'!$G974</f>
        <v>98000</v>
      </c>
      <c r="I974" s="2"/>
      <c r="J974" s="1" t="s">
        <v>646</v>
      </c>
      <c r="K974" s="2">
        <v>45954.0</v>
      </c>
      <c r="L974" s="5"/>
      <c r="M974" s="9" t="s">
        <v>22</v>
      </c>
      <c r="N974" s="9" t="s">
        <v>23</v>
      </c>
      <c r="O974" s="10">
        <f>'data on outstanding creditors'!$E974*100/107</f>
        <v>91588.78505</v>
      </c>
      <c r="P974" s="10">
        <f>'data on outstanding creditors'!$E974-'data on outstanding creditors'!$O974</f>
        <v>6411.214953</v>
      </c>
      <c r="Q974" s="7">
        <f>DAY('data on outstanding creditors'!$B974)</f>
        <v>22</v>
      </c>
      <c r="R974" s="7">
        <f>MONTH('data on outstanding creditors'!$B974)</f>
        <v>4</v>
      </c>
      <c r="S974" s="7">
        <f>YEAR('data on outstanding creditors'!$B974)</f>
        <v>2025</v>
      </c>
      <c r="T974" s="11" t="str">
        <f>'data on outstanding creditors'!$C974&amp;" "&amp;'data on outstanding creditors'!$D974&amp;" "&amp;TEXT('data on outstanding creditors'!$E974,"#,##0.00")</f>
        <v>บ.ไบโอวาลิส IV12507249 98,000.00</v>
      </c>
      <c r="U974" s="12"/>
    </row>
    <row r="975" ht="13.5" customHeight="1">
      <c r="A975" s="1"/>
      <c r="B975" s="2">
        <v>45769.0</v>
      </c>
      <c r="C975" s="9" t="s">
        <v>922</v>
      </c>
      <c r="D975" s="1" t="s">
        <v>1493</v>
      </c>
      <c r="E975" s="4">
        <v>80000.0</v>
      </c>
      <c r="F975" s="4"/>
      <c r="G975" s="4"/>
      <c r="H975" s="4">
        <f>'data on outstanding creditors'!$E975-'data on outstanding creditors'!$F975-'data on outstanding creditors'!$G975</f>
        <v>80000</v>
      </c>
      <c r="I975" s="2"/>
      <c r="J975" s="1" t="s">
        <v>646</v>
      </c>
      <c r="K975" s="2">
        <v>45855.0</v>
      </c>
      <c r="L975" s="5"/>
      <c r="M975" s="9" t="s">
        <v>22</v>
      </c>
      <c r="N975" s="9" t="s">
        <v>23</v>
      </c>
      <c r="O975" s="10">
        <f>'data on outstanding creditors'!$E975*100/107</f>
        <v>74766.35514</v>
      </c>
      <c r="P975" s="10">
        <f>'data on outstanding creditors'!$E975-'data on outstanding creditors'!$O975</f>
        <v>5233.64486</v>
      </c>
      <c r="Q975" s="7">
        <f>DAY('data on outstanding creditors'!$B975)</f>
        <v>22</v>
      </c>
      <c r="R975" s="7">
        <f>MONTH('data on outstanding creditors'!$B975)</f>
        <v>4</v>
      </c>
      <c r="S975" s="7">
        <f>YEAR('data on outstanding creditors'!$B975)</f>
        <v>2025</v>
      </c>
      <c r="T975" s="11" t="str">
        <f>'data on outstanding creditors'!$C975&amp;" "&amp;'data on outstanding creditors'!$D975&amp;" "&amp;TEXT('data on outstanding creditors'!$E975,"#,##0.00")</f>
        <v>บ.เบอร์ลินฟาร์มาซูติคอลอินดัสตรี้ 6810401721 80,000.00</v>
      </c>
      <c r="U975" s="12"/>
    </row>
    <row r="976" ht="13.5" customHeight="1">
      <c r="A976" s="1"/>
      <c r="B976" s="2">
        <v>45769.0</v>
      </c>
      <c r="C976" s="9" t="s">
        <v>763</v>
      </c>
      <c r="D976" s="1" t="s">
        <v>1494</v>
      </c>
      <c r="E976" s="4">
        <v>34500.0</v>
      </c>
      <c r="F976" s="4"/>
      <c r="G976" s="4"/>
      <c r="H976" s="4">
        <f>'data on outstanding creditors'!$E976-'data on outstanding creditors'!$F976-'data on outstanding creditors'!$G976</f>
        <v>34500</v>
      </c>
      <c r="I976" s="2"/>
      <c r="J976" s="1" t="s">
        <v>646</v>
      </c>
      <c r="K976" s="2">
        <v>45894.0</v>
      </c>
      <c r="L976" s="5"/>
      <c r="M976" s="9" t="s">
        <v>22</v>
      </c>
      <c r="N976" s="9" t="s">
        <v>23</v>
      </c>
      <c r="O976" s="10">
        <f>'data on outstanding creditors'!$E976*100/107</f>
        <v>32242.99065</v>
      </c>
      <c r="P976" s="10">
        <f>'data on outstanding creditors'!$E976-'data on outstanding creditors'!$O976</f>
        <v>2257.009346</v>
      </c>
      <c r="Q976" s="7">
        <f>DAY('data on outstanding creditors'!$B976)</f>
        <v>22</v>
      </c>
      <c r="R976" s="7">
        <f>MONTH('data on outstanding creditors'!$B976)</f>
        <v>4</v>
      </c>
      <c r="S976" s="7">
        <f>YEAR('data on outstanding creditors'!$B976)</f>
        <v>2025</v>
      </c>
      <c r="T976" s="11" t="str">
        <f>'data on outstanding creditors'!$C976&amp;" "&amp;'data on outstanding creditors'!$D976&amp;" "&amp;TEXT('data on outstanding creditors'!$E976,"#,##0.00")</f>
        <v>บ.อัลลายแอนซ์ ฟาร์มา B26804063 34,500.00</v>
      </c>
      <c r="U976" s="12"/>
    </row>
    <row r="977" ht="13.5" customHeight="1">
      <c r="A977" s="1"/>
      <c r="B977" s="2">
        <v>45769.0</v>
      </c>
      <c r="C977" s="9" t="s">
        <v>1495</v>
      </c>
      <c r="D977" s="1" t="s">
        <v>1496</v>
      </c>
      <c r="E977" s="4">
        <v>38520.0</v>
      </c>
      <c r="F977" s="4"/>
      <c r="G977" s="4"/>
      <c r="H977" s="4">
        <f>'data on outstanding creditors'!$E977-'data on outstanding creditors'!$F977-'data on outstanding creditors'!$G977</f>
        <v>38520</v>
      </c>
      <c r="I977" s="2"/>
      <c r="J977" s="1" t="s">
        <v>646</v>
      </c>
      <c r="K977" s="2">
        <v>45906.0</v>
      </c>
      <c r="L977" s="5"/>
      <c r="M977" s="9" t="s">
        <v>22</v>
      </c>
      <c r="N977" s="9" t="s">
        <v>23</v>
      </c>
      <c r="O977" s="10">
        <f>'data on outstanding creditors'!$E977*100/107</f>
        <v>36000</v>
      </c>
      <c r="P977" s="10">
        <f>'data on outstanding creditors'!$E977-'data on outstanding creditors'!$O977</f>
        <v>2520</v>
      </c>
      <c r="Q977" s="7">
        <f>DAY('data on outstanding creditors'!$B977)</f>
        <v>22</v>
      </c>
      <c r="R977" s="7">
        <f>MONTH('data on outstanding creditors'!$B977)</f>
        <v>4</v>
      </c>
      <c r="S977" s="7">
        <f>YEAR('data on outstanding creditors'!$B977)</f>
        <v>2025</v>
      </c>
      <c r="T977" s="11" t="str">
        <f>'data on outstanding creditors'!$C977&amp;" "&amp;'data on outstanding creditors'!$D977&amp;" "&amp;TEXT('data on outstanding creditors'!$E977,"#,##0.00")</f>
        <v>บ.อาร์เอ็กซ์ IV25-04100963 38,520.00</v>
      </c>
      <c r="U977" s="12"/>
    </row>
    <row r="978" ht="13.5" customHeight="1">
      <c r="A978" s="1"/>
      <c r="B978" s="2">
        <v>45769.0</v>
      </c>
      <c r="C978" s="9" t="s">
        <v>1497</v>
      </c>
      <c r="D978" s="1" t="s">
        <v>1498</v>
      </c>
      <c r="E978" s="4">
        <v>13963.5</v>
      </c>
      <c r="F978" s="4"/>
      <c r="G978" s="4"/>
      <c r="H978" s="4">
        <f>'data on outstanding creditors'!$E978-'data on outstanding creditors'!$F978-'data on outstanding creditors'!$G978</f>
        <v>13963.5</v>
      </c>
      <c r="I978" s="2"/>
      <c r="J978" s="1" t="s">
        <v>646</v>
      </c>
      <c r="K978" s="2">
        <v>45843.0</v>
      </c>
      <c r="L978" s="5"/>
      <c r="M978" s="9" t="s">
        <v>22</v>
      </c>
      <c r="N978" s="9" t="s">
        <v>23</v>
      </c>
      <c r="O978" s="10">
        <f>'data on outstanding creditors'!$E978*100/107</f>
        <v>13050</v>
      </c>
      <c r="P978" s="10">
        <f>'data on outstanding creditors'!$E978-'data on outstanding creditors'!$O978</f>
        <v>913.5</v>
      </c>
      <c r="Q978" s="7">
        <f>DAY('data on outstanding creditors'!$B978)</f>
        <v>22</v>
      </c>
      <c r="R978" s="7">
        <f>MONTH('data on outstanding creditors'!$B978)</f>
        <v>4</v>
      </c>
      <c r="S978" s="7">
        <f>YEAR('data on outstanding creditors'!$B978)</f>
        <v>2025</v>
      </c>
      <c r="T978" s="11" t="str">
        <f>'data on outstanding creditors'!$C978&amp;" "&amp;'data on outstanding creditors'!$D978&amp;" "&amp;TEXT('data on outstanding creditors'!$E978,"#,##0.00")</f>
        <v>บ.อินโดไชน่า เฮลท์ แคร์ SIN2504-00167 13,963.50</v>
      </c>
      <c r="U978" s="12"/>
    </row>
    <row r="979" ht="13.5" customHeight="1">
      <c r="A979" s="1"/>
      <c r="B979" s="2">
        <v>45769.0</v>
      </c>
      <c r="C979" s="9" t="s">
        <v>1391</v>
      </c>
      <c r="D979" s="1" t="s">
        <v>1499</v>
      </c>
      <c r="E979" s="4">
        <v>8600.0</v>
      </c>
      <c r="F979" s="4"/>
      <c r="G979" s="4"/>
      <c r="H979" s="4">
        <f>'data on outstanding creditors'!$E979-'data on outstanding creditors'!$F979-'data on outstanding creditors'!$G979</f>
        <v>8600</v>
      </c>
      <c r="I979" s="2"/>
      <c r="J979" s="1" t="s">
        <v>646</v>
      </c>
      <c r="K979" s="2">
        <v>45928.0</v>
      </c>
      <c r="L979" s="5"/>
      <c r="M979" s="9" t="s">
        <v>22</v>
      </c>
      <c r="N979" s="9" t="s">
        <v>23</v>
      </c>
      <c r="O979" s="10">
        <f>'data on outstanding creditors'!$E979*100/107</f>
        <v>8037.383178</v>
      </c>
      <c r="P979" s="10">
        <f>'data on outstanding creditors'!$E979-'data on outstanding creditors'!$O979</f>
        <v>562.6168224</v>
      </c>
      <c r="Q979" s="7">
        <f>DAY('data on outstanding creditors'!$B979)</f>
        <v>22</v>
      </c>
      <c r="R979" s="7">
        <f>MONTH('data on outstanding creditors'!$B979)</f>
        <v>4</v>
      </c>
      <c r="S979" s="7">
        <f>YEAR('data on outstanding creditors'!$B979)</f>
        <v>2025</v>
      </c>
      <c r="T979" s="11" t="str">
        <f>'data on outstanding creditors'!$C979&amp;" "&amp;'data on outstanding creditors'!$D979&amp;" "&amp;TEXT('data on outstanding creditors'!$E979,"#,##0.00")</f>
        <v>บ.ที.พี.ดรัก แลบบอราทอรี่ส์ VIV125040560 8,600.00</v>
      </c>
      <c r="U979" s="12"/>
    </row>
    <row r="980" ht="13.5" customHeight="1">
      <c r="A980" s="1"/>
      <c r="B980" s="2">
        <v>45770.0</v>
      </c>
      <c r="C980" s="9" t="s">
        <v>1320</v>
      </c>
      <c r="D980" s="1" t="s">
        <v>1500</v>
      </c>
      <c r="E980" s="4">
        <v>10700.0</v>
      </c>
      <c r="F980" s="4"/>
      <c r="G980" s="4"/>
      <c r="H980" s="4">
        <f>'data on outstanding creditors'!$E980-'data on outstanding creditors'!$F980-'data on outstanding creditors'!$G980</f>
        <v>10700</v>
      </c>
      <c r="I980" s="2"/>
      <c r="J980" s="1" t="s">
        <v>646</v>
      </c>
      <c r="K980" s="2">
        <v>45866.0</v>
      </c>
      <c r="L980" s="5"/>
      <c r="M980" s="9" t="s">
        <v>22</v>
      </c>
      <c r="N980" s="9" t="s">
        <v>23</v>
      </c>
      <c r="O980" s="10">
        <f>'data on outstanding creditors'!$E980*100/107</f>
        <v>10000</v>
      </c>
      <c r="P980" s="10">
        <f>'data on outstanding creditors'!$E980-'data on outstanding creditors'!$O980</f>
        <v>700</v>
      </c>
      <c r="Q980" s="7">
        <f>DAY('data on outstanding creditors'!$B980)</f>
        <v>23</v>
      </c>
      <c r="R980" s="7">
        <f>MONTH('data on outstanding creditors'!$B980)</f>
        <v>4</v>
      </c>
      <c r="S980" s="7">
        <f>YEAR('data on outstanding creditors'!$B980)</f>
        <v>2025</v>
      </c>
      <c r="T980" s="11" t="str">
        <f>'data on outstanding creditors'!$C980&amp;" "&amp;'data on outstanding creditors'!$D980&amp;" "&amp;TEXT('data on outstanding creditors'!$E980,"#,##0.00")</f>
        <v>บ.บี.เอ็ล.ฮั้ว 68012935 10,700.00</v>
      </c>
      <c r="U980" s="12"/>
    </row>
    <row r="981" ht="13.5" customHeight="1">
      <c r="A981" s="1"/>
      <c r="B981" s="2">
        <v>45770.0</v>
      </c>
      <c r="C981" s="9" t="s">
        <v>1330</v>
      </c>
      <c r="D981" s="1" t="s">
        <v>1501</v>
      </c>
      <c r="E981" s="4">
        <v>33000.0</v>
      </c>
      <c r="F981" s="4"/>
      <c r="G981" s="4"/>
      <c r="H981" s="4">
        <f>'data on outstanding creditors'!$E981-'data on outstanding creditors'!$F981-'data on outstanding creditors'!$G981</f>
        <v>33000</v>
      </c>
      <c r="I981" s="2"/>
      <c r="J981" s="1" t="s">
        <v>757</v>
      </c>
      <c r="K981" s="2">
        <v>45828.0</v>
      </c>
      <c r="L981" s="5"/>
      <c r="M981" s="9" t="s">
        <v>22</v>
      </c>
      <c r="N981" s="9" t="s">
        <v>23</v>
      </c>
      <c r="O981" s="10">
        <f>'data on outstanding creditors'!$E981*100/107</f>
        <v>30841.1215</v>
      </c>
      <c r="P981" s="10">
        <f>'data on outstanding creditors'!$E981-'data on outstanding creditors'!$O981</f>
        <v>2158.878505</v>
      </c>
      <c r="Q981" s="7">
        <f>DAY('data on outstanding creditors'!$B981)</f>
        <v>23</v>
      </c>
      <c r="R981" s="7">
        <f>MONTH('data on outstanding creditors'!$B981)</f>
        <v>4</v>
      </c>
      <c r="S981" s="7">
        <f>YEAR('data on outstanding creditors'!$B981)</f>
        <v>2025</v>
      </c>
      <c r="T981" s="11" t="str">
        <f>'data on outstanding creditors'!$C981&amp;" "&amp;'data on outstanding creditors'!$D981&amp;" "&amp;TEXT('data on outstanding creditors'!$E981,"#,##0.00")</f>
        <v>บ.ชุมชนเภสัชกรรม IV680402492 33,000.00</v>
      </c>
      <c r="U981" s="12"/>
    </row>
    <row r="982" ht="13.5" customHeight="1">
      <c r="A982" s="1"/>
      <c r="B982" s="2">
        <v>45770.0</v>
      </c>
      <c r="C982" s="9" t="s">
        <v>813</v>
      </c>
      <c r="D982" s="1" t="s">
        <v>1502</v>
      </c>
      <c r="E982" s="4">
        <v>6000.0</v>
      </c>
      <c r="F982" s="4"/>
      <c r="G982" s="4"/>
      <c r="H982" s="4">
        <f>'data on outstanding creditors'!$E982-'data on outstanding creditors'!$F982-'data on outstanding creditors'!$G982</f>
        <v>6000</v>
      </c>
      <c r="I982" s="2"/>
      <c r="J982" s="1" t="s">
        <v>646</v>
      </c>
      <c r="K982" s="2">
        <v>45906.0</v>
      </c>
      <c r="L982" s="5"/>
      <c r="M982" s="9" t="s">
        <v>22</v>
      </c>
      <c r="N982" s="9" t="s">
        <v>23</v>
      </c>
      <c r="O982" s="10">
        <f>'data on outstanding creditors'!$E982*100/107</f>
        <v>5607.476636</v>
      </c>
      <c r="P982" s="10">
        <f>'data on outstanding creditors'!$E982-'data on outstanding creditors'!$O982</f>
        <v>392.5233645</v>
      </c>
      <c r="Q982" s="7">
        <f>DAY('data on outstanding creditors'!$B982)</f>
        <v>23</v>
      </c>
      <c r="R982" s="7">
        <f>MONTH('data on outstanding creditors'!$B982)</f>
        <v>4</v>
      </c>
      <c r="S982" s="7">
        <f>YEAR('data on outstanding creditors'!$B982)</f>
        <v>2025</v>
      </c>
      <c r="T982" s="11" t="str">
        <f>'data on outstanding creditors'!$C982&amp;" "&amp;'data on outstanding creditors'!$D982&amp;" "&amp;TEXT('data on outstanding creditors'!$E982,"#,##0.00")</f>
        <v>บ.ที.แมน ฟาร์มาซูติคอล IST250060208 6,000.00</v>
      </c>
      <c r="U982" s="12"/>
    </row>
    <row r="983" ht="13.5" customHeight="1">
      <c r="A983" s="1"/>
      <c r="B983" s="2">
        <v>45770.0</v>
      </c>
      <c r="C983" s="9" t="s">
        <v>396</v>
      </c>
      <c r="D983" s="1" t="s">
        <v>1503</v>
      </c>
      <c r="E983" s="4">
        <v>9900.0</v>
      </c>
      <c r="F983" s="4"/>
      <c r="G983" s="4"/>
      <c r="H983" s="4">
        <f>'data on outstanding creditors'!$E983-'data on outstanding creditors'!$F983-'data on outstanding creditors'!$G983</f>
        <v>9900</v>
      </c>
      <c r="I983" s="2"/>
      <c r="J983" s="1" t="s">
        <v>757</v>
      </c>
      <c r="K983" s="2">
        <v>45828.0</v>
      </c>
      <c r="L983" s="5"/>
      <c r="M983" s="9" t="s">
        <v>22</v>
      </c>
      <c r="N983" s="9" t="s">
        <v>23</v>
      </c>
      <c r="O983" s="10">
        <f>'data on outstanding creditors'!$E983*100/107</f>
        <v>9252.336449</v>
      </c>
      <c r="P983" s="10">
        <f>'data on outstanding creditors'!$E983-'data on outstanding creditors'!$O983</f>
        <v>647.6635514</v>
      </c>
      <c r="Q983" s="7">
        <f>DAY('data on outstanding creditors'!$B983)</f>
        <v>23</v>
      </c>
      <c r="R983" s="7">
        <f>MONTH('data on outstanding creditors'!$B983)</f>
        <v>4</v>
      </c>
      <c r="S983" s="7">
        <f>YEAR('data on outstanding creditors'!$B983)</f>
        <v>2025</v>
      </c>
      <c r="T983" s="11" t="str">
        <f>'data on outstanding creditors'!$C983&amp;" "&amp;'data on outstanding creditors'!$D983&amp;" "&amp;TEXT('data on outstanding creditors'!$E983,"#,##0.00")</f>
        <v>บ.เยเนอรัล ฮอสปิตัล โปรดัคส์ 25IN08041326 9,900.00</v>
      </c>
      <c r="U983" s="12"/>
    </row>
    <row r="984" ht="13.5" customHeight="1">
      <c r="A984" s="1"/>
      <c r="B984" s="2">
        <v>45770.0</v>
      </c>
      <c r="C984" s="9" t="s">
        <v>813</v>
      </c>
      <c r="D984" s="1" t="s">
        <v>1504</v>
      </c>
      <c r="E984" s="4">
        <v>15700.0</v>
      </c>
      <c r="F984" s="4"/>
      <c r="G984" s="4"/>
      <c r="H984" s="4">
        <f>'data on outstanding creditors'!$E984-'data on outstanding creditors'!$F984-'data on outstanding creditors'!$G984</f>
        <v>15700</v>
      </c>
      <c r="I984" s="2"/>
      <c r="J984" s="1" t="s">
        <v>646</v>
      </c>
      <c r="K984" s="2">
        <v>45906.0</v>
      </c>
      <c r="L984" s="5"/>
      <c r="M984" s="9" t="s">
        <v>22</v>
      </c>
      <c r="N984" s="9" t="s">
        <v>23</v>
      </c>
      <c r="O984" s="10">
        <f>'data on outstanding creditors'!$E984*100/107</f>
        <v>14672.8972</v>
      </c>
      <c r="P984" s="10">
        <f>'data on outstanding creditors'!$E984-'data on outstanding creditors'!$O984</f>
        <v>1027.102804</v>
      </c>
      <c r="Q984" s="7">
        <f>DAY('data on outstanding creditors'!$B984)</f>
        <v>23</v>
      </c>
      <c r="R984" s="7">
        <f>MONTH('data on outstanding creditors'!$B984)</f>
        <v>4</v>
      </c>
      <c r="S984" s="7">
        <f>YEAR('data on outstanding creditors'!$B984)</f>
        <v>2025</v>
      </c>
      <c r="T984" s="11" t="str">
        <f>'data on outstanding creditors'!$C984&amp;" "&amp;'data on outstanding creditors'!$D984&amp;" "&amp;TEXT('data on outstanding creditors'!$E984,"#,##0.00")</f>
        <v>บ.ที.แมน ฟาร์มาซูติคอล IST250057890 15,700.00</v>
      </c>
      <c r="U984" s="12"/>
    </row>
    <row r="985" ht="13.5" customHeight="1">
      <c r="A985" s="1"/>
      <c r="B985" s="2">
        <v>45770.0</v>
      </c>
      <c r="C985" s="9" t="s">
        <v>1391</v>
      </c>
      <c r="D985" s="1" t="s">
        <v>1505</v>
      </c>
      <c r="E985" s="4">
        <v>83700.0</v>
      </c>
      <c r="F985" s="4"/>
      <c r="G985" s="4"/>
      <c r="H985" s="4">
        <f>'data on outstanding creditors'!$E985-'data on outstanding creditors'!$F985-'data on outstanding creditors'!$G985</f>
        <v>83700</v>
      </c>
      <c r="I985" s="2"/>
      <c r="J985" s="1" t="s">
        <v>646</v>
      </c>
      <c r="K985" s="2">
        <v>45928.0</v>
      </c>
      <c r="L985" s="5"/>
      <c r="M985" s="9" t="s">
        <v>22</v>
      </c>
      <c r="N985" s="9" t="s">
        <v>23</v>
      </c>
      <c r="O985" s="10">
        <f>'data on outstanding creditors'!$E985*100/107</f>
        <v>78224.29907</v>
      </c>
      <c r="P985" s="10">
        <f>'data on outstanding creditors'!$E985-'data on outstanding creditors'!$O985</f>
        <v>5475.700935</v>
      </c>
      <c r="Q985" s="7">
        <f>DAY('data on outstanding creditors'!$B985)</f>
        <v>23</v>
      </c>
      <c r="R985" s="7">
        <f>MONTH('data on outstanding creditors'!$B985)</f>
        <v>4</v>
      </c>
      <c r="S985" s="7">
        <f>YEAR('data on outstanding creditors'!$B985)</f>
        <v>2025</v>
      </c>
      <c r="T985" s="11" t="str">
        <f>'data on outstanding creditors'!$C985&amp;" "&amp;'data on outstanding creditors'!$D985&amp;" "&amp;TEXT('data on outstanding creditors'!$E985,"#,##0.00")</f>
        <v>บ.ที.พี.ดรัก แลบบอราทอรี่ส์ VIV125040951 83,700.00</v>
      </c>
      <c r="U985" s="12"/>
    </row>
    <row r="986" ht="13.5" customHeight="1">
      <c r="A986" s="1"/>
      <c r="B986" s="2">
        <v>45770.0</v>
      </c>
      <c r="C986" s="9" t="s">
        <v>1297</v>
      </c>
      <c r="D986" s="1" t="s">
        <v>1506</v>
      </c>
      <c r="E986" s="4">
        <v>5760.0</v>
      </c>
      <c r="F986" s="4"/>
      <c r="G986" s="4"/>
      <c r="H986" s="4">
        <f>'data on outstanding creditors'!$E986-'data on outstanding creditors'!$F986-'data on outstanding creditors'!$G986</f>
        <v>5760</v>
      </c>
      <c r="I986" s="2"/>
      <c r="J986" s="1" t="s">
        <v>646</v>
      </c>
      <c r="K986" s="2">
        <v>45928.0</v>
      </c>
      <c r="L986" s="5"/>
      <c r="M986" s="9" t="s">
        <v>22</v>
      </c>
      <c r="N986" s="9" t="s">
        <v>23</v>
      </c>
      <c r="O986" s="10">
        <f>'data on outstanding creditors'!$E986*100/107</f>
        <v>5383.17757</v>
      </c>
      <c r="P986" s="10">
        <f>'data on outstanding creditors'!$E986-'data on outstanding creditors'!$O986</f>
        <v>376.8224299</v>
      </c>
      <c r="Q986" s="7">
        <f>DAY('data on outstanding creditors'!$B986)</f>
        <v>23</v>
      </c>
      <c r="R986" s="7">
        <f>MONTH('data on outstanding creditors'!$B986)</f>
        <v>4</v>
      </c>
      <c r="S986" s="7">
        <f>YEAR('data on outstanding creditors'!$B986)</f>
        <v>2025</v>
      </c>
      <c r="T986" s="11" t="str">
        <f>'data on outstanding creditors'!$C986&amp;" "&amp;'data on outstanding creditors'!$D986&amp;" "&amp;TEXT('data on outstanding creditors'!$E986,"#,##0.00")</f>
        <v>บ.แอตแลนติค ฟาร์มาซูติคอล PIN2513461 5,760.00</v>
      </c>
      <c r="U986" s="12"/>
    </row>
    <row r="987" ht="13.5" customHeight="1">
      <c r="A987" s="1"/>
      <c r="B987" s="2">
        <v>45770.0</v>
      </c>
      <c r="C987" s="9" t="s">
        <v>771</v>
      </c>
      <c r="D987" s="1" t="s">
        <v>1507</v>
      </c>
      <c r="E987" s="4">
        <v>82000.0</v>
      </c>
      <c r="F987" s="4"/>
      <c r="G987" s="4"/>
      <c r="H987" s="4">
        <f>'data on outstanding creditors'!$E987-'data on outstanding creditors'!$F987-'data on outstanding creditors'!$G987</f>
        <v>82000</v>
      </c>
      <c r="I987" s="2"/>
      <c r="J987" s="1" t="s">
        <v>646</v>
      </c>
      <c r="K987" s="2">
        <v>45928.0</v>
      </c>
      <c r="L987" s="5"/>
      <c r="M987" s="9" t="s">
        <v>22</v>
      </c>
      <c r="N987" s="9" t="s">
        <v>23</v>
      </c>
      <c r="O987" s="10">
        <f>'data on outstanding creditors'!$E987*100/107</f>
        <v>76635.51402</v>
      </c>
      <c r="P987" s="10">
        <f>'data on outstanding creditors'!$E987-'data on outstanding creditors'!$O987</f>
        <v>5364.485981</v>
      </c>
      <c r="Q987" s="7">
        <f>DAY('data on outstanding creditors'!$B987)</f>
        <v>23</v>
      </c>
      <c r="R987" s="7">
        <f>MONTH('data on outstanding creditors'!$B987)</f>
        <v>4</v>
      </c>
      <c r="S987" s="7">
        <f>YEAR('data on outstanding creditors'!$B987)</f>
        <v>2025</v>
      </c>
      <c r="T987" s="11" t="str">
        <f>'data on outstanding creditors'!$C987&amp;" "&amp;'data on outstanding creditors'!$D987&amp;" "&amp;TEXT('data on outstanding creditors'!$E987,"#,##0.00")</f>
        <v>หจก.ภิญโญฟาร์มาซี IV6820306 82,000.00</v>
      </c>
      <c r="U987" s="12"/>
    </row>
    <row r="988" ht="13.5" customHeight="1">
      <c r="A988" s="1"/>
      <c r="B988" s="2">
        <v>45770.0</v>
      </c>
      <c r="C988" s="9" t="s">
        <v>1247</v>
      </c>
      <c r="D988" s="1" t="s">
        <v>1508</v>
      </c>
      <c r="E988" s="4">
        <v>41800.0</v>
      </c>
      <c r="F988" s="4"/>
      <c r="G988" s="4"/>
      <c r="H988" s="4">
        <f>'data on outstanding creditors'!$E988-'data on outstanding creditors'!$F988-'data on outstanding creditors'!$G988</f>
        <v>41800</v>
      </c>
      <c r="I988" s="2"/>
      <c r="J988" s="1" t="s">
        <v>646</v>
      </c>
      <c r="K988" s="2">
        <v>45954.0</v>
      </c>
      <c r="L988" s="5"/>
      <c r="M988" s="9" t="s">
        <v>22</v>
      </c>
      <c r="N988" s="9" t="s">
        <v>23</v>
      </c>
      <c r="O988" s="10">
        <f>'data on outstanding creditors'!$E988*100/107</f>
        <v>39065.42056</v>
      </c>
      <c r="P988" s="10">
        <f>'data on outstanding creditors'!$E988-'data on outstanding creditors'!$O988</f>
        <v>2734.579439</v>
      </c>
      <c r="Q988" s="7">
        <f>DAY('data on outstanding creditors'!$B988)</f>
        <v>23</v>
      </c>
      <c r="R988" s="7">
        <f>MONTH('data on outstanding creditors'!$B988)</f>
        <v>4</v>
      </c>
      <c r="S988" s="7">
        <f>YEAR('data on outstanding creditors'!$B988)</f>
        <v>2025</v>
      </c>
      <c r="T988" s="11" t="str">
        <f>'data on outstanding creditors'!$C988&amp;" "&amp;'data on outstanding creditors'!$D988&amp;" "&amp;TEXT('data on outstanding creditors'!$E988,"#,##0.00")</f>
        <v>บ.เอ.เอ็น.บี.ลาบอรอตอรี่ 8370851554 41,800.00</v>
      </c>
      <c r="U988" s="12"/>
    </row>
    <row r="989" ht="13.5" customHeight="1">
      <c r="A989" s="1"/>
      <c r="B989" s="2">
        <v>45770.0</v>
      </c>
      <c r="C989" s="9" t="s">
        <v>1247</v>
      </c>
      <c r="D989" s="1" t="s">
        <v>1509</v>
      </c>
      <c r="E989" s="4">
        <v>41800.0</v>
      </c>
      <c r="F989" s="4"/>
      <c r="G989" s="4"/>
      <c r="H989" s="4">
        <f>'data on outstanding creditors'!$E989-'data on outstanding creditors'!$F989-'data on outstanding creditors'!$G989</f>
        <v>41800</v>
      </c>
      <c r="I989" s="2"/>
      <c r="J989" s="1" t="s">
        <v>646</v>
      </c>
      <c r="K989" s="2">
        <v>45954.0</v>
      </c>
      <c r="L989" s="5"/>
      <c r="M989" s="9" t="s">
        <v>22</v>
      </c>
      <c r="N989" s="9" t="s">
        <v>23</v>
      </c>
      <c r="O989" s="10">
        <f>'data on outstanding creditors'!$E989*100/107</f>
        <v>39065.42056</v>
      </c>
      <c r="P989" s="10">
        <f>'data on outstanding creditors'!$E989-'data on outstanding creditors'!$O989</f>
        <v>2734.579439</v>
      </c>
      <c r="Q989" s="7">
        <f>DAY('data on outstanding creditors'!$B989)</f>
        <v>23</v>
      </c>
      <c r="R989" s="7">
        <f>MONTH('data on outstanding creditors'!$B989)</f>
        <v>4</v>
      </c>
      <c r="S989" s="7">
        <f>YEAR('data on outstanding creditors'!$B989)</f>
        <v>2025</v>
      </c>
      <c r="T989" s="11" t="str">
        <f>'data on outstanding creditors'!$C989&amp;" "&amp;'data on outstanding creditors'!$D989&amp;" "&amp;TEXT('data on outstanding creditors'!$E989,"#,##0.00")</f>
        <v>บ.เอ.เอ็น.บี.ลาบอรอตอรี่ 8370865769 41,800.00</v>
      </c>
      <c r="U989" s="12"/>
    </row>
    <row r="990" ht="13.5" customHeight="1">
      <c r="A990" s="1"/>
      <c r="B990" s="2">
        <v>45770.0</v>
      </c>
      <c r="C990" s="9" t="s">
        <v>263</v>
      </c>
      <c r="D990" s="1" t="s">
        <v>1510</v>
      </c>
      <c r="E990" s="4">
        <v>75000.0</v>
      </c>
      <c r="F990" s="4"/>
      <c r="G990" s="4"/>
      <c r="H990" s="4">
        <f>'data on outstanding creditors'!$E990-'data on outstanding creditors'!$F990-'data on outstanding creditors'!$G990</f>
        <v>75000</v>
      </c>
      <c r="I990" s="2"/>
      <c r="J990" s="1" t="s">
        <v>646</v>
      </c>
      <c r="K990" s="2">
        <v>45928.0</v>
      </c>
      <c r="L990" s="5"/>
      <c r="M990" s="9" t="s">
        <v>22</v>
      </c>
      <c r="N990" s="9" t="s">
        <v>23</v>
      </c>
      <c r="O990" s="10">
        <f>'data on outstanding creditors'!$E990*100/107</f>
        <v>70093.45794</v>
      </c>
      <c r="P990" s="10">
        <f>'data on outstanding creditors'!$E990-'data on outstanding creditors'!$O990</f>
        <v>4906.542056</v>
      </c>
      <c r="Q990" s="7">
        <f>DAY('data on outstanding creditors'!$B990)</f>
        <v>23</v>
      </c>
      <c r="R990" s="7">
        <f>MONTH('data on outstanding creditors'!$B990)</f>
        <v>4</v>
      </c>
      <c r="S990" s="7">
        <f>YEAR('data on outstanding creditors'!$B990)</f>
        <v>2025</v>
      </c>
      <c r="T990" s="11" t="str">
        <f>'data on outstanding creditors'!$C990&amp;" "&amp;'data on outstanding creditors'!$D990&amp;" "&amp;TEXT('data on outstanding creditors'!$E990,"#,##0.00")</f>
        <v>บ.เอเบิ้ล เมดิคอล M2504/0371 75,000.00</v>
      </c>
      <c r="U990" s="12"/>
    </row>
    <row r="991" ht="13.5" customHeight="1">
      <c r="A991" s="1"/>
      <c r="B991" s="2">
        <v>45770.0</v>
      </c>
      <c r="C991" s="9" t="s">
        <v>250</v>
      </c>
      <c r="D991" s="1" t="s">
        <v>1511</v>
      </c>
      <c r="E991" s="4">
        <v>3210.0</v>
      </c>
      <c r="F991" s="4"/>
      <c r="G991" s="4"/>
      <c r="H991" s="4">
        <f>'data on outstanding creditors'!$E991-'data on outstanding creditors'!$F991-'data on outstanding creditors'!$G991</f>
        <v>3210</v>
      </c>
      <c r="I991" s="2"/>
      <c r="J991" s="1" t="s">
        <v>646</v>
      </c>
      <c r="K991" s="2">
        <v>45906.0</v>
      </c>
      <c r="L991" s="5"/>
      <c r="M991" s="9" t="s">
        <v>22</v>
      </c>
      <c r="N991" s="9" t="s">
        <v>23</v>
      </c>
      <c r="O991" s="10">
        <f>'data on outstanding creditors'!$E991*100/107</f>
        <v>3000</v>
      </c>
      <c r="P991" s="10">
        <f>'data on outstanding creditors'!$E991-'data on outstanding creditors'!$O991</f>
        <v>210</v>
      </c>
      <c r="Q991" s="7">
        <f>DAY('data on outstanding creditors'!$B991)</f>
        <v>23</v>
      </c>
      <c r="R991" s="7">
        <f>MONTH('data on outstanding creditors'!$B991)</f>
        <v>4</v>
      </c>
      <c r="S991" s="7">
        <f>YEAR('data on outstanding creditors'!$B991)</f>
        <v>2025</v>
      </c>
      <c r="T991" s="11" t="str">
        <f>'data on outstanding creditors'!$C991&amp;" "&amp;'data on outstanding creditors'!$D991&amp;" "&amp;TEXT('data on outstanding creditors'!$E991,"#,##0.00")</f>
        <v>บ.เกร๊ทเตอร์มายบาซิน #01GM-1-2-2-2025006523 3,210.00</v>
      </c>
      <c r="U991" s="12"/>
    </row>
    <row r="992" ht="13.5" customHeight="1">
      <c r="A992" s="1"/>
      <c r="B992" s="2">
        <v>45771.0</v>
      </c>
      <c r="C992" s="9" t="s">
        <v>1349</v>
      </c>
      <c r="D992" s="1" t="s">
        <v>1512</v>
      </c>
      <c r="E992" s="4">
        <v>79500.0</v>
      </c>
      <c r="F992" s="4"/>
      <c r="G992" s="4"/>
      <c r="H992" s="4">
        <f>'data on outstanding creditors'!$E992-'data on outstanding creditors'!$F992-'data on outstanding creditors'!$G992</f>
        <v>79500</v>
      </c>
      <c r="I992" s="2"/>
      <c r="J992" s="1" t="s">
        <v>646</v>
      </c>
      <c r="K992" s="2">
        <v>45843.0</v>
      </c>
      <c r="L992" s="5"/>
      <c r="M992" s="9" t="s">
        <v>22</v>
      </c>
      <c r="N992" s="9" t="s">
        <v>23</v>
      </c>
      <c r="O992" s="10">
        <f>'data on outstanding creditors'!$E992*100/107</f>
        <v>74299.06542</v>
      </c>
      <c r="P992" s="10">
        <f>'data on outstanding creditors'!$E992-'data on outstanding creditors'!$O992</f>
        <v>5200.934579</v>
      </c>
      <c r="Q992" s="7">
        <f>DAY('data on outstanding creditors'!$B992)</f>
        <v>24</v>
      </c>
      <c r="R992" s="7">
        <f>MONTH('data on outstanding creditors'!$B992)</f>
        <v>4</v>
      </c>
      <c r="S992" s="7">
        <f>YEAR('data on outstanding creditors'!$B992)</f>
        <v>2025</v>
      </c>
      <c r="T992" s="11" t="str">
        <f>'data on outstanding creditors'!$C992&amp;" "&amp;'data on outstanding creditors'!$D992&amp;" "&amp;TEXT('data on outstanding creditors'!$E992,"#,##0.00")</f>
        <v>บ.ฟาร์มาดิกา DIS250421-007 79,500.00</v>
      </c>
      <c r="U992" s="12"/>
    </row>
    <row r="993" ht="13.5" customHeight="1">
      <c r="A993" s="1"/>
      <c r="B993" s="2">
        <v>45771.0</v>
      </c>
      <c r="C993" s="9" t="s">
        <v>763</v>
      </c>
      <c r="D993" s="1" t="s">
        <v>1513</v>
      </c>
      <c r="E993" s="4">
        <v>83460.0</v>
      </c>
      <c r="F993" s="4"/>
      <c r="G993" s="4"/>
      <c r="H993" s="4">
        <f>'data on outstanding creditors'!$E993-'data on outstanding creditors'!$F993-'data on outstanding creditors'!$G993</f>
        <v>83460</v>
      </c>
      <c r="I993" s="2"/>
      <c r="J993" s="1" t="s">
        <v>757</v>
      </c>
      <c r="K993" s="2">
        <v>45828.0</v>
      </c>
      <c r="L993" s="5"/>
      <c r="M993" s="9" t="s">
        <v>22</v>
      </c>
      <c r="N993" s="9" t="s">
        <v>23</v>
      </c>
      <c r="O993" s="10">
        <f>'data on outstanding creditors'!$E993*100/107</f>
        <v>78000</v>
      </c>
      <c r="P993" s="10">
        <f>'data on outstanding creditors'!$E993-'data on outstanding creditors'!$O993</f>
        <v>5460</v>
      </c>
      <c r="Q993" s="7">
        <f>DAY('data on outstanding creditors'!$B993)</f>
        <v>24</v>
      </c>
      <c r="R993" s="7">
        <f>MONTH('data on outstanding creditors'!$B993)</f>
        <v>4</v>
      </c>
      <c r="S993" s="7">
        <f>YEAR('data on outstanding creditors'!$B993)</f>
        <v>2025</v>
      </c>
      <c r="T993" s="11" t="str">
        <f>'data on outstanding creditors'!$C993&amp;" "&amp;'data on outstanding creditors'!$D993&amp;" "&amp;TEXT('data on outstanding creditors'!$E993,"#,##0.00")</f>
        <v>บ.อัลลายแอนซ์ ฟาร์มา B56804064 83,460.00</v>
      </c>
      <c r="U993" s="12"/>
    </row>
    <row r="994" ht="13.5" customHeight="1">
      <c r="A994" s="1"/>
      <c r="B994" s="2">
        <v>45771.0</v>
      </c>
      <c r="C994" s="9" t="s">
        <v>780</v>
      </c>
      <c r="D994" s="1" t="s">
        <v>1514</v>
      </c>
      <c r="E994" s="4">
        <v>109140.0</v>
      </c>
      <c r="F994" s="4"/>
      <c r="G994" s="4"/>
      <c r="H994" s="4">
        <f>'data on outstanding creditors'!$E994-'data on outstanding creditors'!$F994-'data on outstanding creditors'!$G994</f>
        <v>109140</v>
      </c>
      <c r="I994" s="2"/>
      <c r="J994" s="1" t="s">
        <v>646</v>
      </c>
      <c r="K994" s="2">
        <v>45855.0</v>
      </c>
      <c r="L994" s="5"/>
      <c r="M994" s="9" t="s">
        <v>22</v>
      </c>
      <c r="N994" s="9" t="s">
        <v>23</v>
      </c>
      <c r="O994" s="10">
        <f>'data on outstanding creditors'!$E994*100/107</f>
        <v>102000</v>
      </c>
      <c r="P994" s="10">
        <f>'data on outstanding creditors'!$E994-'data on outstanding creditors'!$O994</f>
        <v>7140</v>
      </c>
      <c r="Q994" s="7">
        <f>DAY('data on outstanding creditors'!$B994)</f>
        <v>24</v>
      </c>
      <c r="R994" s="7">
        <f>MONTH('data on outstanding creditors'!$B994)</f>
        <v>4</v>
      </c>
      <c r="S994" s="7">
        <f>YEAR('data on outstanding creditors'!$B994)</f>
        <v>2025</v>
      </c>
      <c r="T994" s="11" t="str">
        <f>'data on outstanding creditors'!$C994&amp;" "&amp;'data on outstanding creditors'!$D994&amp;" "&amp;TEXT('data on outstanding creditors'!$E994,"#,##0.00")</f>
        <v>บ.แคสป้า ฟาร์มาซูติคอล(ประเทศไทย) C68040324 109,140.00</v>
      </c>
      <c r="U994" s="12"/>
    </row>
    <row r="995" ht="13.5" customHeight="1">
      <c r="A995" s="1"/>
      <c r="B995" s="2">
        <v>45771.0</v>
      </c>
      <c r="C995" s="9" t="s">
        <v>965</v>
      </c>
      <c r="D995" s="1" t="s">
        <v>1515</v>
      </c>
      <c r="E995" s="4">
        <v>39998.32</v>
      </c>
      <c r="F995" s="4"/>
      <c r="G995" s="4"/>
      <c r="H995" s="4">
        <f>'data on outstanding creditors'!$E995-'data on outstanding creditors'!$F995-'data on outstanding creditors'!$G995</f>
        <v>39998.32</v>
      </c>
      <c r="I995" s="2"/>
      <c r="J995" s="1" t="s">
        <v>646</v>
      </c>
      <c r="K995" s="2">
        <v>45881.0</v>
      </c>
      <c r="L995" s="5"/>
      <c r="M995" s="9" t="s">
        <v>22</v>
      </c>
      <c r="N995" s="9" t="s">
        <v>23</v>
      </c>
      <c r="O995" s="10">
        <f>'data on outstanding creditors'!$E995*100/107</f>
        <v>37381.60748</v>
      </c>
      <c r="P995" s="10">
        <f>'data on outstanding creditors'!$E995-'data on outstanding creditors'!$O995</f>
        <v>2616.712523</v>
      </c>
      <c r="Q995" s="7">
        <f>DAY('data on outstanding creditors'!$B995)</f>
        <v>24</v>
      </c>
      <c r="R995" s="7">
        <f>MONTH('data on outstanding creditors'!$B995)</f>
        <v>4</v>
      </c>
      <c r="S995" s="7">
        <f>YEAR('data on outstanding creditors'!$B995)</f>
        <v>2025</v>
      </c>
      <c r="T995" s="11" t="str">
        <f>'data on outstanding creditors'!$C995&amp;" "&amp;'data on outstanding creditors'!$D995&amp;" "&amp;TEXT('data on outstanding creditors'!$E995,"#,##0.00")</f>
        <v>บ.แปซิฟิค เฮลธ์แคร์(ไทยแลนด์) 68020811 39,998.32</v>
      </c>
      <c r="U995" s="12"/>
    </row>
    <row r="996" ht="13.5" customHeight="1">
      <c r="A996" s="1"/>
      <c r="B996" s="2">
        <v>45772.0</v>
      </c>
      <c r="C996" s="9" t="s">
        <v>1243</v>
      </c>
      <c r="D996" s="1" t="s">
        <v>1516</v>
      </c>
      <c r="E996" s="4">
        <v>25000.0</v>
      </c>
      <c r="F996" s="4"/>
      <c r="G996" s="4"/>
      <c r="H996" s="4">
        <f>'data on outstanding creditors'!$E996-'data on outstanding creditors'!$F996-'data on outstanding creditors'!$G996</f>
        <v>25000</v>
      </c>
      <c r="I996" s="2"/>
      <c r="J996" s="1" t="s">
        <v>757</v>
      </c>
      <c r="K996" s="2">
        <v>45829.0</v>
      </c>
      <c r="L996" s="5"/>
      <c r="M996" s="9" t="s">
        <v>22</v>
      </c>
      <c r="N996" s="9" t="s">
        <v>23</v>
      </c>
      <c r="O996" s="10">
        <f>'data on outstanding creditors'!$E996*100/107</f>
        <v>23364.48598</v>
      </c>
      <c r="P996" s="10">
        <f>'data on outstanding creditors'!$E996-'data on outstanding creditors'!$O996</f>
        <v>1635.514019</v>
      </c>
      <c r="Q996" s="7">
        <f>DAY('data on outstanding creditors'!$B996)</f>
        <v>25</v>
      </c>
      <c r="R996" s="7">
        <f>MONTH('data on outstanding creditors'!$B996)</f>
        <v>4</v>
      </c>
      <c r="S996" s="7">
        <f>YEAR('data on outstanding creditors'!$B996)</f>
        <v>2025</v>
      </c>
      <c r="T996" s="11" t="str">
        <f>'data on outstanding creditors'!$C996&amp;" "&amp;'data on outstanding creditors'!$D996&amp;" "&amp;TEXT('data on outstanding creditors'!$E996,"#,##0.00")</f>
        <v>บ.วี.แอนด์.วี.กรุงเทพ 8103264590 25,000.00</v>
      </c>
      <c r="U996" s="12"/>
    </row>
    <row r="997" ht="13.5" customHeight="1">
      <c r="A997" s="1"/>
      <c r="B997" s="2">
        <v>45772.0</v>
      </c>
      <c r="C997" s="9" t="s">
        <v>1243</v>
      </c>
      <c r="D997" s="1" t="s">
        <v>1517</v>
      </c>
      <c r="E997" s="4">
        <v>25000.0</v>
      </c>
      <c r="F997" s="4"/>
      <c r="G997" s="4"/>
      <c r="H997" s="4">
        <f>'data on outstanding creditors'!$E997-'data on outstanding creditors'!$F997-'data on outstanding creditors'!$G997</f>
        <v>25000</v>
      </c>
      <c r="I997" s="2"/>
      <c r="J997" s="1" t="s">
        <v>757</v>
      </c>
      <c r="K997" s="2">
        <v>45829.0</v>
      </c>
      <c r="L997" s="5"/>
      <c r="M997" s="9" t="s">
        <v>22</v>
      </c>
      <c r="N997" s="9" t="s">
        <v>23</v>
      </c>
      <c r="O997" s="10">
        <f>'data on outstanding creditors'!$E997*100/107</f>
        <v>23364.48598</v>
      </c>
      <c r="P997" s="10">
        <f>'data on outstanding creditors'!$E997-'data on outstanding creditors'!$O997</f>
        <v>1635.514019</v>
      </c>
      <c r="Q997" s="7">
        <f>DAY('data on outstanding creditors'!$B997)</f>
        <v>25</v>
      </c>
      <c r="R997" s="7">
        <f>MONTH('data on outstanding creditors'!$B997)</f>
        <v>4</v>
      </c>
      <c r="S997" s="7">
        <f>YEAR('data on outstanding creditors'!$B997)</f>
        <v>2025</v>
      </c>
      <c r="T997" s="11" t="str">
        <f>'data on outstanding creditors'!$C997&amp;" "&amp;'data on outstanding creditors'!$D997&amp;" "&amp;TEXT('data on outstanding creditors'!$E997,"#,##0.00")</f>
        <v>บ.วี.แอนด์.วี.กรุงเทพ 8103288954 25,000.00</v>
      </c>
      <c r="U997" s="12"/>
    </row>
    <row r="998" ht="13.5" customHeight="1">
      <c r="A998" s="1"/>
      <c r="B998" s="2">
        <v>45772.0</v>
      </c>
      <c r="C998" s="9" t="s">
        <v>1297</v>
      </c>
      <c r="D998" s="1" t="s">
        <v>1518</v>
      </c>
      <c r="E998" s="4">
        <v>36000.0</v>
      </c>
      <c r="F998" s="4"/>
      <c r="G998" s="4"/>
      <c r="H998" s="4">
        <f>'data on outstanding creditors'!$E998-'data on outstanding creditors'!$F998-'data on outstanding creditors'!$G998</f>
        <v>36000</v>
      </c>
      <c r="I998" s="2"/>
      <c r="J998" s="1" t="s">
        <v>646</v>
      </c>
      <c r="K998" s="2">
        <v>45928.0</v>
      </c>
      <c r="L998" s="5"/>
      <c r="M998" s="9" t="s">
        <v>22</v>
      </c>
      <c r="N998" s="9" t="s">
        <v>23</v>
      </c>
      <c r="O998" s="10">
        <f>'data on outstanding creditors'!$E998*100/107</f>
        <v>33644.85981</v>
      </c>
      <c r="P998" s="10">
        <f>'data on outstanding creditors'!$E998-'data on outstanding creditors'!$O998</f>
        <v>2355.140187</v>
      </c>
      <c r="Q998" s="7">
        <f>DAY('data on outstanding creditors'!$B998)</f>
        <v>25</v>
      </c>
      <c r="R998" s="7">
        <f>MONTH('data on outstanding creditors'!$B998)</f>
        <v>4</v>
      </c>
      <c r="S998" s="7">
        <f>YEAR('data on outstanding creditors'!$B998)</f>
        <v>2025</v>
      </c>
      <c r="T998" s="11" t="str">
        <f>'data on outstanding creditors'!$C998&amp;" "&amp;'data on outstanding creditors'!$D998&amp;" "&amp;TEXT('data on outstanding creditors'!$E998,"#,##0.00")</f>
        <v>บ.แอตแลนติค ฟาร์มาซูติคอล PIN2513911 36,000.00</v>
      </c>
      <c r="U998" s="12"/>
    </row>
    <row r="999" ht="13.5" customHeight="1">
      <c r="A999" s="1"/>
      <c r="B999" s="2">
        <v>45772.0</v>
      </c>
      <c r="C999" s="9" t="s">
        <v>1383</v>
      </c>
      <c r="D999" s="1" t="s">
        <v>1519</v>
      </c>
      <c r="E999" s="4">
        <v>9800.0</v>
      </c>
      <c r="F999" s="4"/>
      <c r="G999" s="4"/>
      <c r="H999" s="4">
        <f>'data on outstanding creditors'!$E999-'data on outstanding creditors'!$F999-'data on outstanding creditors'!$G999</f>
        <v>9800</v>
      </c>
      <c r="I999" s="2"/>
      <c r="J999" s="1" t="s">
        <v>757</v>
      </c>
      <c r="K999" s="2">
        <v>45829.0</v>
      </c>
      <c r="L999" s="5"/>
      <c r="M999" s="9" t="s">
        <v>22</v>
      </c>
      <c r="N999" s="9" t="s">
        <v>23</v>
      </c>
      <c r="O999" s="10">
        <f>'data on outstanding creditors'!$E999*100/107</f>
        <v>9158.878505</v>
      </c>
      <c r="P999" s="10">
        <f>'data on outstanding creditors'!$E999-'data on outstanding creditors'!$O999</f>
        <v>641.1214953</v>
      </c>
      <c r="Q999" s="7">
        <f>DAY('data on outstanding creditors'!$B999)</f>
        <v>25</v>
      </c>
      <c r="R999" s="7">
        <f>MONTH('data on outstanding creditors'!$B999)</f>
        <v>4</v>
      </c>
      <c r="S999" s="7">
        <f>YEAR('data on outstanding creditors'!$B999)</f>
        <v>2025</v>
      </c>
      <c r="T999" s="11" t="str">
        <f>'data on outstanding creditors'!$C999&amp;" "&amp;'data on outstanding creditors'!$D999&amp;" "&amp;TEXT('data on outstanding creditors'!$E999,"#,##0.00")</f>
        <v>บ.ยูเมด้า 317722 9,800.00</v>
      </c>
      <c r="U999" s="12"/>
    </row>
    <row r="1000" ht="13.5" customHeight="1">
      <c r="A1000" s="1"/>
      <c r="B1000" s="2">
        <v>45772.0</v>
      </c>
      <c r="C1000" s="9" t="s">
        <v>1414</v>
      </c>
      <c r="D1000" s="1" t="s">
        <v>1520</v>
      </c>
      <c r="E1000" s="4">
        <v>3000.0</v>
      </c>
      <c r="F1000" s="4"/>
      <c r="G1000" s="4"/>
      <c r="H1000" s="4">
        <f>'data on outstanding creditors'!$E1000-'data on outstanding creditors'!$F1000-'data on outstanding creditors'!$G1000</f>
        <v>3000</v>
      </c>
      <c r="I1000" s="2"/>
      <c r="J1000" s="1" t="s">
        <v>646</v>
      </c>
      <c r="K1000" s="2">
        <v>45855.0</v>
      </c>
      <c r="L1000" s="5"/>
      <c r="M1000" s="9" t="s">
        <v>22</v>
      </c>
      <c r="N1000" s="9" t="s">
        <v>23</v>
      </c>
      <c r="O1000" s="10">
        <f>'data on outstanding creditors'!$E1000*100/107</f>
        <v>2803.738318</v>
      </c>
      <c r="P1000" s="10">
        <f>'data on outstanding creditors'!$E1000-'data on outstanding creditors'!$O1000</f>
        <v>196.2616822</v>
      </c>
      <c r="Q1000" s="7">
        <f>DAY('data on outstanding creditors'!$B1000)</f>
        <v>25</v>
      </c>
      <c r="R1000" s="7">
        <f>MONTH('data on outstanding creditors'!$B1000)</f>
        <v>4</v>
      </c>
      <c r="S1000" s="7">
        <f>YEAR('data on outstanding creditors'!$B1000)</f>
        <v>2025</v>
      </c>
      <c r="T1000" s="11" t="str">
        <f>'data on outstanding creditors'!$C1000&amp;" "&amp;'data on outstanding creditors'!$D1000&amp;" "&amp;TEXT('data on outstanding creditors'!$E1000,"#,##0.00")</f>
        <v>บ.ฟาร์มีน่า 68383328 3,000.00</v>
      </c>
      <c r="U1000" s="12"/>
    </row>
    <row r="1001" ht="13.5" customHeight="1">
      <c r="A1001" s="1"/>
      <c r="B1001" s="2">
        <v>45776.0</v>
      </c>
      <c r="C1001" s="9" t="s">
        <v>1521</v>
      </c>
      <c r="D1001" s="1" t="s">
        <v>1522</v>
      </c>
      <c r="E1001" s="4">
        <v>21000.0</v>
      </c>
      <c r="F1001" s="4"/>
      <c r="G1001" s="4"/>
      <c r="H1001" s="4">
        <f>'data on outstanding creditors'!$E1001-'data on outstanding creditors'!$F1001-'data on outstanding creditors'!$G1001</f>
        <v>21000</v>
      </c>
      <c r="I1001" s="2"/>
      <c r="J1001" s="1" t="s">
        <v>646</v>
      </c>
      <c r="K1001" s="2">
        <v>45854.0</v>
      </c>
      <c r="L1001" s="5"/>
      <c r="M1001" s="9" t="s">
        <v>22</v>
      </c>
      <c r="N1001" s="9" t="s">
        <v>23</v>
      </c>
      <c r="O1001" s="10">
        <f>'data on outstanding creditors'!$E1001*100/107</f>
        <v>19626.16822</v>
      </c>
      <c r="P1001" s="10">
        <f>'data on outstanding creditors'!$E1001-'data on outstanding creditors'!$O1001</f>
        <v>1373.831776</v>
      </c>
      <c r="Q1001" s="7">
        <f>DAY('data on outstanding creditors'!$B1001)</f>
        <v>29</v>
      </c>
      <c r="R1001" s="7">
        <f>MONTH('data on outstanding creditors'!$B1001)</f>
        <v>4</v>
      </c>
      <c r="S1001" s="7">
        <f>YEAR('data on outstanding creditors'!$B1001)</f>
        <v>2025</v>
      </c>
      <c r="T1001" s="11" t="str">
        <f>'data on outstanding creditors'!$C1001&amp;" "&amp;'data on outstanding creditors'!$D1001&amp;" "&amp;TEXT('data on outstanding creditors'!$E1001,"#,##0.00")</f>
        <v>มูลนิธิพัฒนาการเด็กราขนครินทร์ ORV68040126 21,000.00</v>
      </c>
      <c r="U1001" s="12"/>
    </row>
    <row r="1002" ht="13.5" customHeight="1">
      <c r="A1002" s="1"/>
      <c r="B1002" s="2">
        <v>45777.0</v>
      </c>
      <c r="C1002" s="9" t="s">
        <v>1265</v>
      </c>
      <c r="D1002" s="1" t="s">
        <v>1523</v>
      </c>
      <c r="E1002" s="4">
        <v>4000.0</v>
      </c>
      <c r="F1002" s="4"/>
      <c r="G1002" s="4"/>
      <c r="H1002" s="4">
        <f>'data on outstanding creditors'!$E1002-'data on outstanding creditors'!$F1002-'data on outstanding creditors'!$G1002</f>
        <v>4000</v>
      </c>
      <c r="I1002" s="2"/>
      <c r="J1002" s="1" t="s">
        <v>646</v>
      </c>
      <c r="K1002" s="2">
        <v>45944.0</v>
      </c>
      <c r="L1002" s="5"/>
      <c r="M1002" s="9" t="s">
        <v>22</v>
      </c>
      <c r="N1002" s="9" t="s">
        <v>23</v>
      </c>
      <c r="O1002" s="10">
        <f>'data on outstanding creditors'!$E1002*100/107</f>
        <v>3738.317757</v>
      </c>
      <c r="P1002" s="10">
        <f>'data on outstanding creditors'!$E1002-'data on outstanding creditors'!$O1002</f>
        <v>261.682243</v>
      </c>
      <c r="Q1002" s="7">
        <f>DAY('data on outstanding creditors'!$B1002)</f>
        <v>30</v>
      </c>
      <c r="R1002" s="7">
        <f>MONTH('data on outstanding creditors'!$B1002)</f>
        <v>4</v>
      </c>
      <c r="S1002" s="7">
        <f>YEAR('data on outstanding creditors'!$B1002)</f>
        <v>2025</v>
      </c>
      <c r="T1002" s="11" t="str">
        <f>'data on outstanding creditors'!$C1002&amp;" "&amp;'data on outstanding creditors'!$D1002&amp;" "&amp;TEXT('data on outstanding creditors'!$E1002,"#,##0.00")</f>
        <v>บ.แอล.บี.เอส.แลบบอเรตอรี่ 868607 4,000.00</v>
      </c>
      <c r="U1002" s="12"/>
    </row>
    <row r="1003" ht="13.5" customHeight="1">
      <c r="A1003" s="1"/>
      <c r="B1003" s="2">
        <v>45777.0</v>
      </c>
      <c r="C1003" s="9" t="s">
        <v>771</v>
      </c>
      <c r="D1003" s="1" t="s">
        <v>1524</v>
      </c>
      <c r="E1003" s="4">
        <v>5400.0</v>
      </c>
      <c r="F1003" s="4"/>
      <c r="G1003" s="4"/>
      <c r="H1003" s="4">
        <f>'data on outstanding creditors'!$E1003-'data on outstanding creditors'!$F1003-'data on outstanding creditors'!$G1003</f>
        <v>5400</v>
      </c>
      <c r="I1003" s="2"/>
      <c r="J1003" s="1" t="s">
        <v>646</v>
      </c>
      <c r="K1003" s="2">
        <v>45928.0</v>
      </c>
      <c r="L1003" s="5"/>
      <c r="M1003" s="9" t="s">
        <v>22</v>
      </c>
      <c r="N1003" s="9" t="s">
        <v>23</v>
      </c>
      <c r="O1003" s="10">
        <f>'data on outstanding creditors'!$E1003*100/107</f>
        <v>5046.728972</v>
      </c>
      <c r="P1003" s="10">
        <f>'data on outstanding creditors'!$E1003-'data on outstanding creditors'!$O1003</f>
        <v>353.271028</v>
      </c>
      <c r="Q1003" s="7">
        <f>DAY('data on outstanding creditors'!$B1003)</f>
        <v>30</v>
      </c>
      <c r="R1003" s="7">
        <f>MONTH('data on outstanding creditors'!$B1003)</f>
        <v>4</v>
      </c>
      <c r="S1003" s="7">
        <f>YEAR('data on outstanding creditors'!$B1003)</f>
        <v>2025</v>
      </c>
      <c r="T1003" s="11" t="str">
        <f>'data on outstanding creditors'!$C1003&amp;" "&amp;'data on outstanding creditors'!$D1003&amp;" "&amp;TEXT('data on outstanding creditors'!$E1003,"#,##0.00")</f>
        <v>หจก.ภิญโญฟาร์มาซี IV6821167 5,400.00</v>
      </c>
      <c r="U1003" s="12"/>
    </row>
    <row r="1004" ht="13.5" customHeight="1">
      <c r="A1004" s="1"/>
      <c r="B1004" s="2">
        <v>45777.0</v>
      </c>
      <c r="C1004" s="9" t="s">
        <v>1391</v>
      </c>
      <c r="D1004" s="1" t="s">
        <v>1525</v>
      </c>
      <c r="E1004" s="4">
        <v>5750.0</v>
      </c>
      <c r="F1004" s="4"/>
      <c r="G1004" s="4"/>
      <c r="H1004" s="4">
        <f>'data on outstanding creditors'!$E1004-'data on outstanding creditors'!$F1004-'data on outstanding creditors'!$G1004</f>
        <v>5750</v>
      </c>
      <c r="I1004" s="2"/>
      <c r="J1004" s="1" t="s">
        <v>646</v>
      </c>
      <c r="K1004" s="2">
        <v>45928.0</v>
      </c>
      <c r="L1004" s="5"/>
      <c r="M1004" s="9" t="s">
        <v>22</v>
      </c>
      <c r="N1004" s="9" t="s">
        <v>23</v>
      </c>
      <c r="O1004" s="10">
        <f>'data on outstanding creditors'!$E1004*100/107</f>
        <v>5373.831776</v>
      </c>
      <c r="P1004" s="10">
        <f>'data on outstanding creditors'!$E1004-'data on outstanding creditors'!$O1004</f>
        <v>376.1682243</v>
      </c>
      <c r="Q1004" s="7">
        <f>DAY('data on outstanding creditors'!$B1004)</f>
        <v>30</v>
      </c>
      <c r="R1004" s="7">
        <f>MONTH('data on outstanding creditors'!$B1004)</f>
        <v>4</v>
      </c>
      <c r="S1004" s="7">
        <f>YEAR('data on outstanding creditors'!$B1004)</f>
        <v>2025</v>
      </c>
      <c r="T1004" s="11" t="str">
        <f>'data on outstanding creditors'!$C1004&amp;" "&amp;'data on outstanding creditors'!$D1004&amp;" "&amp;TEXT('data on outstanding creditors'!$E1004,"#,##0.00")</f>
        <v>บ.ที.พี.ดรัก แลบบอราทอรี่ส์ VIV125041860 5,750.00</v>
      </c>
      <c r="U1004" s="12"/>
    </row>
    <row r="1005" ht="13.5" customHeight="1">
      <c r="A1005" s="1"/>
      <c r="B1005" s="2">
        <v>45777.0</v>
      </c>
      <c r="C1005" s="9" t="s">
        <v>1314</v>
      </c>
      <c r="D1005" s="1" t="s">
        <v>1526</v>
      </c>
      <c r="E1005" s="4">
        <v>48000.0</v>
      </c>
      <c r="F1005" s="4"/>
      <c r="G1005" s="4"/>
      <c r="H1005" s="4">
        <f>'data on outstanding creditors'!$E1005-'data on outstanding creditors'!$F1005-'data on outstanding creditors'!$G1005</f>
        <v>48000</v>
      </c>
      <c r="I1005" s="2"/>
      <c r="J1005" s="1" t="s">
        <v>646</v>
      </c>
      <c r="K1005" s="2">
        <v>45877.0</v>
      </c>
      <c r="L1005" s="5"/>
      <c r="M1005" s="9" t="s">
        <v>22</v>
      </c>
      <c r="N1005" s="9" t="s">
        <v>23</v>
      </c>
      <c r="O1005" s="10">
        <f>'data on outstanding creditors'!$E1005*100/107</f>
        <v>44859.81308</v>
      </c>
      <c r="P1005" s="10">
        <f>'data on outstanding creditors'!$E1005-'data on outstanding creditors'!$O1005</f>
        <v>3140.186916</v>
      </c>
      <c r="Q1005" s="7">
        <f>DAY('data on outstanding creditors'!$B1005)</f>
        <v>30</v>
      </c>
      <c r="R1005" s="7">
        <f>MONTH('data on outstanding creditors'!$B1005)</f>
        <v>4</v>
      </c>
      <c r="S1005" s="7">
        <f>YEAR('data on outstanding creditors'!$B1005)</f>
        <v>2025</v>
      </c>
      <c r="T1005" s="11" t="str">
        <f>'data on outstanding creditors'!$C1005&amp;" "&amp;'data on outstanding creditors'!$D1005&amp;" "&amp;TEXT('data on outstanding creditors'!$E1005,"#,##0.00")</f>
        <v>บ.บูรพา ฟาร์มา DSP6800960 48,000.00</v>
      </c>
      <c r="U1005" s="12"/>
    </row>
    <row r="1006" ht="13.5" customHeight="1">
      <c r="A1006" s="1"/>
      <c r="B1006" s="2">
        <v>45777.0</v>
      </c>
      <c r="C1006" s="9" t="s">
        <v>1303</v>
      </c>
      <c r="D1006" s="1" t="s">
        <v>1527</v>
      </c>
      <c r="E1006" s="4">
        <v>69122.0</v>
      </c>
      <c r="F1006" s="4"/>
      <c r="G1006" s="4"/>
      <c r="H1006" s="4">
        <f>'data on outstanding creditors'!$E1006-'data on outstanding creditors'!$F1006-'data on outstanding creditors'!$G1006</f>
        <v>69122</v>
      </c>
      <c r="I1006" s="2"/>
      <c r="J1006" s="1" t="s">
        <v>646</v>
      </c>
      <c r="K1006" s="2">
        <v>45866.0</v>
      </c>
      <c r="L1006" s="5"/>
      <c r="M1006" s="9" t="s">
        <v>22</v>
      </c>
      <c r="N1006" s="9" t="s">
        <v>23</v>
      </c>
      <c r="O1006" s="10">
        <f>'data on outstanding creditors'!$E1006*100/107</f>
        <v>64600</v>
      </c>
      <c r="P1006" s="10">
        <f>'data on outstanding creditors'!$E1006-'data on outstanding creditors'!$O1006</f>
        <v>4522</v>
      </c>
      <c r="Q1006" s="7">
        <f>DAY('data on outstanding creditors'!$B1006)</f>
        <v>30</v>
      </c>
      <c r="R1006" s="7">
        <f>MONTH('data on outstanding creditors'!$B1006)</f>
        <v>4</v>
      </c>
      <c r="S1006" s="7">
        <f>YEAR('data on outstanding creditors'!$B1006)</f>
        <v>2025</v>
      </c>
      <c r="T1006" s="11" t="str">
        <f>'data on outstanding creditors'!$C1006&amp;" "&amp;'data on outstanding creditors'!$D1006&amp;" "&amp;TEXT('data on outstanding creditors'!$E1006,"#,##0.00")</f>
        <v>บ.บี.เอ็ล.เอช.เทร็ดดิ้ง 1068010694 69,122.00</v>
      </c>
      <c r="U1006" s="12"/>
    </row>
    <row r="1007" ht="13.5" customHeight="1">
      <c r="A1007" s="1"/>
      <c r="B1007" s="2">
        <v>45777.0</v>
      </c>
      <c r="C1007" s="9" t="s">
        <v>1432</v>
      </c>
      <c r="D1007" s="1" t="s">
        <v>1528</v>
      </c>
      <c r="E1007" s="4">
        <v>7500.0</v>
      </c>
      <c r="F1007" s="4"/>
      <c r="G1007" s="4"/>
      <c r="H1007" s="4">
        <f>'data on outstanding creditors'!$E1007-'data on outstanding creditors'!$F1007-'data on outstanding creditors'!$G1007</f>
        <v>7500</v>
      </c>
      <c r="I1007" s="2"/>
      <c r="J1007" s="1" t="s">
        <v>646</v>
      </c>
      <c r="K1007" s="2">
        <v>45877.0</v>
      </c>
      <c r="L1007" s="5"/>
      <c r="M1007" s="9" t="s">
        <v>22</v>
      </c>
      <c r="N1007" s="9" t="s">
        <v>23</v>
      </c>
      <c r="O1007" s="10">
        <f>'data on outstanding creditors'!$E1007*100/107</f>
        <v>7009.345794</v>
      </c>
      <c r="P1007" s="10">
        <f>'data on outstanding creditors'!$E1007-'data on outstanding creditors'!$O1007</f>
        <v>490.6542056</v>
      </c>
      <c r="Q1007" s="7">
        <f>DAY('data on outstanding creditors'!$B1007)</f>
        <v>30</v>
      </c>
      <c r="R1007" s="7">
        <f>MONTH('data on outstanding creditors'!$B1007)</f>
        <v>4</v>
      </c>
      <c r="S1007" s="7">
        <f>YEAR('data on outstanding creditors'!$B1007)</f>
        <v>2025</v>
      </c>
      <c r="T1007" s="11" t="str">
        <f>'data on outstanding creditors'!$C1007&amp;" "&amp;'data on outstanding creditors'!$D1007&amp;" "&amp;TEXT('data on outstanding creditors'!$E1007,"#,##0.00")</f>
        <v>บ.ยูโทเปี้ยน PB6804362 7,500.00</v>
      </c>
      <c r="U1007" s="12"/>
    </row>
    <row r="1008" ht="13.5" customHeight="1">
      <c r="A1008" s="1"/>
      <c r="B1008" s="2">
        <v>45777.0</v>
      </c>
      <c r="C1008" s="9" t="s">
        <v>263</v>
      </c>
      <c r="D1008" s="1" t="s">
        <v>1529</v>
      </c>
      <c r="E1008" s="4">
        <v>7740.0</v>
      </c>
      <c r="F1008" s="4"/>
      <c r="G1008" s="4"/>
      <c r="H1008" s="4">
        <f>'data on outstanding creditors'!$E1008-'data on outstanding creditors'!$F1008-'data on outstanding creditors'!$G1008</f>
        <v>7740</v>
      </c>
      <c r="I1008" s="2"/>
      <c r="J1008" s="1" t="s">
        <v>646</v>
      </c>
      <c r="K1008" s="2">
        <v>45928.0</v>
      </c>
      <c r="L1008" s="5"/>
      <c r="M1008" s="9" t="s">
        <v>22</v>
      </c>
      <c r="N1008" s="9" t="s">
        <v>23</v>
      </c>
      <c r="O1008" s="10">
        <f>'data on outstanding creditors'!$E1008*100/107</f>
        <v>7233.64486</v>
      </c>
      <c r="P1008" s="10">
        <f>'data on outstanding creditors'!$E1008-'data on outstanding creditors'!$O1008</f>
        <v>506.3551402</v>
      </c>
      <c r="Q1008" s="7">
        <f>DAY('data on outstanding creditors'!$B1008)</f>
        <v>30</v>
      </c>
      <c r="R1008" s="7">
        <f>MONTH('data on outstanding creditors'!$B1008)</f>
        <v>4</v>
      </c>
      <c r="S1008" s="7">
        <f>YEAR('data on outstanding creditors'!$B1008)</f>
        <v>2025</v>
      </c>
      <c r="T1008" s="11" t="str">
        <f>'data on outstanding creditors'!$C1008&amp;" "&amp;'data on outstanding creditors'!$D1008&amp;" "&amp;TEXT('data on outstanding creditors'!$E1008,"#,##0.00")</f>
        <v>บ.เอเบิ้ล เมดิคอล B2504/0468 7,740.00</v>
      </c>
      <c r="U1008" s="12"/>
    </row>
    <row r="1009" ht="13.5" customHeight="1">
      <c r="A1009" s="1"/>
      <c r="B1009" s="2">
        <v>45779.0</v>
      </c>
      <c r="C1009" s="9" t="s">
        <v>1530</v>
      </c>
      <c r="D1009" s="1" t="s">
        <v>1531</v>
      </c>
      <c r="E1009" s="4">
        <v>21600.0</v>
      </c>
      <c r="F1009" s="4"/>
      <c r="G1009" s="4"/>
      <c r="H1009" s="4">
        <f>'data on outstanding creditors'!$E1009-'data on outstanding creditors'!$F1009-'data on outstanding creditors'!$G1009</f>
        <v>21600</v>
      </c>
      <c r="I1009" s="2"/>
      <c r="J1009" s="1" t="s">
        <v>646</v>
      </c>
      <c r="K1009" s="2">
        <v>45877.0</v>
      </c>
      <c r="L1009" s="5"/>
      <c r="M1009" s="9" t="s">
        <v>22</v>
      </c>
      <c r="N1009" s="9" t="s">
        <v>23</v>
      </c>
      <c r="O1009" s="10">
        <f>'data on outstanding creditors'!$E1009*100/107</f>
        <v>20186.91589</v>
      </c>
      <c r="P1009" s="10">
        <f>'data on outstanding creditors'!$E1009-'data on outstanding creditors'!$O1009</f>
        <v>1413.084112</v>
      </c>
      <c r="Q1009" s="7">
        <f>DAY('data on outstanding creditors'!$B1009)</f>
        <v>2</v>
      </c>
      <c r="R1009" s="7">
        <f>MONTH('data on outstanding creditors'!$B1009)</f>
        <v>5</v>
      </c>
      <c r="S1009" s="7">
        <f>YEAR('data on outstanding creditors'!$B1009)</f>
        <v>2025</v>
      </c>
      <c r="T1009" s="11" t="str">
        <f>'data on outstanding creditors'!$C1009&amp;" "&amp;'data on outstanding creditors'!$D1009&amp;" "&amp;TEXT('data on outstanding creditors'!$E1009,"#,##0.00")</f>
        <v>บ.แสงไทยเมดิคอล S-04-0510/68 21,600.00</v>
      </c>
      <c r="U1009" s="12"/>
    </row>
    <row r="1010" ht="13.5" customHeight="1">
      <c r="A1010" s="1"/>
      <c r="B1010" s="2">
        <v>45779.0</v>
      </c>
      <c r="C1010" s="9" t="s">
        <v>1230</v>
      </c>
      <c r="D1010" s="1" t="s">
        <v>1532</v>
      </c>
      <c r="E1010" s="4">
        <v>51000.0</v>
      </c>
      <c r="F1010" s="4"/>
      <c r="G1010" s="4"/>
      <c r="H1010" s="4">
        <f>'data on outstanding creditors'!$E1010-'data on outstanding creditors'!$F1010-'data on outstanding creditors'!$G1010</f>
        <v>51000</v>
      </c>
      <c r="I1010" s="2"/>
      <c r="J1010" s="1" t="s">
        <v>646</v>
      </c>
      <c r="K1010" s="2">
        <v>45928.0</v>
      </c>
      <c r="L1010" s="5"/>
      <c r="M1010" s="9" t="s">
        <v>22</v>
      </c>
      <c r="N1010" s="9" t="s">
        <v>23</v>
      </c>
      <c r="O1010" s="10">
        <f>'data on outstanding creditors'!$E1010*100/107</f>
        <v>47663.5514</v>
      </c>
      <c r="P1010" s="10">
        <f>'data on outstanding creditors'!$E1010-'data on outstanding creditors'!$O1010</f>
        <v>3336.448598</v>
      </c>
      <c r="Q1010" s="7">
        <f>DAY('data on outstanding creditors'!$B1010)</f>
        <v>2</v>
      </c>
      <c r="R1010" s="7">
        <f>MONTH('data on outstanding creditors'!$B1010)</f>
        <v>5</v>
      </c>
      <c r="S1010" s="7">
        <f>YEAR('data on outstanding creditors'!$B1010)</f>
        <v>2025</v>
      </c>
      <c r="T1010" s="11" t="str">
        <f>'data on outstanding creditors'!$C1010&amp;" "&amp;'data on outstanding creditors'!$D1010&amp;" "&amp;TEXT('data on outstanding creditors'!$E1010,"#,##0.00")</f>
        <v>บ.พรอส ฟาร์มา INV-L-IM\2025043370 51,000.00</v>
      </c>
      <c r="U1010" s="12"/>
    </row>
    <row r="1011" ht="13.5" customHeight="1">
      <c r="A1011" s="1"/>
      <c r="B1011" s="2">
        <v>45779.0</v>
      </c>
      <c r="C1011" s="9" t="s">
        <v>263</v>
      </c>
      <c r="D1011" s="1" t="s">
        <v>1533</v>
      </c>
      <c r="E1011" s="4">
        <v>118800.0</v>
      </c>
      <c r="F1011" s="4"/>
      <c r="G1011" s="4"/>
      <c r="H1011" s="4">
        <f>'data on outstanding creditors'!$E1011-'data on outstanding creditors'!$F1011-'data on outstanding creditors'!$G1011</f>
        <v>118800</v>
      </c>
      <c r="I1011" s="2"/>
      <c r="J1011" s="1" t="s">
        <v>646</v>
      </c>
      <c r="K1011" s="2">
        <v>45928.0</v>
      </c>
      <c r="L1011" s="5"/>
      <c r="M1011" s="9" t="s">
        <v>22</v>
      </c>
      <c r="N1011" s="9" t="s">
        <v>23</v>
      </c>
      <c r="O1011" s="10">
        <f>'data on outstanding creditors'!$E1011*100/107</f>
        <v>111028.0374</v>
      </c>
      <c r="P1011" s="10">
        <f>'data on outstanding creditors'!$E1011-'data on outstanding creditors'!$O1011</f>
        <v>7771.962617</v>
      </c>
      <c r="Q1011" s="7">
        <f>DAY('data on outstanding creditors'!$B1011)</f>
        <v>2</v>
      </c>
      <c r="R1011" s="7">
        <f>MONTH('data on outstanding creditors'!$B1011)</f>
        <v>5</v>
      </c>
      <c r="S1011" s="7">
        <f>YEAR('data on outstanding creditors'!$B1011)</f>
        <v>2025</v>
      </c>
      <c r="T1011" s="11" t="str">
        <f>'data on outstanding creditors'!$C1011&amp;" "&amp;'data on outstanding creditors'!$D1011&amp;" "&amp;TEXT('data on outstanding creditors'!$E1011,"#,##0.00")</f>
        <v>บ.เอเบิ้ล เมดิคอล M2504/0565 118,800.00</v>
      </c>
      <c r="U1011" s="12"/>
    </row>
    <row r="1012" ht="13.5" customHeight="1">
      <c r="A1012" s="1"/>
      <c r="B1012" s="2">
        <v>45784.0</v>
      </c>
      <c r="C1012" s="9" t="s">
        <v>771</v>
      </c>
      <c r="D1012" s="1" t="s">
        <v>1534</v>
      </c>
      <c r="E1012" s="4">
        <v>81000.0</v>
      </c>
      <c r="F1012" s="4"/>
      <c r="G1012" s="4"/>
      <c r="H1012" s="4">
        <f>'data on outstanding creditors'!$E1012-'data on outstanding creditors'!$F1012-'data on outstanding creditors'!$G1012</f>
        <v>81000</v>
      </c>
      <c r="I1012" s="2"/>
      <c r="J1012" s="1" t="s">
        <v>646</v>
      </c>
      <c r="K1012" s="2">
        <v>45929.0</v>
      </c>
      <c r="L1012" s="5"/>
      <c r="M1012" s="9" t="s">
        <v>22</v>
      </c>
      <c r="N1012" s="9" t="s">
        <v>23</v>
      </c>
      <c r="O1012" s="10">
        <f>'data on outstanding creditors'!$E1012*100/107</f>
        <v>75700.93458</v>
      </c>
      <c r="P1012" s="10">
        <f>'data on outstanding creditors'!$E1012-'data on outstanding creditors'!$O1012</f>
        <v>5299.065421</v>
      </c>
      <c r="Q1012" s="7">
        <f>DAY('data on outstanding creditors'!$B1012)</f>
        <v>7</v>
      </c>
      <c r="R1012" s="7">
        <f>MONTH('data on outstanding creditors'!$B1012)</f>
        <v>5</v>
      </c>
      <c r="S1012" s="7">
        <f>YEAR('data on outstanding creditors'!$B1012)</f>
        <v>2025</v>
      </c>
      <c r="T1012" s="11" t="str">
        <f>'data on outstanding creditors'!$C1012&amp;" "&amp;'data on outstanding creditors'!$D1012&amp;" "&amp;TEXT('data on outstanding creditors'!$E1012,"#,##0.00")</f>
        <v>หจก.ภิญโญฟาร์มาซี IV6822341 81,000.00</v>
      </c>
      <c r="U1012" s="12"/>
    </row>
    <row r="1013" ht="13.5" customHeight="1">
      <c r="A1013" s="1"/>
      <c r="B1013" s="2">
        <v>45785.0</v>
      </c>
      <c r="C1013" s="9" t="s">
        <v>1247</v>
      </c>
      <c r="D1013" s="1" t="s">
        <v>1535</v>
      </c>
      <c r="E1013" s="4">
        <v>2311.2</v>
      </c>
      <c r="F1013" s="4"/>
      <c r="G1013" s="4"/>
      <c r="H1013" s="4">
        <f>'data on outstanding creditors'!$E1013-'data on outstanding creditors'!$F1013-'data on outstanding creditors'!$G1013</f>
        <v>2311.2</v>
      </c>
      <c r="I1013" s="2"/>
      <c r="J1013" s="1" t="s">
        <v>646</v>
      </c>
      <c r="K1013" s="2">
        <v>45954.0</v>
      </c>
      <c r="L1013" s="5"/>
      <c r="M1013" s="9" t="s">
        <v>22</v>
      </c>
      <c r="N1013" s="9" t="s">
        <v>23</v>
      </c>
      <c r="O1013" s="10">
        <f>'data on outstanding creditors'!$E1013*100/107</f>
        <v>2160</v>
      </c>
      <c r="P1013" s="10">
        <f>'data on outstanding creditors'!$E1013-'data on outstanding creditors'!$O1013</f>
        <v>151.2</v>
      </c>
      <c r="Q1013" s="7">
        <f>DAY('data on outstanding creditors'!$B1013)</f>
        <v>8</v>
      </c>
      <c r="R1013" s="7">
        <f>MONTH('data on outstanding creditors'!$B1013)</f>
        <v>5</v>
      </c>
      <c r="S1013" s="7">
        <f>YEAR('data on outstanding creditors'!$B1013)</f>
        <v>2025</v>
      </c>
      <c r="T1013" s="11" t="str">
        <f>'data on outstanding creditors'!$C1013&amp;" "&amp;'data on outstanding creditors'!$D1013&amp;" "&amp;TEXT('data on outstanding creditors'!$E1013,"#,##0.00")</f>
        <v>บ.เอ.เอ็น.บี.ลาบอรอตอรี่ 8370875753 2,311.20</v>
      </c>
      <c r="U1013" s="12"/>
    </row>
    <row r="1014" ht="13.5" customHeight="1">
      <c r="A1014" s="1"/>
      <c r="B1014" s="2">
        <v>45785.0</v>
      </c>
      <c r="C1014" s="9" t="s">
        <v>1247</v>
      </c>
      <c r="D1014" s="1" t="s">
        <v>1536</v>
      </c>
      <c r="E1014" s="4">
        <v>22500.0</v>
      </c>
      <c r="F1014" s="4"/>
      <c r="G1014" s="4"/>
      <c r="H1014" s="4">
        <f>'data on outstanding creditors'!$E1014-'data on outstanding creditors'!$F1014-'data on outstanding creditors'!$G1014</f>
        <v>22500</v>
      </c>
      <c r="I1014" s="2"/>
      <c r="J1014" s="1" t="s">
        <v>646</v>
      </c>
      <c r="K1014" s="2">
        <v>45954.0</v>
      </c>
      <c r="L1014" s="5"/>
      <c r="M1014" s="9" t="s">
        <v>22</v>
      </c>
      <c r="N1014" s="9" t="s">
        <v>23</v>
      </c>
      <c r="O1014" s="10">
        <f>'data on outstanding creditors'!$E1014*100/107</f>
        <v>21028.03738</v>
      </c>
      <c r="P1014" s="10">
        <f>'data on outstanding creditors'!$E1014-'data on outstanding creditors'!$O1014</f>
        <v>1471.962617</v>
      </c>
      <c r="Q1014" s="7">
        <f>DAY('data on outstanding creditors'!$B1014)</f>
        <v>8</v>
      </c>
      <c r="R1014" s="7">
        <f>MONTH('data on outstanding creditors'!$B1014)</f>
        <v>5</v>
      </c>
      <c r="S1014" s="7">
        <f>YEAR('data on outstanding creditors'!$B1014)</f>
        <v>2025</v>
      </c>
      <c r="T1014" s="11" t="str">
        <f>'data on outstanding creditors'!$C1014&amp;" "&amp;'data on outstanding creditors'!$D1014&amp;" "&amp;TEXT('data on outstanding creditors'!$E1014,"#,##0.00")</f>
        <v>บ.เอ.เอ็น.บี.ลาบอรอตอรี่ 8370875754 22,500.00</v>
      </c>
      <c r="U1014" s="12"/>
    </row>
    <row r="1015" ht="13.5" customHeight="1">
      <c r="A1015" s="1"/>
      <c r="B1015" s="2">
        <v>45785.0</v>
      </c>
      <c r="C1015" s="9" t="s">
        <v>290</v>
      </c>
      <c r="D1015" s="1" t="s">
        <v>1537</v>
      </c>
      <c r="E1015" s="4">
        <v>11502.5</v>
      </c>
      <c r="F1015" s="4"/>
      <c r="G1015" s="4"/>
      <c r="H1015" s="4">
        <f>'data on outstanding creditors'!$E1015-'data on outstanding creditors'!$F1015-'data on outstanding creditors'!$G1015</f>
        <v>11502.5</v>
      </c>
      <c r="I1015" s="2"/>
      <c r="J1015" s="1" t="s">
        <v>646</v>
      </c>
      <c r="K1015" s="2">
        <v>45954.0</v>
      </c>
      <c r="L1015" s="5"/>
      <c r="M1015" s="9" t="s">
        <v>22</v>
      </c>
      <c r="N1015" s="9" t="s">
        <v>23</v>
      </c>
      <c r="O1015" s="10">
        <f>'data on outstanding creditors'!$E1015*100/107</f>
        <v>10750</v>
      </c>
      <c r="P1015" s="10">
        <f>'data on outstanding creditors'!$E1015-'data on outstanding creditors'!$O1015</f>
        <v>752.5</v>
      </c>
      <c r="Q1015" s="7">
        <f>DAY('data on outstanding creditors'!$B1015)</f>
        <v>8</v>
      </c>
      <c r="R1015" s="7">
        <f>MONTH('data on outstanding creditors'!$B1015)</f>
        <v>5</v>
      </c>
      <c r="S1015" s="7">
        <f>YEAR('data on outstanding creditors'!$B1015)</f>
        <v>2025</v>
      </c>
      <c r="T1015" s="11" t="str">
        <f>'data on outstanding creditors'!$C1015&amp;" "&amp;'data on outstanding creditors'!$D1015&amp;" "&amp;TEXT('data on outstanding creditors'!$E1015,"#,##0.00")</f>
        <v>บ.สหแพทย์เภสัช 9110610302 11,502.50</v>
      </c>
      <c r="U1015" s="12"/>
    </row>
    <row r="1016" ht="13.5" customHeight="1">
      <c r="A1016" s="1"/>
      <c r="B1016" s="2">
        <v>45785.0</v>
      </c>
      <c r="C1016" s="9" t="s">
        <v>1391</v>
      </c>
      <c r="D1016" s="1" t="s">
        <v>1538</v>
      </c>
      <c r="E1016" s="4">
        <v>11400.0</v>
      </c>
      <c r="F1016" s="4"/>
      <c r="G1016" s="4"/>
      <c r="H1016" s="4">
        <f>'data on outstanding creditors'!$E1016-'data on outstanding creditors'!$F1016-'data on outstanding creditors'!$G1016</f>
        <v>11400</v>
      </c>
      <c r="I1016" s="2"/>
      <c r="J1016" s="1" t="s">
        <v>646</v>
      </c>
      <c r="K1016" s="2">
        <v>45928.0</v>
      </c>
      <c r="L1016" s="5"/>
      <c r="M1016" s="9" t="s">
        <v>22</v>
      </c>
      <c r="N1016" s="9" t="s">
        <v>23</v>
      </c>
      <c r="O1016" s="10">
        <f>'data on outstanding creditors'!$E1016*100/107</f>
        <v>10654.20561</v>
      </c>
      <c r="P1016" s="10">
        <f>'data on outstanding creditors'!$E1016-'data on outstanding creditors'!$O1016</f>
        <v>745.7943925</v>
      </c>
      <c r="Q1016" s="7">
        <f>DAY('data on outstanding creditors'!$B1016)</f>
        <v>8</v>
      </c>
      <c r="R1016" s="7">
        <f>MONTH('data on outstanding creditors'!$B1016)</f>
        <v>5</v>
      </c>
      <c r="S1016" s="7">
        <f>YEAR('data on outstanding creditors'!$B1016)</f>
        <v>2025</v>
      </c>
      <c r="T1016" s="11" t="str">
        <f>'data on outstanding creditors'!$C1016&amp;" "&amp;'data on outstanding creditors'!$D1016&amp;" "&amp;TEXT('data on outstanding creditors'!$E1016,"#,##0.00")</f>
        <v>บ.ที.พี.ดรัก แลบบอราทอรี่ส์ VIV125042331 11,400.00</v>
      </c>
      <c r="U1016" s="12"/>
    </row>
    <row r="1017" ht="13.5" customHeight="1">
      <c r="A1017" s="1"/>
      <c r="B1017" s="2">
        <v>45785.0</v>
      </c>
      <c r="C1017" s="9" t="s">
        <v>1539</v>
      </c>
      <c r="D1017" s="1" t="s">
        <v>1540</v>
      </c>
      <c r="E1017" s="4">
        <v>26000.0</v>
      </c>
      <c r="F1017" s="4"/>
      <c r="G1017" s="4"/>
      <c r="H1017" s="4">
        <f>'data on outstanding creditors'!$E1017-'data on outstanding creditors'!$F1017-'data on outstanding creditors'!$G1017</f>
        <v>26000</v>
      </c>
      <c r="I1017" s="2"/>
      <c r="J1017" s="1" t="s">
        <v>646</v>
      </c>
      <c r="K1017" s="2">
        <v>45894.0</v>
      </c>
      <c r="L1017" s="5"/>
      <c r="M1017" s="9" t="s">
        <v>22</v>
      </c>
      <c r="N1017" s="9" t="s">
        <v>23</v>
      </c>
      <c r="O1017" s="10">
        <f>'data on outstanding creditors'!$E1017*100/107</f>
        <v>24299.06542</v>
      </c>
      <c r="P1017" s="10">
        <f>'data on outstanding creditors'!$E1017-'data on outstanding creditors'!$O1017</f>
        <v>1700.934579</v>
      </c>
      <c r="Q1017" s="7">
        <f>DAY('data on outstanding creditors'!$B1017)</f>
        <v>8</v>
      </c>
      <c r="R1017" s="7">
        <f>MONTH('data on outstanding creditors'!$B1017)</f>
        <v>5</v>
      </c>
      <c r="S1017" s="7">
        <f>YEAR('data on outstanding creditors'!$B1017)</f>
        <v>2025</v>
      </c>
      <c r="T1017" s="11" t="str">
        <f>'data on outstanding creditors'!$C1017&amp;" "&amp;'data on outstanding creditors'!$D1017&amp;" "&amp;TEXT('data on outstanding creditors'!$E1017,"#,##0.00")</f>
        <v>บ.นิวฟาร์มา (ประเทศไทย) N681677 26,000.00</v>
      </c>
      <c r="U1017" s="12"/>
    </row>
    <row r="1018" ht="13.5" customHeight="1">
      <c r="A1018" s="1"/>
      <c r="B1018" s="2">
        <v>45785.0</v>
      </c>
      <c r="C1018" s="9" t="s">
        <v>920</v>
      </c>
      <c r="D1018" s="1" t="s">
        <v>1541</v>
      </c>
      <c r="E1018" s="4">
        <v>16500.0</v>
      </c>
      <c r="F1018" s="4"/>
      <c r="G1018" s="4"/>
      <c r="H1018" s="4">
        <f>'data on outstanding creditors'!$E1018-'data on outstanding creditors'!$F1018-'data on outstanding creditors'!$G1018</f>
        <v>16500</v>
      </c>
      <c r="I1018" s="2"/>
      <c r="J1018" s="1" t="s">
        <v>646</v>
      </c>
      <c r="K1018" s="2">
        <v>45855.0</v>
      </c>
      <c r="L1018" s="5"/>
      <c r="M1018" s="9" t="s">
        <v>22</v>
      </c>
      <c r="N1018" s="9" t="s">
        <v>23</v>
      </c>
      <c r="O1018" s="10">
        <f>'data on outstanding creditors'!$E1018*100/107</f>
        <v>15420.56075</v>
      </c>
      <c r="P1018" s="10">
        <f>'data on outstanding creditors'!$E1018-'data on outstanding creditors'!$O1018</f>
        <v>1079.439252</v>
      </c>
      <c r="Q1018" s="7">
        <f>DAY('data on outstanding creditors'!$B1018)</f>
        <v>8</v>
      </c>
      <c r="R1018" s="7">
        <f>MONTH('data on outstanding creditors'!$B1018)</f>
        <v>5</v>
      </c>
      <c r="S1018" s="7">
        <f>YEAR('data on outstanding creditors'!$B1018)</f>
        <v>2025</v>
      </c>
      <c r="T1018" s="11" t="str">
        <f>'data on outstanding creditors'!$C1018&amp;" "&amp;'data on outstanding creditors'!$D1018&amp;" "&amp;TEXT('data on outstanding creditors'!$E1018,"#,##0.00")</f>
        <v>บ.โปลิฟาร์ม IVU-68019092 16,500.00</v>
      </c>
      <c r="U1018" s="12"/>
    </row>
    <row r="1019" ht="13.5" customHeight="1">
      <c r="A1019" s="1"/>
      <c r="B1019" s="2">
        <v>45785.0</v>
      </c>
      <c r="C1019" s="9" t="s">
        <v>1542</v>
      </c>
      <c r="D1019" s="1" t="s">
        <v>1543</v>
      </c>
      <c r="E1019" s="4">
        <v>49000.0</v>
      </c>
      <c r="F1019" s="4"/>
      <c r="G1019" s="4"/>
      <c r="H1019" s="4">
        <f>'data on outstanding creditors'!$E1019-'data on outstanding creditors'!$F1019-'data on outstanding creditors'!$G1019</f>
        <v>49000</v>
      </c>
      <c r="I1019" s="2"/>
      <c r="J1019" s="1" t="s">
        <v>646</v>
      </c>
      <c r="K1019" s="2">
        <v>45954.0</v>
      </c>
      <c r="L1019" s="5"/>
      <c r="M1019" s="9" t="s">
        <v>22</v>
      </c>
      <c r="N1019" s="9" t="s">
        <v>23</v>
      </c>
      <c r="O1019" s="10">
        <f>'data on outstanding creditors'!$E1019*100/107</f>
        <v>45794.39252</v>
      </c>
      <c r="P1019" s="10">
        <f>'data on outstanding creditors'!$E1019-'data on outstanding creditors'!$O1019</f>
        <v>3205.607477</v>
      </c>
      <c r="Q1019" s="7">
        <f>DAY('data on outstanding creditors'!$B1019)</f>
        <v>8</v>
      </c>
      <c r="R1019" s="7">
        <f>MONTH('data on outstanding creditors'!$B1019)</f>
        <v>5</v>
      </c>
      <c r="S1019" s="7">
        <f>YEAR('data on outstanding creditors'!$B1019)</f>
        <v>2025</v>
      </c>
      <c r="T1019" s="11" t="str">
        <f>'data on outstanding creditors'!$C1019&amp;" "&amp;'data on outstanding creditors'!$D1019&amp;" "&amp;TEXT('data on outstanding creditors'!$E1019,"#,##0.00")</f>
        <v>บ.ไบโอเนท-เอเชีย 1302030133 49,000.00</v>
      </c>
      <c r="U1019" s="12"/>
    </row>
    <row r="1020" ht="13.5" customHeight="1">
      <c r="A1020" s="1"/>
      <c r="B1020" s="2">
        <v>45785.0</v>
      </c>
      <c r="C1020" s="9" t="s">
        <v>771</v>
      </c>
      <c r="D1020" s="1" t="s">
        <v>1544</v>
      </c>
      <c r="E1020" s="4">
        <v>57400.0</v>
      </c>
      <c r="F1020" s="4"/>
      <c r="G1020" s="4"/>
      <c r="H1020" s="4">
        <f>'data on outstanding creditors'!$E1020-'data on outstanding creditors'!$F1020-'data on outstanding creditors'!$G1020</f>
        <v>57400</v>
      </c>
      <c r="I1020" s="2"/>
      <c r="J1020" s="1" t="s">
        <v>646</v>
      </c>
      <c r="K1020" s="2">
        <v>45928.0</v>
      </c>
      <c r="L1020" s="5"/>
      <c r="M1020" s="9" t="s">
        <v>22</v>
      </c>
      <c r="N1020" s="9" t="s">
        <v>23</v>
      </c>
      <c r="O1020" s="10">
        <f>'data on outstanding creditors'!$E1020*100/107</f>
        <v>53644.85981</v>
      </c>
      <c r="P1020" s="10">
        <f>'data on outstanding creditors'!$E1020-'data on outstanding creditors'!$O1020</f>
        <v>3755.140187</v>
      </c>
      <c r="Q1020" s="7">
        <f>DAY('data on outstanding creditors'!$B1020)</f>
        <v>8</v>
      </c>
      <c r="R1020" s="7">
        <f>MONTH('data on outstanding creditors'!$B1020)</f>
        <v>5</v>
      </c>
      <c r="S1020" s="7">
        <f>YEAR('data on outstanding creditors'!$B1020)</f>
        <v>2025</v>
      </c>
      <c r="T1020" s="11" t="str">
        <f>'data on outstanding creditors'!$C1020&amp;" "&amp;'data on outstanding creditors'!$D1020&amp;" "&amp;TEXT('data on outstanding creditors'!$E1020,"#,##0.00")</f>
        <v>หจก.ภิญโญฟาร์มาซี IV6822937 57,400.00</v>
      </c>
      <c r="U1020" s="12"/>
    </row>
    <row r="1021" ht="13.5" customHeight="1">
      <c r="A1021" s="1"/>
      <c r="B1021" s="2">
        <v>45785.0</v>
      </c>
      <c r="C1021" s="9" t="s">
        <v>1247</v>
      </c>
      <c r="D1021" s="1" t="s">
        <v>1545</v>
      </c>
      <c r="E1021" s="4">
        <v>41800.0</v>
      </c>
      <c r="F1021" s="4"/>
      <c r="G1021" s="4"/>
      <c r="H1021" s="4">
        <f>'data on outstanding creditors'!$E1021-'data on outstanding creditors'!$F1021-'data on outstanding creditors'!$G1021</f>
        <v>41800</v>
      </c>
      <c r="I1021" s="2"/>
      <c r="J1021" s="1" t="s">
        <v>646</v>
      </c>
      <c r="K1021" s="2">
        <v>45954.0</v>
      </c>
      <c r="L1021" s="5"/>
      <c r="M1021" s="9" t="s">
        <v>22</v>
      </c>
      <c r="N1021" s="9" t="s">
        <v>23</v>
      </c>
      <c r="O1021" s="10">
        <f>'data on outstanding creditors'!$E1021*100/107</f>
        <v>39065.42056</v>
      </c>
      <c r="P1021" s="10">
        <f>'data on outstanding creditors'!$E1021-'data on outstanding creditors'!$O1021</f>
        <v>2734.579439</v>
      </c>
      <c r="Q1021" s="7">
        <f>DAY('data on outstanding creditors'!$B1021)</f>
        <v>8</v>
      </c>
      <c r="R1021" s="7">
        <f>MONTH('data on outstanding creditors'!$B1021)</f>
        <v>5</v>
      </c>
      <c r="S1021" s="7">
        <f>YEAR('data on outstanding creditors'!$B1021)</f>
        <v>2025</v>
      </c>
      <c r="T1021" s="11" t="str">
        <f>'data on outstanding creditors'!$C1021&amp;" "&amp;'data on outstanding creditors'!$D1021&amp;" "&amp;TEXT('data on outstanding creditors'!$E1021,"#,##0.00")</f>
        <v>บ.เอ.เอ็น.บี.ลาบอรอตอรี่ 8370865770 41,800.00</v>
      </c>
      <c r="U1021" s="12"/>
    </row>
    <row r="1022" ht="13.5" customHeight="1">
      <c r="A1022" s="1"/>
      <c r="B1022" s="2">
        <v>45785.0</v>
      </c>
      <c r="C1022" s="9" t="s">
        <v>1247</v>
      </c>
      <c r="D1022" s="1" t="s">
        <v>1546</v>
      </c>
      <c r="E1022" s="4">
        <v>41800.0</v>
      </c>
      <c r="F1022" s="4"/>
      <c r="G1022" s="4"/>
      <c r="H1022" s="4">
        <f>'data on outstanding creditors'!$E1022-'data on outstanding creditors'!$F1022-'data on outstanding creditors'!$G1022</f>
        <v>41800</v>
      </c>
      <c r="I1022" s="2"/>
      <c r="J1022" s="1" t="s">
        <v>646</v>
      </c>
      <c r="K1022" s="2">
        <v>45954.0</v>
      </c>
      <c r="L1022" s="5"/>
      <c r="M1022" s="9" t="s">
        <v>22</v>
      </c>
      <c r="N1022" s="9" t="s">
        <v>23</v>
      </c>
      <c r="O1022" s="10">
        <f>'data on outstanding creditors'!$E1022*100/107</f>
        <v>39065.42056</v>
      </c>
      <c r="P1022" s="10">
        <f>'data on outstanding creditors'!$E1022-'data on outstanding creditors'!$O1022</f>
        <v>2734.579439</v>
      </c>
      <c r="Q1022" s="7">
        <f>DAY('data on outstanding creditors'!$B1022)</f>
        <v>8</v>
      </c>
      <c r="R1022" s="7">
        <f>MONTH('data on outstanding creditors'!$B1022)</f>
        <v>5</v>
      </c>
      <c r="S1022" s="7">
        <f>YEAR('data on outstanding creditors'!$B1022)</f>
        <v>2025</v>
      </c>
      <c r="T1022" s="11" t="str">
        <f>'data on outstanding creditors'!$C1022&amp;" "&amp;'data on outstanding creditors'!$D1022&amp;" "&amp;TEXT('data on outstanding creditors'!$E1022,"#,##0.00")</f>
        <v>บ.เอ.เอ็น.บี.ลาบอรอตอรี่ 8370865771 41,800.00</v>
      </c>
      <c r="U1022" s="12"/>
    </row>
    <row r="1023" ht="13.5" customHeight="1">
      <c r="A1023" s="1"/>
      <c r="B1023" s="2">
        <v>45785.0</v>
      </c>
      <c r="C1023" s="9" t="s">
        <v>765</v>
      </c>
      <c r="D1023" s="1" t="s">
        <v>1547</v>
      </c>
      <c r="E1023" s="4">
        <v>215520.0</v>
      </c>
      <c r="F1023" s="4"/>
      <c r="G1023" s="4"/>
      <c r="H1023" s="4">
        <f>'data on outstanding creditors'!$E1023-'data on outstanding creditors'!$F1023-'data on outstanding creditors'!$G1023</f>
        <v>215520</v>
      </c>
      <c r="I1023" s="2"/>
      <c r="J1023" s="1" t="s">
        <v>646</v>
      </c>
      <c r="K1023" s="2">
        <v>45954.0</v>
      </c>
      <c r="L1023" s="5"/>
      <c r="M1023" s="9" t="s">
        <v>22</v>
      </c>
      <c r="N1023" s="9" t="s">
        <v>23</v>
      </c>
      <c r="O1023" s="10">
        <f>'data on outstanding creditors'!$E1023*100/107</f>
        <v>201420.5607</v>
      </c>
      <c r="P1023" s="10">
        <f>'data on outstanding creditors'!$E1023-'data on outstanding creditors'!$O1023</f>
        <v>14099.43925</v>
      </c>
      <c r="Q1023" s="7">
        <f>DAY('data on outstanding creditors'!$B1023)</f>
        <v>8</v>
      </c>
      <c r="R1023" s="7">
        <f>MONTH('data on outstanding creditors'!$B1023)</f>
        <v>5</v>
      </c>
      <c r="S1023" s="7">
        <f>YEAR('data on outstanding creditors'!$B1023)</f>
        <v>2025</v>
      </c>
      <c r="T1023" s="11" t="str">
        <f>'data on outstanding creditors'!$C1023&amp;" "&amp;'data on outstanding creditors'!$D1023&amp;" "&amp;TEXT('data on outstanding creditors'!$E1023,"#,##0.00")</f>
        <v>บ.ไบโอ ลีดเตอร์ IV2500728 215,520.00</v>
      </c>
      <c r="U1023" s="12"/>
    </row>
    <row r="1024" ht="13.5" customHeight="1">
      <c r="A1024" s="1"/>
      <c r="B1024" s="2">
        <v>45790.0</v>
      </c>
      <c r="C1024" s="9" t="s">
        <v>1402</v>
      </c>
      <c r="D1024" s="1" t="s">
        <v>1548</v>
      </c>
      <c r="E1024" s="4">
        <v>11700.0</v>
      </c>
      <c r="F1024" s="4"/>
      <c r="G1024" s="4"/>
      <c r="H1024" s="4">
        <f>'data on outstanding creditors'!$E1024-'data on outstanding creditors'!$F1024-'data on outstanding creditors'!$G1024</f>
        <v>11700</v>
      </c>
      <c r="I1024" s="2"/>
      <c r="J1024" s="1" t="s">
        <v>646</v>
      </c>
      <c r="K1024" s="2">
        <v>45887.0</v>
      </c>
      <c r="L1024" s="5"/>
      <c r="M1024" s="9" t="s">
        <v>22</v>
      </c>
      <c r="N1024" s="9" t="s">
        <v>23</v>
      </c>
      <c r="O1024" s="10">
        <f>'data on outstanding creditors'!$E1024*100/107</f>
        <v>10934.57944</v>
      </c>
      <c r="P1024" s="10">
        <f>'data on outstanding creditors'!$E1024-'data on outstanding creditors'!$O1024</f>
        <v>765.4205607</v>
      </c>
      <c r="Q1024" s="7">
        <f>DAY('data on outstanding creditors'!$B1024)</f>
        <v>13</v>
      </c>
      <c r="R1024" s="7">
        <f>MONTH('data on outstanding creditors'!$B1024)</f>
        <v>5</v>
      </c>
      <c r="S1024" s="7">
        <f>YEAR('data on outstanding creditors'!$B1024)</f>
        <v>2025</v>
      </c>
      <c r="T1024" s="11" t="str">
        <f>'data on outstanding creditors'!$C1024&amp;" "&amp;'data on outstanding creditors'!$D1024&amp;" "&amp;TEXT('data on outstanding creditors'!$E1024,"#,##0.00")</f>
        <v>บ.โรงงานเภสัชกรรมแหลมทองการแพทย์ IV6805/0042 11,700.00</v>
      </c>
      <c r="U1024" s="12"/>
    </row>
    <row r="1025" ht="13.5" customHeight="1">
      <c r="A1025" s="1"/>
      <c r="B1025" s="2">
        <v>45790.0</v>
      </c>
      <c r="C1025" s="9" t="s">
        <v>1549</v>
      </c>
      <c r="D1025" s="1" t="s">
        <v>1550</v>
      </c>
      <c r="E1025" s="4">
        <v>14500.0</v>
      </c>
      <c r="F1025" s="4"/>
      <c r="G1025" s="4"/>
      <c r="H1025" s="4">
        <f>'data on outstanding creditors'!$E1025-'data on outstanding creditors'!$F1025-'data on outstanding creditors'!$G1025</f>
        <v>14500</v>
      </c>
      <c r="I1025" s="2"/>
      <c r="J1025" s="1" t="s">
        <v>646</v>
      </c>
      <c r="K1025" s="2">
        <v>45889.0</v>
      </c>
      <c r="L1025" s="5"/>
      <c r="M1025" s="9" t="s">
        <v>22</v>
      </c>
      <c r="N1025" s="9" t="s">
        <v>23</v>
      </c>
      <c r="O1025" s="10">
        <f>'data on outstanding creditors'!$E1025*100/107</f>
        <v>13551.40187</v>
      </c>
      <c r="P1025" s="10">
        <f>'data on outstanding creditors'!$E1025-'data on outstanding creditors'!$O1025</f>
        <v>948.5981308</v>
      </c>
      <c r="Q1025" s="7">
        <f>DAY('data on outstanding creditors'!$B1025)</f>
        <v>13</v>
      </c>
      <c r="R1025" s="7">
        <f>MONTH('data on outstanding creditors'!$B1025)</f>
        <v>5</v>
      </c>
      <c r="S1025" s="7">
        <f>YEAR('data on outstanding creditors'!$B1025)</f>
        <v>2025</v>
      </c>
      <c r="T1025" s="11" t="str">
        <f>'data on outstanding creditors'!$C1025&amp;" "&amp;'data on outstanding creditors'!$D1025&amp;" "&amp;TEXT('data on outstanding creditors'!$E1025,"#,##0.00")</f>
        <v>บ.เอเชี่ยน ฟาร์มาซูติคัล 019655 14,500.00</v>
      </c>
      <c r="U1025" s="12"/>
    </row>
    <row r="1026" ht="13.5" customHeight="1">
      <c r="A1026" s="1"/>
      <c r="B1026" s="2">
        <v>45790.0</v>
      </c>
      <c r="C1026" s="9" t="s">
        <v>920</v>
      </c>
      <c r="D1026" s="1" t="s">
        <v>1551</v>
      </c>
      <c r="E1026" s="4">
        <v>3800.0</v>
      </c>
      <c r="F1026" s="4"/>
      <c r="G1026" s="4"/>
      <c r="H1026" s="4">
        <f>'data on outstanding creditors'!$E1026-'data on outstanding creditors'!$F1026-'data on outstanding creditors'!$G1026</f>
        <v>3800</v>
      </c>
      <c r="I1026" s="2"/>
      <c r="J1026" s="1" t="s">
        <v>646</v>
      </c>
      <c r="K1026" s="2">
        <v>45855.0</v>
      </c>
      <c r="L1026" s="5"/>
      <c r="M1026" s="9" t="s">
        <v>22</v>
      </c>
      <c r="N1026" s="9" t="s">
        <v>23</v>
      </c>
      <c r="O1026" s="10">
        <f>'data on outstanding creditors'!$E1026*100/107</f>
        <v>3551.401869</v>
      </c>
      <c r="P1026" s="10">
        <f>'data on outstanding creditors'!$E1026-'data on outstanding creditors'!$O1026</f>
        <v>248.5981308</v>
      </c>
      <c r="Q1026" s="7">
        <f>DAY('data on outstanding creditors'!$B1026)</f>
        <v>13</v>
      </c>
      <c r="R1026" s="7">
        <f>MONTH('data on outstanding creditors'!$B1026)</f>
        <v>5</v>
      </c>
      <c r="S1026" s="7">
        <f>YEAR('data on outstanding creditors'!$B1026)</f>
        <v>2025</v>
      </c>
      <c r="T1026" s="11" t="str">
        <f>'data on outstanding creditors'!$C1026&amp;" "&amp;'data on outstanding creditors'!$D1026&amp;" "&amp;TEXT('data on outstanding creditors'!$E1026,"#,##0.00")</f>
        <v>บ.โปลิฟาร์ม IVU-68019399 3,800.00</v>
      </c>
      <c r="U1026" s="12"/>
    </row>
    <row r="1027" ht="13.5" customHeight="1">
      <c r="A1027" s="1"/>
      <c r="B1027" s="2">
        <v>45790.0</v>
      </c>
      <c r="C1027" s="9" t="s">
        <v>1297</v>
      </c>
      <c r="D1027" s="1" t="s">
        <v>1552</v>
      </c>
      <c r="E1027" s="4">
        <v>5760.0</v>
      </c>
      <c r="F1027" s="4"/>
      <c r="G1027" s="4"/>
      <c r="H1027" s="4">
        <f>'data on outstanding creditors'!$E1027-'data on outstanding creditors'!$F1027-'data on outstanding creditors'!$G1027</f>
        <v>5760</v>
      </c>
      <c r="I1027" s="2"/>
      <c r="J1027" s="1" t="s">
        <v>646</v>
      </c>
      <c r="K1027" s="2">
        <v>45928.0</v>
      </c>
      <c r="L1027" s="5"/>
      <c r="M1027" s="9" t="s">
        <v>22</v>
      </c>
      <c r="N1027" s="9" t="s">
        <v>23</v>
      </c>
      <c r="O1027" s="10">
        <f>'data on outstanding creditors'!$E1027*100/107</f>
        <v>5383.17757</v>
      </c>
      <c r="P1027" s="10">
        <f>'data on outstanding creditors'!$E1027-'data on outstanding creditors'!$O1027</f>
        <v>376.8224299</v>
      </c>
      <c r="Q1027" s="7">
        <f>DAY('data on outstanding creditors'!$B1027)</f>
        <v>13</v>
      </c>
      <c r="R1027" s="7">
        <f>MONTH('data on outstanding creditors'!$B1027)</f>
        <v>5</v>
      </c>
      <c r="S1027" s="7">
        <f>YEAR('data on outstanding creditors'!$B1027)</f>
        <v>2025</v>
      </c>
      <c r="T1027" s="11" t="str">
        <f>'data on outstanding creditors'!$C1027&amp;" "&amp;'data on outstanding creditors'!$D1027&amp;" "&amp;TEXT('data on outstanding creditors'!$E1027,"#,##0.00")</f>
        <v>บ.แอตแลนติค ฟาร์มาซูติคอล PIN2515679 5,760.00</v>
      </c>
      <c r="U1027" s="12"/>
    </row>
    <row r="1028" ht="13.5" customHeight="1">
      <c r="A1028" s="1"/>
      <c r="B1028" s="2">
        <v>45792.0</v>
      </c>
      <c r="C1028" s="9" t="s">
        <v>252</v>
      </c>
      <c r="D1028" s="1" t="s">
        <v>1553</v>
      </c>
      <c r="E1028" s="4">
        <v>16500.0</v>
      </c>
      <c r="F1028" s="4"/>
      <c r="G1028" s="4"/>
      <c r="H1028" s="4">
        <f>'data on outstanding creditors'!$E1028-'data on outstanding creditors'!$F1028-'data on outstanding creditors'!$G1028</f>
        <v>16500</v>
      </c>
      <c r="I1028" s="2"/>
      <c r="J1028" s="1" t="s">
        <v>646</v>
      </c>
      <c r="K1028" s="2">
        <v>45887.0</v>
      </c>
      <c r="L1028" s="5"/>
      <c r="M1028" s="9" t="s">
        <v>22</v>
      </c>
      <c r="N1028" s="9" t="s">
        <v>23</v>
      </c>
      <c r="O1028" s="10">
        <f>'data on outstanding creditors'!$E1028*100/107</f>
        <v>15420.56075</v>
      </c>
      <c r="P1028" s="10">
        <f>'data on outstanding creditors'!$E1028-'data on outstanding creditors'!$O1028</f>
        <v>1079.439252</v>
      </c>
      <c r="Q1028" s="7">
        <f>DAY('data on outstanding creditors'!$B1028)</f>
        <v>15</v>
      </c>
      <c r="R1028" s="7">
        <f>MONTH('data on outstanding creditors'!$B1028)</f>
        <v>5</v>
      </c>
      <c r="S1028" s="7">
        <f>YEAR('data on outstanding creditors'!$B1028)</f>
        <v>2025</v>
      </c>
      <c r="T1028" s="11" t="str">
        <f>'data on outstanding creditors'!$C1028&amp;" "&amp;'data on outstanding creditors'!$D1028&amp;" "&amp;TEXT('data on outstanding creditors'!$E1028,"#,##0.00")</f>
        <v>บ.ฟาร์มาฮอฟ IV250509777 16,500.00</v>
      </c>
      <c r="U1028" s="12"/>
    </row>
    <row r="1029" ht="13.5" customHeight="1">
      <c r="A1029" s="1"/>
      <c r="B1029" s="2">
        <v>45792.0</v>
      </c>
      <c r="C1029" s="9" t="s">
        <v>1402</v>
      </c>
      <c r="D1029" s="1" t="s">
        <v>1554</v>
      </c>
      <c r="E1029" s="4">
        <v>9360.0</v>
      </c>
      <c r="F1029" s="4"/>
      <c r="G1029" s="4"/>
      <c r="H1029" s="4">
        <f>'data on outstanding creditors'!$E1029-'data on outstanding creditors'!$F1029-'data on outstanding creditors'!$G1029</f>
        <v>9360</v>
      </c>
      <c r="I1029" s="2"/>
      <c r="J1029" s="1" t="s">
        <v>646</v>
      </c>
      <c r="K1029" s="2">
        <v>45887.0</v>
      </c>
      <c r="L1029" s="5"/>
      <c r="M1029" s="9" t="s">
        <v>22</v>
      </c>
      <c r="N1029" s="9" t="s">
        <v>23</v>
      </c>
      <c r="O1029" s="10">
        <f>'data on outstanding creditors'!$E1029*100/107</f>
        <v>8747.663551</v>
      </c>
      <c r="P1029" s="10">
        <f>'data on outstanding creditors'!$E1029-'data on outstanding creditors'!$O1029</f>
        <v>612.3364486</v>
      </c>
      <c r="Q1029" s="7">
        <f>DAY('data on outstanding creditors'!$B1029)</f>
        <v>15</v>
      </c>
      <c r="R1029" s="7">
        <f>MONTH('data on outstanding creditors'!$B1029)</f>
        <v>5</v>
      </c>
      <c r="S1029" s="7">
        <f>YEAR('data on outstanding creditors'!$B1029)</f>
        <v>2025</v>
      </c>
      <c r="T1029" s="11" t="str">
        <f>'data on outstanding creditors'!$C1029&amp;" "&amp;'data on outstanding creditors'!$D1029&amp;" "&amp;TEXT('data on outstanding creditors'!$E1029,"#,##0.00")</f>
        <v>บ.โรงงานเภสัชกรรมแหลมทองการแพทย์ IV6804/0375 9,360.00</v>
      </c>
      <c r="U1029" s="12"/>
    </row>
    <row r="1030" ht="13.5" customHeight="1">
      <c r="A1030" s="1"/>
      <c r="B1030" s="2">
        <v>45792.0</v>
      </c>
      <c r="C1030" s="9" t="s">
        <v>263</v>
      </c>
      <c r="D1030" s="1" t="s">
        <v>1555</v>
      </c>
      <c r="E1030" s="4">
        <v>9900.0</v>
      </c>
      <c r="F1030" s="4"/>
      <c r="G1030" s="4"/>
      <c r="H1030" s="4">
        <f>'data on outstanding creditors'!$E1030-'data on outstanding creditors'!$F1030-'data on outstanding creditors'!$G1030</f>
        <v>9900</v>
      </c>
      <c r="I1030" s="2"/>
      <c r="J1030" s="1" t="s">
        <v>646</v>
      </c>
      <c r="K1030" s="2">
        <v>45928.0</v>
      </c>
      <c r="L1030" s="5"/>
      <c r="M1030" s="9" t="s">
        <v>22</v>
      </c>
      <c r="N1030" s="9" t="s">
        <v>23</v>
      </c>
      <c r="O1030" s="10">
        <f>'data on outstanding creditors'!$E1030*100/107</f>
        <v>9252.336449</v>
      </c>
      <c r="P1030" s="10">
        <f>'data on outstanding creditors'!$E1030-'data on outstanding creditors'!$O1030</f>
        <v>647.6635514</v>
      </c>
      <c r="Q1030" s="7">
        <f>DAY('data on outstanding creditors'!$B1030)</f>
        <v>15</v>
      </c>
      <c r="R1030" s="7">
        <f>MONTH('data on outstanding creditors'!$B1030)</f>
        <v>5</v>
      </c>
      <c r="S1030" s="7">
        <f>YEAR('data on outstanding creditors'!$B1030)</f>
        <v>2025</v>
      </c>
      <c r="T1030" s="11" t="str">
        <f>'data on outstanding creditors'!$C1030&amp;" "&amp;'data on outstanding creditors'!$D1030&amp;" "&amp;TEXT('data on outstanding creditors'!$E1030,"#,##0.00")</f>
        <v>บ.เอเบิ้ล เมดิคอล M2505/0079 9,900.00</v>
      </c>
      <c r="U1030" s="12"/>
    </row>
    <row r="1031" ht="13.5" customHeight="1">
      <c r="A1031" s="1"/>
      <c r="B1031" s="2">
        <v>45792.0</v>
      </c>
      <c r="C1031" s="9" t="s">
        <v>396</v>
      </c>
      <c r="D1031" s="1" t="s">
        <v>1556</v>
      </c>
      <c r="E1031" s="4">
        <v>44000.0</v>
      </c>
      <c r="F1031" s="4"/>
      <c r="G1031" s="4"/>
      <c r="H1031" s="4">
        <f>'data on outstanding creditors'!$E1031-'data on outstanding creditors'!$F1031-'data on outstanding creditors'!$G1031</f>
        <v>44000</v>
      </c>
      <c r="I1031" s="2"/>
      <c r="J1031" s="1" t="s">
        <v>757</v>
      </c>
      <c r="K1031" s="2">
        <v>45841.0</v>
      </c>
      <c r="L1031" s="5"/>
      <c r="M1031" s="9" t="s">
        <v>22</v>
      </c>
      <c r="N1031" s="9" t="s">
        <v>23</v>
      </c>
      <c r="O1031" s="10">
        <f>'data on outstanding creditors'!$E1031*100/107</f>
        <v>41121.49533</v>
      </c>
      <c r="P1031" s="10">
        <f>'data on outstanding creditors'!$E1031-'data on outstanding creditors'!$O1031</f>
        <v>2878.504673</v>
      </c>
      <c r="Q1031" s="7">
        <f>DAY('data on outstanding creditors'!$B1031)</f>
        <v>15</v>
      </c>
      <c r="R1031" s="7">
        <f>MONTH('data on outstanding creditors'!$B1031)</f>
        <v>5</v>
      </c>
      <c r="S1031" s="7">
        <f>YEAR('data on outstanding creditors'!$B1031)</f>
        <v>2025</v>
      </c>
      <c r="T1031" s="11" t="str">
        <f>'data on outstanding creditors'!$C1031&amp;" "&amp;'data on outstanding creditors'!$D1031&amp;" "&amp;TEXT('data on outstanding creditors'!$E1031,"#,##0.00")</f>
        <v>บ.เยเนอรัล ฮอสปิตัล โปรดัคส์ 25IN08045516 44,000.00</v>
      </c>
      <c r="U1031" s="12"/>
    </row>
    <row r="1032" ht="13.5" customHeight="1">
      <c r="A1032" s="1"/>
      <c r="B1032" s="2">
        <v>45792.0</v>
      </c>
      <c r="C1032" s="9" t="s">
        <v>1232</v>
      </c>
      <c r="D1032" s="1" t="s">
        <v>1557</v>
      </c>
      <c r="E1032" s="4">
        <v>4500.0</v>
      </c>
      <c r="F1032" s="4"/>
      <c r="G1032" s="4"/>
      <c r="H1032" s="4">
        <f>'data on outstanding creditors'!$E1032-'data on outstanding creditors'!$F1032-'data on outstanding creditors'!$G1032</f>
        <v>4500</v>
      </c>
      <c r="I1032" s="2"/>
      <c r="J1032" s="1" t="s">
        <v>757</v>
      </c>
      <c r="K1032" s="2">
        <v>45841.0</v>
      </c>
      <c r="L1032" s="5"/>
      <c r="M1032" s="9" t="s">
        <v>22</v>
      </c>
      <c r="N1032" s="9" t="s">
        <v>23</v>
      </c>
      <c r="O1032" s="10">
        <f>'data on outstanding creditors'!$E1032*100/107</f>
        <v>4205.607477</v>
      </c>
      <c r="P1032" s="10">
        <f>'data on outstanding creditors'!$E1032-'data on outstanding creditors'!$O1032</f>
        <v>294.3925234</v>
      </c>
      <c r="Q1032" s="7">
        <f>DAY('data on outstanding creditors'!$B1032)</f>
        <v>15</v>
      </c>
      <c r="R1032" s="7">
        <f>MONTH('data on outstanding creditors'!$B1032)</f>
        <v>5</v>
      </c>
      <c r="S1032" s="7">
        <f>YEAR('data on outstanding creditors'!$B1032)</f>
        <v>2025</v>
      </c>
      <c r="T1032" s="11" t="str">
        <f>'data on outstanding creditors'!$C1032&amp;" "&amp;'data on outstanding creditors'!$D1032&amp;" "&amp;TEXT('data on outstanding creditors'!$E1032,"#,##0.00")</f>
        <v>บ.มาสุ 256968 4,500.00</v>
      </c>
      <c r="U1032" s="12"/>
    </row>
    <row r="1033" ht="13.5" customHeight="1">
      <c r="A1033" s="1"/>
      <c r="B1033" s="2">
        <v>45792.0</v>
      </c>
      <c r="C1033" s="9" t="s">
        <v>1414</v>
      </c>
      <c r="D1033" s="1" t="s">
        <v>1558</v>
      </c>
      <c r="E1033" s="4">
        <v>37500.0</v>
      </c>
      <c r="F1033" s="4"/>
      <c r="G1033" s="4"/>
      <c r="H1033" s="4">
        <f>'data on outstanding creditors'!$E1033-'data on outstanding creditors'!$F1033-'data on outstanding creditors'!$G1033</f>
        <v>37500</v>
      </c>
      <c r="I1033" s="2"/>
      <c r="J1033" s="1" t="s">
        <v>646</v>
      </c>
      <c r="K1033" s="2">
        <v>45855.0</v>
      </c>
      <c r="L1033" s="5"/>
      <c r="M1033" s="9" t="s">
        <v>22</v>
      </c>
      <c r="N1033" s="9" t="s">
        <v>23</v>
      </c>
      <c r="O1033" s="10">
        <f>'data on outstanding creditors'!$E1033*100/107</f>
        <v>35046.72897</v>
      </c>
      <c r="P1033" s="10">
        <f>'data on outstanding creditors'!$E1033-'data on outstanding creditors'!$O1033</f>
        <v>2453.271028</v>
      </c>
      <c r="Q1033" s="7">
        <f>DAY('data on outstanding creditors'!$B1033)</f>
        <v>15</v>
      </c>
      <c r="R1033" s="7">
        <f>MONTH('data on outstanding creditors'!$B1033)</f>
        <v>5</v>
      </c>
      <c r="S1033" s="7">
        <f>YEAR('data on outstanding creditors'!$B1033)</f>
        <v>2025</v>
      </c>
      <c r="T1033" s="11" t="str">
        <f>'data on outstanding creditors'!$C1033&amp;" "&amp;'data on outstanding creditors'!$D1033&amp;" "&amp;TEXT('data on outstanding creditors'!$E1033,"#,##0.00")</f>
        <v>บ.ฟาร์มีน่า 68383797 37,500.00</v>
      </c>
      <c r="U1033" s="12"/>
    </row>
    <row r="1034" ht="13.5" customHeight="1">
      <c r="A1034" s="1"/>
      <c r="B1034" s="2">
        <v>45792.0</v>
      </c>
      <c r="C1034" s="9" t="s">
        <v>1230</v>
      </c>
      <c r="D1034" s="1" t="s">
        <v>1559</v>
      </c>
      <c r="E1034" s="4">
        <v>30000.0</v>
      </c>
      <c r="F1034" s="4"/>
      <c r="G1034" s="4"/>
      <c r="H1034" s="4">
        <f>'data on outstanding creditors'!$E1034-'data on outstanding creditors'!$F1034-'data on outstanding creditors'!$G1034</f>
        <v>30000</v>
      </c>
      <c r="I1034" s="2"/>
      <c r="J1034" s="1" t="s">
        <v>646</v>
      </c>
      <c r="K1034" s="2">
        <v>45928.0</v>
      </c>
      <c r="L1034" s="5"/>
      <c r="M1034" s="9" t="s">
        <v>22</v>
      </c>
      <c r="N1034" s="9" t="s">
        <v>23</v>
      </c>
      <c r="O1034" s="10">
        <f>'data on outstanding creditors'!$E1034*100/107</f>
        <v>28037.38318</v>
      </c>
      <c r="P1034" s="10">
        <f>'data on outstanding creditors'!$E1034-'data on outstanding creditors'!$O1034</f>
        <v>1962.616822</v>
      </c>
      <c r="Q1034" s="7">
        <f>DAY('data on outstanding creditors'!$B1034)</f>
        <v>15</v>
      </c>
      <c r="R1034" s="7">
        <f>MONTH('data on outstanding creditors'!$B1034)</f>
        <v>5</v>
      </c>
      <c r="S1034" s="7">
        <f>YEAR('data on outstanding creditors'!$B1034)</f>
        <v>2025</v>
      </c>
      <c r="T1034" s="11" t="str">
        <f>'data on outstanding creditors'!$C1034&amp;" "&amp;'data on outstanding creditors'!$D1034&amp;" "&amp;TEXT('data on outstanding creditors'!$E1034,"#,##0.00")</f>
        <v>บ.พรอส ฟาร์มา INV-L-IM\2025050868 30,000.00</v>
      </c>
      <c r="U1034" s="12"/>
    </row>
    <row r="1035" ht="13.5" customHeight="1">
      <c r="A1035" s="1"/>
      <c r="B1035" s="2">
        <v>45792.0</v>
      </c>
      <c r="C1035" s="9" t="s">
        <v>1560</v>
      </c>
      <c r="D1035" s="1" t="s">
        <v>1561</v>
      </c>
      <c r="E1035" s="4">
        <v>15408.0</v>
      </c>
      <c r="F1035" s="4"/>
      <c r="G1035" s="4"/>
      <c r="H1035" s="4">
        <f>'data on outstanding creditors'!$E1035-'data on outstanding creditors'!$F1035-'data on outstanding creditors'!$G1035</f>
        <v>15408</v>
      </c>
      <c r="I1035" s="2"/>
      <c r="J1035" s="1" t="s">
        <v>646</v>
      </c>
      <c r="K1035" s="2">
        <v>45877.0</v>
      </c>
      <c r="L1035" s="5"/>
      <c r="M1035" s="9" t="s">
        <v>22</v>
      </c>
      <c r="N1035" s="9" t="s">
        <v>23</v>
      </c>
      <c r="O1035" s="10">
        <f>'data on outstanding creditors'!$E1035*100/107</f>
        <v>14400</v>
      </c>
      <c r="P1035" s="10">
        <f>'data on outstanding creditors'!$E1035-'data on outstanding creditors'!$O1035</f>
        <v>1008</v>
      </c>
      <c r="Q1035" s="7">
        <f>DAY('data on outstanding creditors'!$B1035)</f>
        <v>15</v>
      </c>
      <c r="R1035" s="7">
        <f>MONTH('data on outstanding creditors'!$B1035)</f>
        <v>5</v>
      </c>
      <c r="S1035" s="7">
        <f>YEAR('data on outstanding creditors'!$B1035)</f>
        <v>2025</v>
      </c>
      <c r="T1035" s="11" t="str">
        <f>'data on outstanding creditors'!$C1035&amp;" "&amp;'data on outstanding creditors'!$D1035&amp;" "&amp;TEXT('data on outstanding creditors'!$E1035,"#,##0.00")</f>
        <v>บ.ยูนีซัน 105000003731 15,408.00</v>
      </c>
      <c r="U1035" s="12"/>
    </row>
    <row r="1036" ht="13.5" customHeight="1">
      <c r="A1036" s="1"/>
      <c r="B1036" s="2">
        <v>45792.0</v>
      </c>
      <c r="C1036" s="9" t="s">
        <v>922</v>
      </c>
      <c r="D1036" s="1" t="s">
        <v>1562</v>
      </c>
      <c r="E1036" s="4">
        <v>71640.0</v>
      </c>
      <c r="F1036" s="4"/>
      <c r="G1036" s="4"/>
      <c r="H1036" s="4">
        <f>'data on outstanding creditors'!$E1036-'data on outstanding creditors'!$F1036-'data on outstanding creditors'!$G1036</f>
        <v>71640</v>
      </c>
      <c r="I1036" s="2"/>
      <c r="J1036" s="1" t="s">
        <v>646</v>
      </c>
      <c r="K1036" s="2">
        <v>45855.0</v>
      </c>
      <c r="L1036" s="5"/>
      <c r="M1036" s="9" t="s">
        <v>22</v>
      </c>
      <c r="N1036" s="9" t="s">
        <v>23</v>
      </c>
      <c r="O1036" s="10">
        <f>'data on outstanding creditors'!$E1036*100/107</f>
        <v>66953.27103</v>
      </c>
      <c r="P1036" s="10">
        <f>'data on outstanding creditors'!$E1036-'data on outstanding creditors'!$O1036</f>
        <v>4686.728972</v>
      </c>
      <c r="Q1036" s="7">
        <f>DAY('data on outstanding creditors'!$B1036)</f>
        <v>15</v>
      </c>
      <c r="R1036" s="7">
        <f>MONTH('data on outstanding creditors'!$B1036)</f>
        <v>5</v>
      </c>
      <c r="S1036" s="7">
        <f>YEAR('data on outstanding creditors'!$B1036)</f>
        <v>2025</v>
      </c>
      <c r="T1036" s="11" t="str">
        <f>'data on outstanding creditors'!$C1036&amp;" "&amp;'data on outstanding creditors'!$D1036&amp;" "&amp;TEXT('data on outstanding creditors'!$E1036,"#,##0.00")</f>
        <v>บ.เบอร์ลินฟาร์มาซูติคอลอินดัสตรี้ 6810501887 71,640.00</v>
      </c>
      <c r="U1036" s="12"/>
    </row>
    <row r="1037" ht="13.5" customHeight="1">
      <c r="A1037" s="1"/>
      <c r="B1037" s="2">
        <v>45792.0</v>
      </c>
      <c r="C1037" s="9" t="s">
        <v>1530</v>
      </c>
      <c r="D1037" s="1" t="s">
        <v>1563</v>
      </c>
      <c r="E1037" s="4">
        <v>13032.0</v>
      </c>
      <c r="F1037" s="4"/>
      <c r="G1037" s="4"/>
      <c r="H1037" s="4">
        <f>'data on outstanding creditors'!$E1037-'data on outstanding creditors'!$F1037-'data on outstanding creditors'!$G1037</f>
        <v>13032</v>
      </c>
      <c r="I1037" s="2"/>
      <c r="J1037" s="1" t="s">
        <v>646</v>
      </c>
      <c r="K1037" s="2">
        <v>45877.0</v>
      </c>
      <c r="L1037" s="5"/>
      <c r="M1037" s="9" t="s">
        <v>22</v>
      </c>
      <c r="N1037" s="9" t="s">
        <v>23</v>
      </c>
      <c r="O1037" s="10">
        <f>'data on outstanding creditors'!$E1037*100/107</f>
        <v>12179.43925</v>
      </c>
      <c r="P1037" s="10">
        <f>'data on outstanding creditors'!$E1037-'data on outstanding creditors'!$O1037</f>
        <v>852.5607477</v>
      </c>
      <c r="Q1037" s="7">
        <f>DAY('data on outstanding creditors'!$B1037)</f>
        <v>15</v>
      </c>
      <c r="R1037" s="7">
        <f>MONTH('data on outstanding creditors'!$B1037)</f>
        <v>5</v>
      </c>
      <c r="S1037" s="7">
        <f>YEAR('data on outstanding creditors'!$B1037)</f>
        <v>2025</v>
      </c>
      <c r="T1037" s="11" t="str">
        <f>'data on outstanding creditors'!$C1037&amp;" "&amp;'data on outstanding creditors'!$D1037&amp;" "&amp;TEXT('data on outstanding creditors'!$E1037,"#,##0.00")</f>
        <v>บ.แสงไทยเมดิคอล A-05-0207/68 13,032.00</v>
      </c>
      <c r="U1037" s="12"/>
    </row>
    <row r="1038" ht="13.5" customHeight="1">
      <c r="A1038" s="1"/>
      <c r="B1038" s="2">
        <v>45797.0</v>
      </c>
      <c r="C1038" s="9" t="s">
        <v>1234</v>
      </c>
      <c r="D1038" s="1" t="s">
        <v>1564</v>
      </c>
      <c r="E1038" s="4">
        <v>8800.0</v>
      </c>
      <c r="F1038" s="4"/>
      <c r="G1038" s="4"/>
      <c r="H1038" s="4">
        <f>'data on outstanding creditors'!$E1038-'data on outstanding creditors'!$F1038-'data on outstanding creditors'!$G1038</f>
        <v>8800</v>
      </c>
      <c r="I1038" s="2"/>
      <c r="J1038" s="1" t="s">
        <v>646</v>
      </c>
      <c r="K1038" s="2">
        <v>45866.0</v>
      </c>
      <c r="L1038" s="5"/>
      <c r="M1038" s="9" t="s">
        <v>22</v>
      </c>
      <c r="N1038" s="9" t="s">
        <v>23</v>
      </c>
      <c r="O1038" s="10">
        <f>'data on outstanding creditors'!$E1038*100/107</f>
        <v>8224.299065</v>
      </c>
      <c r="P1038" s="10">
        <f>'data on outstanding creditors'!$E1038-'data on outstanding creditors'!$O1038</f>
        <v>575.7009346</v>
      </c>
      <c r="Q1038" s="7">
        <f>DAY('data on outstanding creditors'!$B1038)</f>
        <v>20</v>
      </c>
      <c r="R1038" s="7">
        <f>MONTH('data on outstanding creditors'!$B1038)</f>
        <v>5</v>
      </c>
      <c r="S1038" s="7">
        <f>YEAR('data on outstanding creditors'!$B1038)</f>
        <v>2025</v>
      </c>
      <c r="T1038" s="11" t="str">
        <f>'data on outstanding creditors'!$C1038&amp;" "&amp;'data on outstanding creditors'!$D1038&amp;" "&amp;TEXT('data on outstanding creditors'!$E1038,"#,##0.00")</f>
        <v>บ.คอนติเนนเติล-ฟาร์ม 250500355 8,800.00</v>
      </c>
      <c r="U1038" s="12"/>
    </row>
    <row r="1039" ht="13.5" customHeight="1">
      <c r="A1039" s="1"/>
      <c r="B1039" s="2">
        <v>45797.0</v>
      </c>
      <c r="C1039" s="9" t="s">
        <v>1414</v>
      </c>
      <c r="D1039" s="1" t="s">
        <v>1565</v>
      </c>
      <c r="E1039" s="4">
        <v>11200.0</v>
      </c>
      <c r="F1039" s="4"/>
      <c r="G1039" s="4"/>
      <c r="H1039" s="4">
        <f>'data on outstanding creditors'!$E1039-'data on outstanding creditors'!$F1039-'data on outstanding creditors'!$G1039</f>
        <v>11200</v>
      </c>
      <c r="I1039" s="2"/>
      <c r="J1039" s="1" t="s">
        <v>646</v>
      </c>
      <c r="K1039" s="2">
        <v>45855.0</v>
      </c>
      <c r="L1039" s="5"/>
      <c r="M1039" s="9" t="s">
        <v>22</v>
      </c>
      <c r="N1039" s="9" t="s">
        <v>23</v>
      </c>
      <c r="O1039" s="10">
        <f>'data on outstanding creditors'!$E1039*100/107</f>
        <v>10467.28972</v>
      </c>
      <c r="P1039" s="10">
        <f>'data on outstanding creditors'!$E1039-'data on outstanding creditors'!$O1039</f>
        <v>732.7102804</v>
      </c>
      <c r="Q1039" s="7">
        <f>DAY('data on outstanding creditors'!$B1039)</f>
        <v>20</v>
      </c>
      <c r="R1039" s="7">
        <f>MONTH('data on outstanding creditors'!$B1039)</f>
        <v>5</v>
      </c>
      <c r="S1039" s="7">
        <f>YEAR('data on outstanding creditors'!$B1039)</f>
        <v>2025</v>
      </c>
      <c r="T1039" s="11" t="str">
        <f>'data on outstanding creditors'!$C1039&amp;" "&amp;'data on outstanding creditors'!$D1039&amp;" "&amp;TEXT('data on outstanding creditors'!$E1039,"#,##0.00")</f>
        <v>บ.ฟาร์มีน่า 68383835 11,200.00</v>
      </c>
      <c r="U1039" s="12"/>
    </row>
    <row r="1040" ht="13.5" customHeight="1">
      <c r="A1040" s="1"/>
      <c r="B1040" s="2">
        <v>45797.0</v>
      </c>
      <c r="C1040" s="9" t="s">
        <v>1230</v>
      </c>
      <c r="D1040" s="1" t="s">
        <v>1566</v>
      </c>
      <c r="E1040" s="4">
        <v>70000.0</v>
      </c>
      <c r="F1040" s="4"/>
      <c r="G1040" s="4"/>
      <c r="H1040" s="4">
        <f>'data on outstanding creditors'!$E1040-'data on outstanding creditors'!$F1040-'data on outstanding creditors'!$G1040</f>
        <v>70000</v>
      </c>
      <c r="I1040" s="2"/>
      <c r="J1040" s="1" t="s">
        <v>646</v>
      </c>
      <c r="K1040" s="2">
        <v>45928.0</v>
      </c>
      <c r="L1040" s="5"/>
      <c r="M1040" s="9" t="s">
        <v>22</v>
      </c>
      <c r="N1040" s="9" t="s">
        <v>23</v>
      </c>
      <c r="O1040" s="10">
        <f>'data on outstanding creditors'!$E1040*100/107</f>
        <v>65420.56075</v>
      </c>
      <c r="P1040" s="10">
        <f>'data on outstanding creditors'!$E1040-'data on outstanding creditors'!$O1040</f>
        <v>4579.439252</v>
      </c>
      <c r="Q1040" s="7">
        <f>DAY('data on outstanding creditors'!$B1040)</f>
        <v>20</v>
      </c>
      <c r="R1040" s="7">
        <f>MONTH('data on outstanding creditors'!$B1040)</f>
        <v>5</v>
      </c>
      <c r="S1040" s="7">
        <f>YEAR('data on outstanding creditors'!$B1040)</f>
        <v>2025</v>
      </c>
      <c r="T1040" s="11" t="str">
        <f>'data on outstanding creditors'!$C1040&amp;" "&amp;'data on outstanding creditors'!$D1040&amp;" "&amp;TEXT('data on outstanding creditors'!$E1040,"#,##0.00")</f>
        <v>บ.พรอส ฟาร์มา INV-L-IM\2025050862 70,000.00</v>
      </c>
      <c r="U1040" s="12"/>
    </row>
    <row r="1041" ht="13.5" customHeight="1">
      <c r="A1041" s="1"/>
      <c r="B1041" s="2">
        <v>45798.0</v>
      </c>
      <c r="C1041" s="9" t="s">
        <v>771</v>
      </c>
      <c r="D1041" s="1" t="s">
        <v>1567</v>
      </c>
      <c r="E1041" s="4">
        <v>20580.0</v>
      </c>
      <c r="F1041" s="4"/>
      <c r="G1041" s="4"/>
      <c r="H1041" s="4">
        <f>'data on outstanding creditors'!$E1041-'data on outstanding creditors'!$F1041-'data on outstanding creditors'!$G1041</f>
        <v>20580</v>
      </c>
      <c r="I1041" s="2"/>
      <c r="J1041" s="1" t="s">
        <v>646</v>
      </c>
      <c r="K1041" s="2">
        <v>45928.0</v>
      </c>
      <c r="L1041" s="5"/>
      <c r="M1041" s="9" t="s">
        <v>22</v>
      </c>
      <c r="N1041" s="9" t="s">
        <v>23</v>
      </c>
      <c r="O1041" s="10">
        <f>'data on outstanding creditors'!$E1041*100/107</f>
        <v>19233.64486</v>
      </c>
      <c r="P1041" s="10">
        <f>'data on outstanding creditors'!$E1041-'data on outstanding creditors'!$O1041</f>
        <v>1346.35514</v>
      </c>
      <c r="Q1041" s="7">
        <f>DAY('data on outstanding creditors'!$B1041)</f>
        <v>21</v>
      </c>
      <c r="R1041" s="7">
        <f>MONTH('data on outstanding creditors'!$B1041)</f>
        <v>5</v>
      </c>
      <c r="S1041" s="7">
        <f>YEAR('data on outstanding creditors'!$B1041)</f>
        <v>2025</v>
      </c>
      <c r="T1041" s="11" t="str">
        <f>'data on outstanding creditors'!$C1041&amp;" "&amp;'data on outstanding creditors'!$D1041&amp;" "&amp;TEXT('data on outstanding creditors'!$E1041,"#,##0.00")</f>
        <v>หจก.ภิญโญฟาร์มาซี IV6819842 20,580.00</v>
      </c>
      <c r="U1041" s="12"/>
    </row>
    <row r="1042" ht="13.5" customHeight="1">
      <c r="A1042" s="1"/>
      <c r="B1042" s="2">
        <v>45798.0</v>
      </c>
      <c r="C1042" s="9" t="s">
        <v>250</v>
      </c>
      <c r="D1042" s="1" t="s">
        <v>1568</v>
      </c>
      <c r="E1042" s="4">
        <v>13910.0</v>
      </c>
      <c r="F1042" s="4"/>
      <c r="G1042" s="4"/>
      <c r="H1042" s="4">
        <f>'data on outstanding creditors'!$E1042-'data on outstanding creditors'!$F1042-'data on outstanding creditors'!$G1042</f>
        <v>13910</v>
      </c>
      <c r="I1042" s="2"/>
      <c r="J1042" s="1" t="s">
        <v>646</v>
      </c>
      <c r="K1042" s="2">
        <v>45906.0</v>
      </c>
      <c r="L1042" s="5"/>
      <c r="M1042" s="9" t="s">
        <v>22</v>
      </c>
      <c r="N1042" s="9" t="s">
        <v>23</v>
      </c>
      <c r="O1042" s="10">
        <f>'data on outstanding creditors'!$E1042*100/107</f>
        <v>13000</v>
      </c>
      <c r="P1042" s="10">
        <f>'data on outstanding creditors'!$E1042-'data on outstanding creditors'!$O1042</f>
        <v>910</v>
      </c>
      <c r="Q1042" s="7">
        <f>DAY('data on outstanding creditors'!$B1042)</f>
        <v>21</v>
      </c>
      <c r="R1042" s="7">
        <f>MONTH('data on outstanding creditors'!$B1042)</f>
        <v>5</v>
      </c>
      <c r="S1042" s="7">
        <f>YEAR('data on outstanding creditors'!$B1042)</f>
        <v>2025</v>
      </c>
      <c r="T1042" s="11" t="str">
        <f>'data on outstanding creditors'!$C1042&amp;" "&amp;'data on outstanding creditors'!$D1042&amp;" "&amp;TEXT('data on outstanding creditors'!$E1042,"#,##0.00")</f>
        <v>บ.เกร๊ทเตอร์มายบาซิน #01-GM-1-2-2-2025006955 13,910.00</v>
      </c>
      <c r="U1042" s="12"/>
    </row>
    <row r="1043" ht="13.5" customHeight="1">
      <c r="A1043" s="1"/>
      <c r="B1043" s="2">
        <v>45798.0</v>
      </c>
      <c r="C1043" s="9" t="s">
        <v>250</v>
      </c>
      <c r="D1043" s="1" t="s">
        <v>1569</v>
      </c>
      <c r="E1043" s="4">
        <v>13910.0</v>
      </c>
      <c r="F1043" s="4"/>
      <c r="G1043" s="4"/>
      <c r="H1043" s="4">
        <f>'data on outstanding creditors'!$E1043-'data on outstanding creditors'!$F1043-'data on outstanding creditors'!$G1043</f>
        <v>13910</v>
      </c>
      <c r="I1043" s="2"/>
      <c r="J1043" s="1" t="s">
        <v>646</v>
      </c>
      <c r="K1043" s="2">
        <v>45906.0</v>
      </c>
      <c r="L1043" s="5"/>
      <c r="M1043" s="9" t="s">
        <v>22</v>
      </c>
      <c r="N1043" s="9" t="s">
        <v>23</v>
      </c>
      <c r="O1043" s="10">
        <f>'data on outstanding creditors'!$E1043*100/107</f>
        <v>13000</v>
      </c>
      <c r="P1043" s="10">
        <f>'data on outstanding creditors'!$E1043-'data on outstanding creditors'!$O1043</f>
        <v>910</v>
      </c>
      <c r="Q1043" s="7">
        <f>DAY('data on outstanding creditors'!$B1043)</f>
        <v>21</v>
      </c>
      <c r="R1043" s="7">
        <f>MONTH('data on outstanding creditors'!$B1043)</f>
        <v>5</v>
      </c>
      <c r="S1043" s="7">
        <f>YEAR('data on outstanding creditors'!$B1043)</f>
        <v>2025</v>
      </c>
      <c r="T1043" s="11" t="str">
        <f>'data on outstanding creditors'!$C1043&amp;" "&amp;'data on outstanding creditors'!$D1043&amp;" "&amp;TEXT('data on outstanding creditors'!$E1043,"#,##0.00")</f>
        <v>บ.เกร๊ทเตอร์มายบาซิน #01-GM-1-2-2-2025008059 13,910.00</v>
      </c>
      <c r="U1043" s="12"/>
    </row>
    <row r="1044" ht="13.5" customHeight="1">
      <c r="A1044" s="1"/>
      <c r="B1044" s="2">
        <v>45798.0</v>
      </c>
      <c r="C1044" s="9" t="s">
        <v>761</v>
      </c>
      <c r="D1044" s="1" t="s">
        <v>1570</v>
      </c>
      <c r="E1044" s="4">
        <v>114900.0</v>
      </c>
      <c r="F1044" s="4"/>
      <c r="G1044" s="4"/>
      <c r="H1044" s="4">
        <f>'data on outstanding creditors'!$E1044-'data on outstanding creditors'!$F1044-'data on outstanding creditors'!$G1044</f>
        <v>114900</v>
      </c>
      <c r="I1044" s="2"/>
      <c r="J1044" s="1" t="s">
        <v>646</v>
      </c>
      <c r="K1044" s="2">
        <v>45866.0</v>
      </c>
      <c r="L1044" s="5"/>
      <c r="M1044" s="9" t="s">
        <v>22</v>
      </c>
      <c r="N1044" s="9" t="s">
        <v>23</v>
      </c>
      <c r="O1044" s="10">
        <f>'data on outstanding creditors'!$E1044*100/107</f>
        <v>107383.1776</v>
      </c>
      <c r="P1044" s="10">
        <f>'data on outstanding creditors'!$E1044-'data on outstanding creditors'!$O1044</f>
        <v>7516.82243</v>
      </c>
      <c r="Q1044" s="7">
        <f>DAY('data on outstanding creditors'!$B1044)</f>
        <v>21</v>
      </c>
      <c r="R1044" s="7">
        <f>MONTH('data on outstanding creditors'!$B1044)</f>
        <v>5</v>
      </c>
      <c r="S1044" s="7">
        <f>YEAR('data on outstanding creditors'!$B1044)</f>
        <v>2025</v>
      </c>
      <c r="T1044" s="11" t="str">
        <f>'data on outstanding creditors'!$C1044&amp;" "&amp;'data on outstanding creditors'!$D1044&amp;" "&amp;TEXT('data on outstanding creditors'!$E1044,"#,##0.00")</f>
        <v>บ.แมคโครฟาร์แลบ ML25052655 114,900.00</v>
      </c>
      <c r="U1044" s="12"/>
    </row>
    <row r="1045" ht="13.5" customHeight="1">
      <c r="A1045" s="1"/>
      <c r="B1045" s="2">
        <v>45798.0</v>
      </c>
      <c r="C1045" s="9" t="s">
        <v>1391</v>
      </c>
      <c r="D1045" s="1" t="s">
        <v>1571</v>
      </c>
      <c r="E1045" s="4">
        <v>24750.0</v>
      </c>
      <c r="F1045" s="4"/>
      <c r="G1045" s="4"/>
      <c r="H1045" s="4">
        <f>'data on outstanding creditors'!$E1045-'data on outstanding creditors'!$F1045-'data on outstanding creditors'!$G1045</f>
        <v>24750</v>
      </c>
      <c r="I1045" s="2"/>
      <c r="J1045" s="1" t="s">
        <v>646</v>
      </c>
      <c r="K1045" s="2">
        <v>45928.0</v>
      </c>
      <c r="L1045" s="5"/>
      <c r="M1045" s="9" t="s">
        <v>22</v>
      </c>
      <c r="N1045" s="9" t="s">
        <v>23</v>
      </c>
      <c r="O1045" s="10">
        <f>'data on outstanding creditors'!$E1045*100/107</f>
        <v>23130.84112</v>
      </c>
      <c r="P1045" s="10">
        <f>'data on outstanding creditors'!$E1045-'data on outstanding creditors'!$O1045</f>
        <v>1619.158879</v>
      </c>
      <c r="Q1045" s="7">
        <f>DAY('data on outstanding creditors'!$B1045)</f>
        <v>21</v>
      </c>
      <c r="R1045" s="7">
        <f>MONTH('data on outstanding creditors'!$B1045)</f>
        <v>5</v>
      </c>
      <c r="S1045" s="7">
        <f>YEAR('data on outstanding creditors'!$B1045)</f>
        <v>2025</v>
      </c>
      <c r="T1045" s="11" t="str">
        <f>'data on outstanding creditors'!$C1045&amp;" "&amp;'data on outstanding creditors'!$D1045&amp;" "&amp;TEXT('data on outstanding creditors'!$E1045,"#,##0.00")</f>
        <v>บ.ที.พี.ดรัก แลบบอราทอรี่ส์ VIV125050485 24,750.00</v>
      </c>
      <c r="U1045" s="12"/>
    </row>
    <row r="1046" ht="13.5" customHeight="1">
      <c r="A1046" s="1"/>
      <c r="B1046" s="2">
        <v>45798.0</v>
      </c>
      <c r="C1046" s="9" t="s">
        <v>1228</v>
      </c>
      <c r="D1046" s="1" t="s">
        <v>1572</v>
      </c>
      <c r="E1046" s="4">
        <v>18300.0</v>
      </c>
      <c r="F1046" s="4"/>
      <c r="G1046" s="4"/>
      <c r="H1046" s="4">
        <f>'data on outstanding creditors'!$E1046-'data on outstanding creditors'!$F1046-'data on outstanding creditors'!$G1046</f>
        <v>18300</v>
      </c>
      <c r="I1046" s="2"/>
      <c r="J1046" s="1" t="s">
        <v>646</v>
      </c>
      <c r="K1046" s="2">
        <v>45928.0</v>
      </c>
      <c r="L1046" s="5"/>
      <c r="M1046" s="9" t="s">
        <v>22</v>
      </c>
      <c r="N1046" s="9" t="s">
        <v>23</v>
      </c>
      <c r="O1046" s="10">
        <f>'data on outstanding creditors'!$E1046*100/107</f>
        <v>17102.80374</v>
      </c>
      <c r="P1046" s="10">
        <f>'data on outstanding creditors'!$E1046-'data on outstanding creditors'!$O1046</f>
        <v>1197.196262</v>
      </c>
      <c r="Q1046" s="7">
        <f>DAY('data on outstanding creditors'!$B1046)</f>
        <v>21</v>
      </c>
      <c r="R1046" s="7">
        <f>MONTH('data on outstanding creditors'!$B1046)</f>
        <v>5</v>
      </c>
      <c r="S1046" s="7">
        <f>YEAR('data on outstanding creditors'!$B1046)</f>
        <v>2025</v>
      </c>
      <c r="T1046" s="11" t="str">
        <f>'data on outstanding creditors'!$C1046&amp;" "&amp;'data on outstanding creditors'!$D1046&amp;" "&amp;TEXT('data on outstanding creditors'!$E1046,"#,##0.00")</f>
        <v>บ.2เอ็ม(เมด-เมเกอร์) Z0094570 18,300.00</v>
      </c>
      <c r="U1046" s="12"/>
    </row>
    <row r="1047" ht="13.5" customHeight="1">
      <c r="A1047" s="1"/>
      <c r="B1047" s="2">
        <v>45798.0</v>
      </c>
      <c r="C1047" s="9" t="s">
        <v>1247</v>
      </c>
      <c r="D1047" s="1" t="s">
        <v>1573</v>
      </c>
      <c r="E1047" s="4">
        <v>7490.0</v>
      </c>
      <c r="F1047" s="4"/>
      <c r="G1047" s="4"/>
      <c r="H1047" s="4">
        <f>'data on outstanding creditors'!$E1047-'data on outstanding creditors'!$F1047-'data on outstanding creditors'!$G1047</f>
        <v>7490</v>
      </c>
      <c r="I1047" s="2"/>
      <c r="J1047" s="1" t="s">
        <v>646</v>
      </c>
      <c r="K1047" s="2">
        <v>45954.0</v>
      </c>
      <c r="L1047" s="5"/>
      <c r="M1047" s="9" t="s">
        <v>22</v>
      </c>
      <c r="N1047" s="9" t="s">
        <v>23</v>
      </c>
      <c r="O1047" s="10">
        <f>'data on outstanding creditors'!$E1047*100/107</f>
        <v>7000</v>
      </c>
      <c r="P1047" s="10">
        <f>'data on outstanding creditors'!$E1047-'data on outstanding creditors'!$O1047</f>
        <v>490</v>
      </c>
      <c r="Q1047" s="7">
        <f>DAY('data on outstanding creditors'!$B1047)</f>
        <v>21</v>
      </c>
      <c r="R1047" s="7">
        <f>MONTH('data on outstanding creditors'!$B1047)</f>
        <v>5</v>
      </c>
      <c r="S1047" s="7">
        <f>YEAR('data on outstanding creditors'!$B1047)</f>
        <v>2025</v>
      </c>
      <c r="T1047" s="11" t="str">
        <f>'data on outstanding creditors'!$C1047&amp;" "&amp;'data on outstanding creditors'!$D1047&amp;" "&amp;TEXT('data on outstanding creditors'!$E1047,"#,##0.00")</f>
        <v>บ.เอ.เอ็น.บี.ลาบอรอตอรี่ 8370872265 7,490.00</v>
      </c>
      <c r="U1047" s="12"/>
    </row>
    <row r="1048" ht="13.5" customHeight="1">
      <c r="A1048" s="1"/>
      <c r="B1048" s="2">
        <v>45798.0</v>
      </c>
      <c r="C1048" s="9" t="s">
        <v>780</v>
      </c>
      <c r="D1048" s="1" t="s">
        <v>1574</v>
      </c>
      <c r="E1048" s="4">
        <v>16050.0</v>
      </c>
      <c r="F1048" s="4"/>
      <c r="G1048" s="4"/>
      <c r="H1048" s="4">
        <f>'data on outstanding creditors'!$E1048-'data on outstanding creditors'!$F1048-'data on outstanding creditors'!$G1048</f>
        <v>16050</v>
      </c>
      <c r="I1048" s="2"/>
      <c r="J1048" s="1" t="s">
        <v>646</v>
      </c>
      <c r="K1048" s="2">
        <v>45855.0</v>
      </c>
      <c r="L1048" s="5"/>
      <c r="M1048" s="9" t="s">
        <v>22</v>
      </c>
      <c r="N1048" s="9" t="s">
        <v>23</v>
      </c>
      <c r="O1048" s="10">
        <f>'data on outstanding creditors'!$E1048*100/107</f>
        <v>15000</v>
      </c>
      <c r="P1048" s="10">
        <f>'data on outstanding creditors'!$E1048-'data on outstanding creditors'!$O1048</f>
        <v>1050</v>
      </c>
      <c r="Q1048" s="7">
        <f>DAY('data on outstanding creditors'!$B1048)</f>
        <v>21</v>
      </c>
      <c r="R1048" s="7">
        <f>MONTH('data on outstanding creditors'!$B1048)</f>
        <v>5</v>
      </c>
      <c r="S1048" s="7">
        <f>YEAR('data on outstanding creditors'!$B1048)</f>
        <v>2025</v>
      </c>
      <c r="T1048" s="11" t="str">
        <f>'data on outstanding creditors'!$C1048&amp;" "&amp;'data on outstanding creditors'!$D1048&amp;" "&amp;TEXT('data on outstanding creditors'!$E1048,"#,##0.00")</f>
        <v>บ.แคสป้า ฟาร์มาซูติคอล(ประเทศไทย) C68050191 16,050.00</v>
      </c>
      <c r="U1048" s="12"/>
    </row>
    <row r="1049" ht="13.5" customHeight="1">
      <c r="A1049" s="1"/>
      <c r="B1049" s="2">
        <v>45798.0</v>
      </c>
      <c r="C1049" s="9" t="s">
        <v>263</v>
      </c>
      <c r="D1049" s="1" t="s">
        <v>1575</v>
      </c>
      <c r="E1049" s="4">
        <v>25800.0</v>
      </c>
      <c r="F1049" s="4"/>
      <c r="G1049" s="4"/>
      <c r="H1049" s="4">
        <f>'data on outstanding creditors'!$E1049-'data on outstanding creditors'!$F1049-'data on outstanding creditors'!$G1049</f>
        <v>25800</v>
      </c>
      <c r="I1049" s="2"/>
      <c r="J1049" s="1" t="s">
        <v>646</v>
      </c>
      <c r="K1049" s="2">
        <v>45928.0</v>
      </c>
      <c r="L1049" s="5"/>
      <c r="M1049" s="9" t="s">
        <v>22</v>
      </c>
      <c r="N1049" s="9" t="s">
        <v>23</v>
      </c>
      <c r="O1049" s="10">
        <f>'data on outstanding creditors'!$E1049*100/107</f>
        <v>24112.14953</v>
      </c>
      <c r="P1049" s="10">
        <f>'data on outstanding creditors'!$E1049-'data on outstanding creditors'!$O1049</f>
        <v>1687.850467</v>
      </c>
      <c r="Q1049" s="7">
        <f>DAY('data on outstanding creditors'!$B1049)</f>
        <v>21</v>
      </c>
      <c r="R1049" s="7">
        <f>MONTH('data on outstanding creditors'!$B1049)</f>
        <v>5</v>
      </c>
      <c r="S1049" s="7">
        <f>YEAR('data on outstanding creditors'!$B1049)</f>
        <v>2025</v>
      </c>
      <c r="T1049" s="11" t="str">
        <f>'data on outstanding creditors'!$C1049&amp;" "&amp;'data on outstanding creditors'!$D1049&amp;" "&amp;TEXT('data on outstanding creditors'!$E1049,"#,##0.00")</f>
        <v>บ.เอเบิ้ล เมดิคอล B2505/0151 25,800.00</v>
      </c>
      <c r="U1049" s="12"/>
    </row>
    <row r="1050" ht="13.5" customHeight="1">
      <c r="A1050" s="1"/>
      <c r="B1050" s="2">
        <v>45798.0</v>
      </c>
      <c r="C1050" s="9" t="s">
        <v>1288</v>
      </c>
      <c r="D1050" s="1" t="s">
        <v>1576</v>
      </c>
      <c r="E1050" s="4">
        <v>11969.02</v>
      </c>
      <c r="F1050" s="4"/>
      <c r="G1050" s="4"/>
      <c r="H1050" s="4">
        <f>'data on outstanding creditors'!$E1050-'data on outstanding creditors'!$F1050-'data on outstanding creditors'!$G1050</f>
        <v>11969.02</v>
      </c>
      <c r="I1050" s="2"/>
      <c r="J1050" s="1" t="s">
        <v>646</v>
      </c>
      <c r="K1050" s="2">
        <v>45856.0</v>
      </c>
      <c r="L1050" s="5"/>
      <c r="M1050" s="9" t="s">
        <v>22</v>
      </c>
      <c r="N1050" s="9" t="s">
        <v>23</v>
      </c>
      <c r="O1050" s="10">
        <f>'data on outstanding creditors'!$E1050*100/107</f>
        <v>11186</v>
      </c>
      <c r="P1050" s="10">
        <f>'data on outstanding creditors'!$E1050-'data on outstanding creditors'!$O1050</f>
        <v>783.02</v>
      </c>
      <c r="Q1050" s="7">
        <f>DAY('data on outstanding creditors'!$B1050)</f>
        <v>21</v>
      </c>
      <c r="R1050" s="7">
        <f>MONTH('data on outstanding creditors'!$B1050)</f>
        <v>5</v>
      </c>
      <c r="S1050" s="7">
        <f>YEAR('data on outstanding creditors'!$B1050)</f>
        <v>2025</v>
      </c>
      <c r="T1050" s="11" t="str">
        <f>'data on outstanding creditors'!$C1050&amp;" "&amp;'data on outstanding creditors'!$D1050&amp;" "&amp;TEXT('data on outstanding creditors'!$E1050,"#,##0.00")</f>
        <v>บ.เจ เอส วิชั่น 100504445 11,969.02</v>
      </c>
      <c r="U1050" s="12"/>
    </row>
    <row r="1051" ht="13.5" customHeight="1">
      <c r="A1051" s="1"/>
      <c r="B1051" s="2">
        <v>45799.0</v>
      </c>
      <c r="C1051" s="9" t="s">
        <v>1391</v>
      </c>
      <c r="D1051" s="1" t="s">
        <v>1577</v>
      </c>
      <c r="E1051" s="4">
        <v>17400.0</v>
      </c>
      <c r="F1051" s="4"/>
      <c r="G1051" s="4"/>
      <c r="H1051" s="4">
        <f>'data on outstanding creditors'!$E1051-'data on outstanding creditors'!$F1051-'data on outstanding creditors'!$G1051</f>
        <v>17400</v>
      </c>
      <c r="I1051" s="2"/>
      <c r="J1051" s="1" t="s">
        <v>646</v>
      </c>
      <c r="K1051" s="2">
        <v>45928.0</v>
      </c>
      <c r="L1051" s="5"/>
      <c r="M1051" s="9" t="s">
        <v>22</v>
      </c>
      <c r="N1051" s="9" t="s">
        <v>23</v>
      </c>
      <c r="O1051" s="10">
        <f>'data on outstanding creditors'!$E1051*100/107</f>
        <v>16261.68224</v>
      </c>
      <c r="P1051" s="10">
        <f>'data on outstanding creditors'!$E1051-'data on outstanding creditors'!$O1051</f>
        <v>1138.317757</v>
      </c>
      <c r="Q1051" s="7">
        <f>DAY('data on outstanding creditors'!$B1051)</f>
        <v>22</v>
      </c>
      <c r="R1051" s="7">
        <f>MONTH('data on outstanding creditors'!$B1051)</f>
        <v>5</v>
      </c>
      <c r="S1051" s="7">
        <f>YEAR('data on outstanding creditors'!$B1051)</f>
        <v>2025</v>
      </c>
      <c r="T1051" s="11" t="str">
        <f>'data on outstanding creditors'!$C1051&amp;" "&amp;'data on outstanding creditors'!$D1051&amp;" "&amp;TEXT('data on outstanding creditors'!$E1051,"#,##0.00")</f>
        <v>บ.ที.พี.ดรัก แลบบอราทอรี่ส์ VIV125050712 17,400.00</v>
      </c>
      <c r="U1051" s="12"/>
    </row>
    <row r="1052" ht="13.5" customHeight="1">
      <c r="A1052" s="1"/>
      <c r="B1052" s="2">
        <v>45799.0</v>
      </c>
      <c r="C1052" s="9" t="s">
        <v>256</v>
      </c>
      <c r="D1052" s="1" t="s">
        <v>1578</v>
      </c>
      <c r="E1052" s="4">
        <v>4500.0</v>
      </c>
      <c r="F1052" s="4"/>
      <c r="G1052" s="4"/>
      <c r="H1052" s="4">
        <f>'data on outstanding creditors'!$E1052-'data on outstanding creditors'!$F1052-'data on outstanding creditors'!$G1052</f>
        <v>4500</v>
      </c>
      <c r="I1052" s="2"/>
      <c r="J1052" s="1" t="s">
        <v>646</v>
      </c>
      <c r="K1052" s="2">
        <v>45928.0</v>
      </c>
      <c r="L1052" s="5"/>
      <c r="M1052" s="9" t="s">
        <v>22</v>
      </c>
      <c r="N1052" s="9" t="s">
        <v>23</v>
      </c>
      <c r="O1052" s="10">
        <f>'data on outstanding creditors'!$E1052*100/107</f>
        <v>4205.607477</v>
      </c>
      <c r="P1052" s="10">
        <f>'data on outstanding creditors'!$E1052-'data on outstanding creditors'!$O1052</f>
        <v>294.3925234</v>
      </c>
      <c r="Q1052" s="7">
        <f>DAY('data on outstanding creditors'!$B1052)</f>
        <v>22</v>
      </c>
      <c r="R1052" s="7">
        <f>MONTH('data on outstanding creditors'!$B1052)</f>
        <v>5</v>
      </c>
      <c r="S1052" s="7">
        <f>YEAR('data on outstanding creditors'!$B1052)</f>
        <v>2025</v>
      </c>
      <c r="T1052" s="11" t="str">
        <f>'data on outstanding creditors'!$C1052&amp;" "&amp;'data on outstanding creditors'!$D1052&amp;" "&amp;TEXT('data on outstanding creditors'!$E1052,"#,##0.00")</f>
        <v>บ.พาตาร์แลบ(2517) INV125051071 4,500.00</v>
      </c>
      <c r="U1052" s="12"/>
    </row>
    <row r="1053" ht="13.5" customHeight="1">
      <c r="A1053" s="1"/>
      <c r="B1053" s="2">
        <v>45799.0</v>
      </c>
      <c r="C1053" s="9" t="s">
        <v>1349</v>
      </c>
      <c r="D1053" s="1" t="s">
        <v>1579</v>
      </c>
      <c r="E1053" s="4">
        <v>29670.0</v>
      </c>
      <c r="F1053" s="4"/>
      <c r="G1053" s="4"/>
      <c r="H1053" s="4">
        <f>'data on outstanding creditors'!$E1053-'data on outstanding creditors'!$F1053-'data on outstanding creditors'!$G1053</f>
        <v>29670</v>
      </c>
      <c r="I1053" s="2"/>
      <c r="J1053" s="1" t="s">
        <v>646</v>
      </c>
      <c r="K1053" s="2">
        <v>45944.0</v>
      </c>
      <c r="L1053" s="5"/>
      <c r="M1053" s="9" t="s">
        <v>22</v>
      </c>
      <c r="N1053" s="9" t="s">
        <v>23</v>
      </c>
      <c r="O1053" s="10">
        <f>'data on outstanding creditors'!$E1053*100/107</f>
        <v>27728.97196</v>
      </c>
      <c r="P1053" s="10">
        <f>'data on outstanding creditors'!$E1053-'data on outstanding creditors'!$O1053</f>
        <v>1941.028037</v>
      </c>
      <c r="Q1053" s="7">
        <f>DAY('data on outstanding creditors'!$B1053)</f>
        <v>22</v>
      </c>
      <c r="R1053" s="7">
        <f>MONTH('data on outstanding creditors'!$B1053)</f>
        <v>5</v>
      </c>
      <c r="S1053" s="7">
        <f>YEAR('data on outstanding creditors'!$B1053)</f>
        <v>2025</v>
      </c>
      <c r="T1053" s="11" t="str">
        <f>'data on outstanding creditors'!$C1053&amp;" "&amp;'data on outstanding creditors'!$D1053&amp;" "&amp;TEXT('data on outstanding creditors'!$E1053,"#,##0.00")</f>
        <v>บ.ฟาร์มาดิกา DIS250509-046 29,670.00</v>
      </c>
      <c r="U1053" s="12"/>
    </row>
    <row r="1054" ht="13.5" customHeight="1">
      <c r="A1054" s="1"/>
      <c r="B1054" s="2">
        <v>45799.0</v>
      </c>
      <c r="C1054" s="9" t="s">
        <v>1432</v>
      </c>
      <c r="D1054" s="1" t="s">
        <v>1580</v>
      </c>
      <c r="E1054" s="4">
        <v>2200.0</v>
      </c>
      <c r="F1054" s="4"/>
      <c r="G1054" s="4"/>
      <c r="H1054" s="4">
        <f>'data on outstanding creditors'!$E1054-'data on outstanding creditors'!$F1054-'data on outstanding creditors'!$G1054</f>
        <v>2200</v>
      </c>
      <c r="I1054" s="2"/>
      <c r="J1054" s="1" t="s">
        <v>646</v>
      </c>
      <c r="K1054" s="2">
        <v>45877.0</v>
      </c>
      <c r="L1054" s="5"/>
      <c r="M1054" s="9" t="s">
        <v>22</v>
      </c>
      <c r="N1054" s="9" t="s">
        <v>23</v>
      </c>
      <c r="O1054" s="10">
        <f>'data on outstanding creditors'!$E1054*100/107</f>
        <v>2056.074766</v>
      </c>
      <c r="P1054" s="10">
        <f>'data on outstanding creditors'!$E1054-'data on outstanding creditors'!$O1054</f>
        <v>143.9252336</v>
      </c>
      <c r="Q1054" s="7">
        <f>DAY('data on outstanding creditors'!$B1054)</f>
        <v>22</v>
      </c>
      <c r="R1054" s="7">
        <f>MONTH('data on outstanding creditors'!$B1054)</f>
        <v>5</v>
      </c>
      <c r="S1054" s="7">
        <f>YEAR('data on outstanding creditors'!$B1054)</f>
        <v>2025</v>
      </c>
      <c r="T1054" s="11" t="str">
        <f>'data on outstanding creditors'!$C1054&amp;" "&amp;'data on outstanding creditors'!$D1054&amp;" "&amp;TEXT('data on outstanding creditors'!$E1054,"#,##0.00")</f>
        <v>บ.ยูโทเปี้ยน PB6805184 2,200.00</v>
      </c>
      <c r="U1054" s="12"/>
    </row>
    <row r="1055" ht="13.5" customHeight="1">
      <c r="A1055" s="1"/>
      <c r="B1055" s="2">
        <v>45799.0</v>
      </c>
      <c r="C1055" s="9" t="s">
        <v>1432</v>
      </c>
      <c r="D1055" s="1" t="s">
        <v>1581</v>
      </c>
      <c r="E1055" s="4">
        <v>3396.0</v>
      </c>
      <c r="F1055" s="4"/>
      <c r="G1055" s="4"/>
      <c r="H1055" s="4">
        <f>'data on outstanding creditors'!$E1055-'data on outstanding creditors'!$F1055-'data on outstanding creditors'!$G1055</f>
        <v>3396</v>
      </c>
      <c r="I1055" s="2"/>
      <c r="J1055" s="1" t="s">
        <v>646</v>
      </c>
      <c r="K1055" s="2">
        <v>45877.0</v>
      </c>
      <c r="L1055" s="5"/>
      <c r="M1055" s="9" t="s">
        <v>22</v>
      </c>
      <c r="N1055" s="9" t="s">
        <v>23</v>
      </c>
      <c r="O1055" s="10">
        <f>'data on outstanding creditors'!$E1055*100/107</f>
        <v>3173.831776</v>
      </c>
      <c r="P1055" s="10">
        <f>'data on outstanding creditors'!$E1055-'data on outstanding creditors'!$O1055</f>
        <v>222.1682243</v>
      </c>
      <c r="Q1055" s="7">
        <f>DAY('data on outstanding creditors'!$B1055)</f>
        <v>22</v>
      </c>
      <c r="R1055" s="7">
        <f>MONTH('data on outstanding creditors'!$B1055)</f>
        <v>5</v>
      </c>
      <c r="S1055" s="7">
        <f>YEAR('data on outstanding creditors'!$B1055)</f>
        <v>2025</v>
      </c>
      <c r="T1055" s="11" t="str">
        <f>'data on outstanding creditors'!$C1055&amp;" "&amp;'data on outstanding creditors'!$D1055&amp;" "&amp;TEXT('data on outstanding creditors'!$E1055,"#,##0.00")</f>
        <v>บ.ยูโทเปี้ยน IV2505167 3,396.00</v>
      </c>
      <c r="U1055" s="12"/>
    </row>
    <row r="1056" ht="13.5" customHeight="1">
      <c r="A1056" s="1"/>
      <c r="B1056" s="2">
        <v>45799.0</v>
      </c>
      <c r="C1056" s="9" t="s">
        <v>1560</v>
      </c>
      <c r="D1056" s="1" t="s">
        <v>1582</v>
      </c>
      <c r="E1056" s="4">
        <v>15000.0</v>
      </c>
      <c r="F1056" s="4"/>
      <c r="G1056" s="4"/>
      <c r="H1056" s="4">
        <f>'data on outstanding creditors'!$E1056-'data on outstanding creditors'!$F1056-'data on outstanding creditors'!$G1056</f>
        <v>15000</v>
      </c>
      <c r="I1056" s="2"/>
      <c r="J1056" s="1" t="s">
        <v>646</v>
      </c>
      <c r="K1056" s="2">
        <v>45877.0</v>
      </c>
      <c r="L1056" s="5"/>
      <c r="M1056" s="9" t="s">
        <v>22</v>
      </c>
      <c r="N1056" s="9" t="s">
        <v>23</v>
      </c>
      <c r="O1056" s="10">
        <f>'data on outstanding creditors'!$E1056*100/107</f>
        <v>14018.69159</v>
      </c>
      <c r="P1056" s="10">
        <f>'data on outstanding creditors'!$E1056-'data on outstanding creditors'!$O1056</f>
        <v>981.3084112</v>
      </c>
      <c r="Q1056" s="7">
        <f>DAY('data on outstanding creditors'!$B1056)</f>
        <v>22</v>
      </c>
      <c r="R1056" s="7">
        <f>MONTH('data on outstanding creditors'!$B1056)</f>
        <v>5</v>
      </c>
      <c r="S1056" s="7">
        <f>YEAR('data on outstanding creditors'!$B1056)</f>
        <v>2025</v>
      </c>
      <c r="T1056" s="11" t="str">
        <f>'data on outstanding creditors'!$C1056&amp;" "&amp;'data on outstanding creditors'!$D1056&amp;" "&amp;TEXT('data on outstanding creditors'!$E1056,"#,##0.00")</f>
        <v>บ.ยูนีซัน 105000004183 15,000.00</v>
      </c>
      <c r="U1056" s="12"/>
    </row>
    <row r="1057" ht="13.5" customHeight="1">
      <c r="A1057" s="1"/>
      <c r="B1057" s="2">
        <v>45799.0</v>
      </c>
      <c r="C1057" s="9" t="s">
        <v>1245</v>
      </c>
      <c r="D1057" s="1" t="s">
        <v>1583</v>
      </c>
      <c r="E1057" s="4">
        <v>24000.0</v>
      </c>
      <c r="F1057" s="4"/>
      <c r="G1057" s="4"/>
      <c r="H1057" s="4">
        <f>'data on outstanding creditors'!$E1057-'data on outstanding creditors'!$F1057-'data on outstanding creditors'!$G1057</f>
        <v>24000</v>
      </c>
      <c r="I1057" s="2"/>
      <c r="J1057" s="1" t="s">
        <v>757</v>
      </c>
      <c r="K1057" s="2">
        <v>45842.0</v>
      </c>
      <c r="L1057" s="5"/>
      <c r="M1057" s="9" t="s">
        <v>22</v>
      </c>
      <c r="N1057" s="9" t="s">
        <v>23</v>
      </c>
      <c r="O1057" s="10">
        <f>'data on outstanding creditors'!$E1057*100/107</f>
        <v>22429.90654</v>
      </c>
      <c r="P1057" s="10">
        <f>'data on outstanding creditors'!$E1057-'data on outstanding creditors'!$O1057</f>
        <v>1570.093458</v>
      </c>
      <c r="Q1057" s="7">
        <f>DAY('data on outstanding creditors'!$B1057)</f>
        <v>22</v>
      </c>
      <c r="R1057" s="7">
        <f>MONTH('data on outstanding creditors'!$B1057)</f>
        <v>5</v>
      </c>
      <c r="S1057" s="7">
        <f>YEAR('data on outstanding creditors'!$B1057)</f>
        <v>2025</v>
      </c>
      <c r="T1057" s="11" t="str">
        <f>'data on outstanding creditors'!$C1057&amp;" "&amp;'data on outstanding creditors'!$D1057&amp;" "&amp;TEXT('data on outstanding creditors'!$E1057,"#,##0.00")</f>
        <v>บ.สามัคคีเภสัช DM-251005356 24,000.00</v>
      </c>
      <c r="U1057" s="12"/>
    </row>
    <row r="1058" ht="13.5" customHeight="1">
      <c r="A1058" s="1"/>
      <c r="B1058" s="2">
        <v>45799.0</v>
      </c>
      <c r="C1058" s="9" t="s">
        <v>259</v>
      </c>
      <c r="D1058" s="1" t="s">
        <v>1584</v>
      </c>
      <c r="E1058" s="4">
        <v>102000.0</v>
      </c>
      <c r="F1058" s="4"/>
      <c r="G1058" s="4"/>
      <c r="H1058" s="4">
        <f>'data on outstanding creditors'!$E1058-'data on outstanding creditors'!$F1058-'data on outstanding creditors'!$G1058</f>
        <v>102000</v>
      </c>
      <c r="I1058" s="2"/>
      <c r="J1058" s="1" t="s">
        <v>757</v>
      </c>
      <c r="K1058" s="2">
        <v>45842.0</v>
      </c>
      <c r="L1058" s="5"/>
      <c r="M1058" s="9" t="s">
        <v>22</v>
      </c>
      <c r="N1058" s="9" t="s">
        <v>23</v>
      </c>
      <c r="O1058" s="10">
        <f>'data on outstanding creditors'!$E1058*100/107</f>
        <v>95327.1028</v>
      </c>
      <c r="P1058" s="10">
        <f>'data on outstanding creditors'!$E1058-'data on outstanding creditors'!$O1058</f>
        <v>6672.897196</v>
      </c>
      <c r="Q1058" s="7">
        <f>DAY('data on outstanding creditors'!$B1058)</f>
        <v>22</v>
      </c>
      <c r="R1058" s="7">
        <f>MONTH('data on outstanding creditors'!$B1058)</f>
        <v>5</v>
      </c>
      <c r="S1058" s="7">
        <f>YEAR('data on outstanding creditors'!$B1058)</f>
        <v>2025</v>
      </c>
      <c r="T1058" s="11" t="str">
        <f>'data on outstanding creditors'!$C1058&amp;" "&amp;'data on outstanding creditors'!$D1058&amp;" "&amp;TEXT('data on outstanding creditors'!$E1058,"#,##0.00")</f>
        <v>บ.ที.โอ.เคมีคอลส์(1979) T6805/20138 102,000.00</v>
      </c>
      <c r="U1058" s="12"/>
    </row>
    <row r="1059" ht="13.5" customHeight="1">
      <c r="A1059" s="1"/>
      <c r="B1059" s="2">
        <v>45799.0</v>
      </c>
      <c r="C1059" s="9" t="s">
        <v>771</v>
      </c>
      <c r="D1059" s="1" t="s">
        <v>1585</v>
      </c>
      <c r="E1059" s="4">
        <v>3150.0</v>
      </c>
      <c r="F1059" s="4"/>
      <c r="G1059" s="4"/>
      <c r="H1059" s="4">
        <f>'data on outstanding creditors'!$E1059-'data on outstanding creditors'!$F1059-'data on outstanding creditors'!$G1059</f>
        <v>3150</v>
      </c>
      <c r="I1059" s="2"/>
      <c r="J1059" s="1" t="s">
        <v>646</v>
      </c>
      <c r="K1059" s="2">
        <v>45842.0</v>
      </c>
      <c r="L1059" s="5"/>
      <c r="M1059" s="9" t="s">
        <v>22</v>
      </c>
      <c r="N1059" s="9" t="s">
        <v>23</v>
      </c>
      <c r="O1059" s="10">
        <f>'data on outstanding creditors'!$E1059*100/107</f>
        <v>2943.925234</v>
      </c>
      <c r="P1059" s="10">
        <f>'data on outstanding creditors'!$E1059-'data on outstanding creditors'!$O1059</f>
        <v>206.0747664</v>
      </c>
      <c r="Q1059" s="7">
        <f>DAY('data on outstanding creditors'!$B1059)</f>
        <v>22</v>
      </c>
      <c r="R1059" s="7">
        <f>MONTH('data on outstanding creditors'!$B1059)</f>
        <v>5</v>
      </c>
      <c r="S1059" s="7">
        <f>YEAR('data on outstanding creditors'!$B1059)</f>
        <v>2025</v>
      </c>
      <c r="T1059" s="11" t="str">
        <f>'data on outstanding creditors'!$C1059&amp;" "&amp;'data on outstanding creditors'!$D1059&amp;" "&amp;TEXT('data on outstanding creditors'!$E1059,"#,##0.00")</f>
        <v>หจก.ภิญโญฟาร์มาซี IV6824764 3,150.00</v>
      </c>
      <c r="U1059" s="12"/>
    </row>
    <row r="1060" ht="13.5" customHeight="1">
      <c r="A1060" s="1"/>
      <c r="B1060" s="2">
        <v>45799.0</v>
      </c>
      <c r="C1060" s="9" t="s">
        <v>771</v>
      </c>
      <c r="D1060" s="1" t="s">
        <v>1586</v>
      </c>
      <c r="E1060" s="4">
        <v>16700.0</v>
      </c>
      <c r="F1060" s="4"/>
      <c r="G1060" s="4"/>
      <c r="H1060" s="4">
        <f>'data on outstanding creditors'!$E1060-'data on outstanding creditors'!$F1060-'data on outstanding creditors'!$G1060</f>
        <v>16700</v>
      </c>
      <c r="I1060" s="2"/>
      <c r="J1060" s="1" t="s">
        <v>646</v>
      </c>
      <c r="K1060" s="2">
        <v>45842.0</v>
      </c>
      <c r="L1060" s="5"/>
      <c r="M1060" s="9" t="s">
        <v>22</v>
      </c>
      <c r="N1060" s="9" t="s">
        <v>23</v>
      </c>
      <c r="O1060" s="10">
        <f>'data on outstanding creditors'!$E1060*100/107</f>
        <v>15607.47664</v>
      </c>
      <c r="P1060" s="10">
        <f>'data on outstanding creditors'!$E1060-'data on outstanding creditors'!$O1060</f>
        <v>1092.523364</v>
      </c>
      <c r="Q1060" s="7">
        <f>DAY('data on outstanding creditors'!$B1060)</f>
        <v>22</v>
      </c>
      <c r="R1060" s="7">
        <f>MONTH('data on outstanding creditors'!$B1060)</f>
        <v>5</v>
      </c>
      <c r="S1060" s="7">
        <f>YEAR('data on outstanding creditors'!$B1060)</f>
        <v>2025</v>
      </c>
      <c r="T1060" s="11" t="str">
        <f>'data on outstanding creditors'!$C1060&amp;" "&amp;'data on outstanding creditors'!$D1060&amp;" "&amp;TEXT('data on outstanding creditors'!$E1060,"#,##0.00")</f>
        <v>หจก.ภิญโญฟาร์มาซี IV6824763 16,700.00</v>
      </c>
      <c r="U1060" s="12"/>
    </row>
    <row r="1061" ht="13.5" customHeight="1">
      <c r="A1061" s="1"/>
      <c r="B1061" s="2">
        <v>45800.0</v>
      </c>
      <c r="C1061" s="9" t="s">
        <v>813</v>
      </c>
      <c r="D1061" s="1" t="s">
        <v>1587</v>
      </c>
      <c r="E1061" s="4">
        <v>16000.0</v>
      </c>
      <c r="F1061" s="4"/>
      <c r="G1061" s="4"/>
      <c r="H1061" s="4">
        <f>'data on outstanding creditors'!$E1061-'data on outstanding creditors'!$F1061-'data on outstanding creditors'!$G1061</f>
        <v>16000</v>
      </c>
      <c r="I1061" s="2"/>
      <c r="J1061" s="1" t="s">
        <v>646</v>
      </c>
      <c r="K1061" s="2">
        <v>45906.0</v>
      </c>
      <c r="L1061" s="5"/>
      <c r="M1061" s="9" t="s">
        <v>22</v>
      </c>
      <c r="N1061" s="9" t="s">
        <v>23</v>
      </c>
      <c r="O1061" s="10">
        <f>'data on outstanding creditors'!$E1061*100/107</f>
        <v>14953.27103</v>
      </c>
      <c r="P1061" s="10">
        <f>'data on outstanding creditors'!$E1061-'data on outstanding creditors'!$O1061</f>
        <v>1046.728972</v>
      </c>
      <c r="Q1061" s="7">
        <f>DAY('data on outstanding creditors'!$B1061)</f>
        <v>23</v>
      </c>
      <c r="R1061" s="7">
        <f>MONTH('data on outstanding creditors'!$B1061)</f>
        <v>5</v>
      </c>
      <c r="S1061" s="7">
        <f>YEAR('data on outstanding creditors'!$B1061)</f>
        <v>2025</v>
      </c>
      <c r="T1061" s="11" t="str">
        <f>'data on outstanding creditors'!$C1061&amp;" "&amp;'data on outstanding creditors'!$D1061&amp;" "&amp;TEXT('data on outstanding creditors'!$E1061,"#,##0.00")</f>
        <v>บ.ที.แมน ฟาร์มาซูติคอล IST250075424 16,000.00</v>
      </c>
      <c r="U1061" s="12"/>
    </row>
    <row r="1062" ht="13.5" customHeight="1">
      <c r="A1062" s="1"/>
      <c r="B1062" s="2">
        <v>45800.0</v>
      </c>
      <c r="C1062" s="9" t="s">
        <v>1402</v>
      </c>
      <c r="D1062" s="1" t="s">
        <v>1588</v>
      </c>
      <c r="E1062" s="4">
        <v>18720.0</v>
      </c>
      <c r="F1062" s="4"/>
      <c r="G1062" s="4"/>
      <c r="H1062" s="4">
        <f>'data on outstanding creditors'!$E1062-'data on outstanding creditors'!$F1062-'data on outstanding creditors'!$G1062</f>
        <v>18720</v>
      </c>
      <c r="I1062" s="2"/>
      <c r="J1062" s="1" t="s">
        <v>646</v>
      </c>
      <c r="K1062" s="2">
        <v>45887.0</v>
      </c>
      <c r="L1062" s="5"/>
      <c r="M1062" s="9" t="s">
        <v>22</v>
      </c>
      <c r="N1062" s="9" t="s">
        <v>23</v>
      </c>
      <c r="O1062" s="10">
        <f>'data on outstanding creditors'!$E1062*100/107</f>
        <v>17495.3271</v>
      </c>
      <c r="P1062" s="10">
        <f>'data on outstanding creditors'!$E1062-'data on outstanding creditors'!$O1062</f>
        <v>1224.672897</v>
      </c>
      <c r="Q1062" s="7">
        <f>DAY('data on outstanding creditors'!$B1062)</f>
        <v>23</v>
      </c>
      <c r="R1062" s="7">
        <f>MONTH('data on outstanding creditors'!$B1062)</f>
        <v>5</v>
      </c>
      <c r="S1062" s="7">
        <f>YEAR('data on outstanding creditors'!$B1062)</f>
        <v>2025</v>
      </c>
      <c r="T1062" s="11" t="str">
        <f>'data on outstanding creditors'!$C1062&amp;" "&amp;'data on outstanding creditors'!$D1062&amp;" "&amp;TEXT('data on outstanding creditors'!$E1062,"#,##0.00")</f>
        <v>บ.โรงงานเภสัชกรรมแหลมทองการแพทย์ IV6805/0222 18,720.00</v>
      </c>
      <c r="U1062" s="12"/>
    </row>
    <row r="1063" ht="13.5" customHeight="1">
      <c r="A1063" s="1"/>
      <c r="B1063" s="2">
        <v>45800.0</v>
      </c>
      <c r="C1063" s="9" t="s">
        <v>884</v>
      </c>
      <c r="D1063" s="1" t="s">
        <v>1589</v>
      </c>
      <c r="E1063" s="4">
        <v>40000.0</v>
      </c>
      <c r="F1063" s="4"/>
      <c r="G1063" s="4"/>
      <c r="H1063" s="4">
        <f>'data on outstanding creditors'!$E1063-'data on outstanding creditors'!$F1063-'data on outstanding creditors'!$G1063</f>
        <v>40000</v>
      </c>
      <c r="I1063" s="2"/>
      <c r="J1063" s="1" t="s">
        <v>646</v>
      </c>
      <c r="K1063" s="2">
        <v>45866.0</v>
      </c>
      <c r="L1063" s="5"/>
      <c r="M1063" s="9" t="s">
        <v>22</v>
      </c>
      <c r="N1063" s="9" t="s">
        <v>23</v>
      </c>
      <c r="O1063" s="10">
        <f>'data on outstanding creditors'!$E1063*100/107</f>
        <v>37383.17757</v>
      </c>
      <c r="P1063" s="10">
        <f>'data on outstanding creditors'!$E1063-'data on outstanding creditors'!$O1063</f>
        <v>2616.82243</v>
      </c>
      <c r="Q1063" s="7">
        <f>DAY('data on outstanding creditors'!$B1063)</f>
        <v>23</v>
      </c>
      <c r="R1063" s="7">
        <f>MONTH('data on outstanding creditors'!$B1063)</f>
        <v>5</v>
      </c>
      <c r="S1063" s="7">
        <f>YEAR('data on outstanding creditors'!$B1063)</f>
        <v>2025</v>
      </c>
      <c r="T1063" s="11" t="str">
        <f>'data on outstanding creditors'!$C1063&amp;" "&amp;'data on outstanding creditors'!$D1063&amp;" "&amp;TEXT('data on outstanding creditors'!$E1063,"#,##0.00")</f>
        <v>บ.เอสพีเอส เมดิคอล 112505001997 40,000.00</v>
      </c>
      <c r="U1063" s="12"/>
    </row>
    <row r="1064" ht="13.5" customHeight="1">
      <c r="A1064" s="1"/>
      <c r="B1064" s="2">
        <v>45800.0</v>
      </c>
      <c r="C1064" s="9" t="s">
        <v>780</v>
      </c>
      <c r="D1064" s="1" t="s">
        <v>1590</v>
      </c>
      <c r="E1064" s="4">
        <v>73188.0</v>
      </c>
      <c r="F1064" s="4"/>
      <c r="G1064" s="4"/>
      <c r="H1064" s="4">
        <f>'data on outstanding creditors'!$E1064-'data on outstanding creditors'!$F1064-'data on outstanding creditors'!$G1064</f>
        <v>73188</v>
      </c>
      <c r="I1064" s="2"/>
      <c r="J1064" s="1" t="s">
        <v>646</v>
      </c>
      <c r="K1064" s="2">
        <v>45855.0</v>
      </c>
      <c r="L1064" s="5"/>
      <c r="M1064" s="9" t="s">
        <v>22</v>
      </c>
      <c r="N1064" s="9" t="s">
        <v>23</v>
      </c>
      <c r="O1064" s="10">
        <f>'data on outstanding creditors'!$E1064*100/107</f>
        <v>68400</v>
      </c>
      <c r="P1064" s="10">
        <f>'data on outstanding creditors'!$E1064-'data on outstanding creditors'!$O1064</f>
        <v>4788</v>
      </c>
      <c r="Q1064" s="7">
        <f>DAY('data on outstanding creditors'!$B1064)</f>
        <v>23</v>
      </c>
      <c r="R1064" s="7">
        <f>MONTH('data on outstanding creditors'!$B1064)</f>
        <v>5</v>
      </c>
      <c r="S1064" s="7">
        <f>YEAR('data on outstanding creditors'!$B1064)</f>
        <v>2025</v>
      </c>
      <c r="T1064" s="11" t="str">
        <f>'data on outstanding creditors'!$C1064&amp;" "&amp;'data on outstanding creditors'!$D1064&amp;" "&amp;TEXT('data on outstanding creditors'!$E1064,"#,##0.00")</f>
        <v>บ.แคสป้า ฟาร์มาซูติคอล(ประเทศไทย) C68050283 73,188.00</v>
      </c>
      <c r="U1064" s="12"/>
    </row>
    <row r="1065" ht="13.5" customHeight="1">
      <c r="A1065" s="1"/>
      <c r="B1065" s="2">
        <v>45800.0</v>
      </c>
      <c r="C1065" s="9" t="s">
        <v>1381</v>
      </c>
      <c r="D1065" s="1" t="s">
        <v>1591</v>
      </c>
      <c r="E1065" s="4">
        <v>18000.0</v>
      </c>
      <c r="F1065" s="4"/>
      <c r="G1065" s="4"/>
      <c r="H1065" s="4">
        <f>'data on outstanding creditors'!$E1065-'data on outstanding creditors'!$F1065-'data on outstanding creditors'!$G1065</f>
        <v>18000</v>
      </c>
      <c r="I1065" s="2"/>
      <c r="J1065" s="1" t="s">
        <v>646</v>
      </c>
      <c r="K1065" s="2">
        <v>45877.0</v>
      </c>
      <c r="L1065" s="5"/>
      <c r="M1065" s="9" t="s">
        <v>22</v>
      </c>
      <c r="N1065" s="9" t="s">
        <v>23</v>
      </c>
      <c r="O1065" s="10">
        <f>'data on outstanding creditors'!$E1065*100/107</f>
        <v>16822.42991</v>
      </c>
      <c r="P1065" s="10">
        <f>'data on outstanding creditors'!$E1065-'data on outstanding creditors'!$O1065</f>
        <v>1177.570093</v>
      </c>
      <c r="Q1065" s="7">
        <f>DAY('data on outstanding creditors'!$B1065)</f>
        <v>23</v>
      </c>
      <c r="R1065" s="7">
        <f>MONTH('data on outstanding creditors'!$B1065)</f>
        <v>5</v>
      </c>
      <c r="S1065" s="7">
        <f>YEAR('data on outstanding creditors'!$B1065)</f>
        <v>2025</v>
      </c>
      <c r="T1065" s="11" t="str">
        <f>'data on outstanding creditors'!$C1065&amp;" "&amp;'data on outstanding creditors'!$D1065&amp;" "&amp;TEXT('data on outstanding creditors'!$E1065,"#,##0.00")</f>
        <v>บ.ที เอ็น พี เฮลท์แคร์ 8103332634 18,000.00</v>
      </c>
      <c r="U1065" s="12"/>
    </row>
    <row r="1066" ht="13.5" customHeight="1">
      <c r="A1066" s="1"/>
      <c r="B1066" s="2">
        <v>45804.0</v>
      </c>
      <c r="C1066" s="9" t="s">
        <v>922</v>
      </c>
      <c r="D1066" s="1" t="s">
        <v>1592</v>
      </c>
      <c r="E1066" s="4">
        <v>78000.0</v>
      </c>
      <c r="F1066" s="4"/>
      <c r="G1066" s="4"/>
      <c r="H1066" s="4">
        <f>'data on outstanding creditors'!$E1066-'data on outstanding creditors'!$F1066-'data on outstanding creditors'!$G1066</f>
        <v>78000</v>
      </c>
      <c r="I1066" s="2"/>
      <c r="J1066" s="1" t="s">
        <v>646</v>
      </c>
      <c r="K1066" s="2">
        <v>45928.0</v>
      </c>
      <c r="L1066" s="5"/>
      <c r="M1066" s="9" t="s">
        <v>22</v>
      </c>
      <c r="N1066" s="9" t="s">
        <v>23</v>
      </c>
      <c r="O1066" s="10">
        <f>'data on outstanding creditors'!$E1066*100/107</f>
        <v>72897.19626</v>
      </c>
      <c r="P1066" s="10">
        <f>'data on outstanding creditors'!$E1066-'data on outstanding creditors'!$O1066</f>
        <v>5102.803738</v>
      </c>
      <c r="Q1066" s="7">
        <f>DAY('data on outstanding creditors'!$B1066)</f>
        <v>27</v>
      </c>
      <c r="R1066" s="7">
        <f>MONTH('data on outstanding creditors'!$B1066)</f>
        <v>5</v>
      </c>
      <c r="S1066" s="7">
        <f>YEAR('data on outstanding creditors'!$B1066)</f>
        <v>2025</v>
      </c>
      <c r="T1066" s="11" t="str">
        <f>'data on outstanding creditors'!$C1066&amp;" "&amp;'data on outstanding creditors'!$D1066&amp;" "&amp;TEXT('data on outstanding creditors'!$E1066,"#,##0.00")</f>
        <v>บ.เบอร์ลินฟาร์มาซูติคอลอินดัสตรี้ 6810505289 78,000.00</v>
      </c>
      <c r="U1066" s="12"/>
    </row>
    <row r="1067" ht="13.5" customHeight="1">
      <c r="A1067" s="1"/>
      <c r="B1067" s="2">
        <v>45804.0</v>
      </c>
      <c r="C1067" s="9" t="s">
        <v>256</v>
      </c>
      <c r="D1067" s="1" t="s">
        <v>1593</v>
      </c>
      <c r="E1067" s="4">
        <v>80000.0</v>
      </c>
      <c r="F1067" s="4"/>
      <c r="G1067" s="4"/>
      <c r="H1067" s="4">
        <f>'data on outstanding creditors'!$E1067-'data on outstanding creditors'!$F1067-'data on outstanding creditors'!$G1067</f>
        <v>80000</v>
      </c>
      <c r="I1067" s="2"/>
      <c r="J1067" s="1" t="s">
        <v>646</v>
      </c>
      <c r="K1067" s="2">
        <v>45928.0</v>
      </c>
      <c r="L1067" s="5"/>
      <c r="M1067" s="9" t="s">
        <v>22</v>
      </c>
      <c r="N1067" s="9" t="s">
        <v>23</v>
      </c>
      <c r="O1067" s="10">
        <f>'data on outstanding creditors'!$E1067*100/107</f>
        <v>74766.35514</v>
      </c>
      <c r="P1067" s="10">
        <f>'data on outstanding creditors'!$E1067-'data on outstanding creditors'!$O1067</f>
        <v>5233.64486</v>
      </c>
      <c r="Q1067" s="7">
        <f>DAY('data on outstanding creditors'!$B1067)</f>
        <v>27</v>
      </c>
      <c r="R1067" s="7">
        <f>MONTH('data on outstanding creditors'!$B1067)</f>
        <v>5</v>
      </c>
      <c r="S1067" s="7">
        <f>YEAR('data on outstanding creditors'!$B1067)</f>
        <v>2025</v>
      </c>
      <c r="T1067" s="11" t="str">
        <f>'data on outstanding creditors'!$C1067&amp;" "&amp;'data on outstanding creditors'!$D1067&amp;" "&amp;TEXT('data on outstanding creditors'!$E1067,"#,##0.00")</f>
        <v>บ.พาตาร์แลบ(2517) INV125051521 80,000.00</v>
      </c>
      <c r="U1067" s="12"/>
    </row>
    <row r="1068" ht="13.5" customHeight="1">
      <c r="A1068" s="1"/>
      <c r="B1068" s="2">
        <v>45804.0</v>
      </c>
      <c r="C1068" s="9" t="s">
        <v>771</v>
      </c>
      <c r="D1068" s="1" t="s">
        <v>1594</v>
      </c>
      <c r="E1068" s="4">
        <v>22470.0</v>
      </c>
      <c r="F1068" s="4"/>
      <c r="G1068" s="4"/>
      <c r="H1068" s="4">
        <f>'data on outstanding creditors'!$E1068-'data on outstanding creditors'!$F1068-'data on outstanding creditors'!$G1068</f>
        <v>22470</v>
      </c>
      <c r="I1068" s="2"/>
      <c r="J1068" s="1" t="s">
        <v>646</v>
      </c>
      <c r="K1068" s="2">
        <v>45928.0</v>
      </c>
      <c r="L1068" s="5"/>
      <c r="M1068" s="9" t="s">
        <v>22</v>
      </c>
      <c r="N1068" s="9" t="s">
        <v>23</v>
      </c>
      <c r="O1068" s="10">
        <f>'data on outstanding creditors'!$E1068*100/107</f>
        <v>21000</v>
      </c>
      <c r="P1068" s="10">
        <f>'data on outstanding creditors'!$E1068-'data on outstanding creditors'!$O1068</f>
        <v>1470</v>
      </c>
      <c r="Q1068" s="7">
        <f>DAY('data on outstanding creditors'!$B1068)</f>
        <v>27</v>
      </c>
      <c r="R1068" s="7">
        <f>MONTH('data on outstanding creditors'!$B1068)</f>
        <v>5</v>
      </c>
      <c r="S1068" s="7">
        <f>YEAR('data on outstanding creditors'!$B1068)</f>
        <v>2025</v>
      </c>
      <c r="T1068" s="11" t="str">
        <f>'data on outstanding creditors'!$C1068&amp;" "&amp;'data on outstanding creditors'!$D1068&amp;" "&amp;TEXT('data on outstanding creditors'!$E1068,"#,##0.00")</f>
        <v>หจก.ภิญโญฟาร์มาซี IV6826068 22,470.00</v>
      </c>
      <c r="U1068" s="12"/>
    </row>
    <row r="1069" ht="13.5" customHeight="1">
      <c r="A1069" s="1"/>
      <c r="B1069" s="2">
        <v>45804.0</v>
      </c>
      <c r="C1069" s="9" t="s">
        <v>1297</v>
      </c>
      <c r="D1069" s="1" t="s">
        <v>1595</v>
      </c>
      <c r="E1069" s="4">
        <v>26400.0</v>
      </c>
      <c r="F1069" s="4"/>
      <c r="G1069" s="4"/>
      <c r="H1069" s="4">
        <f>'data on outstanding creditors'!$E1069-'data on outstanding creditors'!$F1069-'data on outstanding creditors'!$G1069</f>
        <v>26400</v>
      </c>
      <c r="I1069" s="2"/>
      <c r="J1069" s="1" t="s">
        <v>646</v>
      </c>
      <c r="K1069" s="2">
        <v>45928.0</v>
      </c>
      <c r="L1069" s="5"/>
      <c r="M1069" s="9" t="s">
        <v>22</v>
      </c>
      <c r="N1069" s="9" t="s">
        <v>23</v>
      </c>
      <c r="O1069" s="10">
        <f>'data on outstanding creditors'!$E1069*100/107</f>
        <v>24672.8972</v>
      </c>
      <c r="P1069" s="10">
        <f>'data on outstanding creditors'!$E1069-'data on outstanding creditors'!$O1069</f>
        <v>1727.102804</v>
      </c>
      <c r="Q1069" s="7">
        <f>DAY('data on outstanding creditors'!$B1069)</f>
        <v>27</v>
      </c>
      <c r="R1069" s="7">
        <f>MONTH('data on outstanding creditors'!$B1069)</f>
        <v>5</v>
      </c>
      <c r="S1069" s="7">
        <f>YEAR('data on outstanding creditors'!$B1069)</f>
        <v>2025</v>
      </c>
      <c r="T1069" s="11" t="str">
        <f>'data on outstanding creditors'!$C1069&amp;" "&amp;'data on outstanding creditors'!$D1069&amp;" "&amp;TEXT('data on outstanding creditors'!$E1069,"#,##0.00")</f>
        <v>บ.แอตแลนติค ฟาร์มาซูติคอล PIN2517557 26,400.00</v>
      </c>
      <c r="U1069" s="12"/>
    </row>
    <row r="1070" ht="13.5" customHeight="1">
      <c r="A1070" s="1"/>
      <c r="B1070" s="2">
        <v>45804.0</v>
      </c>
      <c r="C1070" s="9" t="s">
        <v>763</v>
      </c>
      <c r="D1070" s="1" t="s">
        <v>1596</v>
      </c>
      <c r="E1070" s="4">
        <v>34500.0</v>
      </c>
      <c r="F1070" s="4"/>
      <c r="G1070" s="4"/>
      <c r="H1070" s="4">
        <f>'data on outstanding creditors'!$E1070-'data on outstanding creditors'!$F1070-'data on outstanding creditors'!$G1070</f>
        <v>34500</v>
      </c>
      <c r="I1070" s="2"/>
      <c r="J1070" s="1" t="s">
        <v>646</v>
      </c>
      <c r="K1070" s="2">
        <v>45894.0</v>
      </c>
      <c r="L1070" s="5"/>
      <c r="M1070" s="9" t="s">
        <v>22</v>
      </c>
      <c r="N1070" s="9" t="s">
        <v>23</v>
      </c>
      <c r="O1070" s="10">
        <f>'data on outstanding creditors'!$E1070*100/107</f>
        <v>32242.99065</v>
      </c>
      <c r="P1070" s="10">
        <f>'data on outstanding creditors'!$E1070-'data on outstanding creditors'!$O1070</f>
        <v>2257.009346</v>
      </c>
      <c r="Q1070" s="7">
        <f>DAY('data on outstanding creditors'!$B1070)</f>
        <v>27</v>
      </c>
      <c r="R1070" s="7">
        <f>MONTH('data on outstanding creditors'!$B1070)</f>
        <v>5</v>
      </c>
      <c r="S1070" s="7">
        <f>YEAR('data on outstanding creditors'!$B1070)</f>
        <v>2025</v>
      </c>
      <c r="T1070" s="11" t="str">
        <f>'data on outstanding creditors'!$C1070&amp;" "&amp;'data on outstanding creditors'!$D1070&amp;" "&amp;TEXT('data on outstanding creditors'!$E1070,"#,##0.00")</f>
        <v>บ.อัลลายแอนซ์ ฟาร์มา B26805258 34,500.00</v>
      </c>
      <c r="U1070" s="12"/>
    </row>
    <row r="1071" ht="13.5" customHeight="1">
      <c r="A1071" s="1"/>
      <c r="B1071" s="2">
        <v>45804.0</v>
      </c>
      <c r="C1071" s="9" t="s">
        <v>1450</v>
      </c>
      <c r="D1071" s="1" t="s">
        <v>1597</v>
      </c>
      <c r="E1071" s="4">
        <v>19046.0</v>
      </c>
      <c r="F1071" s="4"/>
      <c r="G1071" s="4"/>
      <c r="H1071" s="4">
        <f>'data on outstanding creditors'!$E1071-'data on outstanding creditors'!$F1071-'data on outstanding creditors'!$G1071</f>
        <v>19046</v>
      </c>
      <c r="I1071" s="2"/>
      <c r="J1071" s="1" t="s">
        <v>757</v>
      </c>
      <c r="K1071" s="2">
        <v>45851.0</v>
      </c>
      <c r="L1071" s="5"/>
      <c r="M1071" s="9" t="s">
        <v>22</v>
      </c>
      <c r="N1071" s="9" t="s">
        <v>23</v>
      </c>
      <c r="O1071" s="10">
        <f>'data on outstanding creditors'!$E1071*100/107</f>
        <v>17800</v>
      </c>
      <c r="P1071" s="10">
        <f>'data on outstanding creditors'!$E1071-'data on outstanding creditors'!$O1071</f>
        <v>1246</v>
      </c>
      <c r="Q1071" s="7">
        <f>DAY('data on outstanding creditors'!$B1071)</f>
        <v>27</v>
      </c>
      <c r="R1071" s="7">
        <f>MONTH('data on outstanding creditors'!$B1071)</f>
        <v>5</v>
      </c>
      <c r="S1071" s="7">
        <f>YEAR('data on outstanding creditors'!$B1071)</f>
        <v>2025</v>
      </c>
      <c r="T1071" s="11" t="str">
        <f>'data on outstanding creditors'!$C1071&amp;" "&amp;'data on outstanding creditors'!$D1071&amp;" "&amp;TEXT('data on outstanding creditors'!$E1071,"#,##0.00")</f>
        <v>บ.อุยเฮง อินเตอร์เนชั่นแนล เฮลท์แคร์ OH-2-2-2025001920 19,046.00</v>
      </c>
      <c r="U1071" s="12"/>
    </row>
    <row r="1072" ht="13.5" customHeight="1">
      <c r="A1072" s="1"/>
      <c r="B1072" s="2">
        <v>45804.0</v>
      </c>
      <c r="C1072" s="9" t="s">
        <v>771</v>
      </c>
      <c r="D1072" s="1" t="s">
        <v>1598</v>
      </c>
      <c r="E1072" s="4">
        <v>57400.0</v>
      </c>
      <c r="F1072" s="4"/>
      <c r="G1072" s="4"/>
      <c r="H1072" s="4">
        <f>'data on outstanding creditors'!$E1072-'data on outstanding creditors'!$F1072-'data on outstanding creditors'!$G1072</f>
        <v>57400</v>
      </c>
      <c r="I1072" s="2"/>
      <c r="J1072" s="1" t="s">
        <v>646</v>
      </c>
      <c r="K1072" s="2">
        <v>45928.0</v>
      </c>
      <c r="L1072" s="5"/>
      <c r="M1072" s="9" t="s">
        <v>22</v>
      </c>
      <c r="N1072" s="9" t="s">
        <v>23</v>
      </c>
      <c r="O1072" s="10">
        <f>'data on outstanding creditors'!$E1072*100/107</f>
        <v>53644.85981</v>
      </c>
      <c r="P1072" s="10">
        <f>'data on outstanding creditors'!$E1072-'data on outstanding creditors'!$O1072</f>
        <v>3755.140187</v>
      </c>
      <c r="Q1072" s="7">
        <f>DAY('data on outstanding creditors'!$B1072)</f>
        <v>27</v>
      </c>
      <c r="R1072" s="7">
        <f>MONTH('data on outstanding creditors'!$B1072)</f>
        <v>5</v>
      </c>
      <c r="S1072" s="7">
        <f>YEAR('data on outstanding creditors'!$B1072)</f>
        <v>2025</v>
      </c>
      <c r="T1072" s="11" t="str">
        <f>'data on outstanding creditors'!$C1072&amp;" "&amp;'data on outstanding creditors'!$D1072&amp;" "&amp;TEXT('data on outstanding creditors'!$E1072,"#,##0.00")</f>
        <v>หจก.ภิญโญฟาร์มาซี IV6825747 57,400.00</v>
      </c>
      <c r="U1072" s="12"/>
    </row>
    <row r="1073" ht="13.5" customHeight="1">
      <c r="A1073" s="1"/>
      <c r="B1073" s="2">
        <v>45804.0</v>
      </c>
      <c r="C1073" s="9" t="s">
        <v>763</v>
      </c>
      <c r="D1073" s="1" t="s">
        <v>1599</v>
      </c>
      <c r="E1073" s="4">
        <v>39800.0</v>
      </c>
      <c r="F1073" s="4"/>
      <c r="G1073" s="4"/>
      <c r="H1073" s="4">
        <f>'data on outstanding creditors'!$E1073-'data on outstanding creditors'!$F1073-'data on outstanding creditors'!$G1073</f>
        <v>39800</v>
      </c>
      <c r="I1073" s="2"/>
      <c r="J1073" s="1" t="s">
        <v>646</v>
      </c>
      <c r="K1073" s="2">
        <v>45894.0</v>
      </c>
      <c r="L1073" s="5"/>
      <c r="M1073" s="9" t="s">
        <v>22</v>
      </c>
      <c r="N1073" s="9" t="s">
        <v>23</v>
      </c>
      <c r="O1073" s="10">
        <f>'data on outstanding creditors'!$E1073*100/107</f>
        <v>37196.26168</v>
      </c>
      <c r="P1073" s="10">
        <f>'data on outstanding creditors'!$E1073-'data on outstanding creditors'!$O1073</f>
        <v>2603.738318</v>
      </c>
      <c r="Q1073" s="7">
        <f>DAY('data on outstanding creditors'!$B1073)</f>
        <v>27</v>
      </c>
      <c r="R1073" s="7">
        <f>MONTH('data on outstanding creditors'!$B1073)</f>
        <v>5</v>
      </c>
      <c r="S1073" s="7">
        <f>YEAR('data on outstanding creditors'!$B1073)</f>
        <v>2025</v>
      </c>
      <c r="T1073" s="11" t="str">
        <f>'data on outstanding creditors'!$C1073&amp;" "&amp;'data on outstanding creditors'!$D1073&amp;" "&amp;TEXT('data on outstanding creditors'!$E1073,"#,##0.00")</f>
        <v>บ.อัลลายแอนซ์ ฟาร์มา B26805368 39,800.00</v>
      </c>
      <c r="U1073" s="12"/>
    </row>
    <row r="1074" ht="13.5" customHeight="1">
      <c r="A1074" s="1"/>
      <c r="B1074" s="2">
        <v>45804.0</v>
      </c>
      <c r="C1074" s="9" t="s">
        <v>1314</v>
      </c>
      <c r="D1074" s="1" t="s">
        <v>1600</v>
      </c>
      <c r="E1074" s="4">
        <v>24000.0</v>
      </c>
      <c r="F1074" s="4"/>
      <c r="G1074" s="4"/>
      <c r="H1074" s="4">
        <f>'data on outstanding creditors'!$E1074-'data on outstanding creditors'!$F1074-'data on outstanding creditors'!$G1074</f>
        <v>24000</v>
      </c>
      <c r="I1074" s="2"/>
      <c r="J1074" s="1" t="s">
        <v>646</v>
      </c>
      <c r="K1074" s="2">
        <v>45877.0</v>
      </c>
      <c r="L1074" s="5"/>
      <c r="M1074" s="9" t="s">
        <v>22</v>
      </c>
      <c r="N1074" s="9" t="s">
        <v>23</v>
      </c>
      <c r="O1074" s="10">
        <f>'data on outstanding creditors'!$E1074*100/107</f>
        <v>22429.90654</v>
      </c>
      <c r="P1074" s="10">
        <f>'data on outstanding creditors'!$E1074-'data on outstanding creditors'!$O1074</f>
        <v>1570.093458</v>
      </c>
      <c r="Q1074" s="7">
        <f>DAY('data on outstanding creditors'!$B1074)</f>
        <v>27</v>
      </c>
      <c r="R1074" s="7">
        <f>MONTH('data on outstanding creditors'!$B1074)</f>
        <v>5</v>
      </c>
      <c r="S1074" s="7">
        <f>YEAR('data on outstanding creditors'!$B1074)</f>
        <v>2025</v>
      </c>
      <c r="T1074" s="11" t="str">
        <f>'data on outstanding creditors'!$C1074&amp;" "&amp;'data on outstanding creditors'!$D1074&amp;" "&amp;TEXT('data on outstanding creditors'!$E1074,"#,##0.00")</f>
        <v>บ.บูรพา ฟาร์มา DSP6801126 24,000.00</v>
      </c>
      <c r="U1074" s="12"/>
    </row>
    <row r="1075" ht="13.5" customHeight="1">
      <c r="A1075" s="1"/>
      <c r="B1075" s="2">
        <v>45804.0</v>
      </c>
      <c r="C1075" s="9" t="s">
        <v>1328</v>
      </c>
      <c r="D1075" s="1" t="s">
        <v>1601</v>
      </c>
      <c r="E1075" s="4">
        <v>16000.0</v>
      </c>
      <c r="F1075" s="4"/>
      <c r="G1075" s="4"/>
      <c r="H1075" s="4">
        <f>'data on outstanding creditors'!$E1075-'data on outstanding creditors'!$F1075-'data on outstanding creditors'!$G1075</f>
        <v>16000</v>
      </c>
      <c r="I1075" s="2"/>
      <c r="J1075" s="1" t="s">
        <v>646</v>
      </c>
      <c r="K1075" s="2">
        <v>45928.0</v>
      </c>
      <c r="L1075" s="5"/>
      <c r="M1075" s="9" t="s">
        <v>22</v>
      </c>
      <c r="N1075" s="9" t="s">
        <v>23</v>
      </c>
      <c r="O1075" s="10">
        <f>'data on outstanding creditors'!$E1075*100/107</f>
        <v>14953.27103</v>
      </c>
      <c r="P1075" s="10">
        <f>'data on outstanding creditors'!$E1075-'data on outstanding creditors'!$O1075</f>
        <v>1046.728972</v>
      </c>
      <c r="Q1075" s="7">
        <f>DAY('data on outstanding creditors'!$B1075)</f>
        <v>27</v>
      </c>
      <c r="R1075" s="7">
        <f>MONTH('data on outstanding creditors'!$B1075)</f>
        <v>5</v>
      </c>
      <c r="S1075" s="7">
        <f>YEAR('data on outstanding creditors'!$B1075)</f>
        <v>2025</v>
      </c>
      <c r="T1075" s="11" t="str">
        <f>'data on outstanding creditors'!$C1075&amp;" "&amp;'data on outstanding creditors'!$D1075&amp;" "&amp;TEXT('data on outstanding creditors'!$E1075,"#,##0.00")</f>
        <v>บ.แก้วมังกรเภสัช IV68050808 16,000.00</v>
      </c>
      <c r="U1075" s="12"/>
    </row>
    <row r="1076" ht="13.5" customHeight="1">
      <c r="A1076" s="1"/>
      <c r="B1076" s="2">
        <v>45805.0</v>
      </c>
      <c r="C1076" s="9" t="s">
        <v>922</v>
      </c>
      <c r="D1076" s="1" t="s">
        <v>1602</v>
      </c>
      <c r="E1076" s="4">
        <v>74560.0</v>
      </c>
      <c r="F1076" s="4"/>
      <c r="G1076" s="4"/>
      <c r="H1076" s="4">
        <f>'data on outstanding creditors'!$E1076-'data on outstanding creditors'!$F1076-'data on outstanding creditors'!$G1076</f>
        <v>74560</v>
      </c>
      <c r="I1076" s="2"/>
      <c r="J1076" s="1" t="s">
        <v>646</v>
      </c>
      <c r="K1076" s="2">
        <v>45929.0</v>
      </c>
      <c r="L1076" s="5"/>
      <c r="M1076" s="9" t="s">
        <v>22</v>
      </c>
      <c r="N1076" s="9" t="s">
        <v>23</v>
      </c>
      <c r="O1076" s="10">
        <f>'data on outstanding creditors'!$E1076*100/107</f>
        <v>69682.24299</v>
      </c>
      <c r="P1076" s="10">
        <f>'data on outstanding creditors'!$E1076-'data on outstanding creditors'!$O1076</f>
        <v>4877.757009</v>
      </c>
      <c r="Q1076" s="7">
        <f>DAY('data on outstanding creditors'!$B1076)</f>
        <v>28</v>
      </c>
      <c r="R1076" s="7">
        <f>MONTH('data on outstanding creditors'!$B1076)</f>
        <v>5</v>
      </c>
      <c r="S1076" s="7">
        <f>YEAR('data on outstanding creditors'!$B1076)</f>
        <v>2025</v>
      </c>
      <c r="T1076" s="11" t="str">
        <f>'data on outstanding creditors'!$C1076&amp;" "&amp;'data on outstanding creditors'!$D1076&amp;" "&amp;TEXT('data on outstanding creditors'!$E1076,"#,##0.00")</f>
        <v>บ.เบอร์ลินฟาร์มาซูติคอลอินดัสตรี้ 6810508968 74,560.00</v>
      </c>
      <c r="U1076" s="12"/>
    </row>
    <row r="1077" ht="13.5" customHeight="1">
      <c r="A1077" s="1"/>
      <c r="B1077" s="2">
        <v>45805.0</v>
      </c>
      <c r="C1077" s="9" t="s">
        <v>1243</v>
      </c>
      <c r="D1077" s="1" t="s">
        <v>1603</v>
      </c>
      <c r="E1077" s="4">
        <v>24000.0</v>
      </c>
      <c r="F1077" s="4"/>
      <c r="G1077" s="4"/>
      <c r="H1077" s="4">
        <f>'data on outstanding creditors'!$E1077-'data on outstanding creditors'!$F1077-'data on outstanding creditors'!$G1077</f>
        <v>24000</v>
      </c>
      <c r="I1077" s="2"/>
      <c r="J1077" s="1" t="s">
        <v>757</v>
      </c>
      <c r="K1077" s="2">
        <v>45851.0</v>
      </c>
      <c r="L1077" s="5"/>
      <c r="M1077" s="9" t="s">
        <v>22</v>
      </c>
      <c r="N1077" s="9" t="s">
        <v>23</v>
      </c>
      <c r="O1077" s="10">
        <f>'data on outstanding creditors'!$E1077*100/107</f>
        <v>22429.90654</v>
      </c>
      <c r="P1077" s="10">
        <f>'data on outstanding creditors'!$E1077-'data on outstanding creditors'!$O1077</f>
        <v>1570.093458</v>
      </c>
      <c r="Q1077" s="7">
        <f>DAY('data on outstanding creditors'!$B1077)</f>
        <v>28</v>
      </c>
      <c r="R1077" s="7">
        <f>MONTH('data on outstanding creditors'!$B1077)</f>
        <v>5</v>
      </c>
      <c r="S1077" s="7">
        <f>YEAR('data on outstanding creditors'!$B1077)</f>
        <v>2025</v>
      </c>
      <c r="T1077" s="11" t="str">
        <f>'data on outstanding creditors'!$C1077&amp;" "&amp;'data on outstanding creditors'!$D1077&amp;" "&amp;TEXT('data on outstanding creditors'!$E1077,"#,##0.00")</f>
        <v>บ.วี.แอนด์.วี.กรุงเทพ 8103349699 24,000.00</v>
      </c>
      <c r="U1077" s="12"/>
    </row>
    <row r="1078" ht="13.5" customHeight="1">
      <c r="A1078" s="1"/>
      <c r="B1078" s="2">
        <v>45805.0</v>
      </c>
      <c r="C1078" s="9" t="s">
        <v>1432</v>
      </c>
      <c r="D1078" s="1" t="s">
        <v>1604</v>
      </c>
      <c r="E1078" s="4">
        <v>7000.0</v>
      </c>
      <c r="F1078" s="4"/>
      <c r="G1078" s="4"/>
      <c r="H1078" s="4">
        <f>'data on outstanding creditors'!$E1078-'data on outstanding creditors'!$F1078-'data on outstanding creditors'!$G1078</f>
        <v>7000</v>
      </c>
      <c r="I1078" s="2"/>
      <c r="J1078" s="1" t="s">
        <v>646</v>
      </c>
      <c r="K1078" s="2">
        <v>45877.0</v>
      </c>
      <c r="L1078" s="5"/>
      <c r="M1078" s="9" t="s">
        <v>22</v>
      </c>
      <c r="N1078" s="9" t="s">
        <v>23</v>
      </c>
      <c r="O1078" s="10">
        <f>'data on outstanding creditors'!$E1078*100/107</f>
        <v>6542.056075</v>
      </c>
      <c r="P1078" s="10">
        <f>'data on outstanding creditors'!$E1078-'data on outstanding creditors'!$O1078</f>
        <v>457.9439252</v>
      </c>
      <c r="Q1078" s="7">
        <f>DAY('data on outstanding creditors'!$B1078)</f>
        <v>28</v>
      </c>
      <c r="R1078" s="7">
        <f>MONTH('data on outstanding creditors'!$B1078)</f>
        <v>5</v>
      </c>
      <c r="S1078" s="7">
        <f>YEAR('data on outstanding creditors'!$B1078)</f>
        <v>2025</v>
      </c>
      <c r="T1078" s="11" t="str">
        <f>'data on outstanding creditors'!$C1078&amp;" "&amp;'data on outstanding creditors'!$D1078&amp;" "&amp;TEXT('data on outstanding creditors'!$E1078,"#,##0.00")</f>
        <v>บ.ยูโทเปี้ยน IV2505473 7,000.00</v>
      </c>
      <c r="U1078" s="12"/>
    </row>
    <row r="1079" ht="13.5" customHeight="1">
      <c r="A1079" s="1"/>
      <c r="B1079" s="2">
        <v>45805.0</v>
      </c>
      <c r="C1079" s="9" t="s">
        <v>1391</v>
      </c>
      <c r="D1079" s="1" t="s">
        <v>1605</v>
      </c>
      <c r="E1079" s="4">
        <v>28200.0</v>
      </c>
      <c r="F1079" s="4"/>
      <c r="G1079" s="4"/>
      <c r="H1079" s="4">
        <f>'data on outstanding creditors'!$E1079-'data on outstanding creditors'!$F1079-'data on outstanding creditors'!$G1079</f>
        <v>28200</v>
      </c>
      <c r="I1079" s="2"/>
      <c r="J1079" s="1" t="s">
        <v>646</v>
      </c>
      <c r="K1079" s="2">
        <v>45928.0</v>
      </c>
      <c r="L1079" s="5"/>
      <c r="M1079" s="9" t="s">
        <v>22</v>
      </c>
      <c r="N1079" s="9" t="s">
        <v>23</v>
      </c>
      <c r="O1079" s="10">
        <f>'data on outstanding creditors'!$E1079*100/107</f>
        <v>26355.14019</v>
      </c>
      <c r="P1079" s="10">
        <f>'data on outstanding creditors'!$E1079-'data on outstanding creditors'!$O1079</f>
        <v>1844.859813</v>
      </c>
      <c r="Q1079" s="7">
        <f>DAY('data on outstanding creditors'!$B1079)</f>
        <v>28</v>
      </c>
      <c r="R1079" s="7">
        <f>MONTH('data on outstanding creditors'!$B1079)</f>
        <v>5</v>
      </c>
      <c r="S1079" s="7">
        <f>YEAR('data on outstanding creditors'!$B1079)</f>
        <v>2025</v>
      </c>
      <c r="T1079" s="11" t="str">
        <f>'data on outstanding creditors'!$C1079&amp;" "&amp;'data on outstanding creditors'!$D1079&amp;" "&amp;TEXT('data on outstanding creditors'!$E1079,"#,##0.00")</f>
        <v>บ.ที.พี.ดรัก แลบบอราทอรี่ส์ VIV125051583 28,200.00</v>
      </c>
      <c r="U1079" s="12"/>
    </row>
    <row r="1080" ht="13.5" customHeight="1">
      <c r="A1080" s="1"/>
      <c r="B1080" s="2">
        <v>45805.0</v>
      </c>
      <c r="C1080" s="9" t="s">
        <v>1320</v>
      </c>
      <c r="D1080" s="1" t="s">
        <v>1606</v>
      </c>
      <c r="E1080" s="4">
        <v>60990.0</v>
      </c>
      <c r="F1080" s="4"/>
      <c r="G1080" s="4"/>
      <c r="H1080" s="4">
        <f>'data on outstanding creditors'!$E1080-'data on outstanding creditors'!$F1080-'data on outstanding creditors'!$G1080</f>
        <v>60990</v>
      </c>
      <c r="I1080" s="2"/>
      <c r="J1080" s="1" t="s">
        <v>646</v>
      </c>
      <c r="K1080" s="2">
        <v>45866.0</v>
      </c>
      <c r="L1080" s="5"/>
      <c r="M1080" s="9" t="s">
        <v>22</v>
      </c>
      <c r="N1080" s="9" t="s">
        <v>23</v>
      </c>
      <c r="O1080" s="10">
        <f>'data on outstanding creditors'!$E1080*100/107</f>
        <v>57000</v>
      </c>
      <c r="P1080" s="10">
        <f>'data on outstanding creditors'!$E1080-'data on outstanding creditors'!$O1080</f>
        <v>3990</v>
      </c>
      <c r="Q1080" s="7">
        <f>DAY('data on outstanding creditors'!$B1080)</f>
        <v>28</v>
      </c>
      <c r="R1080" s="7">
        <f>MONTH('data on outstanding creditors'!$B1080)</f>
        <v>5</v>
      </c>
      <c r="S1080" s="7">
        <f>YEAR('data on outstanding creditors'!$B1080)</f>
        <v>2025</v>
      </c>
      <c r="T1080" s="11" t="str">
        <f>'data on outstanding creditors'!$C1080&amp;" "&amp;'data on outstanding creditors'!$D1080&amp;" "&amp;TEXT('data on outstanding creditors'!$E1080,"#,##0.00")</f>
        <v>บ.บี.เอ็ล.ฮั้ว 68017707 60,990.00</v>
      </c>
      <c r="U1080" s="12"/>
    </row>
    <row r="1081" ht="13.5" customHeight="1">
      <c r="A1081" s="1"/>
      <c r="B1081" s="2">
        <v>45805.0</v>
      </c>
      <c r="C1081" s="9" t="s">
        <v>884</v>
      </c>
      <c r="D1081" s="1" t="s">
        <v>1607</v>
      </c>
      <c r="E1081" s="4">
        <v>56000.0</v>
      </c>
      <c r="F1081" s="4"/>
      <c r="G1081" s="4"/>
      <c r="H1081" s="4">
        <f>'data on outstanding creditors'!$E1081-'data on outstanding creditors'!$F1081-'data on outstanding creditors'!$G1081</f>
        <v>56000</v>
      </c>
      <c r="I1081" s="2"/>
      <c r="J1081" s="1" t="s">
        <v>646</v>
      </c>
      <c r="K1081" s="2">
        <v>45928.0</v>
      </c>
      <c r="L1081" s="5"/>
      <c r="M1081" s="9" t="s">
        <v>22</v>
      </c>
      <c r="N1081" s="9" t="s">
        <v>23</v>
      </c>
      <c r="O1081" s="10">
        <f>'data on outstanding creditors'!$E1081*100/107</f>
        <v>52336.4486</v>
      </c>
      <c r="P1081" s="10">
        <f>'data on outstanding creditors'!$E1081-'data on outstanding creditors'!$O1081</f>
        <v>3663.551402</v>
      </c>
      <c r="Q1081" s="7">
        <f>DAY('data on outstanding creditors'!$B1081)</f>
        <v>28</v>
      </c>
      <c r="R1081" s="7">
        <f>MONTH('data on outstanding creditors'!$B1081)</f>
        <v>5</v>
      </c>
      <c r="S1081" s="7">
        <f>YEAR('data on outstanding creditors'!$B1081)</f>
        <v>2025</v>
      </c>
      <c r="T1081" s="11" t="str">
        <f>'data on outstanding creditors'!$C1081&amp;" "&amp;'data on outstanding creditors'!$D1081&amp;" "&amp;TEXT('data on outstanding creditors'!$E1081,"#,##0.00")</f>
        <v>บ.เอสพีเอส เมดิคอล 112505004630 56,000.00</v>
      </c>
      <c r="U1081" s="12"/>
    </row>
    <row r="1082" ht="13.5" customHeight="1">
      <c r="A1082" s="1"/>
      <c r="B1082" s="2">
        <v>45805.0</v>
      </c>
      <c r="C1082" s="9" t="s">
        <v>1247</v>
      </c>
      <c r="D1082" s="1" t="s">
        <v>1608</v>
      </c>
      <c r="E1082" s="4">
        <v>41800.0</v>
      </c>
      <c r="F1082" s="4"/>
      <c r="G1082" s="4"/>
      <c r="H1082" s="4">
        <f>'data on outstanding creditors'!$E1082-'data on outstanding creditors'!$F1082-'data on outstanding creditors'!$G1082</f>
        <v>41800</v>
      </c>
      <c r="I1082" s="2"/>
      <c r="J1082" s="1" t="s">
        <v>646</v>
      </c>
      <c r="K1082" s="2">
        <v>45954.0</v>
      </c>
      <c r="L1082" s="5"/>
      <c r="M1082" s="9" t="s">
        <v>22</v>
      </c>
      <c r="N1082" s="9" t="s">
        <v>23</v>
      </c>
      <c r="O1082" s="10">
        <f>'data on outstanding creditors'!$E1082*100/107</f>
        <v>39065.42056</v>
      </c>
      <c r="P1082" s="10">
        <f>'data on outstanding creditors'!$E1082-'data on outstanding creditors'!$O1082</f>
        <v>2734.579439</v>
      </c>
      <c r="Q1082" s="7">
        <f>DAY('data on outstanding creditors'!$B1082)</f>
        <v>28</v>
      </c>
      <c r="R1082" s="7">
        <f>MONTH('data on outstanding creditors'!$B1082)</f>
        <v>5</v>
      </c>
      <c r="S1082" s="7">
        <f>YEAR('data on outstanding creditors'!$B1082)</f>
        <v>2025</v>
      </c>
      <c r="T1082" s="11" t="str">
        <f>'data on outstanding creditors'!$C1082&amp;" "&amp;'data on outstanding creditors'!$D1082&amp;" "&amp;TEXT('data on outstanding creditors'!$E1082,"#,##0.00")</f>
        <v>บ.เอ.เอ็น.บี.ลาบอรอตอรี่ 8370865772 41,800.00</v>
      </c>
      <c r="U1082" s="12"/>
    </row>
    <row r="1083" ht="13.5" customHeight="1">
      <c r="A1083" s="1"/>
      <c r="B1083" s="2">
        <v>45806.0</v>
      </c>
      <c r="C1083" s="9" t="s">
        <v>767</v>
      </c>
      <c r="D1083" s="1" t="s">
        <v>1609</v>
      </c>
      <c r="E1083" s="4">
        <v>320000.0</v>
      </c>
      <c r="F1083" s="4"/>
      <c r="G1083" s="4"/>
      <c r="H1083" s="4">
        <f>'data on outstanding creditors'!$E1083-'data on outstanding creditors'!$F1083-'data on outstanding creditors'!$G1083</f>
        <v>320000</v>
      </c>
      <c r="I1083" s="2"/>
      <c r="J1083" s="1" t="s">
        <v>646</v>
      </c>
      <c r="K1083" s="2">
        <v>45954.0</v>
      </c>
      <c r="L1083" s="5"/>
      <c r="M1083" s="9" t="s">
        <v>22</v>
      </c>
      <c r="N1083" s="9" t="s">
        <v>23</v>
      </c>
      <c r="O1083" s="10">
        <f>'data on outstanding creditors'!$E1083*100/107</f>
        <v>299065.4206</v>
      </c>
      <c r="P1083" s="10">
        <f>'data on outstanding creditors'!$E1083-'data on outstanding creditors'!$O1083</f>
        <v>20934.57944</v>
      </c>
      <c r="Q1083" s="7">
        <f>DAY('data on outstanding creditors'!$B1083)</f>
        <v>29</v>
      </c>
      <c r="R1083" s="7">
        <f>MONTH('data on outstanding creditors'!$B1083)</f>
        <v>5</v>
      </c>
      <c r="S1083" s="7">
        <f>YEAR('data on outstanding creditors'!$B1083)</f>
        <v>2025</v>
      </c>
      <c r="T1083" s="11" t="str">
        <f>'data on outstanding creditors'!$C1083&amp;" "&amp;'data on outstanding creditors'!$D1083&amp;" "&amp;TEXT('data on outstanding creditors'!$E1083,"#,##0.00")</f>
        <v>บ.คอสม่า เทรดดิ้ง 310557402889 320,000.00</v>
      </c>
      <c r="U1083" s="12"/>
    </row>
    <row r="1084" ht="13.5" customHeight="1">
      <c r="A1084" s="1"/>
      <c r="B1084" s="2">
        <v>45806.0</v>
      </c>
      <c r="C1084" s="9" t="s">
        <v>920</v>
      </c>
      <c r="D1084" s="1" t="s">
        <v>1610</v>
      </c>
      <c r="E1084" s="4">
        <v>16500.0</v>
      </c>
      <c r="F1084" s="4"/>
      <c r="G1084" s="4"/>
      <c r="H1084" s="4">
        <f>'data on outstanding creditors'!$E1084-'data on outstanding creditors'!$F1084-'data on outstanding creditors'!$G1084</f>
        <v>16500</v>
      </c>
      <c r="I1084" s="2"/>
      <c r="J1084" s="1" t="s">
        <v>646</v>
      </c>
      <c r="K1084" s="2">
        <v>45855.0</v>
      </c>
      <c r="L1084" s="5"/>
      <c r="M1084" s="9" t="s">
        <v>22</v>
      </c>
      <c r="N1084" s="9" t="s">
        <v>23</v>
      </c>
      <c r="O1084" s="10">
        <f>'data on outstanding creditors'!$E1084*100/107</f>
        <v>15420.56075</v>
      </c>
      <c r="P1084" s="10">
        <f>'data on outstanding creditors'!$E1084-'data on outstanding creditors'!$O1084</f>
        <v>1079.439252</v>
      </c>
      <c r="Q1084" s="7">
        <f>DAY('data on outstanding creditors'!$B1084)</f>
        <v>29</v>
      </c>
      <c r="R1084" s="7">
        <f>MONTH('data on outstanding creditors'!$B1084)</f>
        <v>5</v>
      </c>
      <c r="S1084" s="7">
        <f>YEAR('data on outstanding creditors'!$B1084)</f>
        <v>2025</v>
      </c>
      <c r="T1084" s="11" t="str">
        <f>'data on outstanding creditors'!$C1084&amp;" "&amp;'data on outstanding creditors'!$D1084&amp;" "&amp;TEXT('data on outstanding creditors'!$E1084,"#,##0.00")</f>
        <v>บ.โปลิฟาร์ม IVU-68021733 16,500.00</v>
      </c>
      <c r="U1084" s="12"/>
    </row>
    <row r="1085" ht="13.5" customHeight="1">
      <c r="A1085" s="1"/>
      <c r="B1085" s="2">
        <v>45806.0</v>
      </c>
      <c r="C1085" s="9" t="s">
        <v>1381</v>
      </c>
      <c r="D1085" s="1" t="s">
        <v>1611</v>
      </c>
      <c r="E1085" s="4">
        <v>43200.0</v>
      </c>
      <c r="F1085" s="4"/>
      <c r="G1085" s="4"/>
      <c r="H1085" s="4">
        <f>'data on outstanding creditors'!$E1085-'data on outstanding creditors'!$F1085-'data on outstanding creditors'!$G1085</f>
        <v>43200</v>
      </c>
      <c r="I1085" s="2"/>
      <c r="J1085" s="1" t="s">
        <v>646</v>
      </c>
      <c r="K1085" s="2">
        <v>45877.0</v>
      </c>
      <c r="L1085" s="5"/>
      <c r="M1085" s="9" t="s">
        <v>22</v>
      </c>
      <c r="N1085" s="9" t="s">
        <v>23</v>
      </c>
      <c r="O1085" s="10">
        <f>'data on outstanding creditors'!$E1085*100/107</f>
        <v>40373.83178</v>
      </c>
      <c r="P1085" s="10">
        <f>'data on outstanding creditors'!$E1085-'data on outstanding creditors'!$O1085</f>
        <v>2826.168224</v>
      </c>
      <c r="Q1085" s="7">
        <f>DAY('data on outstanding creditors'!$B1085)</f>
        <v>29</v>
      </c>
      <c r="R1085" s="7">
        <f>MONTH('data on outstanding creditors'!$B1085)</f>
        <v>5</v>
      </c>
      <c r="S1085" s="7">
        <f>YEAR('data on outstanding creditors'!$B1085)</f>
        <v>2025</v>
      </c>
      <c r="T1085" s="11" t="str">
        <f>'data on outstanding creditors'!$C1085&amp;" "&amp;'data on outstanding creditors'!$D1085&amp;" "&amp;TEXT('data on outstanding creditors'!$E1085,"#,##0.00")</f>
        <v>บ.ที เอ็น พี เฮลท์แคร์ 8103346666 43,200.00</v>
      </c>
      <c r="U1085" s="12"/>
    </row>
    <row r="1086" ht="13.5" customHeight="1">
      <c r="A1086" s="1"/>
      <c r="B1086" s="2">
        <v>45806.0</v>
      </c>
      <c r="C1086" s="9" t="s">
        <v>259</v>
      </c>
      <c r="D1086" s="1" t="s">
        <v>1612</v>
      </c>
      <c r="E1086" s="4">
        <v>38400.0</v>
      </c>
      <c r="F1086" s="4"/>
      <c r="G1086" s="4"/>
      <c r="H1086" s="4">
        <f>'data on outstanding creditors'!$E1086-'data on outstanding creditors'!$F1086-'data on outstanding creditors'!$G1086</f>
        <v>38400</v>
      </c>
      <c r="I1086" s="2"/>
      <c r="J1086" s="1" t="s">
        <v>757</v>
      </c>
      <c r="K1086" s="2">
        <v>45852.0</v>
      </c>
      <c r="L1086" s="5"/>
      <c r="M1086" s="9" t="s">
        <v>22</v>
      </c>
      <c r="N1086" s="9" t="s">
        <v>23</v>
      </c>
      <c r="O1086" s="10">
        <f>'data on outstanding creditors'!$E1086*100/107</f>
        <v>35887.85047</v>
      </c>
      <c r="P1086" s="10">
        <f>'data on outstanding creditors'!$E1086-'data on outstanding creditors'!$O1086</f>
        <v>2512.149533</v>
      </c>
      <c r="Q1086" s="7">
        <f>DAY('data on outstanding creditors'!$B1086)</f>
        <v>29</v>
      </c>
      <c r="R1086" s="7">
        <f>MONTH('data on outstanding creditors'!$B1086)</f>
        <v>5</v>
      </c>
      <c r="S1086" s="7">
        <f>YEAR('data on outstanding creditors'!$B1086)</f>
        <v>2025</v>
      </c>
      <c r="T1086" s="11" t="str">
        <f>'data on outstanding creditors'!$C1086&amp;" "&amp;'data on outstanding creditors'!$D1086&amp;" "&amp;TEXT('data on outstanding creditors'!$E1086,"#,##0.00")</f>
        <v>บ.ที.โอ.เคมีคอลส์(1979) T6805/20328 38,400.00</v>
      </c>
      <c r="U1086" s="12"/>
    </row>
    <row r="1087" ht="13.5" customHeight="1">
      <c r="A1087" s="1"/>
      <c r="B1087" s="2">
        <v>45806.0</v>
      </c>
      <c r="C1087" s="9" t="s">
        <v>1402</v>
      </c>
      <c r="D1087" s="1" t="s">
        <v>1613</v>
      </c>
      <c r="E1087" s="4">
        <v>4000.0</v>
      </c>
      <c r="F1087" s="4"/>
      <c r="G1087" s="4"/>
      <c r="H1087" s="4">
        <f>'data on outstanding creditors'!$E1087-'data on outstanding creditors'!$F1087-'data on outstanding creditors'!$G1087</f>
        <v>4000</v>
      </c>
      <c r="I1087" s="2"/>
      <c r="J1087" s="1" t="s">
        <v>646</v>
      </c>
      <c r="K1087" s="2">
        <v>45887.0</v>
      </c>
      <c r="L1087" s="5"/>
      <c r="M1087" s="9" t="s">
        <v>22</v>
      </c>
      <c r="N1087" s="9" t="s">
        <v>23</v>
      </c>
      <c r="O1087" s="10">
        <f>'data on outstanding creditors'!$E1087*100/107</f>
        <v>3738.317757</v>
      </c>
      <c r="P1087" s="10">
        <f>'data on outstanding creditors'!$E1087-'data on outstanding creditors'!$O1087</f>
        <v>261.682243</v>
      </c>
      <c r="Q1087" s="7">
        <f>DAY('data on outstanding creditors'!$B1087)</f>
        <v>29</v>
      </c>
      <c r="R1087" s="7">
        <f>MONTH('data on outstanding creditors'!$B1087)</f>
        <v>5</v>
      </c>
      <c r="S1087" s="7">
        <f>YEAR('data on outstanding creditors'!$B1087)</f>
        <v>2025</v>
      </c>
      <c r="T1087" s="11" t="str">
        <f>'data on outstanding creditors'!$C1087&amp;" "&amp;'data on outstanding creditors'!$D1087&amp;" "&amp;TEXT('data on outstanding creditors'!$E1087,"#,##0.00")</f>
        <v>บ.โรงงานเภสัชกรรมแหลมทองการแพทย์ IV6805/0459 4,000.00</v>
      </c>
      <c r="U1087" s="12"/>
    </row>
    <row r="1088" ht="13.5" customHeight="1">
      <c r="A1088" s="1"/>
      <c r="B1088" s="2">
        <v>45806.0</v>
      </c>
      <c r="C1088" s="9" t="s">
        <v>813</v>
      </c>
      <c r="D1088" s="1" t="s">
        <v>1614</v>
      </c>
      <c r="E1088" s="4">
        <v>7500.0</v>
      </c>
      <c r="F1088" s="4"/>
      <c r="G1088" s="4"/>
      <c r="H1088" s="4">
        <f>'data on outstanding creditors'!$E1088-'data on outstanding creditors'!$F1088-'data on outstanding creditors'!$G1088</f>
        <v>7500</v>
      </c>
      <c r="I1088" s="2"/>
      <c r="J1088" s="1" t="s">
        <v>646</v>
      </c>
      <c r="K1088" s="2">
        <v>45906.0</v>
      </c>
      <c r="L1088" s="5"/>
      <c r="M1088" s="9" t="s">
        <v>22</v>
      </c>
      <c r="N1088" s="9" t="s">
        <v>23</v>
      </c>
      <c r="O1088" s="10">
        <f>'data on outstanding creditors'!$E1088*100/107</f>
        <v>7009.345794</v>
      </c>
      <c r="P1088" s="10">
        <f>'data on outstanding creditors'!$E1088-'data on outstanding creditors'!$O1088</f>
        <v>490.6542056</v>
      </c>
      <c r="Q1088" s="7">
        <f>DAY('data on outstanding creditors'!$B1088)</f>
        <v>29</v>
      </c>
      <c r="R1088" s="7">
        <f>MONTH('data on outstanding creditors'!$B1088)</f>
        <v>5</v>
      </c>
      <c r="S1088" s="7">
        <f>YEAR('data on outstanding creditors'!$B1088)</f>
        <v>2025</v>
      </c>
      <c r="T1088" s="11" t="str">
        <f>'data on outstanding creditors'!$C1088&amp;" "&amp;'data on outstanding creditors'!$D1088&amp;" "&amp;TEXT('data on outstanding creditors'!$E1088,"#,##0.00")</f>
        <v>บ.ที.แมน ฟาร์มาซูติคอล IST250077303 7,500.00</v>
      </c>
      <c r="U1088" s="12"/>
    </row>
    <row r="1089" ht="13.5" customHeight="1">
      <c r="A1089" s="1"/>
      <c r="B1089" s="2">
        <v>45806.0</v>
      </c>
      <c r="C1089" s="9" t="s">
        <v>396</v>
      </c>
      <c r="D1089" s="1" t="s">
        <v>1615</v>
      </c>
      <c r="E1089" s="4">
        <v>43600.0</v>
      </c>
      <c r="F1089" s="4"/>
      <c r="G1089" s="4"/>
      <c r="H1089" s="4">
        <f>'data on outstanding creditors'!$E1089-'data on outstanding creditors'!$F1089-'data on outstanding creditors'!$G1089</f>
        <v>43600</v>
      </c>
      <c r="I1089" s="2"/>
      <c r="J1089" s="1" t="s">
        <v>757</v>
      </c>
      <c r="K1089" s="2">
        <v>45852.0</v>
      </c>
      <c r="L1089" s="5"/>
      <c r="M1089" s="9" t="s">
        <v>22</v>
      </c>
      <c r="N1089" s="9" t="s">
        <v>23</v>
      </c>
      <c r="O1089" s="10">
        <f>'data on outstanding creditors'!$E1089*100/107</f>
        <v>40747.66355</v>
      </c>
      <c r="P1089" s="10">
        <f>'data on outstanding creditors'!$E1089-'data on outstanding creditors'!$O1089</f>
        <v>2852.336449</v>
      </c>
      <c r="Q1089" s="7">
        <f>DAY('data on outstanding creditors'!$B1089)</f>
        <v>29</v>
      </c>
      <c r="R1089" s="7">
        <f>MONTH('data on outstanding creditors'!$B1089)</f>
        <v>5</v>
      </c>
      <c r="S1089" s="7">
        <f>YEAR('data on outstanding creditors'!$B1089)</f>
        <v>2025</v>
      </c>
      <c r="T1089" s="11" t="str">
        <f>'data on outstanding creditors'!$C1089&amp;" "&amp;'data on outstanding creditors'!$D1089&amp;" "&amp;TEXT('data on outstanding creditors'!$E1089,"#,##0.00")</f>
        <v>บ.เยเนอรัล ฮอสปิตัล โปรดัคส์ 25IN08054019 43,600.00</v>
      </c>
      <c r="U1089" s="12"/>
    </row>
    <row r="1090" ht="13.5" customHeight="1">
      <c r="A1090" s="1"/>
      <c r="B1090" s="2">
        <v>45806.0</v>
      </c>
      <c r="C1090" s="9" t="s">
        <v>1243</v>
      </c>
      <c r="D1090" s="1" t="s">
        <v>1616</v>
      </c>
      <c r="E1090" s="4">
        <v>64400.0</v>
      </c>
      <c r="F1090" s="4"/>
      <c r="G1090" s="4"/>
      <c r="H1090" s="4">
        <f>'data on outstanding creditors'!$E1090-'data on outstanding creditors'!$F1090-'data on outstanding creditors'!$G1090</f>
        <v>64400</v>
      </c>
      <c r="I1090" s="2"/>
      <c r="J1090" s="1" t="s">
        <v>757</v>
      </c>
      <c r="K1090" s="2">
        <v>45852.0</v>
      </c>
      <c r="L1090" s="5"/>
      <c r="M1090" s="9" t="s">
        <v>22</v>
      </c>
      <c r="N1090" s="9" t="s">
        <v>23</v>
      </c>
      <c r="O1090" s="10">
        <f>'data on outstanding creditors'!$E1090*100/107</f>
        <v>60186.91589</v>
      </c>
      <c r="P1090" s="10">
        <f>'data on outstanding creditors'!$E1090-'data on outstanding creditors'!$O1090</f>
        <v>4213.084112</v>
      </c>
      <c r="Q1090" s="7">
        <f>DAY('data on outstanding creditors'!$B1090)</f>
        <v>29</v>
      </c>
      <c r="R1090" s="7">
        <f>MONTH('data on outstanding creditors'!$B1090)</f>
        <v>5</v>
      </c>
      <c r="S1090" s="7">
        <f>YEAR('data on outstanding creditors'!$B1090)</f>
        <v>2025</v>
      </c>
      <c r="T1090" s="11" t="str">
        <f>'data on outstanding creditors'!$C1090&amp;" "&amp;'data on outstanding creditors'!$D1090&amp;" "&amp;TEXT('data on outstanding creditors'!$E1090,"#,##0.00")</f>
        <v>บ.วี.แอนด์.วี.กรุงเทพ 8103346607 64,400.00</v>
      </c>
      <c r="U1090" s="12"/>
    </row>
    <row r="1091" ht="13.5" customHeight="1">
      <c r="A1091" s="1"/>
      <c r="B1091" s="2">
        <v>45807.0</v>
      </c>
      <c r="C1091" s="9" t="s">
        <v>1617</v>
      </c>
      <c r="D1091" s="1" t="s">
        <v>1618</v>
      </c>
      <c r="E1091" s="4">
        <v>31030.0</v>
      </c>
      <c r="F1091" s="4"/>
      <c r="G1091" s="4"/>
      <c r="H1091" s="4">
        <f>'data on outstanding creditors'!$E1091-'data on outstanding creditors'!$F1091-'data on outstanding creditors'!$G1091</f>
        <v>31030</v>
      </c>
      <c r="I1091" s="2"/>
      <c r="J1091" s="1" t="s">
        <v>646</v>
      </c>
      <c r="K1091" s="2">
        <v>45872.0</v>
      </c>
      <c r="L1091" s="5"/>
      <c r="M1091" s="9" t="s">
        <v>22</v>
      </c>
      <c r="N1091" s="9" t="s">
        <v>23</v>
      </c>
      <c r="O1091" s="10">
        <f>'data on outstanding creditors'!$E1091*100/107</f>
        <v>29000</v>
      </c>
      <c r="P1091" s="10">
        <f>'data on outstanding creditors'!$E1091-'data on outstanding creditors'!$O1091</f>
        <v>2030</v>
      </c>
      <c r="Q1091" s="7">
        <f>DAY('data on outstanding creditors'!$B1091)</f>
        <v>30</v>
      </c>
      <c r="R1091" s="7">
        <f>MONTH('data on outstanding creditors'!$B1091)</f>
        <v>5</v>
      </c>
      <c r="S1091" s="7">
        <f>YEAR('data on outstanding creditors'!$B1091)</f>
        <v>2025</v>
      </c>
      <c r="T1091" s="11" t="str">
        <f>'data on outstanding creditors'!$C1091&amp;" "&amp;'data on outstanding creditors'!$D1091&amp;" "&amp;TEXT('data on outstanding creditors'!$E1091,"#,##0.00")</f>
        <v>บ.โมเดิร์น แบรนด์ส MB25/2543 31,030.00</v>
      </c>
      <c r="U1091" s="12"/>
    </row>
    <row r="1092" ht="13.5" customHeight="1">
      <c r="A1092" s="1"/>
      <c r="B1092" s="2">
        <v>45807.0</v>
      </c>
      <c r="C1092" s="9" t="s">
        <v>1619</v>
      </c>
      <c r="D1092" s="1" t="s">
        <v>1620</v>
      </c>
      <c r="E1092" s="4">
        <v>25500.0</v>
      </c>
      <c r="F1092" s="4"/>
      <c r="G1092" s="4"/>
      <c r="H1092" s="4">
        <f>'data on outstanding creditors'!$E1092-'data on outstanding creditors'!$F1092-'data on outstanding creditors'!$G1092</f>
        <v>25500</v>
      </c>
      <c r="I1092" s="2"/>
      <c r="J1092" s="1" t="s">
        <v>757</v>
      </c>
      <c r="K1092" s="2">
        <v>45851.0</v>
      </c>
      <c r="L1092" s="5"/>
      <c r="M1092" s="9" t="s">
        <v>22</v>
      </c>
      <c r="N1092" s="9" t="s">
        <v>23</v>
      </c>
      <c r="O1092" s="10">
        <f>'data on outstanding creditors'!$E1092*100/107</f>
        <v>23831.7757</v>
      </c>
      <c r="P1092" s="10">
        <f>'data on outstanding creditors'!$E1092-'data on outstanding creditors'!$O1092</f>
        <v>1668.224299</v>
      </c>
      <c r="Q1092" s="7">
        <f>DAY('data on outstanding creditors'!$B1092)</f>
        <v>30</v>
      </c>
      <c r="R1092" s="7">
        <f>MONTH('data on outstanding creditors'!$B1092)</f>
        <v>5</v>
      </c>
      <c r="S1092" s="7">
        <f>YEAR('data on outstanding creditors'!$B1092)</f>
        <v>2025</v>
      </c>
      <c r="T1092" s="11" t="str">
        <f>'data on outstanding creditors'!$C1092&amp;" "&amp;'data on outstanding creditors'!$D1092&amp;" "&amp;TEXT('data on outstanding creditors'!$E1092,"#,##0.00")</f>
        <v>บ.พีเอ็มแอล พลัส MIS250523-142 25,500.00</v>
      </c>
      <c r="U1092" s="12"/>
    </row>
    <row r="1093" ht="13.5" customHeight="1">
      <c r="A1093" s="1"/>
      <c r="B1093" s="2">
        <v>45807.0</v>
      </c>
      <c r="C1093" s="9" t="s">
        <v>1328</v>
      </c>
      <c r="D1093" s="1" t="s">
        <v>1621</v>
      </c>
      <c r="E1093" s="4">
        <v>9000.0</v>
      </c>
      <c r="F1093" s="4"/>
      <c r="G1093" s="4"/>
      <c r="H1093" s="4">
        <f>'data on outstanding creditors'!$E1093-'data on outstanding creditors'!$F1093-'data on outstanding creditors'!$G1093</f>
        <v>9000</v>
      </c>
      <c r="I1093" s="2"/>
      <c r="J1093" s="1" t="s">
        <v>646</v>
      </c>
      <c r="K1093" s="2">
        <v>45928.0</v>
      </c>
      <c r="L1093" s="5"/>
      <c r="M1093" s="9" t="s">
        <v>22</v>
      </c>
      <c r="N1093" s="9" t="s">
        <v>23</v>
      </c>
      <c r="O1093" s="10">
        <f>'data on outstanding creditors'!$E1093*100/107</f>
        <v>8411.214953</v>
      </c>
      <c r="P1093" s="10">
        <f>'data on outstanding creditors'!$E1093-'data on outstanding creditors'!$O1093</f>
        <v>588.7850467</v>
      </c>
      <c r="Q1093" s="7">
        <f>DAY('data on outstanding creditors'!$B1093)</f>
        <v>30</v>
      </c>
      <c r="R1093" s="7">
        <f>MONTH('data on outstanding creditors'!$B1093)</f>
        <v>5</v>
      </c>
      <c r="S1093" s="7">
        <f>YEAR('data on outstanding creditors'!$B1093)</f>
        <v>2025</v>
      </c>
      <c r="T1093" s="11" t="str">
        <f>'data on outstanding creditors'!$C1093&amp;" "&amp;'data on outstanding creditors'!$D1093&amp;" "&amp;TEXT('data on outstanding creditors'!$E1093,"#,##0.00")</f>
        <v>บ.แก้วมังกรเภสัช IV68051252 9,000.00</v>
      </c>
      <c r="U1093" s="12"/>
    </row>
    <row r="1094" ht="13.5" customHeight="1">
      <c r="A1094" s="1"/>
      <c r="B1094" s="2">
        <v>45812.0</v>
      </c>
      <c r="C1094" s="9" t="s">
        <v>263</v>
      </c>
      <c r="D1094" s="1" t="s">
        <v>1622</v>
      </c>
      <c r="E1094" s="4">
        <v>118800.0</v>
      </c>
      <c r="F1094" s="4"/>
      <c r="G1094" s="4"/>
      <c r="H1094" s="4">
        <f>'data on outstanding creditors'!$E1094-'data on outstanding creditors'!$F1094-'data on outstanding creditors'!$G1094</f>
        <v>118800</v>
      </c>
      <c r="I1094" s="2"/>
      <c r="J1094" s="1" t="s">
        <v>757</v>
      </c>
      <c r="K1094" s="2">
        <v>45938.0</v>
      </c>
      <c r="L1094" s="5"/>
      <c r="M1094" s="9" t="s">
        <v>22</v>
      </c>
      <c r="N1094" s="9" t="s">
        <v>23</v>
      </c>
      <c r="O1094" s="10">
        <f>'data on outstanding creditors'!$E1094*100/107</f>
        <v>111028.0374</v>
      </c>
      <c r="P1094" s="10">
        <f>'data on outstanding creditors'!$E1094-'data on outstanding creditors'!$O1094</f>
        <v>7771.962617</v>
      </c>
      <c r="Q1094" s="7">
        <f>DAY('data on outstanding creditors'!$B1094)</f>
        <v>4</v>
      </c>
      <c r="R1094" s="7">
        <f>MONTH('data on outstanding creditors'!$B1094)</f>
        <v>6</v>
      </c>
      <c r="S1094" s="7">
        <f>YEAR('data on outstanding creditors'!$B1094)</f>
        <v>2025</v>
      </c>
      <c r="T1094" s="11" t="str">
        <f>'data on outstanding creditors'!$C1094&amp;" "&amp;'data on outstanding creditors'!$D1094&amp;" "&amp;TEXT('data on outstanding creditors'!$E1094,"#,##0.00")</f>
        <v>บ.เอเบิ้ล เมดิคอล M2505/0689 118,800.00</v>
      </c>
      <c r="U1094" s="12"/>
    </row>
    <row r="1095" ht="13.5" customHeight="1">
      <c r="A1095" s="1"/>
      <c r="B1095" s="2">
        <v>45813.0</v>
      </c>
      <c r="C1095" s="9" t="s">
        <v>1230</v>
      </c>
      <c r="D1095" s="1" t="s">
        <v>1623</v>
      </c>
      <c r="E1095" s="4">
        <v>68000.0</v>
      </c>
      <c r="F1095" s="4"/>
      <c r="G1095" s="4"/>
      <c r="H1095" s="4">
        <f>'data on outstanding creditors'!$E1095-'data on outstanding creditors'!$F1095-'data on outstanding creditors'!$G1095</f>
        <v>68000</v>
      </c>
      <c r="I1095" s="2"/>
      <c r="J1095" s="1" t="s">
        <v>646</v>
      </c>
      <c r="K1095" s="2">
        <v>45928.0</v>
      </c>
      <c r="L1095" s="5"/>
      <c r="M1095" s="9" t="s">
        <v>22</v>
      </c>
      <c r="N1095" s="9" t="s">
        <v>23</v>
      </c>
      <c r="O1095" s="10">
        <f>'data on outstanding creditors'!$E1095*100/107</f>
        <v>63551.40187</v>
      </c>
      <c r="P1095" s="10">
        <f>'data on outstanding creditors'!$E1095-'data on outstanding creditors'!$O1095</f>
        <v>4448.598131</v>
      </c>
      <c r="Q1095" s="7">
        <f>DAY('data on outstanding creditors'!$B1095)</f>
        <v>5</v>
      </c>
      <c r="R1095" s="7">
        <f>MONTH('data on outstanding creditors'!$B1095)</f>
        <v>6</v>
      </c>
      <c r="S1095" s="7">
        <f>YEAR('data on outstanding creditors'!$B1095)</f>
        <v>2025</v>
      </c>
      <c r="T1095" s="11" t="str">
        <f>'data on outstanding creditors'!$C1095&amp;" "&amp;'data on outstanding creditors'!$D1095&amp;" "&amp;TEXT('data on outstanding creditors'!$E1095,"#,##0.00")</f>
        <v>บ.พรอส ฟาร์มา INV-L-IM\2025053134 68,000.00</v>
      </c>
      <c r="U1095" s="12"/>
    </row>
    <row r="1096" ht="13.5" customHeight="1">
      <c r="A1096" s="1"/>
      <c r="B1096" s="2">
        <v>45813.0</v>
      </c>
      <c r="C1096" s="9" t="s">
        <v>24</v>
      </c>
      <c r="D1096" s="1" t="s">
        <v>1624</v>
      </c>
      <c r="E1096" s="4">
        <v>10000.0</v>
      </c>
      <c r="F1096" s="4"/>
      <c r="G1096" s="4"/>
      <c r="H1096" s="4">
        <f>'data on outstanding creditors'!$E1096-'data on outstanding creditors'!$F1096-'data on outstanding creditors'!$G1096</f>
        <v>10000</v>
      </c>
      <c r="I1096" s="2"/>
      <c r="J1096" s="1" t="s">
        <v>646</v>
      </c>
      <c r="K1096" s="2">
        <v>45928.0</v>
      </c>
      <c r="L1096" s="5"/>
      <c r="M1096" s="9" t="s">
        <v>22</v>
      </c>
      <c r="N1096" s="9" t="s">
        <v>23</v>
      </c>
      <c r="O1096" s="10">
        <f>'data on outstanding creditors'!$E1096*100/107</f>
        <v>9345.794393</v>
      </c>
      <c r="P1096" s="10">
        <f>'data on outstanding creditors'!$E1096-'data on outstanding creditors'!$O1096</f>
        <v>654.2056075</v>
      </c>
      <c r="Q1096" s="7">
        <f>DAY('data on outstanding creditors'!$B1096)</f>
        <v>5</v>
      </c>
      <c r="R1096" s="7">
        <f>MONTH('data on outstanding creditors'!$B1096)</f>
        <v>6</v>
      </c>
      <c r="S1096" s="7">
        <f>YEAR('data on outstanding creditors'!$B1096)</f>
        <v>2025</v>
      </c>
      <c r="T1096" s="11" t="str">
        <f>'data on outstanding creditors'!$C1096&amp;" "&amp;'data on outstanding creditors'!$D1096&amp;" "&amp;TEXT('data on outstanding creditors'!$E1096,"#,##0.00")</f>
        <v>บ.เซ็นทรัลโพลีเทรดดิ้ง 31i25029647 10,000.00</v>
      </c>
      <c r="U1096" s="12"/>
    </row>
    <row r="1097" ht="13.5" customHeight="1">
      <c r="A1097" s="1"/>
      <c r="B1097" s="2">
        <v>45813.0</v>
      </c>
      <c r="C1097" s="9" t="s">
        <v>922</v>
      </c>
      <c r="D1097" s="1" t="s">
        <v>1625</v>
      </c>
      <c r="E1097" s="4">
        <v>42500.0</v>
      </c>
      <c r="F1097" s="4"/>
      <c r="G1097" s="4"/>
      <c r="H1097" s="4">
        <f>'data on outstanding creditors'!$E1097-'data on outstanding creditors'!$F1097-'data on outstanding creditors'!$G1097</f>
        <v>42500</v>
      </c>
      <c r="I1097" s="2"/>
      <c r="J1097" s="1" t="s">
        <v>646</v>
      </c>
      <c r="K1097" s="2">
        <v>45928.0</v>
      </c>
      <c r="L1097" s="5"/>
      <c r="M1097" s="9" t="s">
        <v>22</v>
      </c>
      <c r="N1097" s="9" t="s">
        <v>23</v>
      </c>
      <c r="O1097" s="10">
        <f>'data on outstanding creditors'!$E1097*100/107</f>
        <v>39719.62617</v>
      </c>
      <c r="P1097" s="10">
        <f>'data on outstanding creditors'!$E1097-'data on outstanding creditors'!$O1097</f>
        <v>2780.373832</v>
      </c>
      <c r="Q1097" s="7">
        <f>DAY('data on outstanding creditors'!$B1097)</f>
        <v>5</v>
      </c>
      <c r="R1097" s="7">
        <f>MONTH('data on outstanding creditors'!$B1097)</f>
        <v>6</v>
      </c>
      <c r="S1097" s="7">
        <f>YEAR('data on outstanding creditors'!$B1097)</f>
        <v>2025</v>
      </c>
      <c r="T1097" s="11" t="str">
        <f>'data on outstanding creditors'!$C1097&amp;" "&amp;'data on outstanding creditors'!$D1097&amp;" "&amp;TEXT('data on outstanding creditors'!$E1097,"#,##0.00")</f>
        <v>บ.เบอร์ลินฟาร์มาซูติคอลอินดัสตรี้ 6810510749 42,500.00</v>
      </c>
      <c r="U1097" s="12"/>
    </row>
    <row r="1098" ht="13.5" customHeight="1">
      <c r="A1098" s="1"/>
      <c r="B1098" s="2">
        <v>45814.0</v>
      </c>
      <c r="C1098" s="9" t="s">
        <v>920</v>
      </c>
      <c r="D1098" s="1" t="s">
        <v>1626</v>
      </c>
      <c r="E1098" s="4">
        <v>50000.0</v>
      </c>
      <c r="F1098" s="4"/>
      <c r="G1098" s="4"/>
      <c r="H1098" s="4">
        <f>'data on outstanding creditors'!$E1098-'data on outstanding creditors'!$F1098-'data on outstanding creditors'!$G1098</f>
        <v>50000</v>
      </c>
      <c r="I1098" s="2"/>
      <c r="J1098" s="1" t="s">
        <v>646</v>
      </c>
      <c r="K1098" s="2">
        <v>45855.0</v>
      </c>
      <c r="L1098" s="5"/>
      <c r="M1098" s="9" t="s">
        <v>22</v>
      </c>
      <c r="N1098" s="9" t="s">
        <v>23</v>
      </c>
      <c r="O1098" s="10">
        <f>'data on outstanding creditors'!$E1098*100/107</f>
        <v>46728.97196</v>
      </c>
      <c r="P1098" s="10">
        <f>'data on outstanding creditors'!$E1098-'data on outstanding creditors'!$O1098</f>
        <v>3271.028037</v>
      </c>
      <c r="Q1098" s="7">
        <f>DAY('data on outstanding creditors'!$B1098)</f>
        <v>6</v>
      </c>
      <c r="R1098" s="7">
        <f>MONTH('data on outstanding creditors'!$B1098)</f>
        <v>6</v>
      </c>
      <c r="S1098" s="7">
        <f>YEAR('data on outstanding creditors'!$B1098)</f>
        <v>2025</v>
      </c>
      <c r="T1098" s="11" t="str">
        <f>'data on outstanding creditors'!$C1098&amp;" "&amp;'data on outstanding creditors'!$D1098&amp;" "&amp;TEXT('data on outstanding creditors'!$E1098,"#,##0.00")</f>
        <v>บ.โปลิฟาร์ม IVU-68023354 50,000.00</v>
      </c>
      <c r="U1098" s="12"/>
    </row>
    <row r="1099" ht="13.5" customHeight="1">
      <c r="A1099" s="1"/>
      <c r="B1099" s="2">
        <v>45814.0</v>
      </c>
      <c r="C1099" s="9" t="s">
        <v>1627</v>
      </c>
      <c r="D1099" s="1" t="s">
        <v>1628</v>
      </c>
      <c r="E1099" s="4">
        <v>37800.0</v>
      </c>
      <c r="F1099" s="4"/>
      <c r="G1099" s="4"/>
      <c r="H1099" s="4">
        <f>'data on outstanding creditors'!$E1099-'data on outstanding creditors'!$F1099-'data on outstanding creditors'!$G1099</f>
        <v>37800</v>
      </c>
      <c r="I1099" s="2"/>
      <c r="J1099" s="1" t="s">
        <v>646</v>
      </c>
      <c r="K1099" s="2">
        <v>45846.0</v>
      </c>
      <c r="L1099" s="5"/>
      <c r="M1099" s="9" t="s">
        <v>22</v>
      </c>
      <c r="N1099" s="9" t="s">
        <v>23</v>
      </c>
      <c r="O1099" s="10">
        <f>'data on outstanding creditors'!$E1099*100/107</f>
        <v>35327.1028</v>
      </c>
      <c r="P1099" s="10">
        <f>'data on outstanding creditors'!$E1099-'data on outstanding creditors'!$O1099</f>
        <v>2472.897196</v>
      </c>
      <c r="Q1099" s="7">
        <f>DAY('data on outstanding creditors'!$B1099)</f>
        <v>6</v>
      </c>
      <c r="R1099" s="7">
        <f>MONTH('data on outstanding creditors'!$B1099)</f>
        <v>6</v>
      </c>
      <c r="S1099" s="7">
        <f>YEAR('data on outstanding creditors'!$B1099)</f>
        <v>2025</v>
      </c>
      <c r="T1099" s="11" t="str">
        <f>'data on outstanding creditors'!$C1099&amp;" "&amp;'data on outstanding creditors'!$D1099&amp;" "&amp;TEXT('data on outstanding creditors'!$E1099,"#,##0.00")</f>
        <v>มูลนิธิโรงพยาบาลเจ้าพระยาอภัยภูเบศร ORV68050239 37,800.00</v>
      </c>
      <c r="U1099" s="12"/>
    </row>
    <row r="1100" ht="13.5" customHeight="1">
      <c r="A1100" s="1"/>
      <c r="B1100" s="2">
        <v>45814.0</v>
      </c>
      <c r="C1100" s="9" t="s">
        <v>1247</v>
      </c>
      <c r="D1100" s="1" t="s">
        <v>1629</v>
      </c>
      <c r="E1100" s="4">
        <v>30000.0</v>
      </c>
      <c r="F1100" s="4"/>
      <c r="G1100" s="4"/>
      <c r="H1100" s="4">
        <f>'data on outstanding creditors'!$E1100-'data on outstanding creditors'!$F1100-'data on outstanding creditors'!$G1100</f>
        <v>30000</v>
      </c>
      <c r="I1100" s="2"/>
      <c r="J1100" s="1" t="s">
        <v>646</v>
      </c>
      <c r="K1100" s="2">
        <v>45954.0</v>
      </c>
      <c r="L1100" s="5"/>
      <c r="M1100" s="9" t="s">
        <v>22</v>
      </c>
      <c r="N1100" s="9" t="s">
        <v>23</v>
      </c>
      <c r="O1100" s="10">
        <f>'data on outstanding creditors'!$E1100*100/107</f>
        <v>28037.38318</v>
      </c>
      <c r="P1100" s="10">
        <f>'data on outstanding creditors'!$E1100-'data on outstanding creditors'!$O1100</f>
        <v>1962.616822</v>
      </c>
      <c r="Q1100" s="7">
        <f>DAY('data on outstanding creditors'!$B1100)</f>
        <v>6</v>
      </c>
      <c r="R1100" s="7">
        <f>MONTH('data on outstanding creditors'!$B1100)</f>
        <v>6</v>
      </c>
      <c r="S1100" s="7">
        <f>YEAR('data on outstanding creditors'!$B1100)</f>
        <v>2025</v>
      </c>
      <c r="T1100" s="11" t="str">
        <f>'data on outstanding creditors'!$C1100&amp;" "&amp;'data on outstanding creditors'!$D1100&amp;" "&amp;TEXT('data on outstanding creditors'!$E1100,"#,##0.00")</f>
        <v>บ.เอ.เอ็น.บี.ลาบอรอตอรี่ 8370890195 30,000.00</v>
      </c>
      <c r="U1100" s="12"/>
    </row>
    <row r="1101" ht="13.5" customHeight="1">
      <c r="A1101" s="1"/>
      <c r="B1101" s="2">
        <v>45814.0</v>
      </c>
      <c r="C1101" s="9" t="s">
        <v>1303</v>
      </c>
      <c r="D1101" s="1" t="s">
        <v>1630</v>
      </c>
      <c r="E1101" s="4">
        <v>77040.0</v>
      </c>
      <c r="F1101" s="4"/>
      <c r="G1101" s="4"/>
      <c r="H1101" s="4">
        <f>'data on outstanding creditors'!$E1101-'data on outstanding creditors'!$F1101-'data on outstanding creditors'!$G1101</f>
        <v>77040</v>
      </c>
      <c r="I1101" s="2"/>
      <c r="J1101" s="1" t="s">
        <v>646</v>
      </c>
      <c r="K1101" s="2">
        <v>45866.0</v>
      </c>
      <c r="L1101" s="5"/>
      <c r="M1101" s="9" t="s">
        <v>22</v>
      </c>
      <c r="N1101" s="9" t="s">
        <v>23</v>
      </c>
      <c r="O1101" s="10">
        <f>'data on outstanding creditors'!$E1101*100/107</f>
        <v>72000</v>
      </c>
      <c r="P1101" s="10">
        <f>'data on outstanding creditors'!$E1101-'data on outstanding creditors'!$O1101</f>
        <v>5040</v>
      </c>
      <c r="Q1101" s="7">
        <f>DAY('data on outstanding creditors'!$B1101)</f>
        <v>6</v>
      </c>
      <c r="R1101" s="7">
        <f>MONTH('data on outstanding creditors'!$B1101)</f>
        <v>6</v>
      </c>
      <c r="S1101" s="7">
        <f>YEAR('data on outstanding creditors'!$B1101)</f>
        <v>2025</v>
      </c>
      <c r="T1101" s="11" t="str">
        <f>'data on outstanding creditors'!$C1101&amp;" "&amp;'data on outstanding creditors'!$D1101&amp;" "&amp;TEXT('data on outstanding creditors'!$E1101,"#,##0.00")</f>
        <v>บ.บี.เอ็ล.เอช.เทร็ดดิ้ง 1068013655 77,040.00</v>
      </c>
      <c r="U1101" s="12"/>
    </row>
    <row r="1102" ht="13.5" customHeight="1">
      <c r="A1102" s="1"/>
      <c r="B1102" s="2">
        <v>45814.0</v>
      </c>
      <c r="C1102" s="9" t="s">
        <v>767</v>
      </c>
      <c r="D1102" s="1" t="s">
        <v>1631</v>
      </c>
      <c r="E1102" s="4">
        <v>143600.0</v>
      </c>
      <c r="F1102" s="4"/>
      <c r="G1102" s="4"/>
      <c r="H1102" s="4">
        <f>'data on outstanding creditors'!$E1102-'data on outstanding creditors'!$F1102-'data on outstanding creditors'!$G1102</f>
        <v>143600</v>
      </c>
      <c r="I1102" s="2"/>
      <c r="J1102" s="1" t="s">
        <v>646</v>
      </c>
      <c r="K1102" s="2">
        <v>45944.0</v>
      </c>
      <c r="L1102" s="5"/>
      <c r="M1102" s="9" t="s">
        <v>22</v>
      </c>
      <c r="N1102" s="9" t="s">
        <v>23</v>
      </c>
      <c r="O1102" s="10">
        <f>'data on outstanding creditors'!$E1102*100/107</f>
        <v>134205.6075</v>
      </c>
      <c r="P1102" s="10">
        <f>'data on outstanding creditors'!$E1102-'data on outstanding creditors'!$O1102</f>
        <v>9394.392523</v>
      </c>
      <c r="Q1102" s="7">
        <f>DAY('data on outstanding creditors'!$B1102)</f>
        <v>6</v>
      </c>
      <c r="R1102" s="7">
        <f>MONTH('data on outstanding creditors'!$B1102)</f>
        <v>6</v>
      </c>
      <c r="S1102" s="7">
        <f>YEAR('data on outstanding creditors'!$B1102)</f>
        <v>2025</v>
      </c>
      <c r="T1102" s="11" t="str">
        <f>'data on outstanding creditors'!$C1102&amp;" "&amp;'data on outstanding creditors'!$D1102&amp;" "&amp;TEXT('data on outstanding creditors'!$E1102,"#,##0.00")</f>
        <v>บ.คอสม่า เทรดดิ้ง 310557403473 143,600.00</v>
      </c>
      <c r="U1102" s="12"/>
    </row>
    <row r="1103" ht="13.5" customHeight="1">
      <c r="A1103" s="1"/>
      <c r="B1103" s="2">
        <v>45814.0</v>
      </c>
      <c r="C1103" s="9" t="s">
        <v>1234</v>
      </c>
      <c r="D1103" s="1" t="s">
        <v>1632</v>
      </c>
      <c r="E1103" s="4">
        <v>3300.0</v>
      </c>
      <c r="F1103" s="4"/>
      <c r="G1103" s="4"/>
      <c r="H1103" s="4">
        <f>'data on outstanding creditors'!$E1103-'data on outstanding creditors'!$F1103-'data on outstanding creditors'!$G1103</f>
        <v>3300</v>
      </c>
      <c r="I1103" s="2"/>
      <c r="J1103" s="1" t="s">
        <v>646</v>
      </c>
      <c r="K1103" s="2">
        <v>45877.0</v>
      </c>
      <c r="L1103" s="5"/>
      <c r="M1103" s="9" t="s">
        <v>22</v>
      </c>
      <c r="N1103" s="9" t="s">
        <v>23</v>
      </c>
      <c r="O1103" s="10">
        <f>'data on outstanding creditors'!$E1103*100/107</f>
        <v>3084.11215</v>
      </c>
      <c r="P1103" s="10">
        <f>'data on outstanding creditors'!$E1103-'data on outstanding creditors'!$O1103</f>
        <v>215.8878505</v>
      </c>
      <c r="Q1103" s="7">
        <f>DAY('data on outstanding creditors'!$B1103)</f>
        <v>6</v>
      </c>
      <c r="R1103" s="7">
        <f>MONTH('data on outstanding creditors'!$B1103)</f>
        <v>6</v>
      </c>
      <c r="S1103" s="7">
        <f>YEAR('data on outstanding creditors'!$B1103)</f>
        <v>2025</v>
      </c>
      <c r="T1103" s="11" t="str">
        <f>'data on outstanding creditors'!$C1103&amp;" "&amp;'data on outstanding creditors'!$D1103&amp;" "&amp;TEXT('data on outstanding creditors'!$E1103,"#,##0.00")</f>
        <v>บ.คอนติเนนเติล-ฟาร์ม 250501174 3,300.00</v>
      </c>
      <c r="U1103" s="12"/>
    </row>
    <row r="1104" ht="13.5" customHeight="1">
      <c r="A1104" s="1"/>
      <c r="B1104" s="2">
        <v>45814.0</v>
      </c>
      <c r="C1104" s="9" t="s">
        <v>20</v>
      </c>
      <c r="D1104" s="1" t="s">
        <v>1633</v>
      </c>
      <c r="E1104" s="4">
        <v>15000.0</v>
      </c>
      <c r="F1104" s="4"/>
      <c r="G1104" s="4"/>
      <c r="H1104" s="4">
        <f>'data on outstanding creditors'!$E1104-'data on outstanding creditors'!$F1104-'data on outstanding creditors'!$G1104</f>
        <v>15000</v>
      </c>
      <c r="I1104" s="2"/>
      <c r="J1104" s="1" t="s">
        <v>646</v>
      </c>
      <c r="K1104" s="2">
        <v>45877.0</v>
      </c>
      <c r="L1104" s="5"/>
      <c r="M1104" s="9" t="s">
        <v>22</v>
      </c>
      <c r="N1104" s="9" t="s">
        <v>23</v>
      </c>
      <c r="O1104" s="10">
        <f>'data on outstanding creditors'!$E1104*100/107</f>
        <v>14018.69159</v>
      </c>
      <c r="P1104" s="10">
        <f>'data on outstanding creditors'!$E1104-'data on outstanding creditors'!$O1104</f>
        <v>981.3084112</v>
      </c>
      <c r="Q1104" s="7">
        <f>DAY('data on outstanding creditors'!$B1104)</f>
        <v>6</v>
      </c>
      <c r="R1104" s="7">
        <f>MONTH('data on outstanding creditors'!$B1104)</f>
        <v>6</v>
      </c>
      <c r="S1104" s="7">
        <f>YEAR('data on outstanding creditors'!$B1104)</f>
        <v>2025</v>
      </c>
      <c r="T1104" s="11" t="str">
        <f>'data on outstanding creditors'!$C1104&amp;" "&amp;'data on outstanding creditors'!$D1104&amp;" "&amp;TEXT('data on outstanding creditors'!$E1104,"#,##0.00")</f>
        <v>บ.พีเอ็มแอล ฟาร์มาซูติคอลส์ SIS250602-073 15,000.00</v>
      </c>
      <c r="U1104" s="12"/>
    </row>
    <row r="1105" ht="13.5" customHeight="1">
      <c r="A1105" s="1"/>
      <c r="B1105" s="2">
        <v>45814.0</v>
      </c>
      <c r="C1105" s="9" t="s">
        <v>1349</v>
      </c>
      <c r="D1105" s="1" t="s">
        <v>1634</v>
      </c>
      <c r="E1105" s="4">
        <v>58000.0</v>
      </c>
      <c r="F1105" s="4"/>
      <c r="G1105" s="4"/>
      <c r="H1105" s="4">
        <f>'data on outstanding creditors'!$E1105-'data on outstanding creditors'!$F1105-'data on outstanding creditors'!$G1105</f>
        <v>58000</v>
      </c>
      <c r="I1105" s="2"/>
      <c r="J1105" s="1" t="s">
        <v>646</v>
      </c>
      <c r="K1105" s="2">
        <v>45944.0</v>
      </c>
      <c r="L1105" s="5"/>
      <c r="M1105" s="9" t="s">
        <v>22</v>
      </c>
      <c r="N1105" s="9" t="s">
        <v>23</v>
      </c>
      <c r="O1105" s="10">
        <f>'data on outstanding creditors'!$E1105*100/107</f>
        <v>54205.60748</v>
      </c>
      <c r="P1105" s="10">
        <f>'data on outstanding creditors'!$E1105-'data on outstanding creditors'!$O1105</f>
        <v>3794.392523</v>
      </c>
      <c r="Q1105" s="7">
        <f>DAY('data on outstanding creditors'!$B1105)</f>
        <v>6</v>
      </c>
      <c r="R1105" s="7">
        <f>MONTH('data on outstanding creditors'!$B1105)</f>
        <v>6</v>
      </c>
      <c r="S1105" s="7">
        <f>YEAR('data on outstanding creditors'!$B1105)</f>
        <v>2025</v>
      </c>
      <c r="T1105" s="11" t="str">
        <f>'data on outstanding creditors'!$C1105&amp;" "&amp;'data on outstanding creditors'!$D1105&amp;" "&amp;TEXT('data on outstanding creditors'!$E1105,"#,##0.00")</f>
        <v>บ.ฟาร์มาดิกา DIS250602-044 58,000.00</v>
      </c>
      <c r="U1105" s="12"/>
    </row>
    <row r="1106" ht="13.5" customHeight="1">
      <c r="A1106" s="1"/>
      <c r="B1106" s="2">
        <v>45814.0</v>
      </c>
      <c r="C1106" s="9" t="s">
        <v>1422</v>
      </c>
      <c r="D1106" s="1" t="s">
        <v>1635</v>
      </c>
      <c r="E1106" s="4">
        <v>2110.04</v>
      </c>
      <c r="F1106" s="4"/>
      <c r="G1106" s="4"/>
      <c r="H1106" s="4">
        <f>'data on outstanding creditors'!$E1106-'data on outstanding creditors'!$F1106-'data on outstanding creditors'!$G1106</f>
        <v>2110.04</v>
      </c>
      <c r="I1106" s="2"/>
      <c r="J1106" s="1" t="s">
        <v>646</v>
      </c>
      <c r="K1106" s="2">
        <v>45885.0</v>
      </c>
      <c r="L1106" s="5"/>
      <c r="M1106" s="9" t="s">
        <v>22</v>
      </c>
      <c r="N1106" s="9" t="s">
        <v>23</v>
      </c>
      <c r="O1106" s="10">
        <f>'data on outstanding creditors'!$E1106*100/107</f>
        <v>1972</v>
      </c>
      <c r="P1106" s="10">
        <f>'data on outstanding creditors'!$E1106-'data on outstanding creditors'!$O1106</f>
        <v>138.04</v>
      </c>
      <c r="Q1106" s="7">
        <f>DAY('data on outstanding creditors'!$B1106)</f>
        <v>6</v>
      </c>
      <c r="R1106" s="7">
        <f>MONTH('data on outstanding creditors'!$B1106)</f>
        <v>6</v>
      </c>
      <c r="S1106" s="7">
        <f>YEAR('data on outstanding creditors'!$B1106)</f>
        <v>2025</v>
      </c>
      <c r="T1106" s="11" t="str">
        <f>'data on outstanding creditors'!$C1106&amp;" "&amp;'data on outstanding creditors'!$D1106&amp;" "&amp;TEXT('data on outstanding creditors'!$E1106,"#,##0.00")</f>
        <v>บ.ดีซีเอช ออดิกา (ปรเทศไทย) UG94639570 2,110.04</v>
      </c>
      <c r="U1106" s="12"/>
    </row>
    <row r="1107" ht="13.5" customHeight="1">
      <c r="A1107" s="1"/>
      <c r="B1107" s="2">
        <v>45818.0</v>
      </c>
      <c r="C1107" s="9" t="s">
        <v>1247</v>
      </c>
      <c r="D1107" s="1" t="s">
        <v>1636</v>
      </c>
      <c r="E1107" s="4">
        <v>41800.0</v>
      </c>
      <c r="F1107" s="4"/>
      <c r="G1107" s="4"/>
      <c r="H1107" s="4">
        <f>'data on outstanding creditors'!$E1107-'data on outstanding creditors'!$F1107-'data on outstanding creditors'!$G1107</f>
        <v>41800</v>
      </c>
      <c r="I1107" s="2"/>
      <c r="J1107" s="1" t="s">
        <v>646</v>
      </c>
      <c r="K1107" s="2">
        <v>45954.0</v>
      </c>
      <c r="L1107" s="5"/>
      <c r="M1107" s="9" t="s">
        <v>22</v>
      </c>
      <c r="N1107" s="9" t="s">
        <v>23</v>
      </c>
      <c r="O1107" s="10">
        <f>'data on outstanding creditors'!$E1107*100/107</f>
        <v>39065.42056</v>
      </c>
      <c r="P1107" s="10">
        <f>'data on outstanding creditors'!$E1107-'data on outstanding creditors'!$O1107</f>
        <v>2734.579439</v>
      </c>
      <c r="Q1107" s="7">
        <f>DAY('data on outstanding creditors'!$B1107)</f>
        <v>10</v>
      </c>
      <c r="R1107" s="7">
        <f>MONTH('data on outstanding creditors'!$B1107)</f>
        <v>6</v>
      </c>
      <c r="S1107" s="7">
        <f>YEAR('data on outstanding creditors'!$B1107)</f>
        <v>2025</v>
      </c>
      <c r="T1107" s="11" t="str">
        <f>'data on outstanding creditors'!$C1107&amp;" "&amp;'data on outstanding creditors'!$D1107&amp;" "&amp;TEXT('data on outstanding creditors'!$E1107,"#,##0.00")</f>
        <v>บ.เอ.เอ็น.บี.ลาบอรอตอรี่ 8370890912 41,800.00</v>
      </c>
      <c r="U1107" s="12"/>
    </row>
    <row r="1108" ht="13.5" customHeight="1">
      <c r="A1108" s="1"/>
      <c r="B1108" s="2">
        <v>45818.0</v>
      </c>
      <c r="C1108" s="9" t="s">
        <v>1637</v>
      </c>
      <c r="D1108" s="1" t="s">
        <v>1638</v>
      </c>
      <c r="E1108" s="4">
        <v>128400.0</v>
      </c>
      <c r="F1108" s="4"/>
      <c r="G1108" s="4"/>
      <c r="H1108" s="4">
        <f>'data on outstanding creditors'!$E1108-'data on outstanding creditors'!$F1108-'data on outstanding creditors'!$G1108</f>
        <v>128400</v>
      </c>
      <c r="I1108" s="2"/>
      <c r="J1108" s="1" t="s">
        <v>646</v>
      </c>
      <c r="K1108" s="2">
        <v>45954.0</v>
      </c>
      <c r="L1108" s="5"/>
      <c r="M1108" s="9" t="s">
        <v>22</v>
      </c>
      <c r="N1108" s="9" t="s">
        <v>23</v>
      </c>
      <c r="O1108" s="10">
        <f>'data on outstanding creditors'!$E1108*100/107</f>
        <v>120000</v>
      </c>
      <c r="P1108" s="10">
        <f>'data on outstanding creditors'!$E1108-'data on outstanding creditors'!$O1108</f>
        <v>8400</v>
      </c>
      <c r="Q1108" s="7">
        <f>DAY('data on outstanding creditors'!$B1108)</f>
        <v>10</v>
      </c>
      <c r="R1108" s="7">
        <f>MONTH('data on outstanding creditors'!$B1108)</f>
        <v>6</v>
      </c>
      <c r="S1108" s="7">
        <f>YEAR('data on outstanding creditors'!$B1108)</f>
        <v>2025</v>
      </c>
      <c r="T1108" s="11" t="str">
        <f>'data on outstanding creditors'!$C1108&amp;" "&amp;'data on outstanding creditors'!$D1108&amp;" "&amp;TEXT('data on outstanding creditors'!$E1108,"#,##0.00")</f>
        <v>บ.บีเจเอช เมดิคอล 310557401607 128,400.00</v>
      </c>
      <c r="U1108" s="12"/>
    </row>
    <row r="1109" ht="13.5" customHeight="1">
      <c r="A1109" s="1"/>
      <c r="B1109" s="2">
        <v>45819.0</v>
      </c>
      <c r="C1109" s="9" t="s">
        <v>965</v>
      </c>
      <c r="D1109" s="1" t="s">
        <v>1639</v>
      </c>
      <c r="E1109" s="4">
        <v>39998.32</v>
      </c>
      <c r="F1109" s="4"/>
      <c r="G1109" s="4"/>
      <c r="H1109" s="4">
        <f>'data on outstanding creditors'!$E1109-'data on outstanding creditors'!$F1109-'data on outstanding creditors'!$G1109</f>
        <v>39998.32</v>
      </c>
      <c r="I1109" s="2"/>
      <c r="J1109" s="1" t="s">
        <v>646</v>
      </c>
      <c r="K1109" s="2">
        <v>45881.0</v>
      </c>
      <c r="L1109" s="5"/>
      <c r="M1109" s="9" t="s">
        <v>22</v>
      </c>
      <c r="N1109" s="9" t="s">
        <v>23</v>
      </c>
      <c r="O1109" s="10">
        <f>'data on outstanding creditors'!$E1109*100/107</f>
        <v>37381.60748</v>
      </c>
      <c r="P1109" s="10">
        <f>'data on outstanding creditors'!$E1109-'data on outstanding creditors'!$O1109</f>
        <v>2616.712523</v>
      </c>
      <c r="Q1109" s="7">
        <f>DAY('data on outstanding creditors'!$B1109)</f>
        <v>11</v>
      </c>
      <c r="R1109" s="7">
        <f>MONTH('data on outstanding creditors'!$B1109)</f>
        <v>6</v>
      </c>
      <c r="S1109" s="7">
        <f>YEAR('data on outstanding creditors'!$B1109)</f>
        <v>2025</v>
      </c>
      <c r="T1109" s="11" t="str">
        <f>'data on outstanding creditors'!$C1109&amp;" "&amp;'data on outstanding creditors'!$D1109&amp;" "&amp;TEXT('data on outstanding creditors'!$E1109,"#,##0.00")</f>
        <v>บ.แปซิฟิค เฮลธ์แคร์(ไทยแลนด์) 68028667 39,998.32</v>
      </c>
      <c r="U1109" s="12"/>
    </row>
    <row r="1110" ht="13.5" customHeight="1">
      <c r="A1110" s="1"/>
      <c r="B1110" s="2">
        <v>45819.0</v>
      </c>
      <c r="C1110" s="9" t="s">
        <v>780</v>
      </c>
      <c r="D1110" s="1" t="s">
        <v>1640</v>
      </c>
      <c r="E1110" s="4">
        <v>12840.0</v>
      </c>
      <c r="F1110" s="4"/>
      <c r="G1110" s="4"/>
      <c r="H1110" s="4">
        <f>'data on outstanding creditors'!$E1110-'data on outstanding creditors'!$F1110-'data on outstanding creditors'!$G1110</f>
        <v>12840</v>
      </c>
      <c r="I1110" s="2"/>
      <c r="J1110" s="1" t="s">
        <v>646</v>
      </c>
      <c r="K1110" s="2">
        <v>45877.0</v>
      </c>
      <c r="L1110" s="5"/>
      <c r="M1110" s="9" t="s">
        <v>22</v>
      </c>
      <c r="N1110" s="9" t="s">
        <v>23</v>
      </c>
      <c r="O1110" s="10">
        <f>'data on outstanding creditors'!$E1110*100/107</f>
        <v>12000</v>
      </c>
      <c r="P1110" s="10">
        <f>'data on outstanding creditors'!$E1110-'data on outstanding creditors'!$O1110</f>
        <v>840</v>
      </c>
      <c r="Q1110" s="7">
        <f>DAY('data on outstanding creditors'!$B1110)</f>
        <v>11</v>
      </c>
      <c r="R1110" s="7">
        <f>MONTH('data on outstanding creditors'!$B1110)</f>
        <v>6</v>
      </c>
      <c r="S1110" s="7">
        <f>YEAR('data on outstanding creditors'!$B1110)</f>
        <v>2025</v>
      </c>
      <c r="T1110" s="11" t="str">
        <f>'data on outstanding creditors'!$C1110&amp;" "&amp;'data on outstanding creditors'!$D1110&amp;" "&amp;TEXT('data on outstanding creditors'!$E1110,"#,##0.00")</f>
        <v>บ.แคสป้า ฟาร์มาซูติคอล(ประเทศไทย) C68060081 12,840.00</v>
      </c>
      <c r="U1110" s="12"/>
    </row>
    <row r="1111" ht="13.5" customHeight="1">
      <c r="A1111" s="1"/>
      <c r="B1111" s="2">
        <v>45819.0</v>
      </c>
      <c r="C1111" s="9" t="s">
        <v>884</v>
      </c>
      <c r="D1111" s="1" t="s">
        <v>1641</v>
      </c>
      <c r="E1111" s="4">
        <v>25000.0</v>
      </c>
      <c r="F1111" s="4"/>
      <c r="G1111" s="4"/>
      <c r="H1111" s="4">
        <f>'data on outstanding creditors'!$E1111-'data on outstanding creditors'!$F1111-'data on outstanding creditors'!$G1111</f>
        <v>25000</v>
      </c>
      <c r="I1111" s="2"/>
      <c r="J1111" s="1" t="s">
        <v>646</v>
      </c>
      <c r="K1111" s="2">
        <v>45928.0</v>
      </c>
      <c r="L1111" s="5"/>
      <c r="M1111" s="9" t="s">
        <v>22</v>
      </c>
      <c r="N1111" s="9" t="s">
        <v>23</v>
      </c>
      <c r="O1111" s="10">
        <f>'data on outstanding creditors'!$E1111*100/107</f>
        <v>23364.48598</v>
      </c>
      <c r="P1111" s="10">
        <f>'data on outstanding creditors'!$E1111-'data on outstanding creditors'!$O1111</f>
        <v>1635.514019</v>
      </c>
      <c r="Q1111" s="7">
        <f>DAY('data on outstanding creditors'!$B1111)</f>
        <v>11</v>
      </c>
      <c r="R1111" s="7">
        <f>MONTH('data on outstanding creditors'!$B1111)</f>
        <v>6</v>
      </c>
      <c r="S1111" s="7">
        <f>YEAR('data on outstanding creditors'!$B1111)</f>
        <v>2025</v>
      </c>
      <c r="T1111" s="11" t="str">
        <f>'data on outstanding creditors'!$C1111&amp;" "&amp;'data on outstanding creditors'!$D1111&amp;" "&amp;TEXT('data on outstanding creditors'!$E1111,"#,##0.00")</f>
        <v>บ.เอสพีเอส เมดิคอล 112506001394 25,000.00</v>
      </c>
      <c r="U1111" s="12"/>
    </row>
    <row r="1112" ht="13.5" customHeight="1">
      <c r="A1112" s="1"/>
      <c r="B1112" s="2">
        <v>45819.0</v>
      </c>
      <c r="C1112" s="9" t="s">
        <v>780</v>
      </c>
      <c r="D1112" s="1" t="s">
        <v>1642</v>
      </c>
      <c r="E1112" s="4">
        <v>44940.0</v>
      </c>
      <c r="F1112" s="4"/>
      <c r="G1112" s="4"/>
      <c r="H1112" s="4">
        <f>'data on outstanding creditors'!$E1112-'data on outstanding creditors'!$F1112-'data on outstanding creditors'!$G1112</f>
        <v>44940</v>
      </c>
      <c r="I1112" s="2"/>
      <c r="J1112" s="1" t="s">
        <v>646</v>
      </c>
      <c r="K1112" s="2">
        <v>45877.0</v>
      </c>
      <c r="L1112" s="5"/>
      <c r="M1112" s="9" t="s">
        <v>22</v>
      </c>
      <c r="N1112" s="9" t="s">
        <v>23</v>
      </c>
      <c r="O1112" s="10">
        <f>'data on outstanding creditors'!$E1112*100/107</f>
        <v>42000</v>
      </c>
      <c r="P1112" s="10">
        <f>'data on outstanding creditors'!$E1112-'data on outstanding creditors'!$O1112</f>
        <v>2940</v>
      </c>
      <c r="Q1112" s="7">
        <f>DAY('data on outstanding creditors'!$B1112)</f>
        <v>11</v>
      </c>
      <c r="R1112" s="7">
        <f>MONTH('data on outstanding creditors'!$B1112)</f>
        <v>6</v>
      </c>
      <c r="S1112" s="7">
        <f>YEAR('data on outstanding creditors'!$B1112)</f>
        <v>2025</v>
      </c>
      <c r="T1112" s="11" t="str">
        <f>'data on outstanding creditors'!$C1112&amp;" "&amp;'data on outstanding creditors'!$D1112&amp;" "&amp;TEXT('data on outstanding creditors'!$E1112,"#,##0.00")</f>
        <v>บ.แคสป้า ฟาร์มาซูติคอล(ประเทศไทย) C68060115 44,940.00</v>
      </c>
      <c r="U1112" s="12"/>
    </row>
    <row r="1113" ht="13.5" customHeight="1">
      <c r="A1113" s="1"/>
      <c r="B1113" s="2">
        <v>45819.0</v>
      </c>
      <c r="C1113" s="9" t="s">
        <v>1243</v>
      </c>
      <c r="D1113" s="1" t="s">
        <v>1643</v>
      </c>
      <c r="E1113" s="4">
        <v>50000.0</v>
      </c>
      <c r="F1113" s="4"/>
      <c r="G1113" s="4"/>
      <c r="H1113" s="4">
        <f>'data on outstanding creditors'!$E1113-'data on outstanding creditors'!$F1113-'data on outstanding creditors'!$G1113</f>
        <v>50000</v>
      </c>
      <c r="I1113" s="2"/>
      <c r="J1113" s="1" t="s">
        <v>757</v>
      </c>
      <c r="K1113" s="2">
        <v>45861.0</v>
      </c>
      <c r="L1113" s="5"/>
      <c r="M1113" s="9" t="s">
        <v>22</v>
      </c>
      <c r="N1113" s="9" t="s">
        <v>23</v>
      </c>
      <c r="O1113" s="10">
        <f>'data on outstanding creditors'!$E1113*100/107</f>
        <v>46728.97196</v>
      </c>
      <c r="P1113" s="10">
        <f>'data on outstanding creditors'!$E1113-'data on outstanding creditors'!$O1113</f>
        <v>3271.028037</v>
      </c>
      <c r="Q1113" s="7">
        <f>DAY('data on outstanding creditors'!$B1113)</f>
        <v>11</v>
      </c>
      <c r="R1113" s="7">
        <f>MONTH('data on outstanding creditors'!$B1113)</f>
        <v>6</v>
      </c>
      <c r="S1113" s="7">
        <f>YEAR('data on outstanding creditors'!$B1113)</f>
        <v>2025</v>
      </c>
      <c r="T1113" s="11" t="str">
        <f>'data on outstanding creditors'!$C1113&amp;" "&amp;'data on outstanding creditors'!$D1113&amp;" "&amp;TEXT('data on outstanding creditors'!$E1113,"#,##0.00")</f>
        <v>บ.วี.แอนด์.วี.กรุงเทพ 8103373871 50,000.00</v>
      </c>
      <c r="U1113" s="12"/>
    </row>
    <row r="1114" ht="13.5" customHeight="1">
      <c r="A1114" s="1"/>
      <c r="B1114" s="2">
        <v>45820.0</v>
      </c>
      <c r="C1114" s="9" t="s">
        <v>24</v>
      </c>
      <c r="D1114" s="1" t="s">
        <v>1644</v>
      </c>
      <c r="E1114" s="4">
        <v>27500.0</v>
      </c>
      <c r="F1114" s="4"/>
      <c r="G1114" s="4"/>
      <c r="H1114" s="4">
        <f>'data on outstanding creditors'!$E1114-'data on outstanding creditors'!$F1114-'data on outstanding creditors'!$G1114</f>
        <v>27500</v>
      </c>
      <c r="I1114" s="2"/>
      <c r="J1114" s="1" t="s">
        <v>646</v>
      </c>
      <c r="K1114" s="2">
        <v>45928.0</v>
      </c>
      <c r="L1114" s="5"/>
      <c r="M1114" s="9" t="s">
        <v>22</v>
      </c>
      <c r="N1114" s="9" t="s">
        <v>23</v>
      </c>
      <c r="O1114" s="10">
        <f>'data on outstanding creditors'!$E1114*100/107</f>
        <v>25700.93458</v>
      </c>
      <c r="P1114" s="10">
        <f>'data on outstanding creditors'!$E1114-'data on outstanding creditors'!$O1114</f>
        <v>1799.065421</v>
      </c>
      <c r="Q1114" s="7">
        <f>DAY('data on outstanding creditors'!$B1114)</f>
        <v>12</v>
      </c>
      <c r="R1114" s="7">
        <f>MONTH('data on outstanding creditors'!$B1114)</f>
        <v>6</v>
      </c>
      <c r="S1114" s="7">
        <f>YEAR('data on outstanding creditors'!$B1114)</f>
        <v>2025</v>
      </c>
      <c r="T1114" s="11" t="str">
        <f>'data on outstanding creditors'!$C1114&amp;" "&amp;'data on outstanding creditors'!$D1114&amp;" "&amp;TEXT('data on outstanding creditors'!$E1114,"#,##0.00")</f>
        <v>บ.เซ็นทรัลโพลีเทรดดิ้ง 31i25030983 27,500.00</v>
      </c>
      <c r="U1114" s="12"/>
    </row>
    <row r="1115" ht="13.5" customHeight="1">
      <c r="A1115" s="1"/>
      <c r="B1115" s="2">
        <v>45820.0</v>
      </c>
      <c r="C1115" s="9" t="s">
        <v>920</v>
      </c>
      <c r="D1115" s="1" t="s">
        <v>1645</v>
      </c>
      <c r="E1115" s="4">
        <v>21000.0</v>
      </c>
      <c r="F1115" s="4"/>
      <c r="G1115" s="4"/>
      <c r="H1115" s="4">
        <f>'data on outstanding creditors'!$E1115-'data on outstanding creditors'!$F1115-'data on outstanding creditors'!$G1115</f>
        <v>21000</v>
      </c>
      <c r="I1115" s="2"/>
      <c r="J1115" s="1" t="s">
        <v>646</v>
      </c>
      <c r="K1115" s="2">
        <v>45887.0</v>
      </c>
      <c r="L1115" s="5"/>
      <c r="M1115" s="9" t="s">
        <v>22</v>
      </c>
      <c r="N1115" s="9" t="s">
        <v>23</v>
      </c>
      <c r="O1115" s="10">
        <f>'data on outstanding creditors'!$E1115*100/107</f>
        <v>19626.16822</v>
      </c>
      <c r="P1115" s="10">
        <f>'data on outstanding creditors'!$E1115-'data on outstanding creditors'!$O1115</f>
        <v>1373.831776</v>
      </c>
      <c r="Q1115" s="7">
        <f>DAY('data on outstanding creditors'!$B1115)</f>
        <v>12</v>
      </c>
      <c r="R1115" s="7">
        <f>MONTH('data on outstanding creditors'!$B1115)</f>
        <v>6</v>
      </c>
      <c r="S1115" s="7">
        <f>YEAR('data on outstanding creditors'!$B1115)</f>
        <v>2025</v>
      </c>
      <c r="T1115" s="11" t="str">
        <f>'data on outstanding creditors'!$C1115&amp;" "&amp;'data on outstanding creditors'!$D1115&amp;" "&amp;TEXT('data on outstanding creditors'!$E1115,"#,##0.00")</f>
        <v>บ.โปลิฟาร์ม Ivu-68024240 21,000.00</v>
      </c>
      <c r="U1115" s="12"/>
    </row>
    <row r="1116" ht="13.5" customHeight="1">
      <c r="A1116" s="1"/>
      <c r="B1116" s="2">
        <v>45820.0</v>
      </c>
      <c r="C1116" s="9" t="s">
        <v>767</v>
      </c>
      <c r="D1116" s="1" t="s">
        <v>1646</v>
      </c>
      <c r="E1116" s="4">
        <v>72000.0</v>
      </c>
      <c r="F1116" s="4"/>
      <c r="G1116" s="4"/>
      <c r="H1116" s="4">
        <f>'data on outstanding creditors'!$E1116-'data on outstanding creditors'!$F1116-'data on outstanding creditors'!$G1116</f>
        <v>72000</v>
      </c>
      <c r="I1116" s="2"/>
      <c r="J1116" s="1" t="s">
        <v>646</v>
      </c>
      <c r="K1116" s="2">
        <v>45944.0</v>
      </c>
      <c r="L1116" s="5"/>
      <c r="M1116" s="9" t="s">
        <v>22</v>
      </c>
      <c r="N1116" s="9" t="s">
        <v>23</v>
      </c>
      <c r="O1116" s="10">
        <f>'data on outstanding creditors'!$E1116*100/107</f>
        <v>67289.71963</v>
      </c>
      <c r="P1116" s="10">
        <f>'data on outstanding creditors'!$E1116-'data on outstanding creditors'!$O1116</f>
        <v>4710.280374</v>
      </c>
      <c r="Q1116" s="7">
        <f>DAY('data on outstanding creditors'!$B1116)</f>
        <v>12</v>
      </c>
      <c r="R1116" s="7">
        <f>MONTH('data on outstanding creditors'!$B1116)</f>
        <v>6</v>
      </c>
      <c r="S1116" s="7">
        <f>YEAR('data on outstanding creditors'!$B1116)</f>
        <v>2025</v>
      </c>
      <c r="T1116" s="11" t="str">
        <f>'data on outstanding creditors'!$C1116&amp;" "&amp;'data on outstanding creditors'!$D1116&amp;" "&amp;TEXT('data on outstanding creditors'!$E1116,"#,##0.00")</f>
        <v>บ.คอสม่า เทรดดิ้ง 310657400918 72,000.00</v>
      </c>
      <c r="U1116" s="12"/>
    </row>
    <row r="1117" ht="13.5" customHeight="1">
      <c r="A1117" s="1"/>
      <c r="B1117" s="2">
        <v>45820.0</v>
      </c>
      <c r="C1117" s="9" t="s">
        <v>922</v>
      </c>
      <c r="D1117" s="1" t="s">
        <v>1647</v>
      </c>
      <c r="E1117" s="4">
        <v>7650.0</v>
      </c>
      <c r="F1117" s="4"/>
      <c r="G1117" s="4"/>
      <c r="H1117" s="4">
        <f>'data on outstanding creditors'!$E1117-'data on outstanding creditors'!$F1117-'data on outstanding creditors'!$G1117</f>
        <v>7650</v>
      </c>
      <c r="I1117" s="2"/>
      <c r="J1117" s="1" t="s">
        <v>646</v>
      </c>
      <c r="K1117" s="2">
        <v>45928.0</v>
      </c>
      <c r="L1117" s="5"/>
      <c r="M1117" s="9" t="s">
        <v>22</v>
      </c>
      <c r="N1117" s="9" t="s">
        <v>23</v>
      </c>
      <c r="O1117" s="10">
        <f>'data on outstanding creditors'!$E1117*100/107</f>
        <v>7149.53271</v>
      </c>
      <c r="P1117" s="10">
        <f>'data on outstanding creditors'!$E1117-'data on outstanding creditors'!$O1117</f>
        <v>500.4672897</v>
      </c>
      <c r="Q1117" s="7">
        <f>DAY('data on outstanding creditors'!$B1117)</f>
        <v>12</v>
      </c>
      <c r="R1117" s="7">
        <f>MONTH('data on outstanding creditors'!$B1117)</f>
        <v>6</v>
      </c>
      <c r="S1117" s="7">
        <f>YEAR('data on outstanding creditors'!$B1117)</f>
        <v>2025</v>
      </c>
      <c r="T1117" s="11" t="str">
        <f>'data on outstanding creditors'!$C1117&amp;" "&amp;'data on outstanding creditors'!$D1117&amp;" "&amp;TEXT('data on outstanding creditors'!$E1117,"#,##0.00")</f>
        <v>บ.เบอร์ลินฟาร์มาซูติคอลอินดัสตรี้ 6810604208 7,650.00</v>
      </c>
      <c r="U1117" s="12"/>
    </row>
    <row r="1118" ht="13.5" customHeight="1">
      <c r="A1118" s="1"/>
      <c r="B1118" s="2">
        <v>45820.0</v>
      </c>
      <c r="C1118" s="9" t="s">
        <v>1391</v>
      </c>
      <c r="D1118" s="1" t="s">
        <v>1648</v>
      </c>
      <c r="E1118" s="4">
        <v>6612.0</v>
      </c>
      <c r="F1118" s="4"/>
      <c r="G1118" s="4"/>
      <c r="H1118" s="4">
        <f>'data on outstanding creditors'!$E1118-'data on outstanding creditors'!$F1118-'data on outstanding creditors'!$G1118</f>
        <v>6612</v>
      </c>
      <c r="I1118" s="2"/>
      <c r="J1118" s="1" t="s">
        <v>646</v>
      </c>
      <c r="K1118" s="2">
        <v>45928.0</v>
      </c>
      <c r="L1118" s="5"/>
      <c r="M1118" s="9" t="s">
        <v>22</v>
      </c>
      <c r="N1118" s="9" t="s">
        <v>23</v>
      </c>
      <c r="O1118" s="10">
        <f>'data on outstanding creditors'!$E1118*100/107</f>
        <v>6179.439252</v>
      </c>
      <c r="P1118" s="10">
        <f>'data on outstanding creditors'!$E1118-'data on outstanding creditors'!$O1118</f>
        <v>432.5607477</v>
      </c>
      <c r="Q1118" s="7">
        <f>DAY('data on outstanding creditors'!$B1118)</f>
        <v>12</v>
      </c>
      <c r="R1118" s="7">
        <f>MONTH('data on outstanding creditors'!$B1118)</f>
        <v>6</v>
      </c>
      <c r="S1118" s="7">
        <f>YEAR('data on outstanding creditors'!$B1118)</f>
        <v>2025</v>
      </c>
      <c r="T1118" s="11" t="str">
        <f>'data on outstanding creditors'!$C1118&amp;" "&amp;'data on outstanding creditors'!$D1118&amp;" "&amp;TEXT('data on outstanding creditors'!$E1118,"#,##0.00")</f>
        <v>บ.ที.พี.ดรัก แลบบอราทอรี่ส์ VIV125042330 6,612.00</v>
      </c>
      <c r="U1118" s="12"/>
    </row>
    <row r="1119" ht="13.5" customHeight="1">
      <c r="A1119" s="1"/>
      <c r="B1119" s="2">
        <v>45820.0</v>
      </c>
      <c r="C1119" s="9" t="s">
        <v>1391</v>
      </c>
      <c r="D1119" s="1" t="s">
        <v>1649</v>
      </c>
      <c r="E1119" s="4">
        <v>4959.0</v>
      </c>
      <c r="F1119" s="4"/>
      <c r="G1119" s="4"/>
      <c r="H1119" s="4">
        <f>'data on outstanding creditors'!$E1119-'data on outstanding creditors'!$F1119-'data on outstanding creditors'!$G1119</f>
        <v>4959</v>
      </c>
      <c r="I1119" s="2"/>
      <c r="J1119" s="1" t="s">
        <v>646</v>
      </c>
      <c r="K1119" s="2">
        <v>45928.0</v>
      </c>
      <c r="L1119" s="5"/>
      <c r="M1119" s="9" t="s">
        <v>22</v>
      </c>
      <c r="N1119" s="9" t="s">
        <v>23</v>
      </c>
      <c r="O1119" s="10">
        <f>'data on outstanding creditors'!$E1119*100/107</f>
        <v>4634.579439</v>
      </c>
      <c r="P1119" s="10">
        <f>'data on outstanding creditors'!$E1119-'data on outstanding creditors'!$O1119</f>
        <v>324.4205607</v>
      </c>
      <c r="Q1119" s="7">
        <f>DAY('data on outstanding creditors'!$B1119)</f>
        <v>12</v>
      </c>
      <c r="R1119" s="7">
        <f>MONTH('data on outstanding creditors'!$B1119)</f>
        <v>6</v>
      </c>
      <c r="S1119" s="7">
        <f>YEAR('data on outstanding creditors'!$B1119)</f>
        <v>2025</v>
      </c>
      <c r="T1119" s="11" t="str">
        <f>'data on outstanding creditors'!$C1119&amp;" "&amp;'data on outstanding creditors'!$D1119&amp;" "&amp;TEXT('data on outstanding creditors'!$E1119,"#,##0.00")</f>
        <v>บ.ที.พี.ดรัก แลบบอราทอรี่ส์ VIV125052760 4,959.00</v>
      </c>
      <c r="U1119" s="12"/>
    </row>
    <row r="1120" ht="13.5" customHeight="1">
      <c r="A1120" s="1"/>
      <c r="B1120" s="2">
        <v>45821.0</v>
      </c>
      <c r="C1120" s="9" t="s">
        <v>1650</v>
      </c>
      <c r="D1120" s="1" t="s">
        <v>1651</v>
      </c>
      <c r="E1120" s="4">
        <v>115560.0</v>
      </c>
      <c r="F1120" s="4"/>
      <c r="G1120" s="4"/>
      <c r="H1120" s="4">
        <f>'data on outstanding creditors'!$E1120-'data on outstanding creditors'!$F1120-'data on outstanding creditors'!$G1120</f>
        <v>115560</v>
      </c>
      <c r="I1120" s="2"/>
      <c r="J1120" s="1" t="s">
        <v>646</v>
      </c>
      <c r="K1120" s="2">
        <v>45901.0</v>
      </c>
      <c r="L1120" s="5"/>
      <c r="M1120" s="9" t="s">
        <v>22</v>
      </c>
      <c r="N1120" s="9" t="s">
        <v>23</v>
      </c>
      <c r="O1120" s="10">
        <f>'data on outstanding creditors'!$E1120*100/107</f>
        <v>108000</v>
      </c>
      <c r="P1120" s="10">
        <f>'data on outstanding creditors'!$E1120-'data on outstanding creditors'!$O1120</f>
        <v>7560</v>
      </c>
      <c r="Q1120" s="7">
        <f>DAY('data on outstanding creditors'!$B1120)</f>
        <v>13</v>
      </c>
      <c r="R1120" s="7">
        <f>MONTH('data on outstanding creditors'!$B1120)</f>
        <v>6</v>
      </c>
      <c r="S1120" s="7">
        <f>YEAR('data on outstanding creditors'!$B1120)</f>
        <v>2025</v>
      </c>
      <c r="T1120" s="11" t="str">
        <f>'data on outstanding creditors'!$C1120&amp;" "&amp;'data on outstanding creditors'!$D1120&amp;" "&amp;TEXT('data on outstanding creditors'!$E1120,"#,##0.00")</f>
        <v>บ.พีทูพีเฮลธ์แคร์ 7401210031 115,560.00</v>
      </c>
      <c r="U1120" s="12"/>
    </row>
    <row r="1121" ht="13.5" customHeight="1">
      <c r="A1121" s="1"/>
      <c r="B1121" s="2">
        <v>45821.0</v>
      </c>
      <c r="C1121" s="9" t="s">
        <v>771</v>
      </c>
      <c r="D1121" s="1" t="s">
        <v>1652</v>
      </c>
      <c r="E1121" s="4">
        <v>61740.0</v>
      </c>
      <c r="F1121" s="4"/>
      <c r="G1121" s="4"/>
      <c r="H1121" s="4">
        <f>'data on outstanding creditors'!$E1121-'data on outstanding creditors'!$F1121-'data on outstanding creditors'!$G1121</f>
        <v>61740</v>
      </c>
      <c r="I1121" s="2"/>
      <c r="J1121" s="1" t="s">
        <v>646</v>
      </c>
      <c r="K1121" s="2">
        <v>45928.0</v>
      </c>
      <c r="L1121" s="5"/>
      <c r="M1121" s="9" t="s">
        <v>22</v>
      </c>
      <c r="N1121" s="9" t="s">
        <v>23</v>
      </c>
      <c r="O1121" s="10">
        <f>'data on outstanding creditors'!$E1121*100/107</f>
        <v>57700.93458</v>
      </c>
      <c r="P1121" s="10">
        <f>'data on outstanding creditors'!$E1121-'data on outstanding creditors'!$O1121</f>
        <v>4039.065421</v>
      </c>
      <c r="Q1121" s="7">
        <f>DAY('data on outstanding creditors'!$B1121)</f>
        <v>13</v>
      </c>
      <c r="R1121" s="7">
        <f>MONTH('data on outstanding creditors'!$B1121)</f>
        <v>6</v>
      </c>
      <c r="S1121" s="7">
        <f>YEAR('data on outstanding creditors'!$B1121)</f>
        <v>2025</v>
      </c>
      <c r="T1121" s="11" t="str">
        <f>'data on outstanding creditors'!$C1121&amp;" "&amp;'data on outstanding creditors'!$D1121&amp;" "&amp;TEXT('data on outstanding creditors'!$E1121,"#,##0.00")</f>
        <v>หจก.ภิญโญฟาร์มาซี IV6829714 61,740.00</v>
      </c>
      <c r="U1121" s="12"/>
    </row>
    <row r="1122" ht="13.5" customHeight="1">
      <c r="A1122" s="1"/>
      <c r="B1122" s="2">
        <v>45821.0</v>
      </c>
      <c r="C1122" s="9" t="s">
        <v>1230</v>
      </c>
      <c r="D1122" s="1" t="s">
        <v>1653</v>
      </c>
      <c r="E1122" s="4">
        <v>42600.0</v>
      </c>
      <c r="F1122" s="4"/>
      <c r="G1122" s="4"/>
      <c r="H1122" s="4">
        <f>'data on outstanding creditors'!$E1122-'data on outstanding creditors'!$F1122-'data on outstanding creditors'!$G1122</f>
        <v>42600</v>
      </c>
      <c r="I1122" s="2"/>
      <c r="J1122" s="1" t="s">
        <v>646</v>
      </c>
      <c r="K1122" s="2">
        <v>45928.0</v>
      </c>
      <c r="L1122" s="5"/>
      <c r="M1122" s="9" t="s">
        <v>22</v>
      </c>
      <c r="N1122" s="9" t="s">
        <v>23</v>
      </c>
      <c r="O1122" s="10">
        <f>'data on outstanding creditors'!$E1122*100/107</f>
        <v>39813.08411</v>
      </c>
      <c r="P1122" s="10">
        <f>'data on outstanding creditors'!$E1122-'data on outstanding creditors'!$O1122</f>
        <v>2786.915888</v>
      </c>
      <c r="Q1122" s="7">
        <f>DAY('data on outstanding creditors'!$B1122)</f>
        <v>13</v>
      </c>
      <c r="R1122" s="7">
        <f>MONTH('data on outstanding creditors'!$B1122)</f>
        <v>6</v>
      </c>
      <c r="S1122" s="7">
        <f>YEAR('data on outstanding creditors'!$B1122)</f>
        <v>2025</v>
      </c>
      <c r="T1122" s="11" t="str">
        <f>'data on outstanding creditors'!$C1122&amp;" "&amp;'data on outstanding creditors'!$D1122&amp;" "&amp;TEXT('data on outstanding creditors'!$E1122,"#,##0.00")</f>
        <v>บ.พรอส ฟาร์มา INV-L-IM\2025060368 42,600.00</v>
      </c>
      <c r="U1122" s="12"/>
    </row>
    <row r="1123" ht="13.5" customHeight="1">
      <c r="A1123" s="1"/>
      <c r="B1123" s="2">
        <v>45821.0</v>
      </c>
      <c r="C1123" s="9" t="s">
        <v>1560</v>
      </c>
      <c r="D1123" s="1" t="s">
        <v>1654</v>
      </c>
      <c r="E1123" s="4">
        <v>30000.0</v>
      </c>
      <c r="F1123" s="4"/>
      <c r="G1123" s="4"/>
      <c r="H1123" s="4">
        <f>'data on outstanding creditors'!$E1123-'data on outstanding creditors'!$F1123-'data on outstanding creditors'!$G1123</f>
        <v>30000</v>
      </c>
      <c r="I1123" s="2"/>
      <c r="J1123" s="1" t="s">
        <v>646</v>
      </c>
      <c r="K1123" s="2">
        <v>45881.0</v>
      </c>
      <c r="L1123" s="5"/>
      <c r="M1123" s="9" t="s">
        <v>22</v>
      </c>
      <c r="N1123" s="9" t="s">
        <v>23</v>
      </c>
      <c r="O1123" s="10">
        <f>'data on outstanding creditors'!$E1123*100/107</f>
        <v>28037.38318</v>
      </c>
      <c r="P1123" s="10">
        <f>'data on outstanding creditors'!$E1123-'data on outstanding creditors'!$O1123</f>
        <v>1962.616822</v>
      </c>
      <c r="Q1123" s="7">
        <f>DAY('data on outstanding creditors'!$B1123)</f>
        <v>13</v>
      </c>
      <c r="R1123" s="7">
        <f>MONTH('data on outstanding creditors'!$B1123)</f>
        <v>6</v>
      </c>
      <c r="S1123" s="7">
        <f>YEAR('data on outstanding creditors'!$B1123)</f>
        <v>2025</v>
      </c>
      <c r="T1123" s="11" t="str">
        <f>'data on outstanding creditors'!$C1123&amp;" "&amp;'data on outstanding creditors'!$D1123&amp;" "&amp;TEXT('data on outstanding creditors'!$E1123,"#,##0.00")</f>
        <v>บ.ยูนีซัน 106000003974 30,000.00</v>
      </c>
      <c r="U1123" s="12"/>
    </row>
    <row r="1124" ht="13.5" customHeight="1">
      <c r="A1124" s="1"/>
      <c r="B1124" s="2">
        <v>45821.0</v>
      </c>
      <c r="C1124" s="9" t="s">
        <v>1288</v>
      </c>
      <c r="D1124" s="1" t="s">
        <v>1655</v>
      </c>
      <c r="E1124" s="4">
        <v>36808.0</v>
      </c>
      <c r="F1124" s="4"/>
      <c r="G1124" s="4"/>
      <c r="H1124" s="4">
        <f>'data on outstanding creditors'!$E1124-'data on outstanding creditors'!$F1124-'data on outstanding creditors'!$G1124</f>
        <v>36808</v>
      </c>
      <c r="I1124" s="2"/>
      <c r="J1124" s="1" t="s">
        <v>646</v>
      </c>
      <c r="K1124" s="2">
        <v>45928.0</v>
      </c>
      <c r="L1124" s="5"/>
      <c r="M1124" s="9" t="s">
        <v>22</v>
      </c>
      <c r="N1124" s="9" t="s">
        <v>23</v>
      </c>
      <c r="O1124" s="10">
        <f>'data on outstanding creditors'!$E1124*100/107</f>
        <v>34400</v>
      </c>
      <c r="P1124" s="10">
        <f>'data on outstanding creditors'!$E1124-'data on outstanding creditors'!$O1124</f>
        <v>2408</v>
      </c>
      <c r="Q1124" s="7">
        <f>DAY('data on outstanding creditors'!$B1124)</f>
        <v>13</v>
      </c>
      <c r="R1124" s="7">
        <f>MONTH('data on outstanding creditors'!$B1124)</f>
        <v>6</v>
      </c>
      <c r="S1124" s="7">
        <f>YEAR('data on outstanding creditors'!$B1124)</f>
        <v>2025</v>
      </c>
      <c r="T1124" s="11" t="str">
        <f>'data on outstanding creditors'!$C1124&amp;" "&amp;'data on outstanding creditors'!$D1124&amp;" "&amp;TEXT('data on outstanding creditors'!$E1124,"#,##0.00")</f>
        <v>บ.เจ เอส วิชั่น 100509107 36,808.00</v>
      </c>
      <c r="U1124" s="12"/>
    </row>
    <row r="1125" ht="13.5" customHeight="1">
      <c r="A1125" s="1"/>
      <c r="B1125" s="2">
        <v>45821.0</v>
      </c>
      <c r="C1125" s="9" t="s">
        <v>1381</v>
      </c>
      <c r="D1125" s="1" t="s">
        <v>1656</v>
      </c>
      <c r="E1125" s="4">
        <v>8640.0</v>
      </c>
      <c r="F1125" s="4"/>
      <c r="G1125" s="4"/>
      <c r="H1125" s="4">
        <f>'data on outstanding creditors'!$E1125-'data on outstanding creditors'!$F1125-'data on outstanding creditors'!$G1125</f>
        <v>8640</v>
      </c>
      <c r="I1125" s="2"/>
      <c r="J1125" s="1" t="s">
        <v>646</v>
      </c>
      <c r="K1125" s="2">
        <v>45894.0</v>
      </c>
      <c r="L1125" s="5"/>
      <c r="M1125" s="9" t="s">
        <v>22</v>
      </c>
      <c r="N1125" s="9" t="s">
        <v>23</v>
      </c>
      <c r="O1125" s="10">
        <f>'data on outstanding creditors'!$E1125*100/107</f>
        <v>8074.766355</v>
      </c>
      <c r="P1125" s="10">
        <f>'data on outstanding creditors'!$E1125-'data on outstanding creditors'!$O1125</f>
        <v>565.2336449</v>
      </c>
      <c r="Q1125" s="7">
        <f>DAY('data on outstanding creditors'!$B1125)</f>
        <v>13</v>
      </c>
      <c r="R1125" s="7">
        <f>MONTH('data on outstanding creditors'!$B1125)</f>
        <v>6</v>
      </c>
      <c r="S1125" s="7">
        <f>YEAR('data on outstanding creditors'!$B1125)</f>
        <v>2025</v>
      </c>
      <c r="T1125" s="11" t="str">
        <f>'data on outstanding creditors'!$C1125&amp;" "&amp;'data on outstanding creditors'!$D1125&amp;" "&amp;TEXT('data on outstanding creditors'!$E1125,"#,##0.00")</f>
        <v>บ.ที เอ็น พี เฮลท์แคร์ 8103388426 8,640.00</v>
      </c>
      <c r="U1125" s="12"/>
    </row>
    <row r="1126" ht="13.5" customHeight="1">
      <c r="A1126" s="1"/>
      <c r="B1126" s="2">
        <v>45824.0</v>
      </c>
      <c r="C1126" s="9" t="s">
        <v>767</v>
      </c>
      <c r="D1126" s="1" t="s">
        <v>1657</v>
      </c>
      <c r="E1126" s="4">
        <v>21400.0</v>
      </c>
      <c r="F1126" s="4"/>
      <c r="G1126" s="4"/>
      <c r="H1126" s="4">
        <f>'data on outstanding creditors'!$E1126-'data on outstanding creditors'!$F1126-'data on outstanding creditors'!$G1126</f>
        <v>21400</v>
      </c>
      <c r="I1126" s="2"/>
      <c r="J1126" s="1" t="s">
        <v>646</v>
      </c>
      <c r="K1126" s="2">
        <v>45944.0</v>
      </c>
      <c r="L1126" s="5"/>
      <c r="M1126" s="9" t="s">
        <v>22</v>
      </c>
      <c r="N1126" s="9" t="s">
        <v>23</v>
      </c>
      <c r="O1126" s="10">
        <f>'data on outstanding creditors'!$E1126*100/107</f>
        <v>20000</v>
      </c>
      <c r="P1126" s="10">
        <f>'data on outstanding creditors'!$E1126-'data on outstanding creditors'!$O1126</f>
        <v>1400</v>
      </c>
      <c r="Q1126" s="7">
        <f>DAY('data on outstanding creditors'!$B1126)</f>
        <v>16</v>
      </c>
      <c r="R1126" s="7">
        <f>MONTH('data on outstanding creditors'!$B1126)</f>
        <v>6</v>
      </c>
      <c r="S1126" s="7">
        <f>YEAR('data on outstanding creditors'!$B1126)</f>
        <v>2025</v>
      </c>
      <c r="T1126" s="11" t="str">
        <f>'data on outstanding creditors'!$C1126&amp;" "&amp;'data on outstanding creditors'!$D1126&amp;" "&amp;TEXT('data on outstanding creditors'!$E1126,"#,##0.00")</f>
        <v>บ.คอสม่า เทรดดิ้ง 310657401368 21,400.00</v>
      </c>
      <c r="U1126" s="12"/>
    </row>
    <row r="1127" ht="13.5" customHeight="1">
      <c r="A1127" s="1"/>
      <c r="B1127" s="2">
        <v>45824.0</v>
      </c>
      <c r="C1127" s="9" t="s">
        <v>1232</v>
      </c>
      <c r="D1127" s="1" t="s">
        <v>1658</v>
      </c>
      <c r="E1127" s="4">
        <v>21300.0</v>
      </c>
      <c r="F1127" s="4"/>
      <c r="G1127" s="4"/>
      <c r="H1127" s="4">
        <f>'data on outstanding creditors'!$E1127-'data on outstanding creditors'!$F1127-'data on outstanding creditors'!$G1127</f>
        <v>21300</v>
      </c>
      <c r="I1127" s="2"/>
      <c r="J1127" s="1" t="s">
        <v>757</v>
      </c>
      <c r="K1127" s="2">
        <v>45861.0</v>
      </c>
      <c r="L1127" s="5"/>
      <c r="M1127" s="9" t="s">
        <v>22</v>
      </c>
      <c r="N1127" s="9" t="s">
        <v>23</v>
      </c>
      <c r="O1127" s="10">
        <f>'data on outstanding creditors'!$E1127*100/107</f>
        <v>19906.54206</v>
      </c>
      <c r="P1127" s="10">
        <f>'data on outstanding creditors'!$E1127-'data on outstanding creditors'!$O1127</f>
        <v>1393.457944</v>
      </c>
      <c r="Q1127" s="7">
        <f>DAY('data on outstanding creditors'!$B1127)</f>
        <v>16</v>
      </c>
      <c r="R1127" s="7">
        <f>MONTH('data on outstanding creditors'!$B1127)</f>
        <v>6</v>
      </c>
      <c r="S1127" s="7">
        <f>YEAR('data on outstanding creditors'!$B1127)</f>
        <v>2025</v>
      </c>
      <c r="T1127" s="11" t="str">
        <f>'data on outstanding creditors'!$C1127&amp;" "&amp;'data on outstanding creditors'!$D1127&amp;" "&amp;TEXT('data on outstanding creditors'!$E1127,"#,##0.00")</f>
        <v>บ.มาสุ 258504 21,300.00</v>
      </c>
      <c r="U1127" s="12"/>
    </row>
    <row r="1128" ht="13.5" customHeight="1">
      <c r="A1128" s="1"/>
      <c r="B1128" s="2">
        <v>45825.0</v>
      </c>
      <c r="C1128" s="9" t="s">
        <v>1391</v>
      </c>
      <c r="D1128" s="1" t="s">
        <v>1659</v>
      </c>
      <c r="E1128" s="4">
        <v>11400.0</v>
      </c>
      <c r="F1128" s="4"/>
      <c r="G1128" s="4"/>
      <c r="H1128" s="4">
        <f>'data on outstanding creditors'!$E1128-'data on outstanding creditors'!$F1128-'data on outstanding creditors'!$G1128</f>
        <v>11400</v>
      </c>
      <c r="I1128" s="2"/>
      <c r="J1128" s="1" t="s">
        <v>646</v>
      </c>
      <c r="K1128" s="2">
        <v>45928.0</v>
      </c>
      <c r="L1128" s="5"/>
      <c r="M1128" s="9" t="s">
        <v>22</v>
      </c>
      <c r="N1128" s="9" t="s">
        <v>23</v>
      </c>
      <c r="O1128" s="10">
        <f>'data on outstanding creditors'!$E1128*100/107</f>
        <v>10654.20561</v>
      </c>
      <c r="P1128" s="10">
        <f>'data on outstanding creditors'!$E1128-'data on outstanding creditors'!$O1128</f>
        <v>745.7943925</v>
      </c>
      <c r="Q1128" s="7">
        <f>DAY('data on outstanding creditors'!$B1128)</f>
        <v>17</v>
      </c>
      <c r="R1128" s="7">
        <f>MONTH('data on outstanding creditors'!$B1128)</f>
        <v>6</v>
      </c>
      <c r="S1128" s="7">
        <f>YEAR('data on outstanding creditors'!$B1128)</f>
        <v>2025</v>
      </c>
      <c r="T1128" s="11" t="str">
        <f>'data on outstanding creditors'!$C1128&amp;" "&amp;'data on outstanding creditors'!$D1128&amp;" "&amp;TEXT('data on outstanding creditors'!$E1128,"#,##0.00")</f>
        <v>บ.ที.พี.ดรัก แลบบอราทอรี่ส์ VIV125060456 11,400.00</v>
      </c>
      <c r="U1128" s="12"/>
    </row>
    <row r="1129" ht="13.5" customHeight="1">
      <c r="A1129" s="1"/>
      <c r="B1129" s="2">
        <v>45825.0</v>
      </c>
      <c r="C1129" s="9" t="s">
        <v>1303</v>
      </c>
      <c r="D1129" s="1" t="s">
        <v>1660</v>
      </c>
      <c r="E1129" s="4">
        <v>3338.4</v>
      </c>
      <c r="F1129" s="4"/>
      <c r="G1129" s="4"/>
      <c r="H1129" s="4">
        <f>'data on outstanding creditors'!$E1129-'data on outstanding creditors'!$F1129-'data on outstanding creditors'!$G1129</f>
        <v>3338.4</v>
      </c>
      <c r="I1129" s="2"/>
      <c r="J1129" s="1" t="s">
        <v>646</v>
      </c>
      <c r="K1129" s="2">
        <v>45866.0</v>
      </c>
      <c r="L1129" s="5"/>
      <c r="M1129" s="9" t="s">
        <v>22</v>
      </c>
      <c r="N1129" s="9" t="s">
        <v>23</v>
      </c>
      <c r="O1129" s="10">
        <f>'data on outstanding creditors'!$E1129*100/107</f>
        <v>3120</v>
      </c>
      <c r="P1129" s="10">
        <f>'data on outstanding creditors'!$E1129-'data on outstanding creditors'!$O1129</f>
        <v>218.4</v>
      </c>
      <c r="Q1129" s="7">
        <f>DAY('data on outstanding creditors'!$B1129)</f>
        <v>17</v>
      </c>
      <c r="R1129" s="7">
        <f>MONTH('data on outstanding creditors'!$B1129)</f>
        <v>6</v>
      </c>
      <c r="S1129" s="7">
        <f>YEAR('data on outstanding creditors'!$B1129)</f>
        <v>2025</v>
      </c>
      <c r="T1129" s="11" t="str">
        <f>'data on outstanding creditors'!$C1129&amp;" "&amp;'data on outstanding creditors'!$D1129&amp;" "&amp;TEXT('data on outstanding creditors'!$E1129,"#,##0.00")</f>
        <v>บ.บี.เอ็ล.เอช.เทร็ดดิ้ง 1068014461 3,338.40</v>
      </c>
      <c r="U1129" s="12"/>
    </row>
    <row r="1130" ht="13.5" customHeight="1">
      <c r="A1130" s="1"/>
      <c r="B1130" s="2">
        <v>45825.0</v>
      </c>
      <c r="C1130" s="9" t="s">
        <v>920</v>
      </c>
      <c r="D1130" s="1" t="s">
        <v>1661</v>
      </c>
      <c r="E1130" s="4">
        <v>99980.0</v>
      </c>
      <c r="F1130" s="4"/>
      <c r="G1130" s="4"/>
      <c r="H1130" s="4">
        <f>'data on outstanding creditors'!$E1130-'data on outstanding creditors'!$F1130-'data on outstanding creditors'!$G1130</f>
        <v>99980</v>
      </c>
      <c r="I1130" s="2"/>
      <c r="J1130" s="1" t="s">
        <v>646</v>
      </c>
      <c r="K1130" s="2">
        <v>45887.0</v>
      </c>
      <c r="L1130" s="5"/>
      <c r="M1130" s="9" t="s">
        <v>22</v>
      </c>
      <c r="N1130" s="9" t="s">
        <v>23</v>
      </c>
      <c r="O1130" s="10">
        <f>'data on outstanding creditors'!$E1130*100/107</f>
        <v>93439.25234</v>
      </c>
      <c r="P1130" s="10">
        <f>'data on outstanding creditors'!$E1130-'data on outstanding creditors'!$O1130</f>
        <v>6540.747664</v>
      </c>
      <c r="Q1130" s="7">
        <f>DAY('data on outstanding creditors'!$B1130)</f>
        <v>17</v>
      </c>
      <c r="R1130" s="7">
        <f>MONTH('data on outstanding creditors'!$B1130)</f>
        <v>6</v>
      </c>
      <c r="S1130" s="7">
        <f>YEAR('data on outstanding creditors'!$B1130)</f>
        <v>2025</v>
      </c>
      <c r="T1130" s="11" t="str">
        <f>'data on outstanding creditors'!$C1130&amp;" "&amp;'data on outstanding creditors'!$D1130&amp;" "&amp;TEXT('data on outstanding creditors'!$E1130,"#,##0.00")</f>
        <v>บ.โปลิฟาร์ม IVU-68024579 99,980.00</v>
      </c>
      <c r="U1130" s="12"/>
    </row>
    <row r="1131" ht="13.5" customHeight="1">
      <c r="A1131" s="1"/>
      <c r="B1131" s="2">
        <v>45825.0</v>
      </c>
      <c r="C1131" s="9" t="s">
        <v>771</v>
      </c>
      <c r="D1131" s="1" t="s">
        <v>1662</v>
      </c>
      <c r="E1131" s="4">
        <v>73440.0</v>
      </c>
      <c r="F1131" s="4"/>
      <c r="G1131" s="4"/>
      <c r="H1131" s="4">
        <f>'data on outstanding creditors'!$E1131-'data on outstanding creditors'!$F1131-'data on outstanding creditors'!$G1131</f>
        <v>73440</v>
      </c>
      <c r="I1131" s="2"/>
      <c r="J1131" s="1" t="s">
        <v>646</v>
      </c>
      <c r="K1131" s="2">
        <v>45928.0</v>
      </c>
      <c r="L1131" s="5"/>
      <c r="M1131" s="9" t="s">
        <v>22</v>
      </c>
      <c r="N1131" s="9" t="s">
        <v>23</v>
      </c>
      <c r="O1131" s="10">
        <f>'data on outstanding creditors'!$E1131*100/107</f>
        <v>68635.51402</v>
      </c>
      <c r="P1131" s="10">
        <f>'data on outstanding creditors'!$E1131-'data on outstanding creditors'!$O1131</f>
        <v>4804.485981</v>
      </c>
      <c r="Q1131" s="7">
        <f>DAY('data on outstanding creditors'!$B1131)</f>
        <v>17</v>
      </c>
      <c r="R1131" s="7">
        <f>MONTH('data on outstanding creditors'!$B1131)</f>
        <v>6</v>
      </c>
      <c r="S1131" s="7">
        <f>YEAR('data on outstanding creditors'!$B1131)</f>
        <v>2025</v>
      </c>
      <c r="T1131" s="11" t="str">
        <f>'data on outstanding creditors'!$C1131&amp;" "&amp;'data on outstanding creditors'!$D1131&amp;" "&amp;TEXT('data on outstanding creditors'!$E1131,"#,##0.00")</f>
        <v>หจก.ภิญโญฟาร์มาซี IV6829633 73,440.00</v>
      </c>
      <c r="U1131" s="12"/>
    </row>
    <row r="1132" ht="13.5" customHeight="1">
      <c r="A1132" s="1"/>
      <c r="B1132" s="2">
        <v>45825.0</v>
      </c>
      <c r="C1132" s="9" t="s">
        <v>767</v>
      </c>
      <c r="D1132" s="1" t="s">
        <v>1663</v>
      </c>
      <c r="E1132" s="4">
        <v>16500.0</v>
      </c>
      <c r="F1132" s="4"/>
      <c r="G1132" s="4"/>
      <c r="H1132" s="4">
        <f>'data on outstanding creditors'!$E1132-'data on outstanding creditors'!$F1132-'data on outstanding creditors'!$G1132</f>
        <v>16500</v>
      </c>
      <c r="I1132" s="2"/>
      <c r="J1132" s="1" t="s">
        <v>646</v>
      </c>
      <c r="K1132" s="2">
        <v>45944.0</v>
      </c>
      <c r="L1132" s="5"/>
      <c r="M1132" s="9" t="s">
        <v>22</v>
      </c>
      <c r="N1132" s="9" t="s">
        <v>23</v>
      </c>
      <c r="O1132" s="10">
        <f>'data on outstanding creditors'!$E1132*100/107</f>
        <v>15420.56075</v>
      </c>
      <c r="P1132" s="10">
        <f>'data on outstanding creditors'!$E1132-'data on outstanding creditors'!$O1132</f>
        <v>1079.439252</v>
      </c>
      <c r="Q1132" s="7">
        <f>DAY('data on outstanding creditors'!$B1132)</f>
        <v>17</v>
      </c>
      <c r="R1132" s="7">
        <f>MONTH('data on outstanding creditors'!$B1132)</f>
        <v>6</v>
      </c>
      <c r="S1132" s="7">
        <f>YEAR('data on outstanding creditors'!$B1132)</f>
        <v>2025</v>
      </c>
      <c r="T1132" s="11" t="str">
        <f>'data on outstanding creditors'!$C1132&amp;" "&amp;'data on outstanding creditors'!$D1132&amp;" "&amp;TEXT('data on outstanding creditors'!$E1132,"#,##0.00")</f>
        <v>บ.คอสม่า เทรดดิ้ง 310657401005 16,500.00</v>
      </c>
      <c r="U1132" s="12"/>
    </row>
    <row r="1133" ht="13.5" customHeight="1">
      <c r="A1133" s="1"/>
      <c r="B1133" s="2">
        <v>45825.0</v>
      </c>
      <c r="C1133" s="9" t="s">
        <v>1432</v>
      </c>
      <c r="D1133" s="1" t="s">
        <v>1664</v>
      </c>
      <c r="E1133" s="4">
        <v>40000.0</v>
      </c>
      <c r="F1133" s="4"/>
      <c r="G1133" s="4"/>
      <c r="H1133" s="4">
        <f>'data on outstanding creditors'!$E1133-'data on outstanding creditors'!$F1133-'data on outstanding creditors'!$G1133</f>
        <v>40000</v>
      </c>
      <c r="I1133" s="2"/>
      <c r="J1133" s="1" t="s">
        <v>646</v>
      </c>
      <c r="K1133" s="2">
        <v>45877.0</v>
      </c>
      <c r="L1133" s="5"/>
      <c r="M1133" s="9" t="s">
        <v>22</v>
      </c>
      <c r="N1133" s="9" t="s">
        <v>23</v>
      </c>
      <c r="O1133" s="10">
        <f>'data on outstanding creditors'!$E1133*100/107</f>
        <v>37383.17757</v>
      </c>
      <c r="P1133" s="10">
        <f>'data on outstanding creditors'!$E1133-'data on outstanding creditors'!$O1133</f>
        <v>2616.82243</v>
      </c>
      <c r="Q1133" s="7">
        <f>DAY('data on outstanding creditors'!$B1133)</f>
        <v>17</v>
      </c>
      <c r="R1133" s="7">
        <f>MONTH('data on outstanding creditors'!$B1133)</f>
        <v>6</v>
      </c>
      <c r="S1133" s="7">
        <f>YEAR('data on outstanding creditors'!$B1133)</f>
        <v>2025</v>
      </c>
      <c r="T1133" s="11" t="str">
        <f>'data on outstanding creditors'!$C1133&amp;" "&amp;'data on outstanding creditors'!$D1133&amp;" "&amp;TEXT('data on outstanding creditors'!$E1133,"#,##0.00")</f>
        <v>บ.ยูโทเปี้ยน IV2506491 40,000.00</v>
      </c>
      <c r="U1133" s="12"/>
    </row>
    <row r="1134" ht="13.5" customHeight="1">
      <c r="A1134" s="1"/>
      <c r="B1134" s="2">
        <v>45825.0</v>
      </c>
      <c r="C1134" s="9" t="s">
        <v>884</v>
      </c>
      <c r="D1134" s="1" t="s">
        <v>1665</v>
      </c>
      <c r="E1134" s="4">
        <v>71400.0</v>
      </c>
      <c r="F1134" s="4"/>
      <c r="G1134" s="4"/>
      <c r="H1134" s="4">
        <f>'data on outstanding creditors'!$E1134-'data on outstanding creditors'!$F1134-'data on outstanding creditors'!$G1134</f>
        <v>71400</v>
      </c>
      <c r="I1134" s="2"/>
      <c r="J1134" s="1" t="s">
        <v>646</v>
      </c>
      <c r="K1134" s="2">
        <v>45928.0</v>
      </c>
      <c r="L1134" s="5"/>
      <c r="M1134" s="9" t="s">
        <v>22</v>
      </c>
      <c r="N1134" s="9" t="s">
        <v>23</v>
      </c>
      <c r="O1134" s="10">
        <f>'data on outstanding creditors'!$E1134*100/107</f>
        <v>66728.97196</v>
      </c>
      <c r="P1134" s="10">
        <f>'data on outstanding creditors'!$E1134-'data on outstanding creditors'!$O1134</f>
        <v>4671.028037</v>
      </c>
      <c r="Q1134" s="7">
        <f>DAY('data on outstanding creditors'!$B1134)</f>
        <v>17</v>
      </c>
      <c r="R1134" s="7">
        <f>MONTH('data on outstanding creditors'!$B1134)</f>
        <v>6</v>
      </c>
      <c r="S1134" s="7">
        <f>YEAR('data on outstanding creditors'!$B1134)</f>
        <v>2025</v>
      </c>
      <c r="T1134" s="11" t="str">
        <f>'data on outstanding creditors'!$C1134&amp;" "&amp;'data on outstanding creditors'!$D1134&amp;" "&amp;TEXT('data on outstanding creditors'!$E1134,"#,##0.00")</f>
        <v>บ.เอสพีเอส เมดิคอล 112506002722 71,400.00</v>
      </c>
      <c r="U1134" s="12"/>
    </row>
    <row r="1135" ht="13.5" customHeight="1">
      <c r="A1135" s="1"/>
      <c r="B1135" s="2">
        <v>45826.0</v>
      </c>
      <c r="C1135" s="9" t="s">
        <v>1666</v>
      </c>
      <c r="D1135" s="1" t="s">
        <v>1667</v>
      </c>
      <c r="E1135" s="4">
        <v>124032.0</v>
      </c>
      <c r="F1135" s="4"/>
      <c r="G1135" s="4"/>
      <c r="H1135" s="4">
        <f>'data on outstanding creditors'!$E1135-'data on outstanding creditors'!$F1135-'data on outstanding creditors'!$G1135</f>
        <v>124032</v>
      </c>
      <c r="I1135" s="2"/>
      <c r="J1135" s="1" t="s">
        <v>646</v>
      </c>
      <c r="K1135" s="2">
        <v>45901.0</v>
      </c>
      <c r="L1135" s="5"/>
      <c r="M1135" s="9" t="s">
        <v>22</v>
      </c>
      <c r="N1135" s="9" t="s">
        <v>23</v>
      </c>
      <c r="O1135" s="10">
        <f>'data on outstanding creditors'!$E1135*100/107</f>
        <v>115917.757</v>
      </c>
      <c r="P1135" s="10">
        <f>'data on outstanding creditors'!$E1135-'data on outstanding creditors'!$O1135</f>
        <v>8114.242991</v>
      </c>
      <c r="Q1135" s="7">
        <f>DAY('data on outstanding creditors'!$B1135)</f>
        <v>18</v>
      </c>
      <c r="R1135" s="7">
        <f>MONTH('data on outstanding creditors'!$B1135)</f>
        <v>6</v>
      </c>
      <c r="S1135" s="7">
        <f>YEAR('data on outstanding creditors'!$B1135)</f>
        <v>2025</v>
      </c>
      <c r="T1135" s="11" t="str">
        <f>'data on outstanding creditors'!$C1135&amp;" "&amp;'data on outstanding creditors'!$D1135&amp;" "&amp;TEXT('data on outstanding creditors'!$E1135,"#,##0.00")</f>
        <v>บ.โมเดิร์น ฟาร์มา INV6805-0019 124,032.00</v>
      </c>
      <c r="U1135" s="12"/>
    </row>
    <row r="1136" ht="13.5" customHeight="1">
      <c r="A1136" s="1"/>
      <c r="B1136" s="2">
        <v>45826.0</v>
      </c>
      <c r="C1136" s="9" t="s">
        <v>765</v>
      </c>
      <c r="D1136" s="1" t="s">
        <v>1668</v>
      </c>
      <c r="E1136" s="4">
        <v>215520.0</v>
      </c>
      <c r="F1136" s="4"/>
      <c r="G1136" s="4"/>
      <c r="H1136" s="4">
        <f>'data on outstanding creditors'!$E1136-'data on outstanding creditors'!$F1136-'data on outstanding creditors'!$G1136</f>
        <v>215520</v>
      </c>
      <c r="I1136" s="2"/>
      <c r="J1136" s="1" t="s">
        <v>646</v>
      </c>
      <c r="K1136" s="2">
        <v>45954.0</v>
      </c>
      <c r="L1136" s="5"/>
      <c r="M1136" s="9" t="s">
        <v>22</v>
      </c>
      <c r="N1136" s="9" t="s">
        <v>23</v>
      </c>
      <c r="O1136" s="10">
        <f>'data on outstanding creditors'!$E1136*100/107</f>
        <v>201420.5607</v>
      </c>
      <c r="P1136" s="10">
        <f>'data on outstanding creditors'!$E1136-'data on outstanding creditors'!$O1136</f>
        <v>14099.43925</v>
      </c>
      <c r="Q1136" s="7">
        <f>DAY('data on outstanding creditors'!$B1136)</f>
        <v>18</v>
      </c>
      <c r="R1136" s="7">
        <f>MONTH('data on outstanding creditors'!$B1136)</f>
        <v>6</v>
      </c>
      <c r="S1136" s="7">
        <f>YEAR('data on outstanding creditors'!$B1136)</f>
        <v>2025</v>
      </c>
      <c r="T1136" s="11" t="str">
        <f>'data on outstanding creditors'!$C1136&amp;" "&amp;'data on outstanding creditors'!$D1136&amp;" "&amp;TEXT('data on outstanding creditors'!$E1136,"#,##0.00")</f>
        <v>บ.ไบโอ ลีดเตอร์ IV2500992 215,520.00</v>
      </c>
      <c r="U1136" s="12"/>
    </row>
    <row r="1137" ht="13.5" customHeight="1">
      <c r="A1137" s="1"/>
      <c r="B1137" s="2">
        <v>45826.0</v>
      </c>
      <c r="C1137" s="9" t="s">
        <v>24</v>
      </c>
      <c r="D1137" s="1" t="s">
        <v>1669</v>
      </c>
      <c r="E1137" s="4">
        <v>13000.0</v>
      </c>
      <c r="F1137" s="4"/>
      <c r="G1137" s="4"/>
      <c r="H1137" s="4">
        <f>'data on outstanding creditors'!$E1137-'data on outstanding creditors'!$F1137-'data on outstanding creditors'!$G1137</f>
        <v>13000</v>
      </c>
      <c r="I1137" s="2"/>
      <c r="J1137" s="1" t="s">
        <v>646</v>
      </c>
      <c r="K1137" s="2">
        <v>45928.0</v>
      </c>
      <c r="L1137" s="5"/>
      <c r="M1137" s="9" t="s">
        <v>22</v>
      </c>
      <c r="N1137" s="9" t="s">
        <v>23</v>
      </c>
      <c r="O1137" s="10">
        <f>'data on outstanding creditors'!$E1137*100/107</f>
        <v>12149.53271</v>
      </c>
      <c r="P1137" s="10">
        <f>'data on outstanding creditors'!$E1137-'data on outstanding creditors'!$O1137</f>
        <v>850.4672897</v>
      </c>
      <c r="Q1137" s="7">
        <f>DAY('data on outstanding creditors'!$B1137)</f>
        <v>18</v>
      </c>
      <c r="R1137" s="7">
        <f>MONTH('data on outstanding creditors'!$B1137)</f>
        <v>6</v>
      </c>
      <c r="S1137" s="7">
        <f>YEAR('data on outstanding creditors'!$B1137)</f>
        <v>2025</v>
      </c>
      <c r="T1137" s="11" t="str">
        <f>'data on outstanding creditors'!$C1137&amp;" "&amp;'data on outstanding creditors'!$D1137&amp;" "&amp;TEXT('data on outstanding creditors'!$E1137,"#,##0.00")</f>
        <v>บ.เซ็นทรัลโพลีเทรดดิ้ง 31i25033802 13,000.00</v>
      </c>
      <c r="U1137" s="12"/>
    </row>
    <row r="1138" ht="13.5" customHeight="1">
      <c r="A1138" s="1"/>
      <c r="B1138" s="2">
        <v>45826.0</v>
      </c>
      <c r="C1138" s="9" t="s">
        <v>1265</v>
      </c>
      <c r="D1138" s="1" t="s">
        <v>1670</v>
      </c>
      <c r="E1138" s="4">
        <v>3900.0</v>
      </c>
      <c r="F1138" s="4"/>
      <c r="G1138" s="4"/>
      <c r="H1138" s="4">
        <f>'data on outstanding creditors'!$E1138-'data on outstanding creditors'!$F1138-'data on outstanding creditors'!$G1138</f>
        <v>3900</v>
      </c>
      <c r="I1138" s="2"/>
      <c r="J1138" s="1" t="s">
        <v>646</v>
      </c>
      <c r="K1138" s="2">
        <v>45944.0</v>
      </c>
      <c r="L1138" s="5"/>
      <c r="M1138" s="9" t="s">
        <v>22</v>
      </c>
      <c r="N1138" s="9" t="s">
        <v>23</v>
      </c>
      <c r="O1138" s="10">
        <f>'data on outstanding creditors'!$E1138*100/107</f>
        <v>3644.859813</v>
      </c>
      <c r="P1138" s="10">
        <f>'data on outstanding creditors'!$E1138-'data on outstanding creditors'!$O1138</f>
        <v>255.1401869</v>
      </c>
      <c r="Q1138" s="7">
        <f>DAY('data on outstanding creditors'!$B1138)</f>
        <v>18</v>
      </c>
      <c r="R1138" s="7">
        <f>MONTH('data on outstanding creditors'!$B1138)</f>
        <v>6</v>
      </c>
      <c r="S1138" s="7">
        <f>YEAR('data on outstanding creditors'!$B1138)</f>
        <v>2025</v>
      </c>
      <c r="T1138" s="11" t="str">
        <f>'data on outstanding creditors'!$C1138&amp;" "&amp;'data on outstanding creditors'!$D1138&amp;" "&amp;TEXT('data on outstanding creditors'!$E1138,"#,##0.00")</f>
        <v>บ.แอล.บี.เอส.แลบบอเรตอรี่ 874573 3,900.00</v>
      </c>
      <c r="U1138" s="12"/>
    </row>
    <row r="1139" ht="13.5" customHeight="1">
      <c r="A1139" s="1"/>
      <c r="B1139" s="2">
        <v>45826.0</v>
      </c>
      <c r="C1139" s="9" t="s">
        <v>259</v>
      </c>
      <c r="D1139" s="1" t="s">
        <v>1671</v>
      </c>
      <c r="E1139" s="4">
        <v>9000.0</v>
      </c>
      <c r="F1139" s="4"/>
      <c r="G1139" s="4"/>
      <c r="H1139" s="4">
        <f>'data on outstanding creditors'!$E1139-'data on outstanding creditors'!$F1139-'data on outstanding creditors'!$G1139</f>
        <v>9000</v>
      </c>
      <c r="I1139" s="2"/>
      <c r="J1139" s="1" t="s">
        <v>757</v>
      </c>
      <c r="K1139" s="2">
        <v>45861.0</v>
      </c>
      <c r="L1139" s="5"/>
      <c r="M1139" s="9" t="s">
        <v>22</v>
      </c>
      <c r="N1139" s="9" t="s">
        <v>23</v>
      </c>
      <c r="O1139" s="10">
        <f>'data on outstanding creditors'!$E1139*100/107</f>
        <v>8411.214953</v>
      </c>
      <c r="P1139" s="10">
        <f>'data on outstanding creditors'!$E1139-'data on outstanding creditors'!$O1139</f>
        <v>588.7850467</v>
      </c>
      <c r="Q1139" s="7">
        <f>DAY('data on outstanding creditors'!$B1139)</f>
        <v>18</v>
      </c>
      <c r="R1139" s="7">
        <f>MONTH('data on outstanding creditors'!$B1139)</f>
        <v>6</v>
      </c>
      <c r="S1139" s="7">
        <f>YEAR('data on outstanding creditors'!$B1139)</f>
        <v>2025</v>
      </c>
      <c r="T1139" s="11" t="str">
        <f>'data on outstanding creditors'!$C1139&amp;" "&amp;'data on outstanding creditors'!$D1139&amp;" "&amp;TEXT('data on outstanding creditors'!$E1139,"#,##0.00")</f>
        <v>บ.ที.โอ.เคมีคอลส์(1979) T6806/10527 9,000.00</v>
      </c>
      <c r="U1139" s="12"/>
    </row>
    <row r="1140" ht="13.5" customHeight="1">
      <c r="A1140" s="1"/>
      <c r="B1140" s="2">
        <v>45826.0</v>
      </c>
      <c r="C1140" s="9" t="s">
        <v>1469</v>
      </c>
      <c r="D1140" s="1" t="s">
        <v>1672</v>
      </c>
      <c r="E1140" s="4">
        <v>24075.0</v>
      </c>
      <c r="F1140" s="4"/>
      <c r="G1140" s="4"/>
      <c r="H1140" s="4">
        <f>'data on outstanding creditors'!$E1140-'data on outstanding creditors'!$F1140-'data on outstanding creditors'!$G1140</f>
        <v>24075</v>
      </c>
      <c r="I1140" s="2"/>
      <c r="J1140" s="1" t="s">
        <v>757</v>
      </c>
      <c r="K1140" s="2">
        <v>45861.0</v>
      </c>
      <c r="L1140" s="5"/>
      <c r="M1140" s="9" t="s">
        <v>22</v>
      </c>
      <c r="N1140" s="9" t="s">
        <v>23</v>
      </c>
      <c r="O1140" s="10">
        <f>'data on outstanding creditors'!$E1140*100/107</f>
        <v>22500</v>
      </c>
      <c r="P1140" s="10">
        <f>'data on outstanding creditors'!$E1140-'data on outstanding creditors'!$O1140</f>
        <v>1575</v>
      </c>
      <c r="Q1140" s="7">
        <f>DAY('data on outstanding creditors'!$B1140)</f>
        <v>18</v>
      </c>
      <c r="R1140" s="7">
        <f>MONTH('data on outstanding creditors'!$B1140)</f>
        <v>6</v>
      </c>
      <c r="S1140" s="7">
        <f>YEAR('data on outstanding creditors'!$B1140)</f>
        <v>2025</v>
      </c>
      <c r="T1140" s="11" t="str">
        <f>'data on outstanding creditors'!$C1140&amp;" "&amp;'data on outstanding creditors'!$D1140&amp;" "&amp;TEXT('data on outstanding creditors'!$E1140,"#,##0.00")</f>
        <v>บ.สยามฟาร์มาซูติคอล 1250603243 24,075.00</v>
      </c>
      <c r="U1140" s="12"/>
    </row>
    <row r="1141" ht="13.5" customHeight="1">
      <c r="A1141" s="1"/>
      <c r="B1141" s="2">
        <v>45826.0</v>
      </c>
      <c r="C1141" s="9" t="s">
        <v>1383</v>
      </c>
      <c r="D1141" s="1" t="s">
        <v>1673</v>
      </c>
      <c r="E1141" s="4">
        <v>37500.0</v>
      </c>
      <c r="F1141" s="4"/>
      <c r="G1141" s="4"/>
      <c r="H1141" s="4">
        <f>'data on outstanding creditors'!$E1141-'data on outstanding creditors'!$F1141-'data on outstanding creditors'!$G1141</f>
        <v>37500</v>
      </c>
      <c r="I1141" s="2"/>
      <c r="J1141" s="1" t="s">
        <v>757</v>
      </c>
      <c r="K1141" s="2">
        <v>45861.0</v>
      </c>
      <c r="L1141" s="5"/>
      <c r="M1141" s="9" t="s">
        <v>22</v>
      </c>
      <c r="N1141" s="9" t="s">
        <v>23</v>
      </c>
      <c r="O1141" s="10">
        <f>'data on outstanding creditors'!$E1141*100/107</f>
        <v>35046.72897</v>
      </c>
      <c r="P1141" s="10">
        <f>'data on outstanding creditors'!$E1141-'data on outstanding creditors'!$O1141</f>
        <v>2453.271028</v>
      </c>
      <c r="Q1141" s="7">
        <f>DAY('data on outstanding creditors'!$B1141)</f>
        <v>18</v>
      </c>
      <c r="R1141" s="7">
        <f>MONTH('data on outstanding creditors'!$B1141)</f>
        <v>6</v>
      </c>
      <c r="S1141" s="7">
        <f>YEAR('data on outstanding creditors'!$B1141)</f>
        <v>2025</v>
      </c>
      <c r="T1141" s="11" t="str">
        <f>'data on outstanding creditors'!$C1141&amp;" "&amp;'data on outstanding creditors'!$D1141&amp;" "&amp;TEXT('data on outstanding creditors'!$E1141,"#,##0.00")</f>
        <v>บ.ยูเมด้า 321405 37,500.00</v>
      </c>
      <c r="U1141" s="12"/>
    </row>
    <row r="1142" ht="13.5" customHeight="1">
      <c r="A1142" s="1"/>
      <c r="B1142" s="2">
        <v>45826.0</v>
      </c>
      <c r="C1142" s="9" t="s">
        <v>771</v>
      </c>
      <c r="D1142" s="1" t="s">
        <v>1674</v>
      </c>
      <c r="E1142" s="4">
        <v>9000.0</v>
      </c>
      <c r="F1142" s="4"/>
      <c r="G1142" s="4"/>
      <c r="H1142" s="4">
        <f>'data on outstanding creditors'!$E1142-'data on outstanding creditors'!$F1142-'data on outstanding creditors'!$G1142</f>
        <v>9000</v>
      </c>
      <c r="I1142" s="2"/>
      <c r="J1142" s="1" t="s">
        <v>646</v>
      </c>
      <c r="K1142" s="2">
        <v>45928.0</v>
      </c>
      <c r="L1142" s="5"/>
      <c r="M1142" s="9" t="s">
        <v>22</v>
      </c>
      <c r="N1142" s="9" t="s">
        <v>23</v>
      </c>
      <c r="O1142" s="10">
        <f>'data on outstanding creditors'!$E1142*100/107</f>
        <v>8411.214953</v>
      </c>
      <c r="P1142" s="10">
        <f>'data on outstanding creditors'!$E1142-'data on outstanding creditors'!$O1142</f>
        <v>588.7850467</v>
      </c>
      <c r="Q1142" s="7">
        <f>DAY('data on outstanding creditors'!$B1142)</f>
        <v>18</v>
      </c>
      <c r="R1142" s="7">
        <f>MONTH('data on outstanding creditors'!$B1142)</f>
        <v>6</v>
      </c>
      <c r="S1142" s="7">
        <f>YEAR('data on outstanding creditors'!$B1142)</f>
        <v>2025</v>
      </c>
      <c r="T1142" s="11" t="str">
        <f>'data on outstanding creditors'!$C1142&amp;" "&amp;'data on outstanding creditors'!$D1142&amp;" "&amp;TEXT('data on outstanding creditors'!$E1142,"#,##0.00")</f>
        <v>หจก.ภิญโญฟาร์มาซี IV6830015 9,000.00</v>
      </c>
      <c r="U1142" s="12"/>
    </row>
    <row r="1143" ht="13.5" customHeight="1">
      <c r="A1143" s="1"/>
      <c r="B1143" s="2">
        <v>45826.0</v>
      </c>
      <c r="C1143" s="9" t="s">
        <v>813</v>
      </c>
      <c r="D1143" s="1" t="s">
        <v>1675</v>
      </c>
      <c r="E1143" s="4">
        <v>35400.0</v>
      </c>
      <c r="F1143" s="4"/>
      <c r="G1143" s="4"/>
      <c r="H1143" s="4">
        <f>'data on outstanding creditors'!$E1143-'data on outstanding creditors'!$F1143-'data on outstanding creditors'!$G1143</f>
        <v>35400</v>
      </c>
      <c r="I1143" s="2"/>
      <c r="J1143" s="1" t="s">
        <v>646</v>
      </c>
      <c r="K1143" s="2">
        <v>45906.0</v>
      </c>
      <c r="L1143" s="5"/>
      <c r="M1143" s="9" t="s">
        <v>22</v>
      </c>
      <c r="N1143" s="9" t="s">
        <v>23</v>
      </c>
      <c r="O1143" s="10">
        <f>'data on outstanding creditors'!$E1143*100/107</f>
        <v>33084.11215</v>
      </c>
      <c r="P1143" s="10">
        <f>'data on outstanding creditors'!$E1143-'data on outstanding creditors'!$O1143</f>
        <v>2315.88785</v>
      </c>
      <c r="Q1143" s="7">
        <f>DAY('data on outstanding creditors'!$B1143)</f>
        <v>18</v>
      </c>
      <c r="R1143" s="7">
        <f>MONTH('data on outstanding creditors'!$B1143)</f>
        <v>6</v>
      </c>
      <c r="S1143" s="7">
        <f>YEAR('data on outstanding creditors'!$B1143)</f>
        <v>2025</v>
      </c>
      <c r="T1143" s="11" t="str">
        <f>'data on outstanding creditors'!$C1143&amp;" "&amp;'data on outstanding creditors'!$D1143&amp;" "&amp;TEXT('data on outstanding creditors'!$E1143,"#,##0.00")</f>
        <v>บ.ที.แมน ฟาร์มาซูติคอล IST250089967 35,400.00</v>
      </c>
      <c r="U1143" s="12"/>
    </row>
    <row r="1144" ht="13.5" customHeight="1">
      <c r="A1144" s="1"/>
      <c r="B1144" s="2">
        <v>45826.0</v>
      </c>
      <c r="C1144" s="9" t="s">
        <v>922</v>
      </c>
      <c r="D1144" s="1" t="s">
        <v>1676</v>
      </c>
      <c r="E1144" s="4">
        <v>79040.0</v>
      </c>
      <c r="F1144" s="4"/>
      <c r="G1144" s="4"/>
      <c r="H1144" s="4">
        <f>'data on outstanding creditors'!$E1144-'data on outstanding creditors'!$F1144-'data on outstanding creditors'!$G1144</f>
        <v>79040</v>
      </c>
      <c r="I1144" s="2"/>
      <c r="J1144" s="1" t="s">
        <v>646</v>
      </c>
      <c r="K1144" s="2">
        <v>45928.0</v>
      </c>
      <c r="L1144" s="5"/>
      <c r="M1144" s="9" t="s">
        <v>22</v>
      </c>
      <c r="N1144" s="9" t="s">
        <v>23</v>
      </c>
      <c r="O1144" s="10">
        <f>'data on outstanding creditors'!$E1144*100/107</f>
        <v>73869.15888</v>
      </c>
      <c r="P1144" s="10">
        <f>'data on outstanding creditors'!$E1144-'data on outstanding creditors'!$O1144</f>
        <v>5170.841121</v>
      </c>
      <c r="Q1144" s="7">
        <f>DAY('data on outstanding creditors'!$B1144)</f>
        <v>18</v>
      </c>
      <c r="R1144" s="7">
        <f>MONTH('data on outstanding creditors'!$B1144)</f>
        <v>6</v>
      </c>
      <c r="S1144" s="7">
        <f>YEAR('data on outstanding creditors'!$B1144)</f>
        <v>2025</v>
      </c>
      <c r="T1144" s="11" t="str">
        <f>'data on outstanding creditors'!$C1144&amp;" "&amp;'data on outstanding creditors'!$D1144&amp;" "&amp;TEXT('data on outstanding creditors'!$E1144,"#,##0.00")</f>
        <v>บ.เบอร์ลินฟาร์มาซูติคอลอินดัสตรี้ 6810604972 79,040.00</v>
      </c>
      <c r="U1144" s="12"/>
    </row>
    <row r="1145" ht="13.5" customHeight="1">
      <c r="A1145" s="1"/>
      <c r="B1145" s="2">
        <v>45827.0</v>
      </c>
      <c r="C1145" s="9" t="s">
        <v>1330</v>
      </c>
      <c r="D1145" s="1" t="s">
        <v>1677</v>
      </c>
      <c r="E1145" s="4">
        <v>71200.0</v>
      </c>
      <c r="F1145" s="4"/>
      <c r="G1145" s="4"/>
      <c r="H1145" s="4">
        <f>'data on outstanding creditors'!$E1145-'data on outstanding creditors'!$F1145-'data on outstanding creditors'!$G1145</f>
        <v>71200</v>
      </c>
      <c r="I1145" s="2"/>
      <c r="J1145" s="1" t="s">
        <v>757</v>
      </c>
      <c r="K1145" s="2">
        <v>45875.0</v>
      </c>
      <c r="L1145" s="5"/>
      <c r="M1145" s="9" t="s">
        <v>22</v>
      </c>
      <c r="N1145" s="9" t="s">
        <v>23</v>
      </c>
      <c r="O1145" s="10">
        <f>'data on outstanding creditors'!$E1145*100/107</f>
        <v>66542.05607</v>
      </c>
      <c r="P1145" s="10">
        <f>'data on outstanding creditors'!$E1145-'data on outstanding creditors'!$O1145</f>
        <v>4657.943925</v>
      </c>
      <c r="Q1145" s="7">
        <f>DAY('data on outstanding creditors'!$B1145)</f>
        <v>19</v>
      </c>
      <c r="R1145" s="7">
        <f>MONTH('data on outstanding creditors'!$B1145)</f>
        <v>6</v>
      </c>
      <c r="S1145" s="7">
        <f>YEAR('data on outstanding creditors'!$B1145)</f>
        <v>2025</v>
      </c>
      <c r="T1145" s="11" t="str">
        <f>'data on outstanding creditors'!$C1145&amp;" "&amp;'data on outstanding creditors'!$D1145&amp;" "&amp;TEXT('data on outstanding creditors'!$E1145,"#,##0.00")</f>
        <v>บ.ชุมชนเภสัชกรรม IV680601638 71,200.00</v>
      </c>
      <c r="U1145" s="12"/>
    </row>
    <row r="1146" ht="13.5" customHeight="1">
      <c r="A1146" s="1"/>
      <c r="B1146" s="2">
        <v>45827.0</v>
      </c>
      <c r="C1146" s="9" t="s">
        <v>761</v>
      </c>
      <c r="D1146" s="1" t="s">
        <v>1678</v>
      </c>
      <c r="E1146" s="4">
        <v>145350.0</v>
      </c>
      <c r="F1146" s="4"/>
      <c r="G1146" s="4"/>
      <c r="H1146" s="4">
        <f>'data on outstanding creditors'!$E1146-'data on outstanding creditors'!$F1146-'data on outstanding creditors'!$G1146</f>
        <v>145350</v>
      </c>
      <c r="I1146" s="2"/>
      <c r="J1146" s="1" t="s">
        <v>757</v>
      </c>
      <c r="K1146" s="2">
        <v>45875.0</v>
      </c>
      <c r="L1146" s="5"/>
      <c r="M1146" s="9" t="s">
        <v>22</v>
      </c>
      <c r="N1146" s="9" t="s">
        <v>23</v>
      </c>
      <c r="O1146" s="10">
        <f>'data on outstanding creditors'!$E1146*100/107</f>
        <v>135841.1215</v>
      </c>
      <c r="P1146" s="10">
        <f>'data on outstanding creditors'!$E1146-'data on outstanding creditors'!$O1146</f>
        <v>9508.878505</v>
      </c>
      <c r="Q1146" s="7">
        <f>DAY('data on outstanding creditors'!$B1146)</f>
        <v>19</v>
      </c>
      <c r="R1146" s="7">
        <f>MONTH('data on outstanding creditors'!$B1146)</f>
        <v>6</v>
      </c>
      <c r="S1146" s="7">
        <f>YEAR('data on outstanding creditors'!$B1146)</f>
        <v>2025</v>
      </c>
      <c r="T1146" s="11" t="str">
        <f>'data on outstanding creditors'!$C1146&amp;" "&amp;'data on outstanding creditors'!$D1146&amp;" "&amp;TEXT('data on outstanding creditors'!$E1146,"#,##0.00")</f>
        <v>บ.แมคโครฟาร์แลบ ML25062390 145,350.00</v>
      </c>
      <c r="U1146" s="12"/>
    </row>
    <row r="1147" ht="13.5" customHeight="1">
      <c r="A1147" s="1"/>
      <c r="B1147" s="2">
        <v>45827.0</v>
      </c>
      <c r="C1147" s="9" t="s">
        <v>256</v>
      </c>
      <c r="D1147" s="1" t="s">
        <v>1679</v>
      </c>
      <c r="E1147" s="4">
        <v>3900.0</v>
      </c>
      <c r="F1147" s="4"/>
      <c r="G1147" s="4"/>
      <c r="H1147" s="4">
        <f>'data on outstanding creditors'!$E1147-'data on outstanding creditors'!$F1147-'data on outstanding creditors'!$G1147</f>
        <v>3900</v>
      </c>
      <c r="I1147" s="2"/>
      <c r="J1147" s="1" t="s">
        <v>646</v>
      </c>
      <c r="K1147" s="2">
        <v>45928.0</v>
      </c>
      <c r="L1147" s="5"/>
      <c r="M1147" s="9" t="s">
        <v>22</v>
      </c>
      <c r="N1147" s="9" t="s">
        <v>23</v>
      </c>
      <c r="O1147" s="10">
        <f>'data on outstanding creditors'!$E1147*100/107</f>
        <v>3644.859813</v>
      </c>
      <c r="P1147" s="10">
        <f>'data on outstanding creditors'!$E1147-'data on outstanding creditors'!$O1147</f>
        <v>255.1401869</v>
      </c>
      <c r="Q1147" s="7">
        <f>DAY('data on outstanding creditors'!$B1147)</f>
        <v>19</v>
      </c>
      <c r="R1147" s="7">
        <f>MONTH('data on outstanding creditors'!$B1147)</f>
        <v>6</v>
      </c>
      <c r="S1147" s="7">
        <f>YEAR('data on outstanding creditors'!$B1147)</f>
        <v>2025</v>
      </c>
      <c r="T1147" s="11" t="str">
        <f>'data on outstanding creditors'!$C1147&amp;" "&amp;'data on outstanding creditors'!$D1147&amp;" "&amp;TEXT('data on outstanding creditors'!$E1147,"#,##0.00")</f>
        <v>บ.พาตาร์แลบ(2517) INV125060686 3,900.00</v>
      </c>
      <c r="U1147" s="12"/>
    </row>
    <row r="1148" ht="13.5" customHeight="1">
      <c r="A1148" s="1"/>
      <c r="B1148" s="2">
        <v>45827.0</v>
      </c>
      <c r="C1148" s="9" t="s">
        <v>259</v>
      </c>
      <c r="D1148" s="1" t="s">
        <v>1680</v>
      </c>
      <c r="E1148" s="4">
        <v>102000.0</v>
      </c>
      <c r="F1148" s="4"/>
      <c r="G1148" s="4"/>
      <c r="H1148" s="4">
        <f>'data on outstanding creditors'!$E1148-'data on outstanding creditors'!$F1148-'data on outstanding creditors'!$G1148</f>
        <v>102000</v>
      </c>
      <c r="I1148" s="2"/>
      <c r="J1148" s="1" t="s">
        <v>757</v>
      </c>
      <c r="K1148" s="2">
        <v>45862.0</v>
      </c>
      <c r="L1148" s="5"/>
      <c r="M1148" s="9" t="s">
        <v>22</v>
      </c>
      <c r="N1148" s="9" t="s">
        <v>23</v>
      </c>
      <c r="O1148" s="10">
        <f>'data on outstanding creditors'!$E1148*100/107</f>
        <v>95327.1028</v>
      </c>
      <c r="P1148" s="10">
        <f>'data on outstanding creditors'!$E1148-'data on outstanding creditors'!$O1148</f>
        <v>6672.897196</v>
      </c>
      <c r="Q1148" s="7">
        <f>DAY('data on outstanding creditors'!$B1148)</f>
        <v>19</v>
      </c>
      <c r="R1148" s="7">
        <f>MONTH('data on outstanding creditors'!$B1148)</f>
        <v>6</v>
      </c>
      <c r="S1148" s="7">
        <f>YEAR('data on outstanding creditors'!$B1148)</f>
        <v>2025</v>
      </c>
      <c r="T1148" s="11" t="str">
        <f>'data on outstanding creditors'!$C1148&amp;" "&amp;'data on outstanding creditors'!$D1148&amp;" "&amp;TEXT('data on outstanding creditors'!$E1148,"#,##0.00")</f>
        <v>บ.ที.โอ.เคมีคอลส์(1979) T6806/20221 102,000.00</v>
      </c>
      <c r="U1148" s="12"/>
    </row>
    <row r="1149" ht="13.5" customHeight="1">
      <c r="A1149" s="1"/>
      <c r="B1149" s="2">
        <v>45827.0</v>
      </c>
      <c r="C1149" s="9" t="s">
        <v>929</v>
      </c>
      <c r="D1149" s="1" t="s">
        <v>1681</v>
      </c>
      <c r="E1149" s="4">
        <v>44700.0</v>
      </c>
      <c r="F1149" s="4"/>
      <c r="G1149" s="4"/>
      <c r="H1149" s="4">
        <f>'data on outstanding creditors'!$E1149-'data on outstanding creditors'!$F1149-'data on outstanding creditors'!$G1149</f>
        <v>44700</v>
      </c>
      <c r="I1149" s="2"/>
      <c r="J1149" s="1" t="s">
        <v>646</v>
      </c>
      <c r="K1149" s="2">
        <v>45887.0</v>
      </c>
      <c r="L1149" s="5"/>
      <c r="M1149" s="9" t="s">
        <v>22</v>
      </c>
      <c r="N1149" s="9" t="s">
        <v>23</v>
      </c>
      <c r="O1149" s="10">
        <f>'data on outstanding creditors'!$E1149*100/107</f>
        <v>41775.70093</v>
      </c>
      <c r="P1149" s="10">
        <f>'data on outstanding creditors'!$E1149-'data on outstanding creditors'!$O1149</f>
        <v>2924.299065</v>
      </c>
      <c r="Q1149" s="7">
        <f>DAY('data on outstanding creditors'!$B1149)</f>
        <v>19</v>
      </c>
      <c r="R1149" s="7">
        <f>MONTH('data on outstanding creditors'!$B1149)</f>
        <v>6</v>
      </c>
      <c r="S1149" s="7">
        <f>YEAR('data on outstanding creditors'!$B1149)</f>
        <v>2025</v>
      </c>
      <c r="T1149" s="11" t="str">
        <f>'data on outstanding creditors'!$C1149&amp;" "&amp;'data on outstanding creditors'!$D1149&amp;" "&amp;TEXT('data on outstanding creditors'!$E1149,"#,##0.00")</f>
        <v>บ.เยนเนอร์ราลดรั๊กส์เฮ้าส์ 25106165 44,700.00</v>
      </c>
      <c r="U1149" s="12"/>
    </row>
    <row r="1150" ht="13.5" customHeight="1">
      <c r="A1150" s="1"/>
      <c r="B1150" s="2">
        <v>45827.0</v>
      </c>
      <c r="C1150" s="9" t="s">
        <v>771</v>
      </c>
      <c r="D1150" s="1" t="s">
        <v>1682</v>
      </c>
      <c r="E1150" s="4">
        <v>35800.0</v>
      </c>
      <c r="F1150" s="4"/>
      <c r="G1150" s="4"/>
      <c r="H1150" s="4">
        <f>'data on outstanding creditors'!$E1150-'data on outstanding creditors'!$F1150-'data on outstanding creditors'!$G1150</f>
        <v>35800</v>
      </c>
      <c r="I1150" s="2"/>
      <c r="J1150" s="1" t="s">
        <v>646</v>
      </c>
      <c r="K1150" s="2">
        <v>45928.0</v>
      </c>
      <c r="L1150" s="5"/>
      <c r="M1150" s="9" t="s">
        <v>22</v>
      </c>
      <c r="N1150" s="9" t="s">
        <v>23</v>
      </c>
      <c r="O1150" s="10">
        <f>'data on outstanding creditors'!$E1150*100/107</f>
        <v>33457.94393</v>
      </c>
      <c r="P1150" s="10">
        <f>'data on outstanding creditors'!$E1150-'data on outstanding creditors'!$O1150</f>
        <v>2342.056075</v>
      </c>
      <c r="Q1150" s="7">
        <f>DAY('data on outstanding creditors'!$B1150)</f>
        <v>19</v>
      </c>
      <c r="R1150" s="7">
        <f>MONTH('data on outstanding creditors'!$B1150)</f>
        <v>6</v>
      </c>
      <c r="S1150" s="7">
        <f>YEAR('data on outstanding creditors'!$B1150)</f>
        <v>2025</v>
      </c>
      <c r="T1150" s="11" t="str">
        <f>'data on outstanding creditors'!$C1150&amp;" "&amp;'data on outstanding creditors'!$D1150&amp;" "&amp;TEXT('data on outstanding creditors'!$E1150,"#,##0.00")</f>
        <v>หจก.ภิญโญฟาร์มาซี IV6830438 35,800.00</v>
      </c>
      <c r="U1150" s="12"/>
    </row>
    <row r="1151" ht="13.5" customHeight="1">
      <c r="A1151" s="1"/>
      <c r="B1151" s="2">
        <v>45827.0</v>
      </c>
      <c r="C1151" s="9" t="s">
        <v>263</v>
      </c>
      <c r="D1151" s="1" t="s">
        <v>1683</v>
      </c>
      <c r="E1151" s="4">
        <v>37500.0</v>
      </c>
      <c r="F1151" s="4"/>
      <c r="G1151" s="4"/>
      <c r="H1151" s="4">
        <f>'data on outstanding creditors'!$E1151-'data on outstanding creditors'!$F1151-'data on outstanding creditors'!$G1151</f>
        <v>37500</v>
      </c>
      <c r="I1151" s="2"/>
      <c r="J1151" s="1" t="s">
        <v>646</v>
      </c>
      <c r="K1151" s="2">
        <v>45928.0</v>
      </c>
      <c r="L1151" s="5"/>
      <c r="M1151" s="9" t="s">
        <v>22</v>
      </c>
      <c r="N1151" s="9" t="s">
        <v>23</v>
      </c>
      <c r="O1151" s="10">
        <f>'data on outstanding creditors'!$E1151*100/107</f>
        <v>35046.72897</v>
      </c>
      <c r="P1151" s="10">
        <f>'data on outstanding creditors'!$E1151-'data on outstanding creditors'!$O1151</f>
        <v>2453.271028</v>
      </c>
      <c r="Q1151" s="7">
        <f>DAY('data on outstanding creditors'!$B1151)</f>
        <v>19</v>
      </c>
      <c r="R1151" s="7">
        <f>MONTH('data on outstanding creditors'!$B1151)</f>
        <v>6</v>
      </c>
      <c r="S1151" s="7">
        <f>YEAR('data on outstanding creditors'!$B1151)</f>
        <v>2025</v>
      </c>
      <c r="T1151" s="11" t="str">
        <f>'data on outstanding creditors'!$C1151&amp;" "&amp;'data on outstanding creditors'!$D1151&amp;" "&amp;TEXT('data on outstanding creditors'!$E1151,"#,##0.00")</f>
        <v>บ.เอเบิ้ล เมดิคอล B2506/0229 37,500.00</v>
      </c>
      <c r="U1151" s="12"/>
    </row>
    <row r="1152" ht="13.5" customHeight="1">
      <c r="A1152" s="1"/>
      <c r="B1152" s="2">
        <v>45827.0</v>
      </c>
      <c r="C1152" s="9" t="s">
        <v>1330</v>
      </c>
      <c r="D1152" s="1" t="s">
        <v>1684</v>
      </c>
      <c r="E1152" s="4">
        <v>39000.0</v>
      </c>
      <c r="F1152" s="4"/>
      <c r="G1152" s="4"/>
      <c r="H1152" s="4">
        <f>'data on outstanding creditors'!$E1152-'data on outstanding creditors'!$F1152-'data on outstanding creditors'!$G1152</f>
        <v>39000</v>
      </c>
      <c r="I1152" s="2"/>
      <c r="J1152" s="1" t="s">
        <v>757</v>
      </c>
      <c r="K1152" s="2">
        <v>45861.0</v>
      </c>
      <c r="L1152" s="5"/>
      <c r="M1152" s="9" t="s">
        <v>22</v>
      </c>
      <c r="N1152" s="9" t="s">
        <v>23</v>
      </c>
      <c r="O1152" s="10">
        <f>'data on outstanding creditors'!$E1152*100/107</f>
        <v>36448.59813</v>
      </c>
      <c r="P1152" s="10">
        <f>'data on outstanding creditors'!$E1152-'data on outstanding creditors'!$O1152</f>
        <v>2551.401869</v>
      </c>
      <c r="Q1152" s="7">
        <f>DAY('data on outstanding creditors'!$B1152)</f>
        <v>19</v>
      </c>
      <c r="R1152" s="7">
        <f>MONTH('data on outstanding creditors'!$B1152)</f>
        <v>6</v>
      </c>
      <c r="S1152" s="7">
        <f>YEAR('data on outstanding creditors'!$B1152)</f>
        <v>2025</v>
      </c>
      <c r="T1152" s="11" t="str">
        <f>'data on outstanding creditors'!$C1152&amp;" "&amp;'data on outstanding creditors'!$D1152&amp;" "&amp;TEXT('data on outstanding creditors'!$E1152,"#,##0.00")</f>
        <v>บ.ชุมชนเภสัชกรรม IV680602583 39,000.00</v>
      </c>
      <c r="U1152" s="12"/>
    </row>
    <row r="1153" ht="13.5" customHeight="1">
      <c r="A1153" s="1"/>
      <c r="B1153" s="2">
        <v>45827.0</v>
      </c>
      <c r="C1153" s="9" t="s">
        <v>920</v>
      </c>
      <c r="D1153" s="1" t="s">
        <v>1685</v>
      </c>
      <c r="E1153" s="4">
        <v>45000.0</v>
      </c>
      <c r="F1153" s="4"/>
      <c r="G1153" s="4"/>
      <c r="H1153" s="4">
        <f>'data on outstanding creditors'!$E1153-'data on outstanding creditors'!$F1153-'data on outstanding creditors'!$G1153</f>
        <v>45000</v>
      </c>
      <c r="I1153" s="2"/>
      <c r="J1153" s="1" t="s">
        <v>646</v>
      </c>
      <c r="K1153" s="2">
        <v>45887.0</v>
      </c>
      <c r="L1153" s="5"/>
      <c r="M1153" s="9" t="s">
        <v>22</v>
      </c>
      <c r="N1153" s="9" t="s">
        <v>23</v>
      </c>
      <c r="O1153" s="10">
        <f>'data on outstanding creditors'!$E1153*100/107</f>
        <v>42056.07477</v>
      </c>
      <c r="P1153" s="10">
        <f>'data on outstanding creditors'!$E1153-'data on outstanding creditors'!$O1153</f>
        <v>2943.925234</v>
      </c>
      <c r="Q1153" s="7">
        <f>DAY('data on outstanding creditors'!$B1153)</f>
        <v>19</v>
      </c>
      <c r="R1153" s="7">
        <f>MONTH('data on outstanding creditors'!$B1153)</f>
        <v>6</v>
      </c>
      <c r="S1153" s="7">
        <f>YEAR('data on outstanding creditors'!$B1153)</f>
        <v>2025</v>
      </c>
      <c r="T1153" s="11" t="str">
        <f>'data on outstanding creditors'!$C1153&amp;" "&amp;'data on outstanding creditors'!$D1153&amp;" "&amp;TEXT('data on outstanding creditors'!$E1153,"#,##0.00")</f>
        <v>บ.โปลิฟาร์ม IVU-68025464 45,000.00</v>
      </c>
      <c r="U1153" s="12"/>
    </row>
    <row r="1154" ht="13.5" customHeight="1">
      <c r="A1154" s="1"/>
      <c r="B1154" s="2">
        <v>45827.0</v>
      </c>
      <c r="C1154" s="9" t="s">
        <v>1297</v>
      </c>
      <c r="D1154" s="1" t="s">
        <v>1686</v>
      </c>
      <c r="E1154" s="4">
        <v>11160.0</v>
      </c>
      <c r="F1154" s="4"/>
      <c r="G1154" s="4"/>
      <c r="H1154" s="4">
        <f>'data on outstanding creditors'!$E1154-'data on outstanding creditors'!$F1154-'data on outstanding creditors'!$G1154</f>
        <v>11160</v>
      </c>
      <c r="I1154" s="2"/>
      <c r="J1154" s="1" t="s">
        <v>646</v>
      </c>
      <c r="K1154" s="2">
        <v>45928.0</v>
      </c>
      <c r="L1154" s="5"/>
      <c r="M1154" s="9" t="s">
        <v>22</v>
      </c>
      <c r="N1154" s="9" t="s">
        <v>23</v>
      </c>
      <c r="O1154" s="10">
        <f>'data on outstanding creditors'!$E1154*100/107</f>
        <v>10429.90654</v>
      </c>
      <c r="P1154" s="10">
        <f>'data on outstanding creditors'!$E1154-'data on outstanding creditors'!$O1154</f>
        <v>730.0934579</v>
      </c>
      <c r="Q1154" s="7">
        <f>DAY('data on outstanding creditors'!$B1154)</f>
        <v>19</v>
      </c>
      <c r="R1154" s="7">
        <f>MONTH('data on outstanding creditors'!$B1154)</f>
        <v>6</v>
      </c>
      <c r="S1154" s="7">
        <f>YEAR('data on outstanding creditors'!$B1154)</f>
        <v>2025</v>
      </c>
      <c r="T1154" s="11" t="str">
        <f>'data on outstanding creditors'!$C1154&amp;" "&amp;'data on outstanding creditors'!$D1154&amp;" "&amp;TEXT('data on outstanding creditors'!$E1154,"#,##0.00")</f>
        <v>บ.แอตแลนติค ฟาร์มาซูติคอล PIN2520677 11,160.00</v>
      </c>
      <c r="U1154" s="12"/>
    </row>
    <row r="1155" ht="13.5" customHeight="1">
      <c r="A1155" s="1"/>
      <c r="B1155" s="2">
        <v>45828.0</v>
      </c>
      <c r="C1155" s="9" t="s">
        <v>771</v>
      </c>
      <c r="D1155" s="1" t="s">
        <v>1687</v>
      </c>
      <c r="E1155" s="4">
        <v>81000.0</v>
      </c>
      <c r="F1155" s="4"/>
      <c r="G1155" s="4"/>
      <c r="H1155" s="4">
        <f>'data on outstanding creditors'!$E1155-'data on outstanding creditors'!$F1155-'data on outstanding creditors'!$G1155</f>
        <v>81000</v>
      </c>
      <c r="I1155" s="2"/>
      <c r="J1155" s="1" t="s">
        <v>646</v>
      </c>
      <c r="K1155" s="2">
        <v>45929.0</v>
      </c>
      <c r="L1155" s="5"/>
      <c r="M1155" s="9" t="s">
        <v>22</v>
      </c>
      <c r="N1155" s="9" t="s">
        <v>23</v>
      </c>
      <c r="O1155" s="10">
        <f>'data on outstanding creditors'!$E1155*100/107</f>
        <v>75700.93458</v>
      </c>
      <c r="P1155" s="10">
        <f>'data on outstanding creditors'!$E1155-'data on outstanding creditors'!$O1155</f>
        <v>5299.065421</v>
      </c>
      <c r="Q1155" s="7">
        <f>DAY('data on outstanding creditors'!$B1155)</f>
        <v>20</v>
      </c>
      <c r="R1155" s="7">
        <f>MONTH('data on outstanding creditors'!$B1155)</f>
        <v>6</v>
      </c>
      <c r="S1155" s="7">
        <f>YEAR('data on outstanding creditors'!$B1155)</f>
        <v>2025</v>
      </c>
      <c r="T1155" s="11" t="str">
        <f>'data on outstanding creditors'!$C1155&amp;" "&amp;'data on outstanding creditors'!$D1155&amp;" "&amp;TEXT('data on outstanding creditors'!$E1155,"#,##0.00")</f>
        <v>หจก.ภิญโญฟาร์มาซี IV6829639 81,000.00</v>
      </c>
      <c r="U1155" s="12"/>
    </row>
    <row r="1156" ht="13.5" customHeight="1">
      <c r="A1156" s="1"/>
      <c r="B1156" s="2">
        <v>45828.0</v>
      </c>
      <c r="C1156" s="9" t="s">
        <v>1230</v>
      </c>
      <c r="D1156" s="1" t="s">
        <v>1688</v>
      </c>
      <c r="E1156" s="4">
        <v>136000.0</v>
      </c>
      <c r="F1156" s="4"/>
      <c r="G1156" s="4"/>
      <c r="H1156" s="4">
        <f>'data on outstanding creditors'!$E1156-'data on outstanding creditors'!$F1156-'data on outstanding creditors'!$G1156</f>
        <v>136000</v>
      </c>
      <c r="I1156" s="2"/>
      <c r="J1156" s="1" t="s">
        <v>646</v>
      </c>
      <c r="K1156" s="2">
        <v>45929.0</v>
      </c>
      <c r="L1156" s="5"/>
      <c r="M1156" s="9" t="s">
        <v>22</v>
      </c>
      <c r="N1156" s="9" t="s">
        <v>23</v>
      </c>
      <c r="O1156" s="10">
        <f>'data on outstanding creditors'!$E1156*100/107</f>
        <v>127102.8037</v>
      </c>
      <c r="P1156" s="10">
        <f>'data on outstanding creditors'!$E1156-'data on outstanding creditors'!$O1156</f>
        <v>8897.196262</v>
      </c>
      <c r="Q1156" s="7">
        <f>DAY('data on outstanding creditors'!$B1156)</f>
        <v>20</v>
      </c>
      <c r="R1156" s="7">
        <f>MONTH('data on outstanding creditors'!$B1156)</f>
        <v>6</v>
      </c>
      <c r="S1156" s="7">
        <f>YEAR('data on outstanding creditors'!$B1156)</f>
        <v>2025</v>
      </c>
      <c r="T1156" s="11" t="str">
        <f>'data on outstanding creditors'!$C1156&amp;" "&amp;'data on outstanding creditors'!$D1156&amp;" "&amp;TEXT('data on outstanding creditors'!$E1156,"#,##0.00")</f>
        <v>บ.พรอส ฟาร์มา INV-L-IM\2025061604 136,000.00</v>
      </c>
      <c r="U1156" s="12"/>
    </row>
    <row r="1157" ht="13.5" customHeight="1">
      <c r="A1157" s="1"/>
      <c r="B1157" s="2">
        <v>45828.0</v>
      </c>
      <c r="C1157" s="9" t="s">
        <v>965</v>
      </c>
      <c r="D1157" s="1" t="s">
        <v>1689</v>
      </c>
      <c r="E1157" s="4">
        <v>50022.6</v>
      </c>
      <c r="F1157" s="4"/>
      <c r="G1157" s="4"/>
      <c r="H1157" s="4">
        <f>'data on outstanding creditors'!$E1157-'data on outstanding creditors'!$F1157-'data on outstanding creditors'!$G1157</f>
        <v>50022.6</v>
      </c>
      <c r="I1157" s="2"/>
      <c r="J1157" s="1" t="s">
        <v>646</v>
      </c>
      <c r="K1157" s="2">
        <v>45881.0</v>
      </c>
      <c r="L1157" s="5"/>
      <c r="M1157" s="9" t="s">
        <v>22</v>
      </c>
      <c r="N1157" s="9" t="s">
        <v>23</v>
      </c>
      <c r="O1157" s="10">
        <f>'data on outstanding creditors'!$E1157*100/107</f>
        <v>46750.09346</v>
      </c>
      <c r="P1157" s="10">
        <f>'data on outstanding creditors'!$E1157-'data on outstanding creditors'!$O1157</f>
        <v>3272.506542</v>
      </c>
      <c r="Q1157" s="7">
        <f>DAY('data on outstanding creditors'!$B1157)</f>
        <v>20</v>
      </c>
      <c r="R1157" s="7">
        <f>MONTH('data on outstanding creditors'!$B1157)</f>
        <v>6</v>
      </c>
      <c r="S1157" s="7">
        <f>YEAR('data on outstanding creditors'!$B1157)</f>
        <v>2025</v>
      </c>
      <c r="T1157" s="11" t="str">
        <f>'data on outstanding creditors'!$C1157&amp;" "&amp;'data on outstanding creditors'!$D1157&amp;" "&amp;TEXT('data on outstanding creditors'!$E1157,"#,##0.00")</f>
        <v>บ.แปซิฟิค เฮลธ์แคร์(ไทยแลนด์) 68030752 50,022.60</v>
      </c>
      <c r="U1157" s="12"/>
    </row>
    <row r="1158" ht="13.5" customHeight="1">
      <c r="A1158" s="1"/>
      <c r="B1158" s="2">
        <v>45828.0</v>
      </c>
      <c r="C1158" s="9" t="s">
        <v>771</v>
      </c>
      <c r="D1158" s="1" t="s">
        <v>1690</v>
      </c>
      <c r="E1158" s="4">
        <v>94400.0</v>
      </c>
      <c r="F1158" s="4"/>
      <c r="G1158" s="4"/>
      <c r="H1158" s="4">
        <f>'data on outstanding creditors'!$E1158-'data on outstanding creditors'!$F1158-'data on outstanding creditors'!$G1158</f>
        <v>94400</v>
      </c>
      <c r="I1158" s="2"/>
      <c r="J1158" s="1" t="s">
        <v>646</v>
      </c>
      <c r="K1158" s="2">
        <v>45928.0</v>
      </c>
      <c r="L1158" s="5"/>
      <c r="M1158" s="9" t="s">
        <v>22</v>
      </c>
      <c r="N1158" s="9" t="s">
        <v>23</v>
      </c>
      <c r="O1158" s="10">
        <f>'data on outstanding creditors'!$E1158*100/107</f>
        <v>88224.29907</v>
      </c>
      <c r="P1158" s="10">
        <f>'data on outstanding creditors'!$E1158-'data on outstanding creditors'!$O1158</f>
        <v>6175.700935</v>
      </c>
      <c r="Q1158" s="7">
        <f>DAY('data on outstanding creditors'!$B1158)</f>
        <v>20</v>
      </c>
      <c r="R1158" s="7">
        <f>MONTH('data on outstanding creditors'!$B1158)</f>
        <v>6</v>
      </c>
      <c r="S1158" s="7">
        <f>YEAR('data on outstanding creditors'!$B1158)</f>
        <v>2025</v>
      </c>
      <c r="T1158" s="11" t="str">
        <f>'data on outstanding creditors'!$C1158&amp;" "&amp;'data on outstanding creditors'!$D1158&amp;" "&amp;TEXT('data on outstanding creditors'!$E1158,"#,##0.00")</f>
        <v>หจก.ภิญโญฟาร์มาซี IV6831261 94,400.00</v>
      </c>
      <c r="U1158" s="12"/>
    </row>
    <row r="1159" ht="13.5" customHeight="1">
      <c r="A1159" s="1"/>
      <c r="B1159" s="2">
        <v>45828.0</v>
      </c>
      <c r="C1159" s="9" t="s">
        <v>773</v>
      </c>
      <c r="D1159" s="1" t="s">
        <v>1691</v>
      </c>
      <c r="E1159" s="4">
        <v>22000.0</v>
      </c>
      <c r="F1159" s="4"/>
      <c r="G1159" s="4"/>
      <c r="H1159" s="4">
        <f>'data on outstanding creditors'!$E1159-'data on outstanding creditors'!$F1159-'data on outstanding creditors'!$G1159</f>
        <v>22000</v>
      </c>
      <c r="I1159" s="2"/>
      <c r="J1159" s="1" t="s">
        <v>646</v>
      </c>
      <c r="K1159" s="2">
        <v>45881.0</v>
      </c>
      <c r="L1159" s="5"/>
      <c r="M1159" s="9" t="s">
        <v>22</v>
      </c>
      <c r="N1159" s="9" t="s">
        <v>23</v>
      </c>
      <c r="O1159" s="10">
        <f>'data on outstanding creditors'!$E1159*100/107</f>
        <v>20560.74766</v>
      </c>
      <c r="P1159" s="10">
        <f>'data on outstanding creditors'!$E1159-'data on outstanding creditors'!$O1159</f>
        <v>1439.252336</v>
      </c>
      <c r="Q1159" s="7">
        <f>DAY('data on outstanding creditors'!$B1159)</f>
        <v>20</v>
      </c>
      <c r="R1159" s="7">
        <f>MONTH('data on outstanding creditors'!$B1159)</f>
        <v>6</v>
      </c>
      <c r="S1159" s="7">
        <f>YEAR('data on outstanding creditors'!$B1159)</f>
        <v>2025</v>
      </c>
      <c r="T1159" s="11" t="str">
        <f>'data on outstanding creditors'!$C1159&amp;" "&amp;'data on outstanding creditors'!$D1159&amp;" "&amp;TEXT('data on outstanding creditors'!$E1159,"#,##0.00")</f>
        <v>บ.แอปคาร์ ฟาร์มาแลป(ประเทศไทย) IV6806318 22,000.00</v>
      </c>
      <c r="U1159" s="12"/>
    </row>
    <row r="1160" ht="13.5" customHeight="1">
      <c r="A1160" s="1"/>
      <c r="B1160" s="2">
        <v>45828.0</v>
      </c>
      <c r="C1160" s="9" t="s">
        <v>771</v>
      </c>
      <c r="D1160" s="1" t="s">
        <v>1692</v>
      </c>
      <c r="E1160" s="4">
        <v>24000.0</v>
      </c>
      <c r="F1160" s="4"/>
      <c r="G1160" s="4"/>
      <c r="H1160" s="4">
        <f>'data on outstanding creditors'!$E1160-'data on outstanding creditors'!$F1160-'data on outstanding creditors'!$G1160</f>
        <v>24000</v>
      </c>
      <c r="I1160" s="2"/>
      <c r="J1160" s="1" t="s">
        <v>646</v>
      </c>
      <c r="K1160" s="2">
        <v>45928.0</v>
      </c>
      <c r="L1160" s="5"/>
      <c r="M1160" s="9" t="s">
        <v>22</v>
      </c>
      <c r="N1160" s="9" t="s">
        <v>23</v>
      </c>
      <c r="O1160" s="10">
        <f>'data on outstanding creditors'!$E1160*100/107</f>
        <v>22429.90654</v>
      </c>
      <c r="P1160" s="10">
        <f>'data on outstanding creditors'!$E1160-'data on outstanding creditors'!$O1160</f>
        <v>1570.093458</v>
      </c>
      <c r="Q1160" s="7">
        <f>DAY('data on outstanding creditors'!$B1160)</f>
        <v>20</v>
      </c>
      <c r="R1160" s="7">
        <f>MONTH('data on outstanding creditors'!$B1160)</f>
        <v>6</v>
      </c>
      <c r="S1160" s="7">
        <f>YEAR('data on outstanding creditors'!$B1160)</f>
        <v>2025</v>
      </c>
      <c r="T1160" s="11" t="str">
        <f>'data on outstanding creditors'!$C1160&amp;" "&amp;'data on outstanding creditors'!$D1160&amp;" "&amp;TEXT('data on outstanding creditors'!$E1160,"#,##0.00")</f>
        <v>หจก.ภิญโญฟาร์มาซี IV6830726 24,000.00</v>
      </c>
      <c r="U1160" s="12"/>
    </row>
    <row r="1161" ht="13.5" customHeight="1">
      <c r="A1161" s="1"/>
      <c r="B1161" s="2">
        <v>45828.0</v>
      </c>
      <c r="C1161" s="9" t="s">
        <v>1469</v>
      </c>
      <c r="D1161" s="1" t="s">
        <v>1693</v>
      </c>
      <c r="E1161" s="4">
        <v>10165.0</v>
      </c>
      <c r="F1161" s="4"/>
      <c r="G1161" s="4"/>
      <c r="H1161" s="4">
        <f>'data on outstanding creditors'!$E1161-'data on outstanding creditors'!$F1161-'data on outstanding creditors'!$G1161</f>
        <v>10165</v>
      </c>
      <c r="I1161" s="2"/>
      <c r="J1161" s="1" t="s">
        <v>757</v>
      </c>
      <c r="K1161" s="2">
        <v>45861.0</v>
      </c>
      <c r="L1161" s="5"/>
      <c r="M1161" s="9" t="s">
        <v>22</v>
      </c>
      <c r="N1161" s="9" t="s">
        <v>23</v>
      </c>
      <c r="O1161" s="10">
        <f>'data on outstanding creditors'!$E1161*100/107</f>
        <v>9500</v>
      </c>
      <c r="P1161" s="10">
        <f>'data on outstanding creditors'!$E1161-'data on outstanding creditors'!$O1161</f>
        <v>665</v>
      </c>
      <c r="Q1161" s="7">
        <f>DAY('data on outstanding creditors'!$B1161)</f>
        <v>20</v>
      </c>
      <c r="R1161" s="7">
        <f>MONTH('data on outstanding creditors'!$B1161)</f>
        <v>6</v>
      </c>
      <c r="S1161" s="7">
        <f>YEAR('data on outstanding creditors'!$B1161)</f>
        <v>2025</v>
      </c>
      <c r="T1161" s="11" t="str">
        <f>'data on outstanding creditors'!$C1161&amp;" "&amp;'data on outstanding creditors'!$D1161&amp;" "&amp;TEXT('data on outstanding creditors'!$E1161,"#,##0.00")</f>
        <v>บ.สยามฟาร์มาซูติคอล 1250606018 10,165.00</v>
      </c>
      <c r="U1161" s="12"/>
    </row>
    <row r="1162" ht="13.5" customHeight="1">
      <c r="A1162" s="1"/>
      <c r="B1162" s="2">
        <v>45828.0</v>
      </c>
      <c r="C1162" s="9" t="s">
        <v>1432</v>
      </c>
      <c r="D1162" s="1" t="s">
        <v>1694</v>
      </c>
      <c r="E1162" s="4">
        <v>83000.0</v>
      </c>
      <c r="F1162" s="4"/>
      <c r="G1162" s="4"/>
      <c r="H1162" s="4">
        <f>'data on outstanding creditors'!$E1162-'data on outstanding creditors'!$F1162-'data on outstanding creditors'!$G1162</f>
        <v>83000</v>
      </c>
      <c r="I1162" s="2"/>
      <c r="J1162" s="1" t="s">
        <v>646</v>
      </c>
      <c r="K1162" s="2">
        <v>45877.0</v>
      </c>
      <c r="L1162" s="5"/>
      <c r="M1162" s="9" t="s">
        <v>22</v>
      </c>
      <c r="N1162" s="9" t="s">
        <v>23</v>
      </c>
      <c r="O1162" s="10">
        <f>'data on outstanding creditors'!$E1162*100/107</f>
        <v>77570.09346</v>
      </c>
      <c r="P1162" s="10">
        <f>'data on outstanding creditors'!$E1162-'data on outstanding creditors'!$O1162</f>
        <v>5429.906542</v>
      </c>
      <c r="Q1162" s="7">
        <f>DAY('data on outstanding creditors'!$B1162)</f>
        <v>20</v>
      </c>
      <c r="R1162" s="7">
        <f>MONTH('data on outstanding creditors'!$B1162)</f>
        <v>6</v>
      </c>
      <c r="S1162" s="7">
        <f>YEAR('data on outstanding creditors'!$B1162)</f>
        <v>2025</v>
      </c>
      <c r="T1162" s="11" t="str">
        <f>'data on outstanding creditors'!$C1162&amp;" "&amp;'data on outstanding creditors'!$D1162&amp;" "&amp;TEXT('data on outstanding creditors'!$E1162,"#,##0.00")</f>
        <v>บ.ยูโทเปี้ยน PB6806329 83,000.00</v>
      </c>
      <c r="U1162" s="12"/>
    </row>
    <row r="1163" ht="13.5" customHeight="1">
      <c r="A1163" s="1"/>
      <c r="B1163" s="2">
        <v>45828.0</v>
      </c>
      <c r="C1163" s="9" t="s">
        <v>1440</v>
      </c>
      <c r="D1163" s="1" t="s">
        <v>1695</v>
      </c>
      <c r="E1163" s="4">
        <v>37000.0</v>
      </c>
      <c r="F1163" s="4"/>
      <c r="G1163" s="4"/>
      <c r="H1163" s="4">
        <f>'data on outstanding creditors'!$E1163-'data on outstanding creditors'!$F1163-'data on outstanding creditors'!$G1163</f>
        <v>37000</v>
      </c>
      <c r="I1163" s="2"/>
      <c r="J1163" s="1" t="s">
        <v>646</v>
      </c>
      <c r="K1163" s="2">
        <v>45928.0</v>
      </c>
      <c r="L1163" s="5"/>
      <c r="M1163" s="9" t="s">
        <v>22</v>
      </c>
      <c r="N1163" s="9" t="s">
        <v>23</v>
      </c>
      <c r="O1163" s="10">
        <f>'data on outstanding creditors'!$E1163*100/107</f>
        <v>34579.43925</v>
      </c>
      <c r="P1163" s="10">
        <f>'data on outstanding creditors'!$E1163-'data on outstanding creditors'!$O1163</f>
        <v>2420.560748</v>
      </c>
      <c r="Q1163" s="7">
        <f>DAY('data on outstanding creditors'!$B1163)</f>
        <v>20</v>
      </c>
      <c r="R1163" s="7">
        <f>MONTH('data on outstanding creditors'!$B1163)</f>
        <v>6</v>
      </c>
      <c r="S1163" s="7">
        <f>YEAR('data on outstanding creditors'!$B1163)</f>
        <v>2025</v>
      </c>
      <c r="T1163" s="11" t="str">
        <f>'data on outstanding creditors'!$C1163&amp;" "&amp;'data on outstanding creditors'!$D1163&amp;" "&amp;TEXT('data on outstanding creditors'!$E1163,"#,##0.00")</f>
        <v>บ.เวสโก ฟาร์มาซูติคอล IN68060896 37,000.00</v>
      </c>
      <c r="U1163" s="12"/>
    </row>
    <row r="1164" ht="13.5" customHeight="1">
      <c r="A1164" s="1"/>
      <c r="B1164" s="2">
        <v>45832.0</v>
      </c>
      <c r="C1164" s="9" t="s">
        <v>24</v>
      </c>
      <c r="D1164" s="1" t="s">
        <v>1696</v>
      </c>
      <c r="E1164" s="4">
        <v>56000.0</v>
      </c>
      <c r="F1164" s="4"/>
      <c r="G1164" s="4"/>
      <c r="H1164" s="4">
        <f>'data on outstanding creditors'!$E1164-'data on outstanding creditors'!$F1164-'data on outstanding creditors'!$G1164</f>
        <v>56000</v>
      </c>
      <c r="I1164" s="2"/>
      <c r="J1164" s="1" t="s">
        <v>646</v>
      </c>
      <c r="K1164" s="2">
        <v>45929.0</v>
      </c>
      <c r="L1164" s="5"/>
      <c r="M1164" s="9" t="s">
        <v>22</v>
      </c>
      <c r="N1164" s="9" t="s">
        <v>23</v>
      </c>
      <c r="O1164" s="10">
        <f>'data on outstanding creditors'!$E1164*100/107</f>
        <v>52336.4486</v>
      </c>
      <c r="P1164" s="10">
        <f>'data on outstanding creditors'!$E1164-'data on outstanding creditors'!$O1164</f>
        <v>3663.551402</v>
      </c>
      <c r="Q1164" s="7">
        <f>DAY('data on outstanding creditors'!$B1164)</f>
        <v>24</v>
      </c>
      <c r="R1164" s="7">
        <f>MONTH('data on outstanding creditors'!$B1164)</f>
        <v>6</v>
      </c>
      <c r="S1164" s="7">
        <f>YEAR('data on outstanding creditors'!$B1164)</f>
        <v>2025</v>
      </c>
      <c r="T1164" s="11" t="str">
        <f>'data on outstanding creditors'!$C1164&amp;" "&amp;'data on outstanding creditors'!$D1164&amp;" "&amp;TEXT('data on outstanding creditors'!$E1164,"#,##0.00")</f>
        <v>บ.เซ็นทรัลโพลีเทรดดิ้ง 31i25035119 56,000.00</v>
      </c>
      <c r="U1164" s="12"/>
    </row>
    <row r="1165" ht="13.5" customHeight="1">
      <c r="A1165" s="1"/>
      <c r="B1165" s="2">
        <v>45832.0</v>
      </c>
      <c r="C1165" s="9" t="s">
        <v>263</v>
      </c>
      <c r="D1165" s="1" t="s">
        <v>1697</v>
      </c>
      <c r="E1165" s="4">
        <v>118800.0</v>
      </c>
      <c r="F1165" s="4"/>
      <c r="G1165" s="4"/>
      <c r="H1165" s="4">
        <f>'data on outstanding creditors'!$E1165-'data on outstanding creditors'!$F1165-'data on outstanding creditors'!$G1165</f>
        <v>118800</v>
      </c>
      <c r="I1165" s="2"/>
      <c r="J1165" s="1" t="s">
        <v>646</v>
      </c>
      <c r="K1165" s="2">
        <v>45929.0</v>
      </c>
      <c r="L1165" s="5"/>
      <c r="M1165" s="9" t="s">
        <v>22</v>
      </c>
      <c r="N1165" s="9" t="s">
        <v>23</v>
      </c>
      <c r="O1165" s="10">
        <f>'data on outstanding creditors'!$E1165*100/107</f>
        <v>111028.0374</v>
      </c>
      <c r="P1165" s="10">
        <f>'data on outstanding creditors'!$E1165-'data on outstanding creditors'!$O1165</f>
        <v>7771.962617</v>
      </c>
      <c r="Q1165" s="7">
        <f>DAY('data on outstanding creditors'!$B1165)</f>
        <v>24</v>
      </c>
      <c r="R1165" s="7">
        <f>MONTH('data on outstanding creditors'!$B1165)</f>
        <v>6</v>
      </c>
      <c r="S1165" s="7">
        <f>YEAR('data on outstanding creditors'!$B1165)</f>
        <v>2025</v>
      </c>
      <c r="T1165" s="11" t="str">
        <f>'data on outstanding creditors'!$C1165&amp;" "&amp;'data on outstanding creditors'!$D1165&amp;" "&amp;TEXT('data on outstanding creditors'!$E1165,"#,##0.00")</f>
        <v>บ.เอเบิ้ล เมดิคอล M2506/0441 118,800.00</v>
      </c>
      <c r="U1165" s="12"/>
    </row>
    <row r="1166" ht="13.5" customHeight="1">
      <c r="A1166" s="1"/>
      <c r="B1166" s="2">
        <v>45832.0</v>
      </c>
      <c r="C1166" s="9" t="s">
        <v>922</v>
      </c>
      <c r="D1166" s="1" t="s">
        <v>1698</v>
      </c>
      <c r="E1166" s="4">
        <v>74560.0</v>
      </c>
      <c r="F1166" s="4"/>
      <c r="G1166" s="4"/>
      <c r="H1166" s="4">
        <f>'data on outstanding creditors'!$E1166-'data on outstanding creditors'!$F1166-'data on outstanding creditors'!$G1166</f>
        <v>74560</v>
      </c>
      <c r="I1166" s="2"/>
      <c r="J1166" s="1" t="s">
        <v>646</v>
      </c>
      <c r="K1166" s="2">
        <v>45929.0</v>
      </c>
      <c r="L1166" s="5"/>
      <c r="M1166" s="9" t="s">
        <v>22</v>
      </c>
      <c r="N1166" s="9" t="s">
        <v>23</v>
      </c>
      <c r="O1166" s="10">
        <f>'data on outstanding creditors'!$E1166*100/107</f>
        <v>69682.24299</v>
      </c>
      <c r="P1166" s="10">
        <f>'data on outstanding creditors'!$E1166-'data on outstanding creditors'!$O1166</f>
        <v>4877.757009</v>
      </c>
      <c r="Q1166" s="7">
        <f>DAY('data on outstanding creditors'!$B1166)</f>
        <v>24</v>
      </c>
      <c r="R1166" s="7">
        <f>MONTH('data on outstanding creditors'!$B1166)</f>
        <v>6</v>
      </c>
      <c r="S1166" s="7">
        <f>YEAR('data on outstanding creditors'!$B1166)</f>
        <v>2025</v>
      </c>
      <c r="T1166" s="11" t="str">
        <f>'data on outstanding creditors'!$C1166&amp;" "&amp;'data on outstanding creditors'!$D1166&amp;" "&amp;TEXT('data on outstanding creditors'!$E1166,"#,##0.00")</f>
        <v>บ.เบอร์ลินฟาร์มาซูติคอลอินดัสตรี้ 6810607805 74,560.00</v>
      </c>
      <c r="U1166" s="12"/>
    </row>
    <row r="1167" ht="13.5" customHeight="1">
      <c r="A1167" s="1"/>
      <c r="B1167" s="2">
        <v>45832.0</v>
      </c>
      <c r="C1167" s="9" t="s">
        <v>771</v>
      </c>
      <c r="D1167" s="1" t="s">
        <v>1699</v>
      </c>
      <c r="E1167" s="4">
        <v>45400.0</v>
      </c>
      <c r="F1167" s="4"/>
      <c r="G1167" s="4"/>
      <c r="H1167" s="4">
        <f>'data on outstanding creditors'!$E1167-'data on outstanding creditors'!$F1167-'data on outstanding creditors'!$G1167</f>
        <v>45400</v>
      </c>
      <c r="I1167" s="2"/>
      <c r="J1167" s="1" t="s">
        <v>646</v>
      </c>
      <c r="K1167" s="2">
        <v>45929.0</v>
      </c>
      <c r="L1167" s="5"/>
      <c r="M1167" s="9" t="s">
        <v>22</v>
      </c>
      <c r="N1167" s="9" t="s">
        <v>23</v>
      </c>
      <c r="O1167" s="10">
        <f>'data on outstanding creditors'!$E1167*100/107</f>
        <v>42429.90654</v>
      </c>
      <c r="P1167" s="10">
        <f>'data on outstanding creditors'!$E1167-'data on outstanding creditors'!$O1167</f>
        <v>2970.093458</v>
      </c>
      <c r="Q1167" s="7">
        <f>DAY('data on outstanding creditors'!$B1167)</f>
        <v>24</v>
      </c>
      <c r="R1167" s="7">
        <f>MONTH('data on outstanding creditors'!$B1167)</f>
        <v>6</v>
      </c>
      <c r="S1167" s="7">
        <f>YEAR('data on outstanding creditors'!$B1167)</f>
        <v>2025</v>
      </c>
      <c r="T1167" s="11" t="str">
        <f>'data on outstanding creditors'!$C1167&amp;" "&amp;'data on outstanding creditors'!$D1167&amp;" "&amp;TEXT('data on outstanding creditors'!$E1167,"#,##0.00")</f>
        <v>หจก.ภิญโญฟาร์มาซี IV6831873 45,400.00</v>
      </c>
      <c r="U1167" s="12"/>
    </row>
    <row r="1168" ht="13.5" customHeight="1">
      <c r="A1168" s="1"/>
      <c r="B1168" s="2">
        <v>45832.0</v>
      </c>
      <c r="C1168" s="9" t="s">
        <v>24</v>
      </c>
      <c r="D1168" s="1" t="s">
        <v>1700</v>
      </c>
      <c r="E1168" s="4">
        <v>20100.0</v>
      </c>
      <c r="F1168" s="4"/>
      <c r="G1168" s="4"/>
      <c r="H1168" s="4">
        <f>'data on outstanding creditors'!$E1168-'data on outstanding creditors'!$F1168-'data on outstanding creditors'!$G1168</f>
        <v>20100</v>
      </c>
      <c r="I1168" s="2"/>
      <c r="J1168" s="1" t="s">
        <v>646</v>
      </c>
      <c r="K1168" s="2">
        <v>45928.0</v>
      </c>
      <c r="L1168" s="5"/>
      <c r="M1168" s="9" t="s">
        <v>22</v>
      </c>
      <c r="N1168" s="9" t="s">
        <v>23</v>
      </c>
      <c r="O1168" s="10">
        <f>'data on outstanding creditors'!$E1168*100/107</f>
        <v>18785.04673</v>
      </c>
      <c r="P1168" s="10">
        <f>'data on outstanding creditors'!$E1168-'data on outstanding creditors'!$O1168</f>
        <v>1314.953271</v>
      </c>
      <c r="Q1168" s="7">
        <f>DAY('data on outstanding creditors'!$B1168)</f>
        <v>24</v>
      </c>
      <c r="R1168" s="7">
        <f>MONTH('data on outstanding creditors'!$B1168)</f>
        <v>6</v>
      </c>
      <c r="S1168" s="7">
        <f>YEAR('data on outstanding creditors'!$B1168)</f>
        <v>2025</v>
      </c>
      <c r="T1168" s="11" t="str">
        <f>'data on outstanding creditors'!$C1168&amp;" "&amp;'data on outstanding creditors'!$D1168&amp;" "&amp;TEXT('data on outstanding creditors'!$E1168,"#,##0.00")</f>
        <v>บ.เซ็นทรัลโพลีเทรดดิ้ง 31i25035037 20,100.00</v>
      </c>
      <c r="U1168" s="12"/>
    </row>
    <row r="1169" ht="13.5" customHeight="1">
      <c r="A1169" s="1"/>
      <c r="B1169" s="2">
        <v>45832.0</v>
      </c>
      <c r="C1169" s="9" t="s">
        <v>1402</v>
      </c>
      <c r="D1169" s="1" t="s">
        <v>1701</v>
      </c>
      <c r="E1169" s="4">
        <v>11700.0</v>
      </c>
      <c r="F1169" s="4"/>
      <c r="G1169" s="4"/>
      <c r="H1169" s="4">
        <f>'data on outstanding creditors'!$E1169-'data on outstanding creditors'!$F1169-'data on outstanding creditors'!$G1169</f>
        <v>11700</v>
      </c>
      <c r="I1169" s="2"/>
      <c r="J1169" s="1" t="s">
        <v>646</v>
      </c>
      <c r="K1169" s="2">
        <v>45887.0</v>
      </c>
      <c r="L1169" s="5"/>
      <c r="M1169" s="9" t="s">
        <v>22</v>
      </c>
      <c r="N1169" s="9" t="s">
        <v>23</v>
      </c>
      <c r="O1169" s="10">
        <f>'data on outstanding creditors'!$E1169*100/107</f>
        <v>10934.57944</v>
      </c>
      <c r="P1169" s="10">
        <f>'data on outstanding creditors'!$E1169-'data on outstanding creditors'!$O1169</f>
        <v>765.4205607</v>
      </c>
      <c r="Q1169" s="7">
        <f>DAY('data on outstanding creditors'!$B1169)</f>
        <v>24</v>
      </c>
      <c r="R1169" s="7">
        <f>MONTH('data on outstanding creditors'!$B1169)</f>
        <v>6</v>
      </c>
      <c r="S1169" s="7">
        <f>YEAR('data on outstanding creditors'!$B1169)</f>
        <v>2025</v>
      </c>
      <c r="T1169" s="11" t="str">
        <f>'data on outstanding creditors'!$C1169&amp;" "&amp;'data on outstanding creditors'!$D1169&amp;" "&amp;TEXT('data on outstanding creditors'!$E1169,"#,##0.00")</f>
        <v>บ.โรงงานเภสัชกรรมแหลมทองการแพทย์ IV6806/0347 11,700.00</v>
      </c>
      <c r="U1169" s="12"/>
    </row>
    <row r="1170" ht="13.5" customHeight="1">
      <c r="A1170" s="1"/>
      <c r="B1170" s="2">
        <v>45832.0</v>
      </c>
      <c r="C1170" s="9" t="s">
        <v>1288</v>
      </c>
      <c r="D1170" s="1" t="s">
        <v>1702</v>
      </c>
      <c r="E1170" s="4">
        <v>73451.22</v>
      </c>
      <c r="F1170" s="4"/>
      <c r="G1170" s="4"/>
      <c r="H1170" s="4">
        <f>'data on outstanding creditors'!$E1170-'data on outstanding creditors'!$F1170-'data on outstanding creditors'!$G1170</f>
        <v>73451.22</v>
      </c>
      <c r="I1170" s="2"/>
      <c r="J1170" s="1" t="s">
        <v>646</v>
      </c>
      <c r="K1170" s="2">
        <v>45928.0</v>
      </c>
      <c r="L1170" s="5"/>
      <c r="M1170" s="9" t="s">
        <v>22</v>
      </c>
      <c r="N1170" s="9" t="s">
        <v>23</v>
      </c>
      <c r="O1170" s="10">
        <f>'data on outstanding creditors'!$E1170*100/107</f>
        <v>68646</v>
      </c>
      <c r="P1170" s="10">
        <f>'data on outstanding creditors'!$E1170-'data on outstanding creditors'!$O1170</f>
        <v>4805.22</v>
      </c>
      <c r="Q1170" s="7">
        <f>DAY('data on outstanding creditors'!$B1170)</f>
        <v>24</v>
      </c>
      <c r="R1170" s="7">
        <f>MONTH('data on outstanding creditors'!$B1170)</f>
        <v>6</v>
      </c>
      <c r="S1170" s="7">
        <f>YEAR('data on outstanding creditors'!$B1170)</f>
        <v>2025</v>
      </c>
      <c r="T1170" s="11" t="str">
        <f>'data on outstanding creditors'!$C1170&amp;" "&amp;'data on outstanding creditors'!$D1170&amp;" "&amp;TEXT('data on outstanding creditors'!$E1170,"#,##0.00")</f>
        <v>บ.เจ เอส วิชั่น 100511521 73,451.22</v>
      </c>
      <c r="U1170" s="12"/>
    </row>
    <row r="1171" ht="13.5" customHeight="1">
      <c r="A1171" s="1"/>
      <c r="B1171" s="2">
        <v>45832.0</v>
      </c>
      <c r="C1171" s="9" t="s">
        <v>1371</v>
      </c>
      <c r="D1171" s="1" t="s">
        <v>1703</v>
      </c>
      <c r="E1171" s="4">
        <v>38000.0</v>
      </c>
      <c r="F1171" s="4"/>
      <c r="G1171" s="4"/>
      <c r="H1171" s="4">
        <f>'data on outstanding creditors'!$E1171-'data on outstanding creditors'!$F1171-'data on outstanding creditors'!$G1171</f>
        <v>38000</v>
      </c>
      <c r="I1171" s="2"/>
      <c r="J1171" s="1" t="s">
        <v>646</v>
      </c>
      <c r="K1171" s="2">
        <v>45928.0</v>
      </c>
      <c r="L1171" s="5"/>
      <c r="M1171" s="9" t="s">
        <v>22</v>
      </c>
      <c r="N1171" s="9" t="s">
        <v>23</v>
      </c>
      <c r="O1171" s="10">
        <f>'data on outstanding creditors'!$E1171*100/107</f>
        <v>35514.01869</v>
      </c>
      <c r="P1171" s="10">
        <f>'data on outstanding creditors'!$E1171-'data on outstanding creditors'!$O1171</f>
        <v>2485.981308</v>
      </c>
      <c r="Q1171" s="7">
        <f>DAY('data on outstanding creditors'!$B1171)</f>
        <v>24</v>
      </c>
      <c r="R1171" s="7">
        <f>MONTH('data on outstanding creditors'!$B1171)</f>
        <v>6</v>
      </c>
      <c r="S1171" s="7">
        <f>YEAR('data on outstanding creditors'!$B1171)</f>
        <v>2025</v>
      </c>
      <c r="T1171" s="11" t="str">
        <f>'data on outstanding creditors'!$C1171&amp;" "&amp;'data on outstanding creditors'!$D1171&amp;" "&amp;TEXT('data on outstanding creditors'!$E1171,"#,##0.00")</f>
        <v>บ.แอตแลนต้า เมดดิคแคร์ BI/225060646 38,000.00</v>
      </c>
      <c r="U1171" s="12"/>
    </row>
    <row r="1172" ht="13.5" customHeight="1">
      <c r="A1172" s="1"/>
      <c r="B1172" s="2">
        <v>45832.0</v>
      </c>
      <c r="C1172" s="9" t="s">
        <v>1297</v>
      </c>
      <c r="D1172" s="1" t="s">
        <v>1704</v>
      </c>
      <c r="E1172" s="4">
        <v>45000.0</v>
      </c>
      <c r="F1172" s="4"/>
      <c r="G1172" s="4"/>
      <c r="H1172" s="4">
        <f>'data on outstanding creditors'!$E1172-'data on outstanding creditors'!$F1172-'data on outstanding creditors'!$G1172</f>
        <v>45000</v>
      </c>
      <c r="I1172" s="2"/>
      <c r="J1172" s="1" t="s">
        <v>646</v>
      </c>
      <c r="K1172" s="2">
        <v>45928.0</v>
      </c>
      <c r="L1172" s="5"/>
      <c r="M1172" s="9" t="s">
        <v>22</v>
      </c>
      <c r="N1172" s="9" t="s">
        <v>23</v>
      </c>
      <c r="O1172" s="10">
        <f>'data on outstanding creditors'!$E1172*100/107</f>
        <v>42056.07477</v>
      </c>
      <c r="P1172" s="10">
        <f>'data on outstanding creditors'!$E1172-'data on outstanding creditors'!$O1172</f>
        <v>2943.925234</v>
      </c>
      <c r="Q1172" s="7">
        <f>DAY('data on outstanding creditors'!$B1172)</f>
        <v>24</v>
      </c>
      <c r="R1172" s="7">
        <f>MONTH('data on outstanding creditors'!$B1172)</f>
        <v>6</v>
      </c>
      <c r="S1172" s="7">
        <f>YEAR('data on outstanding creditors'!$B1172)</f>
        <v>2025</v>
      </c>
      <c r="T1172" s="11" t="str">
        <f>'data on outstanding creditors'!$C1172&amp;" "&amp;'data on outstanding creditors'!$D1172&amp;" "&amp;TEXT('data on outstanding creditors'!$E1172,"#,##0.00")</f>
        <v>บ.แอตแลนติค ฟาร์มาซูติคอล PIN2520678 45,000.00</v>
      </c>
      <c r="U1172" s="12"/>
    </row>
    <row r="1173" ht="13.5" customHeight="1">
      <c r="A1173" s="1"/>
      <c r="B1173" s="2">
        <v>45832.0</v>
      </c>
      <c r="C1173" s="9" t="s">
        <v>1705</v>
      </c>
      <c r="D1173" s="1" t="s">
        <v>1706</v>
      </c>
      <c r="E1173" s="4">
        <v>31158.4</v>
      </c>
      <c r="F1173" s="4"/>
      <c r="G1173" s="4"/>
      <c r="H1173" s="4">
        <f>'data on outstanding creditors'!$E1173-'data on outstanding creditors'!$F1173-'data on outstanding creditors'!$G1173</f>
        <v>31158.4</v>
      </c>
      <c r="I1173" s="2"/>
      <c r="J1173" s="1" t="s">
        <v>646</v>
      </c>
      <c r="K1173" s="2">
        <v>45944.0</v>
      </c>
      <c r="L1173" s="5"/>
      <c r="M1173" s="9" t="s">
        <v>22</v>
      </c>
      <c r="N1173" s="9" t="s">
        <v>23</v>
      </c>
      <c r="O1173" s="10">
        <f>'data on outstanding creditors'!$E1173*100/107</f>
        <v>29120</v>
      </c>
      <c r="P1173" s="10">
        <f>'data on outstanding creditors'!$E1173-'data on outstanding creditors'!$O1173</f>
        <v>2038.4</v>
      </c>
      <c r="Q1173" s="7">
        <f>DAY('data on outstanding creditors'!$B1173)</f>
        <v>24</v>
      </c>
      <c r="R1173" s="7">
        <f>MONTH('data on outstanding creditors'!$B1173)</f>
        <v>6</v>
      </c>
      <c r="S1173" s="7">
        <f>YEAR('data on outstanding creditors'!$B1173)</f>
        <v>2025</v>
      </c>
      <c r="T1173" s="11" t="str">
        <f>'data on outstanding creditors'!$C1173&amp;" "&amp;'data on outstanding creditors'!$D1173&amp;" "&amp;TEXT('data on outstanding creditors'!$E1173,"#,##0.00")</f>
        <v>บ.เมดไลน์ 106000008497 31,158.40</v>
      </c>
      <c r="U1173" s="12"/>
    </row>
    <row r="1174" ht="13.5" customHeight="1">
      <c r="A1174" s="1"/>
      <c r="B1174" s="2">
        <v>45832.0</v>
      </c>
      <c r="C1174" s="9" t="s">
        <v>920</v>
      </c>
      <c r="D1174" s="1" t="s">
        <v>1707</v>
      </c>
      <c r="E1174" s="4">
        <v>12600.0</v>
      </c>
      <c r="F1174" s="4"/>
      <c r="G1174" s="4"/>
      <c r="H1174" s="4">
        <f>'data on outstanding creditors'!$E1174-'data on outstanding creditors'!$F1174-'data on outstanding creditors'!$G1174</f>
        <v>12600</v>
      </c>
      <c r="I1174" s="2"/>
      <c r="J1174" s="1" t="s">
        <v>646</v>
      </c>
      <c r="K1174" s="2">
        <v>45887.0</v>
      </c>
      <c r="L1174" s="5"/>
      <c r="M1174" s="9" t="s">
        <v>22</v>
      </c>
      <c r="N1174" s="9" t="s">
        <v>23</v>
      </c>
      <c r="O1174" s="10">
        <f>'data on outstanding creditors'!$E1174*100/107</f>
        <v>11775.70093</v>
      </c>
      <c r="P1174" s="10">
        <f>'data on outstanding creditors'!$E1174-'data on outstanding creditors'!$O1174</f>
        <v>824.2990654</v>
      </c>
      <c r="Q1174" s="7">
        <f>DAY('data on outstanding creditors'!$B1174)</f>
        <v>24</v>
      </c>
      <c r="R1174" s="7">
        <f>MONTH('data on outstanding creditors'!$B1174)</f>
        <v>6</v>
      </c>
      <c r="S1174" s="7">
        <f>YEAR('data on outstanding creditors'!$B1174)</f>
        <v>2025</v>
      </c>
      <c r="T1174" s="11" t="str">
        <f>'data on outstanding creditors'!$C1174&amp;" "&amp;'data on outstanding creditors'!$D1174&amp;" "&amp;TEXT('data on outstanding creditors'!$E1174,"#,##0.00")</f>
        <v>บ.โปลิฟาร์ม IVU-68025850 12,600.00</v>
      </c>
      <c r="U1174" s="12"/>
    </row>
    <row r="1175" ht="13.5" customHeight="1">
      <c r="A1175" s="1"/>
      <c r="B1175" s="2">
        <v>45832.0</v>
      </c>
      <c r="C1175" s="9" t="s">
        <v>1414</v>
      </c>
      <c r="D1175" s="1" t="s">
        <v>1708</v>
      </c>
      <c r="E1175" s="4">
        <v>28200.0</v>
      </c>
      <c r="F1175" s="4"/>
      <c r="G1175" s="4"/>
      <c r="H1175" s="4">
        <f>'data on outstanding creditors'!$E1175-'data on outstanding creditors'!$F1175-'data on outstanding creditors'!$G1175</f>
        <v>28200</v>
      </c>
      <c r="I1175" s="2"/>
      <c r="J1175" s="1" t="s">
        <v>646</v>
      </c>
      <c r="K1175" s="2">
        <v>45887.0</v>
      </c>
      <c r="L1175" s="5"/>
      <c r="M1175" s="9" t="s">
        <v>22</v>
      </c>
      <c r="N1175" s="9" t="s">
        <v>23</v>
      </c>
      <c r="O1175" s="10">
        <f>'data on outstanding creditors'!$E1175*100/107</f>
        <v>26355.14019</v>
      </c>
      <c r="P1175" s="10">
        <f>'data on outstanding creditors'!$E1175-'data on outstanding creditors'!$O1175</f>
        <v>1844.859813</v>
      </c>
      <c r="Q1175" s="7">
        <f>DAY('data on outstanding creditors'!$B1175)</f>
        <v>24</v>
      </c>
      <c r="R1175" s="7">
        <f>MONTH('data on outstanding creditors'!$B1175)</f>
        <v>6</v>
      </c>
      <c r="S1175" s="7">
        <f>YEAR('data on outstanding creditors'!$B1175)</f>
        <v>2025</v>
      </c>
      <c r="T1175" s="11" t="str">
        <f>'data on outstanding creditors'!$C1175&amp;" "&amp;'data on outstanding creditors'!$D1175&amp;" "&amp;TEXT('data on outstanding creditors'!$E1175,"#,##0.00")</f>
        <v>บ.ฟาร์มีน่า 68385368 28,200.00</v>
      </c>
      <c r="U1175" s="12"/>
    </row>
    <row r="1176" ht="13.5" customHeight="1">
      <c r="A1176" s="1"/>
      <c r="B1176" s="2">
        <v>45832.0</v>
      </c>
      <c r="C1176" s="9" t="s">
        <v>24</v>
      </c>
      <c r="D1176" s="1" t="s">
        <v>1709</v>
      </c>
      <c r="E1176" s="4">
        <v>28000.0</v>
      </c>
      <c r="F1176" s="4"/>
      <c r="G1176" s="4"/>
      <c r="H1176" s="4">
        <f>'data on outstanding creditors'!$E1176-'data on outstanding creditors'!$F1176-'data on outstanding creditors'!$G1176</f>
        <v>28000</v>
      </c>
      <c r="I1176" s="2"/>
      <c r="J1176" s="1" t="s">
        <v>646</v>
      </c>
      <c r="K1176" s="2">
        <v>45928.0</v>
      </c>
      <c r="L1176" s="5"/>
      <c r="M1176" s="9" t="s">
        <v>22</v>
      </c>
      <c r="N1176" s="9" t="s">
        <v>23</v>
      </c>
      <c r="O1176" s="10">
        <f>'data on outstanding creditors'!$E1176*100/107</f>
        <v>26168.2243</v>
      </c>
      <c r="P1176" s="10">
        <f>'data on outstanding creditors'!$E1176-'data on outstanding creditors'!$O1176</f>
        <v>1831.775701</v>
      </c>
      <c r="Q1176" s="7">
        <f>DAY('data on outstanding creditors'!$B1176)</f>
        <v>24</v>
      </c>
      <c r="R1176" s="7">
        <f>MONTH('data on outstanding creditors'!$B1176)</f>
        <v>6</v>
      </c>
      <c r="S1176" s="7">
        <f>YEAR('data on outstanding creditors'!$B1176)</f>
        <v>2025</v>
      </c>
      <c r="T1176" s="11" t="str">
        <f>'data on outstanding creditors'!$C1176&amp;" "&amp;'data on outstanding creditors'!$D1176&amp;" "&amp;TEXT('data on outstanding creditors'!$E1176,"#,##0.00")</f>
        <v>บ.เซ็นทรัลโพลีเทรดดิ้ง 31i25035040 28,000.00</v>
      </c>
      <c r="U1176" s="12"/>
    </row>
    <row r="1177" ht="13.5" customHeight="1">
      <c r="A1177" s="1"/>
      <c r="B1177" s="2">
        <v>45833.0</v>
      </c>
      <c r="C1177" s="9" t="s">
        <v>396</v>
      </c>
      <c r="D1177" s="1" t="s">
        <v>1710</v>
      </c>
      <c r="E1177" s="4">
        <v>6400.0</v>
      </c>
      <c r="F1177" s="4"/>
      <c r="G1177" s="4"/>
      <c r="H1177" s="4">
        <f>'data on outstanding creditors'!$E1177-'data on outstanding creditors'!$F1177-'data on outstanding creditors'!$G1177</f>
        <v>6400</v>
      </c>
      <c r="I1177" s="2"/>
      <c r="J1177" s="1" t="s">
        <v>757</v>
      </c>
      <c r="K1177" s="2">
        <v>45861.0</v>
      </c>
      <c r="L1177" s="5"/>
      <c r="M1177" s="9" t="s">
        <v>22</v>
      </c>
      <c r="N1177" s="9" t="s">
        <v>23</v>
      </c>
      <c r="O1177" s="10">
        <f>'data on outstanding creditors'!$E1177*100/107</f>
        <v>5981.308411</v>
      </c>
      <c r="P1177" s="10">
        <f>'data on outstanding creditors'!$E1177-'data on outstanding creditors'!$O1177</f>
        <v>418.6915888</v>
      </c>
      <c r="Q1177" s="7">
        <f>DAY('data on outstanding creditors'!$B1177)</f>
        <v>25</v>
      </c>
      <c r="R1177" s="7">
        <f>MONTH('data on outstanding creditors'!$B1177)</f>
        <v>6</v>
      </c>
      <c r="S1177" s="7">
        <f>YEAR('data on outstanding creditors'!$B1177)</f>
        <v>2025</v>
      </c>
      <c r="T1177" s="11" t="str">
        <f>'data on outstanding creditors'!$C1177&amp;" "&amp;'data on outstanding creditors'!$D1177&amp;" "&amp;TEXT('data on outstanding creditors'!$E1177,"#,##0.00")</f>
        <v>บ.เยเนอรัล ฮอสปิตัล โปรดัคส์ 25IN08064135 6,400.00</v>
      </c>
      <c r="U1177" s="12"/>
    </row>
    <row r="1178" ht="13.5" customHeight="1">
      <c r="A1178" s="1"/>
      <c r="B1178" s="2">
        <v>45833.0</v>
      </c>
      <c r="C1178" s="9" t="s">
        <v>1422</v>
      </c>
      <c r="D1178" s="1" t="s">
        <v>1711</v>
      </c>
      <c r="E1178" s="4">
        <v>158360.0</v>
      </c>
      <c r="F1178" s="4"/>
      <c r="G1178" s="4"/>
      <c r="H1178" s="4">
        <f>'data on outstanding creditors'!$E1178-'data on outstanding creditors'!$F1178-'data on outstanding creditors'!$G1178</f>
        <v>158360</v>
      </c>
      <c r="I1178" s="2"/>
      <c r="J1178" s="1" t="s">
        <v>646</v>
      </c>
      <c r="K1178" s="2">
        <v>45885.0</v>
      </c>
      <c r="L1178" s="5"/>
      <c r="M1178" s="9" t="s">
        <v>22</v>
      </c>
      <c r="N1178" s="9" t="s">
        <v>23</v>
      </c>
      <c r="O1178" s="10">
        <f>'data on outstanding creditors'!$E1178*100/107</f>
        <v>148000</v>
      </c>
      <c r="P1178" s="10">
        <f>'data on outstanding creditors'!$E1178-'data on outstanding creditors'!$O1178</f>
        <v>10360</v>
      </c>
      <c r="Q1178" s="7">
        <f>DAY('data on outstanding creditors'!$B1178)</f>
        <v>25</v>
      </c>
      <c r="R1178" s="7">
        <f>MONTH('data on outstanding creditors'!$B1178)</f>
        <v>6</v>
      </c>
      <c r="S1178" s="7">
        <f>YEAR('data on outstanding creditors'!$B1178)</f>
        <v>2025</v>
      </c>
      <c r="T1178" s="11" t="str">
        <f>'data on outstanding creditors'!$C1178&amp;" "&amp;'data on outstanding creditors'!$D1178&amp;" "&amp;TEXT('data on outstanding creditors'!$E1178,"#,##0.00")</f>
        <v>บ.ดีซีเอช ออดิกา (ปรเทศไทย) UG94646876 158,360.00</v>
      </c>
      <c r="U1178" s="12"/>
    </row>
    <row r="1179" ht="13.5" customHeight="1">
      <c r="A1179" s="1"/>
      <c r="B1179" s="2">
        <v>45833.0</v>
      </c>
      <c r="C1179" s="9" t="s">
        <v>1232</v>
      </c>
      <c r="D1179" s="1" t="s">
        <v>1712</v>
      </c>
      <c r="E1179" s="4">
        <v>40500.0</v>
      </c>
      <c r="F1179" s="4"/>
      <c r="G1179" s="4"/>
      <c r="H1179" s="4">
        <f>'data on outstanding creditors'!$E1179-'data on outstanding creditors'!$F1179-'data on outstanding creditors'!$G1179</f>
        <v>40500</v>
      </c>
      <c r="I1179" s="2"/>
      <c r="J1179" s="1" t="s">
        <v>757</v>
      </c>
      <c r="K1179" s="2">
        <v>45862.0</v>
      </c>
      <c r="L1179" s="5"/>
      <c r="M1179" s="9" t="s">
        <v>22</v>
      </c>
      <c r="N1179" s="9" t="s">
        <v>23</v>
      </c>
      <c r="O1179" s="10">
        <f>'data on outstanding creditors'!$E1179*100/107</f>
        <v>37850.46729</v>
      </c>
      <c r="P1179" s="10">
        <f>'data on outstanding creditors'!$E1179-'data on outstanding creditors'!$O1179</f>
        <v>2649.53271</v>
      </c>
      <c r="Q1179" s="7">
        <f>DAY('data on outstanding creditors'!$B1179)</f>
        <v>25</v>
      </c>
      <c r="R1179" s="7">
        <f>MONTH('data on outstanding creditors'!$B1179)</f>
        <v>6</v>
      </c>
      <c r="S1179" s="7">
        <f>YEAR('data on outstanding creditors'!$B1179)</f>
        <v>2025</v>
      </c>
      <c r="T1179" s="11" t="str">
        <f>'data on outstanding creditors'!$C1179&amp;" "&amp;'data on outstanding creditors'!$D1179&amp;" "&amp;TEXT('data on outstanding creditors'!$E1179,"#,##0.00")</f>
        <v>บ.มาสุ 258841 40,500.00</v>
      </c>
      <c r="U1179" s="12"/>
    </row>
    <row r="1180" ht="13.5" customHeight="1">
      <c r="A1180" s="1"/>
      <c r="B1180" s="2">
        <v>45833.0</v>
      </c>
      <c r="C1180" s="9" t="s">
        <v>1414</v>
      </c>
      <c r="D1180" s="1" t="s">
        <v>1713</v>
      </c>
      <c r="E1180" s="4">
        <v>12750.0</v>
      </c>
      <c r="F1180" s="4"/>
      <c r="G1180" s="4"/>
      <c r="H1180" s="4">
        <f>'data on outstanding creditors'!$E1180-'data on outstanding creditors'!$F1180-'data on outstanding creditors'!$G1180</f>
        <v>12750</v>
      </c>
      <c r="I1180" s="2"/>
      <c r="J1180" s="1" t="s">
        <v>646</v>
      </c>
      <c r="K1180" s="2">
        <v>45887.0</v>
      </c>
      <c r="L1180" s="5"/>
      <c r="M1180" s="9" t="s">
        <v>22</v>
      </c>
      <c r="N1180" s="9" t="s">
        <v>23</v>
      </c>
      <c r="O1180" s="10">
        <f>'data on outstanding creditors'!$E1180*100/107</f>
        <v>11915.88785</v>
      </c>
      <c r="P1180" s="10">
        <f>'data on outstanding creditors'!$E1180-'data on outstanding creditors'!$O1180</f>
        <v>834.1121495</v>
      </c>
      <c r="Q1180" s="7">
        <f>DAY('data on outstanding creditors'!$B1180)</f>
        <v>25</v>
      </c>
      <c r="R1180" s="7">
        <f>MONTH('data on outstanding creditors'!$B1180)</f>
        <v>6</v>
      </c>
      <c r="S1180" s="7">
        <f>YEAR('data on outstanding creditors'!$B1180)</f>
        <v>2025</v>
      </c>
      <c r="T1180" s="11" t="str">
        <f>'data on outstanding creditors'!$C1180&amp;" "&amp;'data on outstanding creditors'!$D1180&amp;" "&amp;TEXT('data on outstanding creditors'!$E1180,"#,##0.00")</f>
        <v>บ.ฟาร์มีน่า 68385435 12,750.00</v>
      </c>
      <c r="U1180" s="12"/>
    </row>
    <row r="1181" ht="13.5" customHeight="1">
      <c r="A1181" s="1"/>
      <c r="B1181" s="2">
        <v>45833.0</v>
      </c>
      <c r="C1181" s="9" t="s">
        <v>1243</v>
      </c>
      <c r="D1181" s="1" t="s">
        <v>1714</v>
      </c>
      <c r="E1181" s="4">
        <v>46000.0</v>
      </c>
      <c r="F1181" s="4"/>
      <c r="G1181" s="4"/>
      <c r="H1181" s="4">
        <f>'data on outstanding creditors'!$E1181-'data on outstanding creditors'!$F1181-'data on outstanding creditors'!$G1181</f>
        <v>46000</v>
      </c>
      <c r="I1181" s="2"/>
      <c r="J1181" s="1" t="s">
        <v>757</v>
      </c>
      <c r="K1181" s="2">
        <v>45862.0</v>
      </c>
      <c r="L1181" s="5"/>
      <c r="M1181" s="9" t="s">
        <v>22</v>
      </c>
      <c r="N1181" s="9" t="s">
        <v>23</v>
      </c>
      <c r="O1181" s="10">
        <f>'data on outstanding creditors'!$E1181*100/107</f>
        <v>42990.65421</v>
      </c>
      <c r="P1181" s="10">
        <f>'data on outstanding creditors'!$E1181-'data on outstanding creditors'!$O1181</f>
        <v>3009.345794</v>
      </c>
      <c r="Q1181" s="7">
        <f>DAY('data on outstanding creditors'!$B1181)</f>
        <v>25</v>
      </c>
      <c r="R1181" s="7">
        <f>MONTH('data on outstanding creditors'!$B1181)</f>
        <v>6</v>
      </c>
      <c r="S1181" s="7">
        <f>YEAR('data on outstanding creditors'!$B1181)</f>
        <v>2025</v>
      </c>
      <c r="T1181" s="11" t="str">
        <f>'data on outstanding creditors'!$C1181&amp;" "&amp;'data on outstanding creditors'!$D1181&amp;" "&amp;TEXT('data on outstanding creditors'!$E1181,"#,##0.00")</f>
        <v>บ.วี.แอนด์.วี.กรุงเทพ 8103411301 46,000.00</v>
      </c>
      <c r="U1181" s="12"/>
    </row>
    <row r="1182" ht="13.5" customHeight="1">
      <c r="A1182" s="1"/>
      <c r="B1182" s="2">
        <v>45833.0</v>
      </c>
      <c r="C1182" s="9" t="s">
        <v>1391</v>
      </c>
      <c r="D1182" s="1" t="s">
        <v>1715</v>
      </c>
      <c r="E1182" s="4">
        <v>19200.0</v>
      </c>
      <c r="F1182" s="4"/>
      <c r="G1182" s="4"/>
      <c r="H1182" s="4">
        <f>'data on outstanding creditors'!$E1182-'data on outstanding creditors'!$F1182-'data on outstanding creditors'!$G1182</f>
        <v>19200</v>
      </c>
      <c r="I1182" s="2"/>
      <c r="J1182" s="1" t="s">
        <v>646</v>
      </c>
      <c r="K1182" s="2">
        <v>45928.0</v>
      </c>
      <c r="L1182" s="5"/>
      <c r="M1182" s="9" t="s">
        <v>22</v>
      </c>
      <c r="N1182" s="9" t="s">
        <v>23</v>
      </c>
      <c r="O1182" s="10">
        <f>'data on outstanding creditors'!$E1182*100/107</f>
        <v>17943.92523</v>
      </c>
      <c r="P1182" s="10">
        <f>'data on outstanding creditors'!$E1182-'data on outstanding creditors'!$O1182</f>
        <v>1256.074766</v>
      </c>
      <c r="Q1182" s="7">
        <f>DAY('data on outstanding creditors'!$B1182)</f>
        <v>25</v>
      </c>
      <c r="R1182" s="7">
        <f>MONTH('data on outstanding creditors'!$B1182)</f>
        <v>6</v>
      </c>
      <c r="S1182" s="7">
        <f>YEAR('data on outstanding creditors'!$B1182)</f>
        <v>2025</v>
      </c>
      <c r="T1182" s="11" t="str">
        <f>'data on outstanding creditors'!$C1182&amp;" "&amp;'data on outstanding creditors'!$D1182&amp;" "&amp;TEXT('data on outstanding creditors'!$E1182,"#,##0.00")</f>
        <v>บ.ที.พี.ดรัก แลบบอราทอรี่ส์ VIV125061635 19,200.00</v>
      </c>
      <c r="U1182" s="12"/>
    </row>
    <row r="1183" ht="13.5" customHeight="1">
      <c r="A1183" s="1"/>
      <c r="B1183" s="2">
        <v>45833.0</v>
      </c>
      <c r="C1183" s="9" t="s">
        <v>396</v>
      </c>
      <c r="D1183" s="1" t="s">
        <v>1716</v>
      </c>
      <c r="E1183" s="4">
        <v>23200.0</v>
      </c>
      <c r="F1183" s="4"/>
      <c r="G1183" s="4"/>
      <c r="H1183" s="4">
        <f>'data on outstanding creditors'!$E1183-'data on outstanding creditors'!$F1183-'data on outstanding creditors'!$G1183</f>
        <v>23200</v>
      </c>
      <c r="I1183" s="2"/>
      <c r="J1183" s="1" t="s">
        <v>757</v>
      </c>
      <c r="K1183" s="2">
        <v>45862.0</v>
      </c>
      <c r="L1183" s="5"/>
      <c r="M1183" s="9" t="s">
        <v>22</v>
      </c>
      <c r="N1183" s="9" t="s">
        <v>23</v>
      </c>
      <c r="O1183" s="10">
        <f>'data on outstanding creditors'!$E1183*100/107</f>
        <v>21682.24299</v>
      </c>
      <c r="P1183" s="10">
        <f>'data on outstanding creditors'!$E1183-'data on outstanding creditors'!$O1183</f>
        <v>1517.757009</v>
      </c>
      <c r="Q1183" s="7">
        <f>DAY('data on outstanding creditors'!$B1183)</f>
        <v>25</v>
      </c>
      <c r="R1183" s="7">
        <f>MONTH('data on outstanding creditors'!$B1183)</f>
        <v>6</v>
      </c>
      <c r="S1183" s="7">
        <f>YEAR('data on outstanding creditors'!$B1183)</f>
        <v>2025</v>
      </c>
      <c r="T1183" s="11" t="str">
        <f>'data on outstanding creditors'!$C1183&amp;" "&amp;'data on outstanding creditors'!$D1183&amp;" "&amp;TEXT('data on outstanding creditors'!$E1183,"#,##0.00")</f>
        <v>บ.เยเนอรัล ฮอสปิตัล โปรดัคส์ 25IN08064134 23,200.00</v>
      </c>
      <c r="U1183" s="12"/>
    </row>
    <row r="1184" ht="13.5" customHeight="1">
      <c r="A1184" s="1"/>
      <c r="B1184" s="2">
        <v>45833.0</v>
      </c>
      <c r="C1184" s="9" t="s">
        <v>1230</v>
      </c>
      <c r="D1184" s="1" t="s">
        <v>1717</v>
      </c>
      <c r="E1184" s="4">
        <v>42000.0</v>
      </c>
      <c r="F1184" s="4"/>
      <c r="G1184" s="4"/>
      <c r="H1184" s="4">
        <f>'data on outstanding creditors'!$E1184-'data on outstanding creditors'!$F1184-'data on outstanding creditors'!$G1184</f>
        <v>42000</v>
      </c>
      <c r="I1184" s="2"/>
      <c r="J1184" s="1" t="s">
        <v>646</v>
      </c>
      <c r="K1184" s="2">
        <v>45928.0</v>
      </c>
      <c r="L1184" s="5"/>
      <c r="M1184" s="9" t="s">
        <v>22</v>
      </c>
      <c r="N1184" s="9" t="s">
        <v>23</v>
      </c>
      <c r="O1184" s="10">
        <f>'data on outstanding creditors'!$E1184*100/107</f>
        <v>39252.33645</v>
      </c>
      <c r="P1184" s="10">
        <f>'data on outstanding creditors'!$E1184-'data on outstanding creditors'!$O1184</f>
        <v>2747.663551</v>
      </c>
      <c r="Q1184" s="7">
        <f>DAY('data on outstanding creditors'!$B1184)</f>
        <v>25</v>
      </c>
      <c r="R1184" s="7">
        <f>MONTH('data on outstanding creditors'!$B1184)</f>
        <v>6</v>
      </c>
      <c r="S1184" s="7">
        <f>YEAR('data on outstanding creditors'!$B1184)</f>
        <v>2025</v>
      </c>
      <c r="T1184" s="11" t="str">
        <f>'data on outstanding creditors'!$C1184&amp;" "&amp;'data on outstanding creditors'!$D1184&amp;" "&amp;TEXT('data on outstanding creditors'!$E1184,"#,##0.00")</f>
        <v>บ.พรอส ฟาร์มา INV-L-IM\2025063149 42,000.00</v>
      </c>
      <c r="U1184" s="12"/>
    </row>
    <row r="1185" ht="13.5" customHeight="1">
      <c r="A1185" s="1"/>
      <c r="B1185" s="2">
        <v>45833.0</v>
      </c>
      <c r="C1185" s="9" t="s">
        <v>263</v>
      </c>
      <c r="D1185" s="1" t="s">
        <v>1718</v>
      </c>
      <c r="E1185" s="4">
        <v>75000.0</v>
      </c>
      <c r="F1185" s="4"/>
      <c r="G1185" s="4"/>
      <c r="H1185" s="4">
        <f>'data on outstanding creditors'!$E1185-'data on outstanding creditors'!$F1185-'data on outstanding creditors'!$G1185</f>
        <v>75000</v>
      </c>
      <c r="I1185" s="2"/>
      <c r="J1185" s="1" t="s">
        <v>646</v>
      </c>
      <c r="K1185" s="2">
        <v>45928.0</v>
      </c>
      <c r="L1185" s="5"/>
      <c r="M1185" s="9" t="s">
        <v>22</v>
      </c>
      <c r="N1185" s="9" t="s">
        <v>23</v>
      </c>
      <c r="O1185" s="10">
        <f>'data on outstanding creditors'!$E1185*100/107</f>
        <v>70093.45794</v>
      </c>
      <c r="P1185" s="10">
        <f>'data on outstanding creditors'!$E1185-'data on outstanding creditors'!$O1185</f>
        <v>4906.542056</v>
      </c>
      <c r="Q1185" s="7">
        <f>DAY('data on outstanding creditors'!$B1185)</f>
        <v>25</v>
      </c>
      <c r="R1185" s="7">
        <f>MONTH('data on outstanding creditors'!$B1185)</f>
        <v>6</v>
      </c>
      <c r="S1185" s="7">
        <f>YEAR('data on outstanding creditors'!$B1185)</f>
        <v>2025</v>
      </c>
      <c r="T1185" s="11" t="str">
        <f>'data on outstanding creditors'!$C1185&amp;" "&amp;'data on outstanding creditors'!$D1185&amp;" "&amp;TEXT('data on outstanding creditors'!$E1185,"#,##0.00")</f>
        <v>บ.เอเบิ้ล เมดิคอล M2506/0463 75,000.00</v>
      </c>
      <c r="U1185" s="12"/>
    </row>
    <row r="1186" ht="13.5" customHeight="1">
      <c r="A1186" s="1"/>
      <c r="B1186" s="2">
        <v>45834.0</v>
      </c>
      <c r="C1186" s="9" t="s">
        <v>767</v>
      </c>
      <c r="D1186" s="1" t="s">
        <v>1719</v>
      </c>
      <c r="E1186" s="4">
        <v>143600.0</v>
      </c>
      <c r="F1186" s="4"/>
      <c r="G1186" s="4"/>
      <c r="H1186" s="4">
        <f>'data on outstanding creditors'!$E1186-'data on outstanding creditors'!$F1186-'data on outstanding creditors'!$G1186</f>
        <v>143600</v>
      </c>
      <c r="I1186" s="2"/>
      <c r="J1186" s="1" t="s">
        <v>646</v>
      </c>
      <c r="K1186" s="2">
        <v>45954.0</v>
      </c>
      <c r="L1186" s="5"/>
      <c r="M1186" s="9" t="s">
        <v>22</v>
      </c>
      <c r="N1186" s="9" t="s">
        <v>23</v>
      </c>
      <c r="O1186" s="10">
        <f>'data on outstanding creditors'!$E1186*100/107</f>
        <v>134205.6075</v>
      </c>
      <c r="P1186" s="10">
        <f>'data on outstanding creditors'!$E1186-'data on outstanding creditors'!$O1186</f>
        <v>9394.392523</v>
      </c>
      <c r="Q1186" s="7">
        <f>DAY('data on outstanding creditors'!$B1186)</f>
        <v>26</v>
      </c>
      <c r="R1186" s="7">
        <f>MONTH('data on outstanding creditors'!$B1186)</f>
        <v>6</v>
      </c>
      <c r="S1186" s="7">
        <f>YEAR('data on outstanding creditors'!$B1186)</f>
        <v>2025</v>
      </c>
      <c r="T1186" s="11" t="str">
        <f>'data on outstanding creditors'!$C1186&amp;" "&amp;'data on outstanding creditors'!$D1186&amp;" "&amp;TEXT('data on outstanding creditors'!$E1186,"#,##0.00")</f>
        <v>บ.คอสม่า เทรดดิ้ง 310657402352 143,600.00</v>
      </c>
      <c r="U1186" s="12"/>
    </row>
    <row r="1187" ht="13.5" customHeight="1">
      <c r="A1187" s="1"/>
      <c r="B1187" s="2">
        <v>45834.0</v>
      </c>
      <c r="C1187" s="9" t="s">
        <v>920</v>
      </c>
      <c r="D1187" s="1" t="s">
        <v>1720</v>
      </c>
      <c r="E1187" s="4">
        <v>66000.0</v>
      </c>
      <c r="F1187" s="4"/>
      <c r="G1187" s="4"/>
      <c r="H1187" s="4">
        <f>'data on outstanding creditors'!$E1187-'data on outstanding creditors'!$F1187-'data on outstanding creditors'!$G1187</f>
        <v>66000</v>
      </c>
      <c r="I1187" s="2"/>
      <c r="J1187" s="1" t="s">
        <v>646</v>
      </c>
      <c r="K1187" s="2">
        <v>45887.0</v>
      </c>
      <c r="L1187" s="5"/>
      <c r="M1187" s="9" t="s">
        <v>22</v>
      </c>
      <c r="N1187" s="9" t="s">
        <v>23</v>
      </c>
      <c r="O1187" s="10">
        <f>'data on outstanding creditors'!$E1187*100/107</f>
        <v>61682.24299</v>
      </c>
      <c r="P1187" s="10">
        <f>'data on outstanding creditors'!$E1187-'data on outstanding creditors'!$O1187</f>
        <v>4317.757009</v>
      </c>
      <c r="Q1187" s="7">
        <f>DAY('data on outstanding creditors'!$B1187)</f>
        <v>26</v>
      </c>
      <c r="R1187" s="7">
        <f>MONTH('data on outstanding creditors'!$B1187)</f>
        <v>6</v>
      </c>
      <c r="S1187" s="7">
        <f>YEAR('data on outstanding creditors'!$B1187)</f>
        <v>2025</v>
      </c>
      <c r="T1187" s="11" t="str">
        <f>'data on outstanding creditors'!$C1187&amp;" "&amp;'data on outstanding creditors'!$D1187&amp;" "&amp;TEXT('data on outstanding creditors'!$E1187,"#,##0.00")</f>
        <v>บ.โปลิฟาร์ม IVU-68027045 66,000.00</v>
      </c>
      <c r="U1187" s="12"/>
    </row>
    <row r="1188" ht="13.5" customHeight="1">
      <c r="A1188" s="1"/>
      <c r="B1188" s="2">
        <v>45834.0</v>
      </c>
      <c r="C1188" s="9" t="s">
        <v>767</v>
      </c>
      <c r="D1188" s="1" t="s">
        <v>1721</v>
      </c>
      <c r="E1188" s="4">
        <v>10865.85</v>
      </c>
      <c r="F1188" s="4"/>
      <c r="G1188" s="4"/>
      <c r="H1188" s="4">
        <f>'data on outstanding creditors'!$E1188-'data on outstanding creditors'!$F1188-'data on outstanding creditors'!$G1188</f>
        <v>10865.85</v>
      </c>
      <c r="I1188" s="2"/>
      <c r="J1188" s="1" t="s">
        <v>646</v>
      </c>
      <c r="K1188" s="2">
        <v>45944.0</v>
      </c>
      <c r="L1188" s="5"/>
      <c r="M1188" s="9" t="s">
        <v>22</v>
      </c>
      <c r="N1188" s="9" t="s">
        <v>23</v>
      </c>
      <c r="O1188" s="10">
        <f>'data on outstanding creditors'!$E1188*100/107</f>
        <v>10155</v>
      </c>
      <c r="P1188" s="10">
        <f>'data on outstanding creditors'!$E1188-'data on outstanding creditors'!$O1188</f>
        <v>710.85</v>
      </c>
      <c r="Q1188" s="7">
        <f>DAY('data on outstanding creditors'!$B1188)</f>
        <v>26</v>
      </c>
      <c r="R1188" s="7">
        <f>MONTH('data on outstanding creditors'!$B1188)</f>
        <v>6</v>
      </c>
      <c r="S1188" s="7">
        <f>YEAR('data on outstanding creditors'!$B1188)</f>
        <v>2025</v>
      </c>
      <c r="T1188" s="11" t="str">
        <f>'data on outstanding creditors'!$C1188&amp;" "&amp;'data on outstanding creditors'!$D1188&amp;" "&amp;TEXT('data on outstanding creditors'!$E1188,"#,##0.00")</f>
        <v>บ.คอสม่า เทรดดิ้ง 310657402698 10,865.85</v>
      </c>
      <c r="U1188" s="12"/>
    </row>
    <row r="1189" ht="13.5" customHeight="1">
      <c r="A1189" s="1"/>
      <c r="B1189" s="2">
        <v>45834.0</v>
      </c>
      <c r="C1189" s="9" t="s">
        <v>1349</v>
      </c>
      <c r="D1189" s="1" t="s">
        <v>1722</v>
      </c>
      <c r="E1189" s="4">
        <v>79500.0</v>
      </c>
      <c r="F1189" s="4"/>
      <c r="G1189" s="4"/>
      <c r="H1189" s="4">
        <f>'data on outstanding creditors'!$E1189-'data on outstanding creditors'!$F1189-'data on outstanding creditors'!$G1189</f>
        <v>79500</v>
      </c>
      <c r="I1189" s="2"/>
      <c r="J1189" s="1" t="s">
        <v>646</v>
      </c>
      <c r="K1189" s="2">
        <v>45944.0</v>
      </c>
      <c r="L1189" s="5"/>
      <c r="M1189" s="9" t="s">
        <v>22</v>
      </c>
      <c r="N1189" s="9" t="s">
        <v>23</v>
      </c>
      <c r="O1189" s="10">
        <f>'data on outstanding creditors'!$E1189*100/107</f>
        <v>74299.06542</v>
      </c>
      <c r="P1189" s="10">
        <f>'data on outstanding creditors'!$E1189-'data on outstanding creditors'!$O1189</f>
        <v>5200.934579</v>
      </c>
      <c r="Q1189" s="7">
        <f>DAY('data on outstanding creditors'!$B1189)</f>
        <v>26</v>
      </c>
      <c r="R1189" s="7">
        <f>MONTH('data on outstanding creditors'!$B1189)</f>
        <v>6</v>
      </c>
      <c r="S1189" s="7">
        <f>YEAR('data on outstanding creditors'!$B1189)</f>
        <v>2025</v>
      </c>
      <c r="T1189" s="11" t="str">
        <f>'data on outstanding creditors'!$C1189&amp;" "&amp;'data on outstanding creditors'!$D1189&amp;" "&amp;TEXT('data on outstanding creditors'!$E1189,"#,##0.00")</f>
        <v>บ.ฟาร์มาดิกา DIS250620-062 79,500.00</v>
      </c>
      <c r="U1189" s="12"/>
    </row>
    <row r="1190" ht="13.5" customHeight="1">
      <c r="A1190" s="1"/>
      <c r="B1190" s="2">
        <v>45834.0</v>
      </c>
      <c r="C1190" s="9" t="s">
        <v>1723</v>
      </c>
      <c r="D1190" s="1" t="s">
        <v>1724</v>
      </c>
      <c r="E1190" s="4">
        <v>31500.0</v>
      </c>
      <c r="F1190" s="4"/>
      <c r="G1190" s="4"/>
      <c r="H1190" s="4">
        <f>'data on outstanding creditors'!$E1190-'data on outstanding creditors'!$F1190-'data on outstanding creditors'!$G1190</f>
        <v>31500</v>
      </c>
      <c r="I1190" s="2"/>
      <c r="J1190" s="1" t="s">
        <v>757</v>
      </c>
      <c r="K1190" s="2">
        <v>45870.0</v>
      </c>
      <c r="L1190" s="5"/>
      <c r="M1190" s="9" t="s">
        <v>22</v>
      </c>
      <c r="N1190" s="9" t="s">
        <v>23</v>
      </c>
      <c r="O1190" s="10">
        <f>'data on outstanding creditors'!$E1190*100/107</f>
        <v>29439.25234</v>
      </c>
      <c r="P1190" s="10">
        <f>'data on outstanding creditors'!$E1190-'data on outstanding creditors'!$O1190</f>
        <v>2060.747664</v>
      </c>
      <c r="Q1190" s="7">
        <f>DAY('data on outstanding creditors'!$B1190)</f>
        <v>26</v>
      </c>
      <c r="R1190" s="7">
        <f>MONTH('data on outstanding creditors'!$B1190)</f>
        <v>6</v>
      </c>
      <c r="S1190" s="7">
        <f>YEAR('data on outstanding creditors'!$B1190)</f>
        <v>2025</v>
      </c>
      <c r="T1190" s="11" t="str">
        <f>'data on outstanding creditors'!$C1190&amp;" "&amp;'data on outstanding creditors'!$D1190&amp;" "&amp;TEXT('data on outstanding creditors'!$E1190,"#,##0.00")</f>
        <v>หสน.โรงงานเภสัชกรรมพอนด์เคมีคอล C194151 31,500.00</v>
      </c>
      <c r="U1190" s="12"/>
    </row>
    <row r="1191" ht="13.5" customHeight="1">
      <c r="A1191" s="1"/>
      <c r="B1191" s="2">
        <v>45834.0</v>
      </c>
      <c r="C1191" s="9" t="s">
        <v>259</v>
      </c>
      <c r="D1191" s="1" t="s">
        <v>1725</v>
      </c>
      <c r="E1191" s="4">
        <v>76800.0</v>
      </c>
      <c r="F1191" s="4"/>
      <c r="G1191" s="4"/>
      <c r="H1191" s="4">
        <f>'data on outstanding creditors'!$E1191-'data on outstanding creditors'!$F1191-'data on outstanding creditors'!$G1191</f>
        <v>76800</v>
      </c>
      <c r="I1191" s="2"/>
      <c r="J1191" s="1" t="s">
        <v>757</v>
      </c>
      <c r="K1191" s="2">
        <v>45870.0</v>
      </c>
      <c r="L1191" s="5"/>
      <c r="M1191" s="9" t="s">
        <v>22</v>
      </c>
      <c r="N1191" s="9" t="s">
        <v>23</v>
      </c>
      <c r="O1191" s="10">
        <f>'data on outstanding creditors'!$E1191*100/107</f>
        <v>71775.70093</v>
      </c>
      <c r="P1191" s="10">
        <f>'data on outstanding creditors'!$E1191-'data on outstanding creditors'!$O1191</f>
        <v>5024.299065</v>
      </c>
      <c r="Q1191" s="7">
        <f>DAY('data on outstanding creditors'!$B1191)</f>
        <v>26</v>
      </c>
      <c r="R1191" s="7">
        <f>MONTH('data on outstanding creditors'!$B1191)</f>
        <v>6</v>
      </c>
      <c r="S1191" s="7">
        <f>YEAR('data on outstanding creditors'!$B1191)</f>
        <v>2025</v>
      </c>
      <c r="T1191" s="11" t="str">
        <f>'data on outstanding creditors'!$C1191&amp;" "&amp;'data on outstanding creditors'!$D1191&amp;" "&amp;TEXT('data on outstanding creditors'!$E1191,"#,##0.00")</f>
        <v>บ.ที.โอ.เคมีคอลส์(1979) T6806/20379 76,800.00</v>
      </c>
      <c r="U1191" s="12"/>
    </row>
    <row r="1192" ht="13.5" customHeight="1">
      <c r="A1192" s="1"/>
      <c r="B1192" s="2">
        <v>45834.0</v>
      </c>
      <c r="C1192" s="9" t="s">
        <v>771</v>
      </c>
      <c r="D1192" s="1" t="s">
        <v>1726</v>
      </c>
      <c r="E1192" s="4">
        <v>3600.0</v>
      </c>
      <c r="F1192" s="4"/>
      <c r="G1192" s="4"/>
      <c r="H1192" s="4">
        <f>'data on outstanding creditors'!$E1192-'data on outstanding creditors'!$F1192-'data on outstanding creditors'!$G1192</f>
        <v>3600</v>
      </c>
      <c r="I1192" s="2"/>
      <c r="J1192" s="1" t="s">
        <v>646</v>
      </c>
      <c r="K1192" s="2">
        <v>45928.0</v>
      </c>
      <c r="L1192" s="5"/>
      <c r="M1192" s="9" t="s">
        <v>22</v>
      </c>
      <c r="N1192" s="9" t="s">
        <v>23</v>
      </c>
      <c r="O1192" s="10">
        <f>'data on outstanding creditors'!$E1192*100/107</f>
        <v>3364.485981</v>
      </c>
      <c r="P1192" s="10">
        <f>'data on outstanding creditors'!$E1192-'data on outstanding creditors'!$O1192</f>
        <v>235.5140187</v>
      </c>
      <c r="Q1192" s="7">
        <f>DAY('data on outstanding creditors'!$B1192)</f>
        <v>26</v>
      </c>
      <c r="R1192" s="7">
        <f>MONTH('data on outstanding creditors'!$B1192)</f>
        <v>6</v>
      </c>
      <c r="S1192" s="7">
        <f>YEAR('data on outstanding creditors'!$B1192)</f>
        <v>2025</v>
      </c>
      <c r="T1192" s="11" t="str">
        <f>'data on outstanding creditors'!$C1192&amp;" "&amp;'data on outstanding creditors'!$D1192&amp;" "&amp;TEXT('data on outstanding creditors'!$E1192,"#,##0.00")</f>
        <v>หจก.ภิญโญฟาร์มาซี IV6832269 3,600.00</v>
      </c>
      <c r="U1192" s="12"/>
    </row>
    <row r="1193" ht="13.5" customHeight="1">
      <c r="A1193" s="1"/>
      <c r="B1193" s="2">
        <v>45834.0</v>
      </c>
      <c r="C1193" s="9" t="s">
        <v>1279</v>
      </c>
      <c r="D1193" s="1" t="s">
        <v>1727</v>
      </c>
      <c r="E1193" s="4">
        <v>10800.0</v>
      </c>
      <c r="F1193" s="4"/>
      <c r="G1193" s="4"/>
      <c r="H1193" s="4">
        <f>'data on outstanding creditors'!$E1193-'data on outstanding creditors'!$F1193-'data on outstanding creditors'!$G1193</f>
        <v>10800</v>
      </c>
      <c r="I1193" s="2"/>
      <c r="J1193" s="1" t="s">
        <v>646</v>
      </c>
      <c r="K1193" s="2">
        <v>45928.0</v>
      </c>
      <c r="L1193" s="5"/>
      <c r="M1193" s="9" t="s">
        <v>22</v>
      </c>
      <c r="N1193" s="9" t="s">
        <v>23</v>
      </c>
      <c r="O1193" s="10">
        <f>'data on outstanding creditors'!$E1193*100/107</f>
        <v>10093.45794</v>
      </c>
      <c r="P1193" s="10">
        <f>'data on outstanding creditors'!$E1193-'data on outstanding creditors'!$O1193</f>
        <v>706.5420561</v>
      </c>
      <c r="Q1193" s="7">
        <f>DAY('data on outstanding creditors'!$B1193)</f>
        <v>26</v>
      </c>
      <c r="R1193" s="7">
        <f>MONTH('data on outstanding creditors'!$B1193)</f>
        <v>6</v>
      </c>
      <c r="S1193" s="7">
        <f>YEAR('data on outstanding creditors'!$B1193)</f>
        <v>2025</v>
      </c>
      <c r="T1193" s="11" t="str">
        <f>'data on outstanding creditors'!$C1193&amp;" "&amp;'data on outstanding creditors'!$D1193&amp;" "&amp;TEXT('data on outstanding creditors'!$E1193,"#,##0.00")</f>
        <v>บ.ไบโอจีนีเทค IV250602761 10,800.00</v>
      </c>
      <c r="U1193" s="12"/>
    </row>
    <row r="1194" ht="13.5" customHeight="1">
      <c r="A1194" s="1"/>
      <c r="B1194" s="2">
        <v>45835.0</v>
      </c>
      <c r="C1194" s="9" t="s">
        <v>1454</v>
      </c>
      <c r="D1194" s="1" t="s">
        <v>1728</v>
      </c>
      <c r="E1194" s="4">
        <v>66375.0</v>
      </c>
      <c r="F1194" s="4"/>
      <c r="G1194" s="4"/>
      <c r="H1194" s="4">
        <f>'data on outstanding creditors'!$E1194-'data on outstanding creditors'!$F1194-'data on outstanding creditors'!$G1194</f>
        <v>66375</v>
      </c>
      <c r="I1194" s="2"/>
      <c r="J1194" s="1" t="s">
        <v>757</v>
      </c>
      <c r="K1194" s="2">
        <v>45874.0</v>
      </c>
      <c r="L1194" s="5"/>
      <c r="M1194" s="9" t="s">
        <v>22</v>
      </c>
      <c r="N1194" s="9" t="s">
        <v>23</v>
      </c>
      <c r="O1194" s="10">
        <f>'data on outstanding creditors'!$E1194*100/107</f>
        <v>62032.71028</v>
      </c>
      <c r="P1194" s="10">
        <f>'data on outstanding creditors'!$E1194-'data on outstanding creditors'!$O1194</f>
        <v>4342.28972</v>
      </c>
      <c r="Q1194" s="7">
        <f>DAY('data on outstanding creditors'!$B1194)</f>
        <v>27</v>
      </c>
      <c r="R1194" s="7">
        <f>MONTH('data on outstanding creditors'!$B1194)</f>
        <v>6</v>
      </c>
      <c r="S1194" s="7">
        <f>YEAR('data on outstanding creditors'!$B1194)</f>
        <v>2025</v>
      </c>
      <c r="T1194" s="11" t="str">
        <f>'data on outstanding creditors'!$C1194&amp;" "&amp;'data on outstanding creditors'!$D1194&amp;" "&amp;TEXT('data on outstanding creditors'!$E1194,"#,##0.00")</f>
        <v>บ.พรีเมด ฟาร์มา พลัส PL680600548 66,375.00</v>
      </c>
      <c r="U1194" s="12"/>
    </row>
    <row r="1195" ht="13.5" customHeight="1">
      <c r="A1195" s="1"/>
      <c r="B1195" s="2">
        <v>45835.0</v>
      </c>
      <c r="C1195" s="9" t="s">
        <v>399</v>
      </c>
      <c r="D1195" s="1" t="s">
        <v>1729</v>
      </c>
      <c r="E1195" s="4">
        <v>150870.0</v>
      </c>
      <c r="F1195" s="4"/>
      <c r="G1195" s="4"/>
      <c r="H1195" s="4">
        <f>'data on outstanding creditors'!$E1195-'data on outstanding creditors'!$F1195-'data on outstanding creditors'!$G1195</f>
        <v>150870</v>
      </c>
      <c r="I1195" s="2"/>
      <c r="J1195" s="1" t="s">
        <v>646</v>
      </c>
      <c r="K1195" s="2">
        <v>45901.0</v>
      </c>
      <c r="L1195" s="5"/>
      <c r="M1195" s="9" t="s">
        <v>22</v>
      </c>
      <c r="N1195" s="9" t="s">
        <v>23</v>
      </c>
      <c r="O1195" s="10">
        <f>'data on outstanding creditors'!$E1195*100/107</f>
        <v>141000</v>
      </c>
      <c r="P1195" s="10">
        <f>'data on outstanding creditors'!$E1195-'data on outstanding creditors'!$O1195</f>
        <v>9870</v>
      </c>
      <c r="Q1195" s="7">
        <f>DAY('data on outstanding creditors'!$B1195)</f>
        <v>27</v>
      </c>
      <c r="R1195" s="7">
        <f>MONTH('data on outstanding creditors'!$B1195)</f>
        <v>6</v>
      </c>
      <c r="S1195" s="7">
        <f>YEAR('data on outstanding creditors'!$B1195)</f>
        <v>2025</v>
      </c>
      <c r="T1195" s="11" t="str">
        <f>'data on outstanding creditors'!$C1195&amp;" "&amp;'data on outstanding creditors'!$D1195&amp;" "&amp;TEXT('data on outstanding creditors'!$E1195,"#,##0.00")</f>
        <v>บ.ดีเคเอสเอช(ประเทศไทย) 5343842946 150,870.00</v>
      </c>
      <c r="U1195" s="12"/>
    </row>
    <row r="1196" ht="13.5" customHeight="1">
      <c r="A1196" s="1"/>
      <c r="B1196" s="2">
        <v>45835.0</v>
      </c>
      <c r="C1196" s="9" t="s">
        <v>1230</v>
      </c>
      <c r="D1196" s="1" t="s">
        <v>1730</v>
      </c>
      <c r="E1196" s="4">
        <v>136000.0</v>
      </c>
      <c r="F1196" s="4"/>
      <c r="G1196" s="4"/>
      <c r="H1196" s="4">
        <f>'data on outstanding creditors'!$E1196-'data on outstanding creditors'!$F1196-'data on outstanding creditors'!$G1196</f>
        <v>136000</v>
      </c>
      <c r="I1196" s="2"/>
      <c r="J1196" s="1" t="s">
        <v>646</v>
      </c>
      <c r="K1196" s="2">
        <v>45929.0</v>
      </c>
      <c r="L1196" s="5"/>
      <c r="M1196" s="9" t="s">
        <v>22</v>
      </c>
      <c r="N1196" s="9" t="s">
        <v>23</v>
      </c>
      <c r="O1196" s="10">
        <f>'data on outstanding creditors'!$E1196*100/107</f>
        <v>127102.8037</v>
      </c>
      <c r="P1196" s="10">
        <f>'data on outstanding creditors'!$E1196-'data on outstanding creditors'!$O1196</f>
        <v>8897.196262</v>
      </c>
      <c r="Q1196" s="7">
        <f>DAY('data on outstanding creditors'!$B1196)</f>
        <v>27</v>
      </c>
      <c r="R1196" s="7">
        <f>MONTH('data on outstanding creditors'!$B1196)</f>
        <v>6</v>
      </c>
      <c r="S1196" s="7">
        <f>YEAR('data on outstanding creditors'!$B1196)</f>
        <v>2025</v>
      </c>
      <c r="T1196" s="11" t="str">
        <f>'data on outstanding creditors'!$C1196&amp;" "&amp;'data on outstanding creditors'!$D1196&amp;" "&amp;TEXT('data on outstanding creditors'!$E1196,"#,##0.00")</f>
        <v>บ.พรอส ฟาร์มา INV-L-IM\2025063742 136,000.00</v>
      </c>
      <c r="U1196" s="12"/>
    </row>
    <row r="1197" ht="13.5" customHeight="1">
      <c r="A1197" s="1"/>
      <c r="B1197" s="2">
        <v>45835.0</v>
      </c>
      <c r="C1197" s="9" t="s">
        <v>1402</v>
      </c>
      <c r="D1197" s="1" t="s">
        <v>1731</v>
      </c>
      <c r="E1197" s="4">
        <v>18720.0</v>
      </c>
      <c r="F1197" s="4"/>
      <c r="G1197" s="4"/>
      <c r="H1197" s="4">
        <f>'data on outstanding creditors'!$E1197-'data on outstanding creditors'!$F1197-'data on outstanding creditors'!$G1197</f>
        <v>18720</v>
      </c>
      <c r="I1197" s="2"/>
      <c r="J1197" s="1" t="s">
        <v>646</v>
      </c>
      <c r="K1197" s="2">
        <v>45887.0</v>
      </c>
      <c r="L1197" s="5"/>
      <c r="M1197" s="9" t="s">
        <v>22</v>
      </c>
      <c r="N1197" s="9" t="s">
        <v>23</v>
      </c>
      <c r="O1197" s="10">
        <f>'data on outstanding creditors'!$E1197*100/107</f>
        <v>17495.3271</v>
      </c>
      <c r="P1197" s="10">
        <f>'data on outstanding creditors'!$E1197-'data on outstanding creditors'!$O1197</f>
        <v>1224.672897</v>
      </c>
      <c r="Q1197" s="7">
        <f>DAY('data on outstanding creditors'!$B1197)</f>
        <v>27</v>
      </c>
      <c r="R1197" s="7">
        <f>MONTH('data on outstanding creditors'!$B1197)</f>
        <v>6</v>
      </c>
      <c r="S1197" s="7">
        <f>YEAR('data on outstanding creditors'!$B1197)</f>
        <v>2025</v>
      </c>
      <c r="T1197" s="11" t="str">
        <f>'data on outstanding creditors'!$C1197&amp;" "&amp;'data on outstanding creditors'!$D1197&amp;" "&amp;TEXT('data on outstanding creditors'!$E1197,"#,##0.00")</f>
        <v>บ.โรงงานเภสัชกรรมแหลมทองการแพทย์ IV6806/0346 18,720.00</v>
      </c>
      <c r="U1197" s="12"/>
    </row>
    <row r="1198" ht="13.5" customHeight="1">
      <c r="A1198" s="1"/>
      <c r="B1198" s="2">
        <v>45835.0</v>
      </c>
      <c r="C1198" s="9" t="s">
        <v>1297</v>
      </c>
      <c r="D1198" s="1" t="s">
        <v>1732</v>
      </c>
      <c r="E1198" s="4">
        <v>27240.0</v>
      </c>
      <c r="F1198" s="4"/>
      <c r="G1198" s="4"/>
      <c r="H1198" s="4">
        <f>'data on outstanding creditors'!$E1198-'data on outstanding creditors'!$F1198-'data on outstanding creditors'!$G1198</f>
        <v>27240</v>
      </c>
      <c r="I1198" s="2"/>
      <c r="J1198" s="1" t="s">
        <v>646</v>
      </c>
      <c r="K1198" s="2">
        <v>45928.0</v>
      </c>
      <c r="L1198" s="5"/>
      <c r="M1198" s="9" t="s">
        <v>22</v>
      </c>
      <c r="N1198" s="9" t="s">
        <v>23</v>
      </c>
      <c r="O1198" s="10">
        <f>'data on outstanding creditors'!$E1198*100/107</f>
        <v>25457.94393</v>
      </c>
      <c r="P1198" s="10">
        <f>'data on outstanding creditors'!$E1198-'data on outstanding creditors'!$O1198</f>
        <v>1782.056075</v>
      </c>
      <c r="Q1198" s="7">
        <f>DAY('data on outstanding creditors'!$B1198)</f>
        <v>27</v>
      </c>
      <c r="R1198" s="7">
        <f>MONTH('data on outstanding creditors'!$B1198)</f>
        <v>6</v>
      </c>
      <c r="S1198" s="7">
        <f>YEAR('data on outstanding creditors'!$B1198)</f>
        <v>2025</v>
      </c>
      <c r="T1198" s="11" t="str">
        <f>'data on outstanding creditors'!$C1198&amp;" "&amp;'data on outstanding creditors'!$D1198&amp;" "&amp;TEXT('data on outstanding creditors'!$E1198,"#,##0.00")</f>
        <v>บ.แอตแลนติค ฟาร์มาซูติคอล PIN2521599 27,240.00</v>
      </c>
      <c r="U1198" s="12"/>
    </row>
    <row r="1199" ht="13.5" customHeight="1">
      <c r="A1199" s="1"/>
      <c r="B1199" s="2">
        <v>45835.0</v>
      </c>
      <c r="C1199" s="9" t="s">
        <v>256</v>
      </c>
      <c r="D1199" s="1" t="s">
        <v>1733</v>
      </c>
      <c r="E1199" s="4">
        <v>5000.0</v>
      </c>
      <c r="F1199" s="4"/>
      <c r="G1199" s="4"/>
      <c r="H1199" s="4">
        <f>'data on outstanding creditors'!$E1199-'data on outstanding creditors'!$F1199-'data on outstanding creditors'!$G1199</f>
        <v>5000</v>
      </c>
      <c r="I1199" s="2"/>
      <c r="J1199" s="1" t="s">
        <v>646</v>
      </c>
      <c r="K1199" s="2">
        <v>45928.0</v>
      </c>
      <c r="L1199" s="5"/>
      <c r="M1199" s="9" t="s">
        <v>22</v>
      </c>
      <c r="N1199" s="9" t="s">
        <v>23</v>
      </c>
      <c r="O1199" s="10">
        <f>'data on outstanding creditors'!$E1199*100/107</f>
        <v>4672.897196</v>
      </c>
      <c r="P1199" s="10">
        <f>'data on outstanding creditors'!$E1199-'data on outstanding creditors'!$O1199</f>
        <v>327.1028037</v>
      </c>
      <c r="Q1199" s="7">
        <f>DAY('data on outstanding creditors'!$B1199)</f>
        <v>27</v>
      </c>
      <c r="R1199" s="7">
        <f>MONTH('data on outstanding creditors'!$B1199)</f>
        <v>6</v>
      </c>
      <c r="S1199" s="7">
        <f>YEAR('data on outstanding creditors'!$B1199)</f>
        <v>2025</v>
      </c>
      <c r="T1199" s="11" t="str">
        <f>'data on outstanding creditors'!$C1199&amp;" "&amp;'data on outstanding creditors'!$D1199&amp;" "&amp;TEXT('data on outstanding creditors'!$E1199,"#,##0.00")</f>
        <v>บ.พาตาร์แลบ(2517) INV125062246 5,000.00</v>
      </c>
      <c r="U1199" s="12"/>
    </row>
    <row r="1200" ht="13.5" customHeight="1">
      <c r="A1200" s="1"/>
      <c r="B1200" s="2">
        <v>45835.0</v>
      </c>
      <c r="C1200" s="9" t="s">
        <v>1297</v>
      </c>
      <c r="D1200" s="1" t="s">
        <v>1734</v>
      </c>
      <c r="E1200" s="4">
        <v>36000.0</v>
      </c>
      <c r="F1200" s="4"/>
      <c r="G1200" s="4"/>
      <c r="H1200" s="4">
        <f>'data on outstanding creditors'!$E1200-'data on outstanding creditors'!$F1200-'data on outstanding creditors'!$G1200</f>
        <v>36000</v>
      </c>
      <c r="I1200" s="2"/>
      <c r="J1200" s="1" t="s">
        <v>646</v>
      </c>
      <c r="K1200" s="2">
        <v>45928.0</v>
      </c>
      <c r="L1200" s="5"/>
      <c r="M1200" s="9" t="s">
        <v>22</v>
      </c>
      <c r="N1200" s="9" t="s">
        <v>23</v>
      </c>
      <c r="O1200" s="10">
        <f>'data on outstanding creditors'!$E1200*100/107</f>
        <v>33644.85981</v>
      </c>
      <c r="P1200" s="10">
        <f>'data on outstanding creditors'!$E1200-'data on outstanding creditors'!$O1200</f>
        <v>2355.140187</v>
      </c>
      <c r="Q1200" s="7">
        <f>DAY('data on outstanding creditors'!$B1200)</f>
        <v>27</v>
      </c>
      <c r="R1200" s="7">
        <f>MONTH('data on outstanding creditors'!$B1200)</f>
        <v>6</v>
      </c>
      <c r="S1200" s="7">
        <f>YEAR('data on outstanding creditors'!$B1200)</f>
        <v>2025</v>
      </c>
      <c r="T1200" s="11" t="str">
        <f>'data on outstanding creditors'!$C1200&amp;" "&amp;'data on outstanding creditors'!$D1200&amp;" "&amp;TEXT('data on outstanding creditors'!$E1200,"#,##0.00")</f>
        <v>บ.แอตแลนติค ฟาร์มาซูติคอล PIN2521600 36,000.00</v>
      </c>
      <c r="U1200" s="12"/>
    </row>
    <row r="1201" ht="13.5" customHeight="1">
      <c r="A1201" s="1"/>
      <c r="B1201" s="2">
        <v>45835.0</v>
      </c>
      <c r="C1201" s="9" t="s">
        <v>1230</v>
      </c>
      <c r="D1201" s="1" t="s">
        <v>1735</v>
      </c>
      <c r="E1201" s="4">
        <v>30000.0</v>
      </c>
      <c r="F1201" s="4"/>
      <c r="G1201" s="4"/>
      <c r="H1201" s="4">
        <f>'data on outstanding creditors'!$E1201-'data on outstanding creditors'!$F1201-'data on outstanding creditors'!$G1201</f>
        <v>30000</v>
      </c>
      <c r="I1201" s="2"/>
      <c r="J1201" s="1" t="s">
        <v>646</v>
      </c>
      <c r="K1201" s="2">
        <v>45928.0</v>
      </c>
      <c r="L1201" s="5"/>
      <c r="M1201" s="9" t="s">
        <v>22</v>
      </c>
      <c r="N1201" s="9" t="s">
        <v>23</v>
      </c>
      <c r="O1201" s="10">
        <f>'data on outstanding creditors'!$E1201*100/107</f>
        <v>28037.38318</v>
      </c>
      <c r="P1201" s="10">
        <f>'data on outstanding creditors'!$E1201-'data on outstanding creditors'!$O1201</f>
        <v>1962.616822</v>
      </c>
      <c r="Q1201" s="7">
        <f>DAY('data on outstanding creditors'!$B1201)</f>
        <v>27</v>
      </c>
      <c r="R1201" s="7">
        <f>MONTH('data on outstanding creditors'!$B1201)</f>
        <v>6</v>
      </c>
      <c r="S1201" s="7">
        <f>YEAR('data on outstanding creditors'!$B1201)</f>
        <v>2025</v>
      </c>
      <c r="T1201" s="11" t="str">
        <f>'data on outstanding creditors'!$C1201&amp;" "&amp;'data on outstanding creditors'!$D1201&amp;" "&amp;TEXT('data on outstanding creditors'!$E1201,"#,##0.00")</f>
        <v>บ.พรอส ฟาร์มา INV-L-IM\2025063433 30,000.00</v>
      </c>
      <c r="U1201" s="12"/>
    </row>
    <row r="1202" ht="13.5" customHeight="1">
      <c r="A1202" s="1"/>
      <c r="B1202" s="2">
        <v>45835.0</v>
      </c>
      <c r="C1202" s="9" t="s">
        <v>1497</v>
      </c>
      <c r="D1202" s="1" t="s">
        <v>1736</v>
      </c>
      <c r="E1202" s="4">
        <v>13963.5</v>
      </c>
      <c r="F1202" s="4"/>
      <c r="G1202" s="4"/>
      <c r="H1202" s="4">
        <f>'data on outstanding creditors'!$E1202-'data on outstanding creditors'!$F1202-'data on outstanding creditors'!$G1202</f>
        <v>13963.5</v>
      </c>
      <c r="I1202" s="2"/>
      <c r="J1202" s="1" t="s">
        <v>646</v>
      </c>
      <c r="K1202" s="2">
        <v>45906.0</v>
      </c>
      <c r="L1202" s="5"/>
      <c r="M1202" s="9" t="s">
        <v>22</v>
      </c>
      <c r="N1202" s="9" t="s">
        <v>23</v>
      </c>
      <c r="O1202" s="10">
        <f>'data on outstanding creditors'!$E1202*100/107</f>
        <v>13050</v>
      </c>
      <c r="P1202" s="10">
        <f>'data on outstanding creditors'!$E1202-'data on outstanding creditors'!$O1202</f>
        <v>913.5</v>
      </c>
      <c r="Q1202" s="7">
        <f>DAY('data on outstanding creditors'!$B1202)</f>
        <v>27</v>
      </c>
      <c r="R1202" s="7">
        <f>MONTH('data on outstanding creditors'!$B1202)</f>
        <v>6</v>
      </c>
      <c r="S1202" s="7">
        <f>YEAR('data on outstanding creditors'!$B1202)</f>
        <v>2025</v>
      </c>
      <c r="T1202" s="11" t="str">
        <f>'data on outstanding creditors'!$C1202&amp;" "&amp;'data on outstanding creditors'!$D1202&amp;" "&amp;TEXT('data on outstanding creditors'!$E1202,"#,##0.00")</f>
        <v>บ.อินโดไชน่า เฮลท์ แคร์ BIN2506-00520 13,963.50</v>
      </c>
      <c r="U1202" s="12"/>
    </row>
    <row r="1203" ht="13.5" customHeight="1">
      <c r="A1203" s="1"/>
      <c r="B1203" s="2">
        <v>45835.0</v>
      </c>
      <c r="C1203" s="9" t="s">
        <v>1247</v>
      </c>
      <c r="D1203" s="1" t="s">
        <v>1737</v>
      </c>
      <c r="E1203" s="4">
        <v>9500.0</v>
      </c>
      <c r="F1203" s="4"/>
      <c r="G1203" s="4"/>
      <c r="H1203" s="4">
        <f>'data on outstanding creditors'!$E1203-'data on outstanding creditors'!$F1203-'data on outstanding creditors'!$G1203</f>
        <v>9500</v>
      </c>
      <c r="I1203" s="2"/>
      <c r="J1203" s="1" t="s">
        <v>646</v>
      </c>
      <c r="K1203" s="2">
        <v>45954.0</v>
      </c>
      <c r="L1203" s="5"/>
      <c r="M1203" s="9" t="s">
        <v>22</v>
      </c>
      <c r="N1203" s="9" t="s">
        <v>23</v>
      </c>
      <c r="O1203" s="10">
        <f>'data on outstanding creditors'!$E1203*100/107</f>
        <v>8878.504673</v>
      </c>
      <c r="P1203" s="10">
        <f>'data on outstanding creditors'!$E1203-'data on outstanding creditors'!$O1203</f>
        <v>621.4953271</v>
      </c>
      <c r="Q1203" s="7">
        <f>DAY('data on outstanding creditors'!$B1203)</f>
        <v>27</v>
      </c>
      <c r="R1203" s="7">
        <f>MONTH('data on outstanding creditors'!$B1203)</f>
        <v>6</v>
      </c>
      <c r="S1203" s="7">
        <f>YEAR('data on outstanding creditors'!$B1203)</f>
        <v>2025</v>
      </c>
      <c r="T1203" s="11" t="str">
        <f>'data on outstanding creditors'!$C1203&amp;" "&amp;'data on outstanding creditors'!$D1203&amp;" "&amp;TEXT('data on outstanding creditors'!$E1203,"#,##0.00")</f>
        <v>บ.เอ.เอ็น.บี.ลาบอรอตอรี่ 8370900482 9,500.00</v>
      </c>
      <c r="U1203" s="12"/>
    </row>
    <row r="1204" ht="13.5" customHeight="1">
      <c r="A1204" s="1"/>
      <c r="B1204" s="2">
        <v>45835.0</v>
      </c>
      <c r="C1204" s="9" t="s">
        <v>771</v>
      </c>
      <c r="D1204" s="1" t="s">
        <v>1738</v>
      </c>
      <c r="E1204" s="4">
        <v>17500.0</v>
      </c>
      <c r="F1204" s="4"/>
      <c r="G1204" s="4"/>
      <c r="H1204" s="4">
        <f>'data on outstanding creditors'!$E1204-'data on outstanding creditors'!$F1204-'data on outstanding creditors'!$G1204</f>
        <v>17500</v>
      </c>
      <c r="I1204" s="2"/>
      <c r="J1204" s="1" t="s">
        <v>646</v>
      </c>
      <c r="K1204" s="2">
        <v>45928.0</v>
      </c>
      <c r="L1204" s="5"/>
      <c r="M1204" s="9" t="s">
        <v>22</v>
      </c>
      <c r="N1204" s="9" t="s">
        <v>23</v>
      </c>
      <c r="O1204" s="10">
        <f>'data on outstanding creditors'!$E1204*100/107</f>
        <v>16355.14019</v>
      </c>
      <c r="P1204" s="10">
        <f>'data on outstanding creditors'!$E1204-'data on outstanding creditors'!$O1204</f>
        <v>1144.859813</v>
      </c>
      <c r="Q1204" s="7">
        <f>DAY('data on outstanding creditors'!$B1204)</f>
        <v>27</v>
      </c>
      <c r="R1204" s="7">
        <f>MONTH('data on outstanding creditors'!$B1204)</f>
        <v>6</v>
      </c>
      <c r="S1204" s="7">
        <f>YEAR('data on outstanding creditors'!$B1204)</f>
        <v>2025</v>
      </c>
      <c r="T1204" s="11" t="str">
        <f>'data on outstanding creditors'!$C1204&amp;" "&amp;'data on outstanding creditors'!$D1204&amp;" "&amp;TEXT('data on outstanding creditors'!$E1204,"#,##0.00")</f>
        <v>หจก.ภิญโญฟาร์มาซี IV6832942 17,500.00</v>
      </c>
      <c r="U1204" s="12"/>
    </row>
    <row r="1205" ht="13.5" customHeight="1">
      <c r="A1205" s="1"/>
      <c r="B1205" s="2">
        <v>45835.0</v>
      </c>
      <c r="C1205" s="9" t="s">
        <v>1391</v>
      </c>
      <c r="D1205" s="1" t="s">
        <v>1739</v>
      </c>
      <c r="E1205" s="4">
        <v>15200.0</v>
      </c>
      <c r="F1205" s="4"/>
      <c r="G1205" s="4"/>
      <c r="H1205" s="4">
        <f>'data on outstanding creditors'!$E1205-'data on outstanding creditors'!$F1205-'data on outstanding creditors'!$G1205</f>
        <v>15200</v>
      </c>
      <c r="I1205" s="2"/>
      <c r="J1205" s="1" t="s">
        <v>646</v>
      </c>
      <c r="K1205" s="2">
        <v>45928.0</v>
      </c>
      <c r="L1205" s="5"/>
      <c r="M1205" s="9" t="s">
        <v>22</v>
      </c>
      <c r="N1205" s="9" t="s">
        <v>23</v>
      </c>
      <c r="O1205" s="10">
        <f>'data on outstanding creditors'!$E1205*100/107</f>
        <v>14205.60748</v>
      </c>
      <c r="P1205" s="10">
        <f>'data on outstanding creditors'!$E1205-'data on outstanding creditors'!$O1205</f>
        <v>994.3925234</v>
      </c>
      <c r="Q1205" s="7">
        <f>DAY('data on outstanding creditors'!$B1205)</f>
        <v>27</v>
      </c>
      <c r="R1205" s="7">
        <f>MONTH('data on outstanding creditors'!$B1205)</f>
        <v>6</v>
      </c>
      <c r="S1205" s="7">
        <f>YEAR('data on outstanding creditors'!$B1205)</f>
        <v>2025</v>
      </c>
      <c r="T1205" s="11" t="str">
        <f>'data on outstanding creditors'!$C1205&amp;" "&amp;'data on outstanding creditors'!$D1205&amp;" "&amp;TEXT('data on outstanding creditors'!$E1205,"#,##0.00")</f>
        <v>บ.ที.พี.ดรัก แลบบอราทอรี่ส์ VIV125062305 15,200.00</v>
      </c>
      <c r="U1205" s="12"/>
    </row>
    <row r="1206" ht="13.5" customHeight="1">
      <c r="A1206" s="1"/>
      <c r="B1206" s="2">
        <v>45835.0</v>
      </c>
      <c r="C1206" s="9" t="s">
        <v>24</v>
      </c>
      <c r="D1206" s="1" t="s">
        <v>1740</v>
      </c>
      <c r="E1206" s="4">
        <v>27500.0</v>
      </c>
      <c r="F1206" s="4"/>
      <c r="G1206" s="4"/>
      <c r="H1206" s="4">
        <f>'data on outstanding creditors'!$E1206-'data on outstanding creditors'!$F1206-'data on outstanding creditors'!$G1206</f>
        <v>27500</v>
      </c>
      <c r="I1206" s="2"/>
      <c r="J1206" s="1" t="s">
        <v>646</v>
      </c>
      <c r="K1206" s="2">
        <v>45928.0</v>
      </c>
      <c r="L1206" s="5"/>
      <c r="M1206" s="9" t="s">
        <v>22</v>
      </c>
      <c r="N1206" s="9" t="s">
        <v>23</v>
      </c>
      <c r="O1206" s="10">
        <f>'data on outstanding creditors'!$E1206*100/107</f>
        <v>25700.93458</v>
      </c>
      <c r="P1206" s="10">
        <f>'data on outstanding creditors'!$E1206-'data on outstanding creditors'!$O1206</f>
        <v>1799.065421</v>
      </c>
      <c r="Q1206" s="7">
        <f>DAY('data on outstanding creditors'!$B1206)</f>
        <v>27</v>
      </c>
      <c r="R1206" s="7">
        <f>MONTH('data on outstanding creditors'!$B1206)</f>
        <v>6</v>
      </c>
      <c r="S1206" s="7">
        <f>YEAR('data on outstanding creditors'!$B1206)</f>
        <v>2025</v>
      </c>
      <c r="T1206" s="11" t="str">
        <f>'data on outstanding creditors'!$C1206&amp;" "&amp;'data on outstanding creditors'!$D1206&amp;" "&amp;TEXT('data on outstanding creditors'!$E1206,"#,##0.00")</f>
        <v>บ.เซ็นทรัลโพลีเทรดดิ้ง 31i25037096 27,500.00</v>
      </c>
      <c r="U1206" s="12"/>
    </row>
    <row r="1207" ht="13.5" customHeight="1">
      <c r="A1207" s="1"/>
      <c r="B1207" s="2">
        <v>45839.0</v>
      </c>
      <c r="C1207" s="9" t="s">
        <v>1314</v>
      </c>
      <c r="D1207" s="1" t="s">
        <v>1741</v>
      </c>
      <c r="E1207" s="4">
        <v>5500.0</v>
      </c>
      <c r="F1207" s="4"/>
      <c r="G1207" s="4"/>
      <c r="H1207" s="4">
        <f>'data on outstanding creditors'!$E1207-'data on outstanding creditors'!$F1207-'data on outstanding creditors'!$G1207</f>
        <v>5500</v>
      </c>
      <c r="I1207" s="2"/>
      <c r="J1207" s="1" t="s">
        <v>646</v>
      </c>
      <c r="K1207" s="2">
        <v>45877.0</v>
      </c>
      <c r="L1207" s="5"/>
      <c r="M1207" s="9" t="s">
        <v>22</v>
      </c>
      <c r="N1207" s="9" t="s">
        <v>23</v>
      </c>
      <c r="O1207" s="10">
        <f>'data on outstanding creditors'!$E1207*100/107</f>
        <v>5140.186916</v>
      </c>
      <c r="P1207" s="10">
        <f>'data on outstanding creditors'!$E1207-'data on outstanding creditors'!$O1207</f>
        <v>359.8130841</v>
      </c>
      <c r="Q1207" s="7">
        <f>DAY('data on outstanding creditors'!$B1207)</f>
        <v>1</v>
      </c>
      <c r="R1207" s="7">
        <f>MONTH('data on outstanding creditors'!$B1207)</f>
        <v>7</v>
      </c>
      <c r="S1207" s="7">
        <f>YEAR('data on outstanding creditors'!$B1207)</f>
        <v>2025</v>
      </c>
      <c r="T1207" s="11" t="str">
        <f>'data on outstanding creditors'!$C1207&amp;" "&amp;'data on outstanding creditors'!$D1207&amp;" "&amp;TEXT('data on outstanding creditors'!$E1207,"#,##0.00")</f>
        <v>บ.บูรพา ฟาร์มา DHP6800951 5,500.00</v>
      </c>
      <c r="U1207" s="12"/>
    </row>
    <row r="1208" ht="13.5" customHeight="1">
      <c r="A1208" s="1"/>
      <c r="B1208" s="2">
        <v>45839.0</v>
      </c>
      <c r="C1208" s="9" t="s">
        <v>520</v>
      </c>
      <c r="D1208" s="1" t="s">
        <v>1742</v>
      </c>
      <c r="E1208" s="4">
        <v>12840.0</v>
      </c>
      <c r="F1208" s="4"/>
      <c r="G1208" s="4"/>
      <c r="H1208" s="4">
        <f>'data on outstanding creditors'!$E1208-'data on outstanding creditors'!$F1208-'data on outstanding creditors'!$G1208</f>
        <v>12840</v>
      </c>
      <c r="I1208" s="2"/>
      <c r="J1208" s="1" t="s">
        <v>757</v>
      </c>
      <c r="K1208" s="2">
        <v>45967.0</v>
      </c>
      <c r="L1208" s="5"/>
      <c r="M1208" s="9" t="s">
        <v>22</v>
      </c>
      <c r="N1208" s="9" t="s">
        <v>23</v>
      </c>
      <c r="O1208" s="10">
        <f>'data on outstanding creditors'!$E1208*100/107</f>
        <v>12000</v>
      </c>
      <c r="P1208" s="10">
        <f>'data on outstanding creditors'!$E1208-'data on outstanding creditors'!$O1208</f>
        <v>840</v>
      </c>
      <c r="Q1208" s="7">
        <f>DAY('data on outstanding creditors'!$B1208)</f>
        <v>1</v>
      </c>
      <c r="R1208" s="7">
        <f>MONTH('data on outstanding creditors'!$B1208)</f>
        <v>7</v>
      </c>
      <c r="S1208" s="7">
        <f>YEAR('data on outstanding creditors'!$B1208)</f>
        <v>2025</v>
      </c>
      <c r="T1208" s="11" t="str">
        <f>'data on outstanding creditors'!$C1208&amp;" "&amp;'data on outstanding creditors'!$D1208&amp;" "&amp;TEXT('data on outstanding creditors'!$E1208,"#,##0.00")</f>
        <v>บ.ซิลลิคฟาร์มา 1317490893 12,840.00</v>
      </c>
      <c r="U1208" s="12"/>
    </row>
    <row r="1209" ht="13.5" customHeight="1">
      <c r="A1209" s="1"/>
      <c r="B1209" s="2">
        <v>45839.0</v>
      </c>
      <c r="C1209" s="9" t="s">
        <v>1469</v>
      </c>
      <c r="D1209" s="1" t="s">
        <v>1743</v>
      </c>
      <c r="E1209" s="4">
        <v>24075.0</v>
      </c>
      <c r="F1209" s="4"/>
      <c r="G1209" s="4"/>
      <c r="H1209" s="4">
        <f>'data on outstanding creditors'!$E1209-'data on outstanding creditors'!$F1209-'data on outstanding creditors'!$G1209</f>
        <v>24075</v>
      </c>
      <c r="I1209" s="2"/>
      <c r="J1209" s="1" t="s">
        <v>757</v>
      </c>
      <c r="K1209" s="2">
        <v>45872.0</v>
      </c>
      <c r="L1209" s="5"/>
      <c r="M1209" s="9" t="s">
        <v>22</v>
      </c>
      <c r="N1209" s="9" t="s">
        <v>23</v>
      </c>
      <c r="O1209" s="10">
        <f>'data on outstanding creditors'!$E1209*100/107</f>
        <v>22500</v>
      </c>
      <c r="P1209" s="10">
        <f>'data on outstanding creditors'!$E1209-'data on outstanding creditors'!$O1209</f>
        <v>1575</v>
      </c>
      <c r="Q1209" s="7">
        <f>DAY('data on outstanding creditors'!$B1209)</f>
        <v>1</v>
      </c>
      <c r="R1209" s="7">
        <f>MONTH('data on outstanding creditors'!$B1209)</f>
        <v>7</v>
      </c>
      <c r="S1209" s="7">
        <f>YEAR('data on outstanding creditors'!$B1209)</f>
        <v>2025</v>
      </c>
      <c r="T1209" s="11" t="str">
        <f>'data on outstanding creditors'!$C1209&amp;" "&amp;'data on outstanding creditors'!$D1209&amp;" "&amp;TEXT('data on outstanding creditors'!$E1209,"#,##0.00")</f>
        <v>บ.สยามฟาร์มาซูติคอล 1250611419 24,075.00</v>
      </c>
      <c r="U1209" s="12"/>
    </row>
    <row r="1210" ht="13.5" customHeight="1">
      <c r="A1210" s="1"/>
      <c r="B1210" s="2">
        <v>45839.0</v>
      </c>
      <c r="C1210" s="9" t="s">
        <v>263</v>
      </c>
      <c r="D1210" s="1" t="s">
        <v>1744</v>
      </c>
      <c r="E1210" s="4">
        <v>9900.0</v>
      </c>
      <c r="F1210" s="4"/>
      <c r="G1210" s="4"/>
      <c r="H1210" s="4">
        <f>'data on outstanding creditors'!$E1210-'data on outstanding creditors'!$F1210-'data on outstanding creditors'!$G1210</f>
        <v>9900</v>
      </c>
      <c r="I1210" s="2"/>
      <c r="J1210" s="1" t="s">
        <v>646</v>
      </c>
      <c r="K1210" s="2">
        <v>45928.0</v>
      </c>
      <c r="L1210" s="5"/>
      <c r="M1210" s="9" t="s">
        <v>22</v>
      </c>
      <c r="N1210" s="9" t="s">
        <v>23</v>
      </c>
      <c r="O1210" s="10">
        <f>'data on outstanding creditors'!$E1210*100/107</f>
        <v>9252.336449</v>
      </c>
      <c r="P1210" s="10">
        <f>'data on outstanding creditors'!$E1210-'data on outstanding creditors'!$O1210</f>
        <v>647.6635514</v>
      </c>
      <c r="Q1210" s="7">
        <f>DAY('data on outstanding creditors'!$B1210)</f>
        <v>1</v>
      </c>
      <c r="R1210" s="7">
        <f>MONTH('data on outstanding creditors'!$B1210)</f>
        <v>7</v>
      </c>
      <c r="S1210" s="7">
        <f>YEAR('data on outstanding creditors'!$B1210)</f>
        <v>2025</v>
      </c>
      <c r="T1210" s="11" t="str">
        <f>'data on outstanding creditors'!$C1210&amp;" "&amp;'data on outstanding creditors'!$D1210&amp;" "&amp;TEXT('data on outstanding creditors'!$E1210,"#,##0.00")</f>
        <v>บ.เอเบิ้ล เมดิคอล M2506/0605 9,900.00</v>
      </c>
      <c r="U1210" s="12"/>
    </row>
    <row r="1211" ht="13.5" customHeight="1">
      <c r="A1211" s="1"/>
      <c r="B1211" s="2">
        <v>45840.0</v>
      </c>
      <c r="C1211" s="9" t="s">
        <v>1247</v>
      </c>
      <c r="D1211" s="1" t="s">
        <v>1745</v>
      </c>
      <c r="E1211" s="4">
        <v>3466.8</v>
      </c>
      <c r="F1211" s="4"/>
      <c r="G1211" s="4"/>
      <c r="H1211" s="4">
        <f>'data on outstanding creditors'!$E1211-'data on outstanding creditors'!$F1211-'data on outstanding creditors'!$G1211</f>
        <v>3466.8</v>
      </c>
      <c r="I1211" s="2"/>
      <c r="J1211" s="1" t="s">
        <v>646</v>
      </c>
      <c r="K1211" s="2">
        <v>45954.0</v>
      </c>
      <c r="L1211" s="5"/>
      <c r="M1211" s="9" t="s">
        <v>22</v>
      </c>
      <c r="N1211" s="9" t="s">
        <v>23</v>
      </c>
      <c r="O1211" s="10">
        <f>'data on outstanding creditors'!$E1211*100/107</f>
        <v>3240</v>
      </c>
      <c r="P1211" s="10">
        <f>'data on outstanding creditors'!$E1211-'data on outstanding creditors'!$O1211</f>
        <v>226.8</v>
      </c>
      <c r="Q1211" s="7">
        <f>DAY('data on outstanding creditors'!$B1211)</f>
        <v>2</v>
      </c>
      <c r="R1211" s="7">
        <f>MONTH('data on outstanding creditors'!$B1211)</f>
        <v>7</v>
      </c>
      <c r="S1211" s="7">
        <f>YEAR('data on outstanding creditors'!$B1211)</f>
        <v>2025</v>
      </c>
      <c r="T1211" s="11" t="str">
        <f>'data on outstanding creditors'!$C1211&amp;" "&amp;'data on outstanding creditors'!$D1211&amp;" "&amp;TEXT('data on outstanding creditors'!$E1211,"#,##0.00")</f>
        <v>บ.เอ.เอ็น.บี.ลาบอรอตอรี่ 8370904352 3,466.80</v>
      </c>
      <c r="U1211" s="12"/>
    </row>
    <row r="1212" ht="13.5" customHeight="1">
      <c r="A1212" s="1"/>
      <c r="B1212" s="2">
        <v>45840.0</v>
      </c>
      <c r="C1212" s="9" t="s">
        <v>767</v>
      </c>
      <c r="D1212" s="1" t="s">
        <v>1746</v>
      </c>
      <c r="E1212" s="4">
        <v>22200.0</v>
      </c>
      <c r="F1212" s="4"/>
      <c r="G1212" s="4"/>
      <c r="H1212" s="4">
        <f>'data on outstanding creditors'!$E1212-'data on outstanding creditors'!$F1212-'data on outstanding creditors'!$G1212</f>
        <v>22200</v>
      </c>
      <c r="I1212" s="2"/>
      <c r="J1212" s="1" t="s">
        <v>646</v>
      </c>
      <c r="K1212" s="2">
        <v>45944.0</v>
      </c>
      <c r="L1212" s="5"/>
      <c r="M1212" s="9" t="s">
        <v>22</v>
      </c>
      <c r="N1212" s="9" t="s">
        <v>23</v>
      </c>
      <c r="O1212" s="10">
        <f>'data on outstanding creditors'!$E1212*100/107</f>
        <v>20747.66355</v>
      </c>
      <c r="P1212" s="10">
        <f>'data on outstanding creditors'!$E1212-'data on outstanding creditors'!$O1212</f>
        <v>1452.336449</v>
      </c>
      <c r="Q1212" s="7">
        <f>DAY('data on outstanding creditors'!$B1212)</f>
        <v>2</v>
      </c>
      <c r="R1212" s="7">
        <f>MONTH('data on outstanding creditors'!$B1212)</f>
        <v>7</v>
      </c>
      <c r="S1212" s="7">
        <f>YEAR('data on outstanding creditors'!$B1212)</f>
        <v>2025</v>
      </c>
      <c r="T1212" s="11" t="str">
        <f>'data on outstanding creditors'!$C1212&amp;" "&amp;'data on outstanding creditors'!$D1212&amp;" "&amp;TEXT('data on outstanding creditors'!$E1212,"#,##0.00")</f>
        <v>บ.คอสม่า เทรดดิ้ง 310657403617 22,200.00</v>
      </c>
      <c r="U1212" s="12"/>
    </row>
    <row r="1213" ht="13.5" customHeight="1">
      <c r="A1213" s="1"/>
      <c r="B1213" s="2">
        <v>45840.0</v>
      </c>
      <c r="C1213" s="9" t="s">
        <v>1381</v>
      </c>
      <c r="D1213" s="1" t="s">
        <v>1747</v>
      </c>
      <c r="E1213" s="4">
        <v>90000.0</v>
      </c>
      <c r="F1213" s="4"/>
      <c r="G1213" s="4"/>
      <c r="H1213" s="4">
        <f>'data on outstanding creditors'!$E1213-'data on outstanding creditors'!$F1213-'data on outstanding creditors'!$G1213</f>
        <v>90000</v>
      </c>
      <c r="I1213" s="2"/>
      <c r="J1213" s="1" t="s">
        <v>646</v>
      </c>
      <c r="K1213" s="2">
        <v>45894.0</v>
      </c>
      <c r="L1213" s="5"/>
      <c r="M1213" s="9" t="s">
        <v>22</v>
      </c>
      <c r="N1213" s="9" t="s">
        <v>23</v>
      </c>
      <c r="O1213" s="10">
        <f>'data on outstanding creditors'!$E1213*100/107</f>
        <v>84112.14953</v>
      </c>
      <c r="P1213" s="10">
        <f>'data on outstanding creditors'!$E1213-'data on outstanding creditors'!$O1213</f>
        <v>5887.850467</v>
      </c>
      <c r="Q1213" s="7">
        <f>DAY('data on outstanding creditors'!$B1213)</f>
        <v>2</v>
      </c>
      <c r="R1213" s="7">
        <f>MONTH('data on outstanding creditors'!$B1213)</f>
        <v>7</v>
      </c>
      <c r="S1213" s="7">
        <f>YEAR('data on outstanding creditors'!$B1213)</f>
        <v>2025</v>
      </c>
      <c r="T1213" s="11" t="str">
        <f>'data on outstanding creditors'!$C1213&amp;" "&amp;'data on outstanding creditors'!$D1213&amp;" "&amp;TEXT('data on outstanding creditors'!$E1213,"#,##0.00")</f>
        <v>บ.ที เอ็น พี เฮลท์แคร์ 8103432875 90,000.00</v>
      </c>
      <c r="U1213" s="12"/>
    </row>
    <row r="1214" ht="13.5" customHeight="1">
      <c r="A1214" s="1"/>
      <c r="B1214" s="2">
        <v>45840.0</v>
      </c>
      <c r="C1214" s="9" t="s">
        <v>24</v>
      </c>
      <c r="D1214" s="1" t="s">
        <v>1748</v>
      </c>
      <c r="E1214" s="4">
        <v>43750.0</v>
      </c>
      <c r="F1214" s="4"/>
      <c r="G1214" s="4"/>
      <c r="H1214" s="4">
        <f>'data on outstanding creditors'!$E1214-'data on outstanding creditors'!$F1214-'data on outstanding creditors'!$G1214</f>
        <v>43750</v>
      </c>
      <c r="I1214" s="2"/>
      <c r="J1214" s="1" t="s">
        <v>646</v>
      </c>
      <c r="K1214" s="2">
        <v>45928.0</v>
      </c>
      <c r="L1214" s="5"/>
      <c r="M1214" s="9" t="s">
        <v>22</v>
      </c>
      <c r="N1214" s="9" t="s">
        <v>23</v>
      </c>
      <c r="O1214" s="10">
        <f>'data on outstanding creditors'!$E1214*100/107</f>
        <v>40887.85047</v>
      </c>
      <c r="P1214" s="10">
        <f>'data on outstanding creditors'!$E1214-'data on outstanding creditors'!$O1214</f>
        <v>2862.149533</v>
      </c>
      <c r="Q1214" s="7">
        <f>DAY('data on outstanding creditors'!$B1214)</f>
        <v>2</v>
      </c>
      <c r="R1214" s="7">
        <f>MONTH('data on outstanding creditors'!$B1214)</f>
        <v>7</v>
      </c>
      <c r="S1214" s="7">
        <f>YEAR('data on outstanding creditors'!$B1214)</f>
        <v>2025</v>
      </c>
      <c r="T1214" s="11" t="str">
        <f>'data on outstanding creditors'!$C1214&amp;" "&amp;'data on outstanding creditors'!$D1214&amp;" "&amp;TEXT('data on outstanding creditors'!$E1214,"#,##0.00")</f>
        <v>บ.เซ็นทรัลโพลีเทรดดิ้ง 31i25037714 43,750.00</v>
      </c>
      <c r="U1214" s="12"/>
    </row>
    <row r="1215" ht="13.5" customHeight="1">
      <c r="A1215" s="1"/>
      <c r="B1215" s="2">
        <v>45840.0</v>
      </c>
      <c r="C1215" s="9" t="s">
        <v>929</v>
      </c>
      <c r="D1215" s="1" t="s">
        <v>1749</v>
      </c>
      <c r="E1215" s="4">
        <v>9600.0</v>
      </c>
      <c r="F1215" s="4"/>
      <c r="G1215" s="4"/>
      <c r="H1215" s="4">
        <f>'data on outstanding creditors'!$E1215-'data on outstanding creditors'!$F1215-'data on outstanding creditors'!$G1215</f>
        <v>9600</v>
      </c>
      <c r="I1215" s="2"/>
      <c r="J1215" s="1" t="s">
        <v>646</v>
      </c>
      <c r="K1215" s="2">
        <v>45887.0</v>
      </c>
      <c r="L1215" s="5"/>
      <c r="M1215" s="9" t="s">
        <v>22</v>
      </c>
      <c r="N1215" s="9" t="s">
        <v>23</v>
      </c>
      <c r="O1215" s="10">
        <f>'data on outstanding creditors'!$E1215*100/107</f>
        <v>8971.962617</v>
      </c>
      <c r="P1215" s="10">
        <f>'data on outstanding creditors'!$E1215-'data on outstanding creditors'!$O1215</f>
        <v>628.0373832</v>
      </c>
      <c r="Q1215" s="7">
        <f>DAY('data on outstanding creditors'!$B1215)</f>
        <v>2</v>
      </c>
      <c r="R1215" s="7">
        <f>MONTH('data on outstanding creditors'!$B1215)</f>
        <v>7</v>
      </c>
      <c r="S1215" s="7">
        <f>YEAR('data on outstanding creditors'!$B1215)</f>
        <v>2025</v>
      </c>
      <c r="T1215" s="11" t="str">
        <f>'data on outstanding creditors'!$C1215&amp;" "&amp;'data on outstanding creditors'!$D1215&amp;" "&amp;TEXT('data on outstanding creditors'!$E1215,"#,##0.00")</f>
        <v>บ.เยนเนอร์ราลดรั๊กส์เฮ้าส์ 25106739 9,600.00</v>
      </c>
      <c r="U1215" s="12"/>
    </row>
    <row r="1216" ht="13.5" customHeight="1">
      <c r="A1216" s="1"/>
      <c r="B1216" s="2">
        <v>45840.0</v>
      </c>
      <c r="C1216" s="9" t="s">
        <v>1386</v>
      </c>
      <c r="D1216" s="1" t="s">
        <v>1750</v>
      </c>
      <c r="E1216" s="4">
        <v>11400.0</v>
      </c>
      <c r="F1216" s="4"/>
      <c r="G1216" s="4"/>
      <c r="H1216" s="4">
        <f>'data on outstanding creditors'!$E1216-'data on outstanding creditors'!$F1216-'data on outstanding creditors'!$G1216</f>
        <v>11400</v>
      </c>
      <c r="I1216" s="2"/>
      <c r="J1216" s="1" t="s">
        <v>646</v>
      </c>
      <c r="K1216" s="2">
        <v>45906.0</v>
      </c>
      <c r="L1216" s="5"/>
      <c r="M1216" s="9" t="s">
        <v>22</v>
      </c>
      <c r="N1216" s="9" t="s">
        <v>23</v>
      </c>
      <c r="O1216" s="10">
        <f>'data on outstanding creditors'!$E1216*100/107</f>
        <v>10654.20561</v>
      </c>
      <c r="P1216" s="10">
        <f>'data on outstanding creditors'!$E1216-'data on outstanding creditors'!$O1216</f>
        <v>745.7943925</v>
      </c>
      <c r="Q1216" s="7">
        <f>DAY('data on outstanding creditors'!$B1216)</f>
        <v>2</v>
      </c>
      <c r="R1216" s="7">
        <f>MONTH('data on outstanding creditors'!$B1216)</f>
        <v>7</v>
      </c>
      <c r="S1216" s="7">
        <f>YEAR('data on outstanding creditors'!$B1216)</f>
        <v>2025</v>
      </c>
      <c r="T1216" s="11" t="str">
        <f>'data on outstanding creditors'!$C1216&amp;" "&amp;'data on outstanding creditors'!$D1216&amp;" "&amp;TEXT('data on outstanding creditors'!$E1216,"#,##0.00")</f>
        <v>บ.ฟาร์ม่า อินโนวา 6803481 11,400.00</v>
      </c>
      <c r="U1216" s="12"/>
    </row>
    <row r="1217" ht="13.5" customHeight="1">
      <c r="A1217" s="1"/>
      <c r="B1217" s="2">
        <v>45841.0</v>
      </c>
      <c r="C1217" s="9" t="s">
        <v>1666</v>
      </c>
      <c r="D1217" s="1" t="s">
        <v>1751</v>
      </c>
      <c r="E1217" s="4">
        <v>124032.0</v>
      </c>
      <c r="F1217" s="4"/>
      <c r="G1217" s="4"/>
      <c r="H1217" s="4">
        <f>'data on outstanding creditors'!$E1217-'data on outstanding creditors'!$F1217-'data on outstanding creditors'!$G1217</f>
        <v>124032</v>
      </c>
      <c r="I1217" s="2"/>
      <c r="J1217" s="1" t="s">
        <v>646</v>
      </c>
      <c r="K1217" s="2">
        <v>45901.0</v>
      </c>
      <c r="L1217" s="5"/>
      <c r="M1217" s="9" t="s">
        <v>22</v>
      </c>
      <c r="N1217" s="9" t="s">
        <v>23</v>
      </c>
      <c r="O1217" s="10">
        <f>'data on outstanding creditors'!$E1217*100/107</f>
        <v>115917.757</v>
      </c>
      <c r="P1217" s="10">
        <f>'data on outstanding creditors'!$E1217-'data on outstanding creditors'!$O1217</f>
        <v>8114.242991</v>
      </c>
      <c r="Q1217" s="7">
        <f>DAY('data on outstanding creditors'!$B1217)</f>
        <v>3</v>
      </c>
      <c r="R1217" s="7">
        <f>MONTH('data on outstanding creditors'!$B1217)</f>
        <v>7</v>
      </c>
      <c r="S1217" s="7">
        <f>YEAR('data on outstanding creditors'!$B1217)</f>
        <v>2025</v>
      </c>
      <c r="T1217" s="11" t="str">
        <f>'data on outstanding creditors'!$C1217&amp;" "&amp;'data on outstanding creditors'!$D1217&amp;" "&amp;TEXT('data on outstanding creditors'!$E1217,"#,##0.00")</f>
        <v>บ.โมเดิร์น ฟาร์มา INV6806-0011 124,032.00</v>
      </c>
      <c r="U1217" s="12"/>
    </row>
    <row r="1218" ht="13.5" customHeight="1">
      <c r="A1218" s="1"/>
      <c r="B1218" s="2">
        <v>45841.0</v>
      </c>
      <c r="C1218" s="9" t="s">
        <v>520</v>
      </c>
      <c r="D1218" s="1" t="s">
        <v>1752</v>
      </c>
      <c r="E1218" s="4">
        <v>100580.0</v>
      </c>
      <c r="F1218" s="4"/>
      <c r="G1218" s="4"/>
      <c r="H1218" s="4">
        <f>'data on outstanding creditors'!$E1218-'data on outstanding creditors'!$F1218-'data on outstanding creditors'!$G1218</f>
        <v>100580</v>
      </c>
      <c r="I1218" s="2"/>
      <c r="J1218" s="1" t="s">
        <v>646</v>
      </c>
      <c r="K1218" s="2">
        <v>45943.0</v>
      </c>
      <c r="L1218" s="5"/>
      <c r="M1218" s="9" t="s">
        <v>22</v>
      </c>
      <c r="N1218" s="9" t="s">
        <v>23</v>
      </c>
      <c r="O1218" s="10">
        <f>'data on outstanding creditors'!$E1218*100/107</f>
        <v>94000</v>
      </c>
      <c r="P1218" s="10">
        <f>'data on outstanding creditors'!$E1218-'data on outstanding creditors'!$O1218</f>
        <v>6580</v>
      </c>
      <c r="Q1218" s="7">
        <f>DAY('data on outstanding creditors'!$B1218)</f>
        <v>3</v>
      </c>
      <c r="R1218" s="7">
        <f>MONTH('data on outstanding creditors'!$B1218)</f>
        <v>7</v>
      </c>
      <c r="S1218" s="7">
        <f>YEAR('data on outstanding creditors'!$B1218)</f>
        <v>2025</v>
      </c>
      <c r="T1218" s="11" t="str">
        <f>'data on outstanding creditors'!$C1218&amp;" "&amp;'data on outstanding creditors'!$D1218&amp;" "&amp;TEXT('data on outstanding creditors'!$E1218,"#,##0.00")</f>
        <v>บ.ซิลลิคฟาร์มา 1317512229 100,580.00</v>
      </c>
      <c r="U1218" s="12"/>
    </row>
    <row r="1219" ht="13.5" customHeight="1">
      <c r="A1219" s="1"/>
      <c r="B1219" s="2">
        <v>45841.0</v>
      </c>
      <c r="C1219" s="9" t="s">
        <v>771</v>
      </c>
      <c r="D1219" s="1" t="s">
        <v>1753</v>
      </c>
      <c r="E1219" s="4">
        <v>141600.0</v>
      </c>
      <c r="F1219" s="4"/>
      <c r="G1219" s="4"/>
      <c r="H1219" s="4">
        <f>'data on outstanding creditors'!$E1219-'data on outstanding creditors'!$F1219-'data on outstanding creditors'!$G1219</f>
        <v>141600</v>
      </c>
      <c r="I1219" s="2"/>
      <c r="J1219" s="1" t="s">
        <v>646</v>
      </c>
      <c r="K1219" s="2">
        <v>45929.0</v>
      </c>
      <c r="L1219" s="5"/>
      <c r="M1219" s="9" t="s">
        <v>22</v>
      </c>
      <c r="N1219" s="9" t="s">
        <v>23</v>
      </c>
      <c r="O1219" s="10">
        <f>'data on outstanding creditors'!$E1219*100/107</f>
        <v>132336.4486</v>
      </c>
      <c r="P1219" s="10">
        <f>'data on outstanding creditors'!$E1219-'data on outstanding creditors'!$O1219</f>
        <v>9263.551402</v>
      </c>
      <c r="Q1219" s="7">
        <f>DAY('data on outstanding creditors'!$B1219)</f>
        <v>3</v>
      </c>
      <c r="R1219" s="7">
        <f>MONTH('data on outstanding creditors'!$B1219)</f>
        <v>7</v>
      </c>
      <c r="S1219" s="7">
        <f>YEAR('data on outstanding creditors'!$B1219)</f>
        <v>2025</v>
      </c>
      <c r="T1219" s="11" t="str">
        <f>'data on outstanding creditors'!$C1219&amp;" "&amp;'data on outstanding creditors'!$D1219&amp;" "&amp;TEXT('data on outstanding creditors'!$E1219,"#,##0.00")</f>
        <v>หจก.ภิญโญฟาร์มาซี IV6833058 141,600.00</v>
      </c>
      <c r="U1219" s="12"/>
    </row>
    <row r="1220" ht="13.5" customHeight="1">
      <c r="A1220" s="1"/>
      <c r="B1220" s="2">
        <v>45842.0</v>
      </c>
      <c r="C1220" s="9" t="s">
        <v>1391</v>
      </c>
      <c r="D1220" s="1" t="s">
        <v>1754</v>
      </c>
      <c r="E1220" s="4">
        <v>4959.0</v>
      </c>
      <c r="F1220" s="4"/>
      <c r="G1220" s="4"/>
      <c r="H1220" s="4">
        <f>'data on outstanding creditors'!$E1220-'data on outstanding creditors'!$F1220-'data on outstanding creditors'!$G1220</f>
        <v>4959</v>
      </c>
      <c r="I1220" s="2"/>
      <c r="J1220" s="1" t="s">
        <v>646</v>
      </c>
      <c r="K1220" s="2">
        <v>45928.0</v>
      </c>
      <c r="L1220" s="5"/>
      <c r="M1220" s="9" t="s">
        <v>22</v>
      </c>
      <c r="N1220" s="9" t="s">
        <v>23</v>
      </c>
      <c r="O1220" s="10">
        <f>'data on outstanding creditors'!$E1220*100/107</f>
        <v>4634.579439</v>
      </c>
      <c r="P1220" s="10">
        <f>'data on outstanding creditors'!$E1220-'data on outstanding creditors'!$O1220</f>
        <v>324.4205607</v>
      </c>
      <c r="Q1220" s="7">
        <f>DAY('data on outstanding creditors'!$B1220)</f>
        <v>4</v>
      </c>
      <c r="R1220" s="7">
        <f>MONTH('data on outstanding creditors'!$B1220)</f>
        <v>7</v>
      </c>
      <c r="S1220" s="7">
        <f>YEAR('data on outstanding creditors'!$B1220)</f>
        <v>2025</v>
      </c>
      <c r="T1220" s="11" t="str">
        <f>'data on outstanding creditors'!$C1220&amp;" "&amp;'data on outstanding creditors'!$D1220&amp;" "&amp;TEXT('data on outstanding creditors'!$E1220,"#,##0.00")</f>
        <v>บ.ที.พี.ดรัก แลบบอราทอรี่ส์ VIV125062855 4,959.00</v>
      </c>
      <c r="U1220" s="12"/>
    </row>
    <row r="1221" ht="13.5" customHeight="1">
      <c r="A1221" s="1"/>
      <c r="B1221" s="2">
        <v>45842.0</v>
      </c>
      <c r="C1221" s="9" t="s">
        <v>1230</v>
      </c>
      <c r="D1221" s="1" t="s">
        <v>1755</v>
      </c>
      <c r="E1221" s="4">
        <v>18000.0</v>
      </c>
      <c r="F1221" s="4"/>
      <c r="G1221" s="4"/>
      <c r="H1221" s="4">
        <f>'data on outstanding creditors'!$E1221-'data on outstanding creditors'!$F1221-'data on outstanding creditors'!$G1221</f>
        <v>18000</v>
      </c>
      <c r="I1221" s="2"/>
      <c r="J1221" s="1" t="s">
        <v>757</v>
      </c>
      <c r="K1221" s="2">
        <v>45874.0</v>
      </c>
      <c r="L1221" s="5"/>
      <c r="M1221" s="9" t="s">
        <v>22</v>
      </c>
      <c r="N1221" s="9" t="s">
        <v>23</v>
      </c>
      <c r="O1221" s="10">
        <f>'data on outstanding creditors'!$E1221*100/107</f>
        <v>16822.42991</v>
      </c>
      <c r="P1221" s="10">
        <f>'data on outstanding creditors'!$E1221-'data on outstanding creditors'!$O1221</f>
        <v>1177.570093</v>
      </c>
      <c r="Q1221" s="7">
        <f>DAY('data on outstanding creditors'!$B1221)</f>
        <v>4</v>
      </c>
      <c r="R1221" s="7">
        <f>MONTH('data on outstanding creditors'!$B1221)</f>
        <v>7</v>
      </c>
      <c r="S1221" s="7">
        <f>YEAR('data on outstanding creditors'!$B1221)</f>
        <v>2025</v>
      </c>
      <c r="T1221" s="11" t="str">
        <f>'data on outstanding creditors'!$C1221&amp;" "&amp;'data on outstanding creditors'!$D1221&amp;" "&amp;TEXT('data on outstanding creditors'!$E1221,"#,##0.00")</f>
        <v>บ.พรอส ฟาร์มา INV-L-IM\2025070093 18,000.00</v>
      </c>
      <c r="U1221" s="12"/>
    </row>
    <row r="1222" ht="13.5" customHeight="1">
      <c r="A1222" s="1"/>
      <c r="B1222" s="2">
        <v>45842.0</v>
      </c>
      <c r="C1222" s="9" t="s">
        <v>1243</v>
      </c>
      <c r="D1222" s="1" t="s">
        <v>1756</v>
      </c>
      <c r="E1222" s="4">
        <v>25000.0</v>
      </c>
      <c r="F1222" s="4"/>
      <c r="G1222" s="4"/>
      <c r="H1222" s="4">
        <f>'data on outstanding creditors'!$E1222-'data on outstanding creditors'!$F1222-'data on outstanding creditors'!$G1222</f>
        <v>25000</v>
      </c>
      <c r="I1222" s="2"/>
      <c r="J1222" s="1" t="s">
        <v>757</v>
      </c>
      <c r="K1222" s="2">
        <v>45874.0</v>
      </c>
      <c r="L1222" s="5"/>
      <c r="M1222" s="9" t="s">
        <v>22</v>
      </c>
      <c r="N1222" s="9" t="s">
        <v>23</v>
      </c>
      <c r="O1222" s="10">
        <f>'data on outstanding creditors'!$E1222*100/107</f>
        <v>23364.48598</v>
      </c>
      <c r="P1222" s="10">
        <f>'data on outstanding creditors'!$E1222-'data on outstanding creditors'!$O1222</f>
        <v>1635.514019</v>
      </c>
      <c r="Q1222" s="7">
        <f>DAY('data on outstanding creditors'!$B1222)</f>
        <v>4</v>
      </c>
      <c r="R1222" s="7">
        <f>MONTH('data on outstanding creditors'!$B1222)</f>
        <v>7</v>
      </c>
      <c r="S1222" s="7">
        <f>YEAR('data on outstanding creditors'!$B1222)</f>
        <v>2025</v>
      </c>
      <c r="T1222" s="11" t="str">
        <f>'data on outstanding creditors'!$C1222&amp;" "&amp;'data on outstanding creditors'!$D1222&amp;" "&amp;TEXT('data on outstanding creditors'!$E1222,"#,##0.00")</f>
        <v>บ.วี.แอนด์.วี.กรุงเทพ 8103430369 25,000.00</v>
      </c>
      <c r="U1222" s="12"/>
    </row>
    <row r="1223" ht="13.5" customHeight="1">
      <c r="A1223" s="1"/>
      <c r="B1223" s="2">
        <v>45842.0</v>
      </c>
      <c r="C1223" s="9" t="s">
        <v>1243</v>
      </c>
      <c r="D1223" s="1" t="s">
        <v>1757</v>
      </c>
      <c r="E1223" s="4">
        <v>25000.0</v>
      </c>
      <c r="F1223" s="4"/>
      <c r="G1223" s="4"/>
      <c r="H1223" s="4">
        <f>'data on outstanding creditors'!$E1223-'data on outstanding creditors'!$F1223-'data on outstanding creditors'!$G1223</f>
        <v>25000</v>
      </c>
      <c r="I1223" s="2"/>
      <c r="J1223" s="1" t="s">
        <v>757</v>
      </c>
      <c r="K1223" s="2">
        <v>45874.0</v>
      </c>
      <c r="L1223" s="5"/>
      <c r="M1223" s="9" t="s">
        <v>22</v>
      </c>
      <c r="N1223" s="9" t="s">
        <v>23</v>
      </c>
      <c r="O1223" s="10">
        <f>'data on outstanding creditors'!$E1223*100/107</f>
        <v>23364.48598</v>
      </c>
      <c r="P1223" s="10">
        <f>'data on outstanding creditors'!$E1223-'data on outstanding creditors'!$O1223</f>
        <v>1635.514019</v>
      </c>
      <c r="Q1223" s="7">
        <f>DAY('data on outstanding creditors'!$B1223)</f>
        <v>4</v>
      </c>
      <c r="R1223" s="7">
        <f>MONTH('data on outstanding creditors'!$B1223)</f>
        <v>7</v>
      </c>
      <c r="S1223" s="7">
        <f>YEAR('data on outstanding creditors'!$B1223)</f>
        <v>2025</v>
      </c>
      <c r="T1223" s="11" t="str">
        <f>'data on outstanding creditors'!$C1223&amp;" "&amp;'data on outstanding creditors'!$D1223&amp;" "&amp;TEXT('data on outstanding creditors'!$E1223,"#,##0.00")</f>
        <v>บ.วี.แอนด์.วี.กรุงเทพ 8103438119 25,000.00</v>
      </c>
      <c r="U1223" s="12"/>
    </row>
    <row r="1224" ht="13.5" customHeight="1">
      <c r="A1224" s="1"/>
      <c r="B1224" s="2">
        <v>45846.0</v>
      </c>
      <c r="C1224" s="9" t="s">
        <v>767</v>
      </c>
      <c r="D1224" s="1" t="s">
        <v>1758</v>
      </c>
      <c r="E1224" s="4">
        <v>320000.0</v>
      </c>
      <c r="F1224" s="4"/>
      <c r="G1224" s="4"/>
      <c r="H1224" s="4">
        <f>'data on outstanding creditors'!$E1224-'data on outstanding creditors'!$F1224-'data on outstanding creditors'!$G1224</f>
        <v>320000</v>
      </c>
      <c r="I1224" s="2"/>
      <c r="J1224" s="1" t="s">
        <v>646</v>
      </c>
      <c r="K1224" s="2">
        <v>45954.0</v>
      </c>
      <c r="L1224" s="5"/>
      <c r="M1224" s="9" t="s">
        <v>22</v>
      </c>
      <c r="N1224" s="9" t="s">
        <v>23</v>
      </c>
      <c r="O1224" s="10">
        <f>'data on outstanding creditors'!$E1224*100/107</f>
        <v>299065.4206</v>
      </c>
      <c r="P1224" s="10">
        <f>'data on outstanding creditors'!$E1224-'data on outstanding creditors'!$O1224</f>
        <v>20934.57944</v>
      </c>
      <c r="Q1224" s="7">
        <f>DAY('data on outstanding creditors'!$B1224)</f>
        <v>8</v>
      </c>
      <c r="R1224" s="7">
        <f>MONTH('data on outstanding creditors'!$B1224)</f>
        <v>7</v>
      </c>
      <c r="S1224" s="7">
        <f>YEAR('data on outstanding creditors'!$B1224)</f>
        <v>2025</v>
      </c>
      <c r="T1224" s="11" t="str">
        <f>'data on outstanding creditors'!$C1224&amp;" "&amp;'data on outstanding creditors'!$D1224&amp;" "&amp;TEXT('data on outstanding creditors'!$E1224,"#,##0.00")</f>
        <v>บ.คอสม่า เทรดดิ้ง 310657403816 320,000.00</v>
      </c>
      <c r="U1224" s="12"/>
    </row>
    <row r="1225" ht="13.5" customHeight="1">
      <c r="A1225" s="1"/>
      <c r="B1225" s="2">
        <v>45846.0</v>
      </c>
      <c r="C1225" s="9" t="s">
        <v>396</v>
      </c>
      <c r="D1225" s="1" t="s">
        <v>1759</v>
      </c>
      <c r="E1225" s="4">
        <v>43600.0</v>
      </c>
      <c r="F1225" s="4"/>
      <c r="G1225" s="4"/>
      <c r="H1225" s="4">
        <f>'data on outstanding creditors'!$E1225-'data on outstanding creditors'!$F1225-'data on outstanding creditors'!$G1225</f>
        <v>43600</v>
      </c>
      <c r="I1225" s="2"/>
      <c r="J1225" s="1" t="s">
        <v>757</v>
      </c>
      <c r="K1225" s="2">
        <v>45875.0</v>
      </c>
      <c r="L1225" s="5"/>
      <c r="M1225" s="9" t="s">
        <v>22</v>
      </c>
      <c r="N1225" s="9" t="s">
        <v>23</v>
      </c>
      <c r="O1225" s="10">
        <f>'data on outstanding creditors'!$E1225*100/107</f>
        <v>40747.66355</v>
      </c>
      <c r="P1225" s="10">
        <f>'data on outstanding creditors'!$E1225-'data on outstanding creditors'!$O1225</f>
        <v>2852.336449</v>
      </c>
      <c r="Q1225" s="7">
        <f>DAY('data on outstanding creditors'!$B1225)</f>
        <v>8</v>
      </c>
      <c r="R1225" s="7">
        <f>MONTH('data on outstanding creditors'!$B1225)</f>
        <v>7</v>
      </c>
      <c r="S1225" s="7">
        <f>YEAR('data on outstanding creditors'!$B1225)</f>
        <v>2025</v>
      </c>
      <c r="T1225" s="11" t="str">
        <f>'data on outstanding creditors'!$C1225&amp;" "&amp;'data on outstanding creditors'!$D1225&amp;" "&amp;TEXT('data on outstanding creditors'!$E1225,"#,##0.00")</f>
        <v>บ.เยเนอรัล ฮอสปิตัล โปรดัคส์ 25IN08070307 43,600.00</v>
      </c>
      <c r="U1225" s="12"/>
    </row>
    <row r="1226" ht="13.5" customHeight="1">
      <c r="A1226" s="1"/>
      <c r="B1226" s="2">
        <v>45846.0</v>
      </c>
      <c r="C1226" s="9" t="s">
        <v>1230</v>
      </c>
      <c r="D1226" s="1" t="s">
        <v>1760</v>
      </c>
      <c r="E1226" s="4">
        <v>5096.0</v>
      </c>
      <c r="F1226" s="4"/>
      <c r="G1226" s="4"/>
      <c r="H1226" s="4">
        <f>'data on outstanding creditors'!$E1226-'data on outstanding creditors'!$F1226-'data on outstanding creditors'!$G1226</f>
        <v>5096</v>
      </c>
      <c r="I1226" s="2"/>
      <c r="J1226" s="1" t="s">
        <v>757</v>
      </c>
      <c r="K1226" s="2">
        <v>45875.0</v>
      </c>
      <c r="L1226" s="5"/>
      <c r="M1226" s="9" t="s">
        <v>22</v>
      </c>
      <c r="N1226" s="9" t="s">
        <v>23</v>
      </c>
      <c r="O1226" s="10">
        <f>'data on outstanding creditors'!$E1226*100/107</f>
        <v>4762.616822</v>
      </c>
      <c r="P1226" s="10">
        <f>'data on outstanding creditors'!$E1226-'data on outstanding creditors'!$O1226</f>
        <v>333.3831776</v>
      </c>
      <c r="Q1226" s="7">
        <f>DAY('data on outstanding creditors'!$B1226)</f>
        <v>8</v>
      </c>
      <c r="R1226" s="7">
        <f>MONTH('data on outstanding creditors'!$B1226)</f>
        <v>7</v>
      </c>
      <c r="S1226" s="7">
        <f>YEAR('data on outstanding creditors'!$B1226)</f>
        <v>2025</v>
      </c>
      <c r="T1226" s="11" t="str">
        <f>'data on outstanding creditors'!$C1226&amp;" "&amp;'data on outstanding creditors'!$D1226&amp;" "&amp;TEXT('data on outstanding creditors'!$E1226,"#,##0.00")</f>
        <v>บ.พรอส ฟาร์มา INV-L-IM\2025070559 5,096.00</v>
      </c>
      <c r="U1226" s="12"/>
    </row>
    <row r="1227" ht="13.5" customHeight="1">
      <c r="A1227" s="1"/>
      <c r="B1227" s="2">
        <v>45846.0</v>
      </c>
      <c r="C1227" s="9" t="s">
        <v>1228</v>
      </c>
      <c r="D1227" s="1" t="s">
        <v>1761</v>
      </c>
      <c r="E1227" s="4">
        <v>9300.0</v>
      </c>
      <c r="F1227" s="4"/>
      <c r="G1227" s="4"/>
      <c r="H1227" s="4">
        <f>'data on outstanding creditors'!$E1227-'data on outstanding creditors'!$F1227-'data on outstanding creditors'!$G1227</f>
        <v>9300</v>
      </c>
      <c r="I1227" s="2"/>
      <c r="J1227" s="1" t="s">
        <v>646</v>
      </c>
      <c r="K1227" s="2">
        <v>45928.0</v>
      </c>
      <c r="L1227" s="5"/>
      <c r="M1227" s="9" t="s">
        <v>22</v>
      </c>
      <c r="N1227" s="9" t="s">
        <v>23</v>
      </c>
      <c r="O1227" s="10">
        <f>'data on outstanding creditors'!$E1227*100/107</f>
        <v>8691.588785</v>
      </c>
      <c r="P1227" s="10">
        <f>'data on outstanding creditors'!$E1227-'data on outstanding creditors'!$O1227</f>
        <v>608.411215</v>
      </c>
      <c r="Q1227" s="7">
        <f>DAY('data on outstanding creditors'!$B1227)</f>
        <v>8</v>
      </c>
      <c r="R1227" s="7">
        <f>MONTH('data on outstanding creditors'!$B1227)</f>
        <v>7</v>
      </c>
      <c r="S1227" s="7">
        <f>YEAR('data on outstanding creditors'!$B1227)</f>
        <v>2025</v>
      </c>
      <c r="T1227" s="11" t="str">
        <f>'data on outstanding creditors'!$C1227&amp;" "&amp;'data on outstanding creditors'!$D1227&amp;" "&amp;TEXT('data on outstanding creditors'!$E1227,"#,##0.00")</f>
        <v>บ.2เอ็ม(เมด-เมเกอร์) Z0096146 9,300.00</v>
      </c>
      <c r="U1227" s="12"/>
    </row>
    <row r="1228" ht="13.5" customHeight="1">
      <c r="A1228" s="1"/>
      <c r="B1228" s="2">
        <v>45846.0</v>
      </c>
      <c r="C1228" s="9" t="s">
        <v>1432</v>
      </c>
      <c r="D1228" s="1" t="s">
        <v>1762</v>
      </c>
      <c r="E1228" s="4">
        <v>22500.0</v>
      </c>
      <c r="F1228" s="4"/>
      <c r="G1228" s="4"/>
      <c r="H1228" s="4">
        <f>'data on outstanding creditors'!$E1228-'data on outstanding creditors'!$F1228-'data on outstanding creditors'!$G1228</f>
        <v>22500</v>
      </c>
      <c r="I1228" s="2"/>
      <c r="J1228" s="1" t="s">
        <v>646</v>
      </c>
      <c r="K1228" s="2">
        <v>45877.0</v>
      </c>
      <c r="L1228" s="5"/>
      <c r="M1228" s="9" t="s">
        <v>22</v>
      </c>
      <c r="N1228" s="9" t="s">
        <v>23</v>
      </c>
      <c r="O1228" s="10">
        <f>'data on outstanding creditors'!$E1228*100/107</f>
        <v>21028.03738</v>
      </c>
      <c r="P1228" s="10">
        <f>'data on outstanding creditors'!$E1228-'data on outstanding creditors'!$O1228</f>
        <v>1471.962617</v>
      </c>
      <c r="Q1228" s="7">
        <f>DAY('data on outstanding creditors'!$B1228)</f>
        <v>8</v>
      </c>
      <c r="R1228" s="7">
        <f>MONTH('data on outstanding creditors'!$B1228)</f>
        <v>7</v>
      </c>
      <c r="S1228" s="7">
        <f>YEAR('data on outstanding creditors'!$B1228)</f>
        <v>2025</v>
      </c>
      <c r="T1228" s="11" t="str">
        <f>'data on outstanding creditors'!$C1228&amp;" "&amp;'data on outstanding creditors'!$D1228&amp;" "&amp;TEXT('data on outstanding creditors'!$E1228,"#,##0.00")</f>
        <v>บ.ยูโทเปี้ยน IV2507262 22,500.00</v>
      </c>
      <c r="U1228" s="12"/>
    </row>
    <row r="1229" ht="13.5" customHeight="1">
      <c r="A1229" s="1"/>
      <c r="B1229" s="2">
        <v>45846.0</v>
      </c>
      <c r="C1229" s="9" t="s">
        <v>1232</v>
      </c>
      <c r="D1229" s="1" t="s">
        <v>1763</v>
      </c>
      <c r="E1229" s="4">
        <v>3900.0</v>
      </c>
      <c r="F1229" s="4"/>
      <c r="G1229" s="4"/>
      <c r="H1229" s="4">
        <f>'data on outstanding creditors'!$E1229-'data on outstanding creditors'!$F1229-'data on outstanding creditors'!$G1229</f>
        <v>3900</v>
      </c>
      <c r="I1229" s="2"/>
      <c r="J1229" s="1" t="s">
        <v>757</v>
      </c>
      <c r="K1229" s="2">
        <v>45875.0</v>
      </c>
      <c r="L1229" s="5"/>
      <c r="M1229" s="9" t="s">
        <v>22</v>
      </c>
      <c r="N1229" s="9" t="s">
        <v>23</v>
      </c>
      <c r="O1229" s="10">
        <f>'data on outstanding creditors'!$E1229*100/107</f>
        <v>3644.859813</v>
      </c>
      <c r="P1229" s="10">
        <f>'data on outstanding creditors'!$E1229-'data on outstanding creditors'!$O1229</f>
        <v>255.1401869</v>
      </c>
      <c r="Q1229" s="7">
        <f>DAY('data on outstanding creditors'!$B1229)</f>
        <v>8</v>
      </c>
      <c r="R1229" s="7">
        <f>MONTH('data on outstanding creditors'!$B1229)</f>
        <v>7</v>
      </c>
      <c r="S1229" s="7">
        <f>YEAR('data on outstanding creditors'!$B1229)</f>
        <v>2025</v>
      </c>
      <c r="T1229" s="11" t="str">
        <f>'data on outstanding creditors'!$C1229&amp;" "&amp;'data on outstanding creditors'!$D1229&amp;" "&amp;TEXT('data on outstanding creditors'!$E1229,"#,##0.00")</f>
        <v>บ.มาสุ 259442 3,900.00</v>
      </c>
      <c r="U1229" s="12"/>
    </row>
    <row r="1230" ht="13.5" customHeight="1">
      <c r="A1230" s="1"/>
      <c r="B1230" s="2">
        <v>45846.0</v>
      </c>
      <c r="C1230" s="9" t="s">
        <v>922</v>
      </c>
      <c r="D1230" s="1" t="s">
        <v>1764</v>
      </c>
      <c r="E1230" s="4">
        <v>31050.0</v>
      </c>
      <c r="F1230" s="4"/>
      <c r="G1230" s="4"/>
      <c r="H1230" s="4">
        <f>'data on outstanding creditors'!$E1230-'data on outstanding creditors'!$F1230-'data on outstanding creditors'!$G1230</f>
        <v>31050</v>
      </c>
      <c r="I1230" s="2"/>
      <c r="J1230" s="1" t="s">
        <v>646</v>
      </c>
      <c r="K1230" s="2">
        <v>45928.0</v>
      </c>
      <c r="L1230" s="5"/>
      <c r="M1230" s="9" t="s">
        <v>22</v>
      </c>
      <c r="N1230" s="9" t="s">
        <v>23</v>
      </c>
      <c r="O1230" s="10">
        <f>'data on outstanding creditors'!$E1230*100/107</f>
        <v>29018.69159</v>
      </c>
      <c r="P1230" s="10">
        <f>'data on outstanding creditors'!$E1230-'data on outstanding creditors'!$O1230</f>
        <v>2031.308411</v>
      </c>
      <c r="Q1230" s="7">
        <f>DAY('data on outstanding creditors'!$B1230)</f>
        <v>8</v>
      </c>
      <c r="R1230" s="7">
        <f>MONTH('data on outstanding creditors'!$B1230)</f>
        <v>7</v>
      </c>
      <c r="S1230" s="7">
        <f>YEAR('data on outstanding creditors'!$B1230)</f>
        <v>2025</v>
      </c>
      <c r="T1230" s="11" t="str">
        <f>'data on outstanding creditors'!$C1230&amp;" "&amp;'data on outstanding creditors'!$D1230&amp;" "&amp;TEXT('data on outstanding creditors'!$E1230,"#,##0.00")</f>
        <v>บ.เบอร์ลินฟาร์มาซูติคอลอินดัสตรี้ 6810701831 31,050.00</v>
      </c>
      <c r="U1230" s="12"/>
    </row>
    <row r="1231" ht="13.5" customHeight="1">
      <c r="A1231" s="1"/>
      <c r="B1231" s="2">
        <v>45846.0</v>
      </c>
      <c r="C1231" s="9" t="s">
        <v>965</v>
      </c>
      <c r="D1231" s="1" t="s">
        <v>1765</v>
      </c>
      <c r="E1231" s="4">
        <v>50022.6</v>
      </c>
      <c r="F1231" s="4"/>
      <c r="G1231" s="4"/>
      <c r="H1231" s="4">
        <f>'data on outstanding creditors'!$E1231-'data on outstanding creditors'!$F1231-'data on outstanding creditors'!$G1231</f>
        <v>50022.6</v>
      </c>
      <c r="I1231" s="2"/>
      <c r="J1231" s="1" t="s">
        <v>646</v>
      </c>
      <c r="K1231" s="2">
        <v>45944.0</v>
      </c>
      <c r="L1231" s="5"/>
      <c r="M1231" s="9" t="s">
        <v>22</v>
      </c>
      <c r="N1231" s="9" t="s">
        <v>23</v>
      </c>
      <c r="O1231" s="10">
        <f>'data on outstanding creditors'!$E1231*100/107</f>
        <v>46750.09346</v>
      </c>
      <c r="P1231" s="10">
        <f>'data on outstanding creditors'!$E1231-'data on outstanding creditors'!$O1231</f>
        <v>3272.506542</v>
      </c>
      <c r="Q1231" s="7">
        <f>DAY('data on outstanding creditors'!$B1231)</f>
        <v>8</v>
      </c>
      <c r="R1231" s="7">
        <f>MONTH('data on outstanding creditors'!$B1231)</f>
        <v>7</v>
      </c>
      <c r="S1231" s="7">
        <f>YEAR('data on outstanding creditors'!$B1231)</f>
        <v>2025</v>
      </c>
      <c r="T1231" s="11" t="str">
        <f>'data on outstanding creditors'!$C1231&amp;" "&amp;'data on outstanding creditors'!$D1231&amp;" "&amp;TEXT('data on outstanding creditors'!$E1231,"#,##0.00")</f>
        <v>บ.แปซิฟิค เฮลธ์แคร์(ไทยแลนด์) 68033718 50,022.60</v>
      </c>
      <c r="U1231" s="12"/>
    </row>
    <row r="1232" ht="13.5" customHeight="1">
      <c r="A1232" s="1"/>
      <c r="B1232" s="2">
        <v>45846.0</v>
      </c>
      <c r="C1232" s="9" t="s">
        <v>1766</v>
      </c>
      <c r="D1232" s="1" t="s">
        <v>1767</v>
      </c>
      <c r="E1232" s="4">
        <v>3750.0</v>
      </c>
      <c r="F1232" s="4"/>
      <c r="G1232" s="4"/>
      <c r="H1232" s="4">
        <f>'data on outstanding creditors'!$E1232-'data on outstanding creditors'!$F1232-'data on outstanding creditors'!$G1232</f>
        <v>3750</v>
      </c>
      <c r="I1232" s="2"/>
      <c r="J1232" s="1" t="s">
        <v>646</v>
      </c>
      <c r="K1232" s="2">
        <v>45902.0</v>
      </c>
      <c r="L1232" s="5"/>
      <c r="M1232" s="9" t="s">
        <v>22</v>
      </c>
      <c r="N1232" s="9" t="s">
        <v>23</v>
      </c>
      <c r="O1232" s="10">
        <f>'data on outstanding creditors'!$E1232*100/107</f>
        <v>3504.672897</v>
      </c>
      <c r="P1232" s="10">
        <f>'data on outstanding creditors'!$E1232-'data on outstanding creditors'!$O1232</f>
        <v>245.3271028</v>
      </c>
      <c r="Q1232" s="7">
        <f>DAY('data on outstanding creditors'!$B1232)</f>
        <v>8</v>
      </c>
      <c r="R1232" s="7">
        <f>MONTH('data on outstanding creditors'!$B1232)</f>
        <v>7</v>
      </c>
      <c r="S1232" s="7">
        <f>YEAR('data on outstanding creditors'!$B1232)</f>
        <v>2025</v>
      </c>
      <c r="T1232" s="11" t="str">
        <f>'data on outstanding creditors'!$C1232&amp;" "&amp;'data on outstanding creditors'!$D1232&amp;" "&amp;TEXT('data on outstanding creditors'!$E1232,"#,##0.00")</f>
        <v>สำนักงานคณะกรรมการอาหารและยา ช.68/16718 3,750.00</v>
      </c>
      <c r="U1232" s="12"/>
    </row>
    <row r="1233" ht="13.5" customHeight="1">
      <c r="A1233" s="1"/>
      <c r="B1233" s="2">
        <v>45846.0</v>
      </c>
      <c r="C1233" s="9" t="s">
        <v>1766</v>
      </c>
      <c r="D1233" s="1" t="s">
        <v>1768</v>
      </c>
      <c r="E1233" s="4">
        <v>5800.0</v>
      </c>
      <c r="F1233" s="4"/>
      <c r="G1233" s="4"/>
      <c r="H1233" s="4">
        <f>'data on outstanding creditors'!$E1233-'data on outstanding creditors'!$F1233-'data on outstanding creditors'!$G1233</f>
        <v>5800</v>
      </c>
      <c r="I1233" s="2"/>
      <c r="J1233" s="1" t="s">
        <v>646</v>
      </c>
      <c r="K1233" s="2">
        <v>45902.0</v>
      </c>
      <c r="L1233" s="5"/>
      <c r="M1233" s="9" t="s">
        <v>22</v>
      </c>
      <c r="N1233" s="9" t="s">
        <v>23</v>
      </c>
      <c r="O1233" s="10">
        <f>'data on outstanding creditors'!$E1233*100/107</f>
        <v>5420.560748</v>
      </c>
      <c r="P1233" s="10">
        <f>'data on outstanding creditors'!$E1233-'data on outstanding creditors'!$O1233</f>
        <v>379.4392523</v>
      </c>
      <c r="Q1233" s="7">
        <f>DAY('data on outstanding creditors'!$B1233)</f>
        <v>8</v>
      </c>
      <c r="R1233" s="7">
        <f>MONTH('data on outstanding creditors'!$B1233)</f>
        <v>7</v>
      </c>
      <c r="S1233" s="7">
        <f>YEAR('data on outstanding creditors'!$B1233)</f>
        <v>2025</v>
      </c>
      <c r="T1233" s="11" t="str">
        <f>'data on outstanding creditors'!$C1233&amp;" "&amp;'data on outstanding creditors'!$D1233&amp;" "&amp;TEXT('data on outstanding creditors'!$E1233,"#,##0.00")</f>
        <v>สำนักงานคณะกรรมการอาหารและยา ช.68/16714 5,800.00</v>
      </c>
      <c r="U1233" s="12"/>
    </row>
    <row r="1234" ht="13.5" customHeight="1">
      <c r="A1234" s="1"/>
      <c r="B1234" s="2">
        <v>45847.0</v>
      </c>
      <c r="C1234" s="9" t="s">
        <v>1230</v>
      </c>
      <c r="D1234" s="1" t="s">
        <v>1769</v>
      </c>
      <c r="E1234" s="4">
        <v>42600.0</v>
      </c>
      <c r="F1234" s="4"/>
      <c r="G1234" s="4"/>
      <c r="H1234" s="4">
        <f>'data on outstanding creditors'!$E1234-'data on outstanding creditors'!$F1234-'data on outstanding creditors'!$G1234</f>
        <v>42600</v>
      </c>
      <c r="I1234" s="2"/>
      <c r="J1234" s="1" t="s">
        <v>757</v>
      </c>
      <c r="K1234" s="2">
        <v>45874.0</v>
      </c>
      <c r="L1234" s="5"/>
      <c r="M1234" s="9" t="s">
        <v>22</v>
      </c>
      <c r="N1234" s="9" t="s">
        <v>23</v>
      </c>
      <c r="O1234" s="10">
        <f>'data on outstanding creditors'!$E1234*100/107</f>
        <v>39813.08411</v>
      </c>
      <c r="P1234" s="10">
        <f>'data on outstanding creditors'!$E1234-'data on outstanding creditors'!$O1234</f>
        <v>2786.915888</v>
      </c>
      <c r="Q1234" s="7">
        <f>DAY('data on outstanding creditors'!$B1234)</f>
        <v>9</v>
      </c>
      <c r="R1234" s="7">
        <f>MONTH('data on outstanding creditors'!$B1234)</f>
        <v>7</v>
      </c>
      <c r="S1234" s="7">
        <f>YEAR('data on outstanding creditors'!$B1234)</f>
        <v>2025</v>
      </c>
      <c r="T1234" s="11" t="str">
        <f>'data on outstanding creditors'!$C1234&amp;" "&amp;'data on outstanding creditors'!$D1234&amp;" "&amp;TEXT('data on outstanding creditors'!$E1234,"#,##0.00")</f>
        <v>บ.พรอส ฟาร์มา INV-L-IM\2025071047 42,600.00</v>
      </c>
      <c r="U1234" s="12"/>
    </row>
    <row r="1235" ht="13.5" customHeight="1">
      <c r="A1235" s="1"/>
      <c r="B1235" s="2">
        <v>45847.0</v>
      </c>
      <c r="C1235" s="9" t="s">
        <v>1440</v>
      </c>
      <c r="D1235" s="1" t="s">
        <v>1770</v>
      </c>
      <c r="E1235" s="4">
        <v>111000.0</v>
      </c>
      <c r="F1235" s="4"/>
      <c r="G1235" s="4"/>
      <c r="H1235" s="4">
        <f>'data on outstanding creditors'!$E1235-'data on outstanding creditors'!$F1235-'data on outstanding creditors'!$G1235</f>
        <v>111000</v>
      </c>
      <c r="I1235" s="2"/>
      <c r="J1235" s="1" t="s">
        <v>757</v>
      </c>
      <c r="K1235" s="2">
        <v>45874.0</v>
      </c>
      <c r="L1235" s="5"/>
      <c r="M1235" s="9" t="s">
        <v>22</v>
      </c>
      <c r="N1235" s="9" t="s">
        <v>23</v>
      </c>
      <c r="O1235" s="10">
        <f>'data on outstanding creditors'!$E1235*100/107</f>
        <v>103738.3178</v>
      </c>
      <c r="P1235" s="10">
        <f>'data on outstanding creditors'!$E1235-'data on outstanding creditors'!$O1235</f>
        <v>7261.682243</v>
      </c>
      <c r="Q1235" s="7">
        <f>DAY('data on outstanding creditors'!$B1235)</f>
        <v>9</v>
      </c>
      <c r="R1235" s="7">
        <f>MONTH('data on outstanding creditors'!$B1235)</f>
        <v>7</v>
      </c>
      <c r="S1235" s="7">
        <f>YEAR('data on outstanding creditors'!$B1235)</f>
        <v>2025</v>
      </c>
      <c r="T1235" s="11" t="str">
        <f>'data on outstanding creditors'!$C1235&amp;" "&amp;'data on outstanding creditors'!$D1235&amp;" "&amp;TEXT('data on outstanding creditors'!$E1235,"#,##0.00")</f>
        <v>บ.เวสโก ฟาร์มาซูติคอล IN68070285 111,000.00</v>
      </c>
      <c r="U1235" s="12"/>
    </row>
    <row r="1236" ht="13.5" customHeight="1">
      <c r="A1236" s="1"/>
      <c r="B1236" s="2">
        <v>45847.0</v>
      </c>
      <c r="C1236" s="9" t="s">
        <v>520</v>
      </c>
      <c r="D1236" s="1" t="s">
        <v>1771</v>
      </c>
      <c r="E1236" s="4">
        <v>119925.6</v>
      </c>
      <c r="F1236" s="4"/>
      <c r="G1236" s="4"/>
      <c r="H1236" s="4">
        <f>'data on outstanding creditors'!$E1236-'data on outstanding creditors'!$F1236-'data on outstanding creditors'!$G1236</f>
        <v>119925.6</v>
      </c>
      <c r="I1236" s="2"/>
      <c r="J1236" s="1" t="s">
        <v>646</v>
      </c>
      <c r="K1236" s="2">
        <v>45943.0</v>
      </c>
      <c r="L1236" s="5"/>
      <c r="M1236" s="9" t="s">
        <v>22</v>
      </c>
      <c r="N1236" s="9" t="s">
        <v>23</v>
      </c>
      <c r="O1236" s="10">
        <f>'data on outstanding creditors'!$E1236*100/107</f>
        <v>112080</v>
      </c>
      <c r="P1236" s="10">
        <f>'data on outstanding creditors'!$E1236-'data on outstanding creditors'!$O1236</f>
        <v>7845.6</v>
      </c>
      <c r="Q1236" s="7">
        <f>DAY('data on outstanding creditors'!$B1236)</f>
        <v>9</v>
      </c>
      <c r="R1236" s="7">
        <f>MONTH('data on outstanding creditors'!$B1236)</f>
        <v>7</v>
      </c>
      <c r="S1236" s="7">
        <f>YEAR('data on outstanding creditors'!$B1236)</f>
        <v>2025</v>
      </c>
      <c r="T1236" s="11" t="str">
        <f>'data on outstanding creditors'!$C1236&amp;" "&amp;'data on outstanding creditors'!$D1236&amp;" "&amp;TEXT('data on outstanding creditors'!$E1236,"#,##0.00")</f>
        <v>บ.ซิลลิคฟาร์มา 1317576974 119,925.60</v>
      </c>
      <c r="U1236" s="12"/>
    </row>
    <row r="1237" ht="13.5" customHeight="1">
      <c r="A1237" s="1"/>
      <c r="B1237" s="2">
        <v>45847.0</v>
      </c>
      <c r="C1237" s="9" t="s">
        <v>1330</v>
      </c>
      <c r="D1237" s="1" t="s">
        <v>1772</v>
      </c>
      <c r="E1237" s="4">
        <v>33000.0</v>
      </c>
      <c r="F1237" s="4"/>
      <c r="G1237" s="4"/>
      <c r="H1237" s="4">
        <f>'data on outstanding creditors'!$E1237-'data on outstanding creditors'!$F1237-'data on outstanding creditors'!$G1237</f>
        <v>33000</v>
      </c>
      <c r="I1237" s="2"/>
      <c r="J1237" s="1" t="s">
        <v>757</v>
      </c>
      <c r="K1237" s="2">
        <v>45898.0</v>
      </c>
      <c r="L1237" s="5"/>
      <c r="M1237" s="9" t="s">
        <v>22</v>
      </c>
      <c r="N1237" s="9" t="s">
        <v>23</v>
      </c>
      <c r="O1237" s="10">
        <f>'data on outstanding creditors'!$E1237*100/107</f>
        <v>30841.1215</v>
      </c>
      <c r="P1237" s="10">
        <f>'data on outstanding creditors'!$E1237-'data on outstanding creditors'!$O1237</f>
        <v>2158.878505</v>
      </c>
      <c r="Q1237" s="7">
        <f>DAY('data on outstanding creditors'!$B1237)</f>
        <v>9</v>
      </c>
      <c r="R1237" s="7">
        <f>MONTH('data on outstanding creditors'!$B1237)</f>
        <v>7</v>
      </c>
      <c r="S1237" s="7">
        <f>YEAR('data on outstanding creditors'!$B1237)</f>
        <v>2025</v>
      </c>
      <c r="T1237" s="11" t="str">
        <f>'data on outstanding creditors'!$C1237&amp;" "&amp;'data on outstanding creditors'!$D1237&amp;" "&amp;TEXT('data on outstanding creditors'!$E1237,"#,##0.00")</f>
        <v>บ.ชุมชนเภสัชกรรม IV680700481 33,000.00</v>
      </c>
      <c r="U1237" s="12"/>
    </row>
    <row r="1238" ht="13.5" customHeight="1">
      <c r="A1238" s="1"/>
      <c r="B1238" s="2">
        <v>45847.0</v>
      </c>
      <c r="C1238" s="9" t="s">
        <v>24</v>
      </c>
      <c r="D1238" s="1" t="s">
        <v>1773</v>
      </c>
      <c r="E1238" s="4">
        <v>42000.0</v>
      </c>
      <c r="F1238" s="4"/>
      <c r="G1238" s="4"/>
      <c r="H1238" s="4">
        <f>'data on outstanding creditors'!$E1238-'data on outstanding creditors'!$F1238-'data on outstanding creditors'!$G1238</f>
        <v>42000</v>
      </c>
      <c r="I1238" s="2"/>
      <c r="J1238" s="1" t="s">
        <v>646</v>
      </c>
      <c r="K1238" s="2">
        <v>45928.0</v>
      </c>
      <c r="L1238" s="5"/>
      <c r="M1238" s="9" t="s">
        <v>22</v>
      </c>
      <c r="N1238" s="9" t="s">
        <v>23</v>
      </c>
      <c r="O1238" s="10">
        <f>'data on outstanding creditors'!$E1238*100/107</f>
        <v>39252.33645</v>
      </c>
      <c r="P1238" s="10">
        <f>'data on outstanding creditors'!$E1238-'data on outstanding creditors'!$O1238</f>
        <v>2747.663551</v>
      </c>
      <c r="Q1238" s="7">
        <f>DAY('data on outstanding creditors'!$B1238)</f>
        <v>9</v>
      </c>
      <c r="R1238" s="7">
        <f>MONTH('data on outstanding creditors'!$B1238)</f>
        <v>7</v>
      </c>
      <c r="S1238" s="7">
        <f>YEAR('data on outstanding creditors'!$B1238)</f>
        <v>2025</v>
      </c>
      <c r="T1238" s="11" t="str">
        <f>'data on outstanding creditors'!$C1238&amp;" "&amp;'data on outstanding creditors'!$D1238&amp;" "&amp;TEXT('data on outstanding creditors'!$E1238,"#,##0.00")</f>
        <v>บ.เซ็นทรัลโพลีเทรดดิ้ง 31i25038823 42,000.00</v>
      </c>
      <c r="U1238" s="12"/>
    </row>
    <row r="1239" ht="13.5" customHeight="1">
      <c r="A1239" s="1"/>
      <c r="B1239" s="2">
        <v>45847.0</v>
      </c>
      <c r="C1239" s="9" t="s">
        <v>920</v>
      </c>
      <c r="D1239" s="1" t="s">
        <v>1774</v>
      </c>
      <c r="E1239" s="4">
        <v>7500.0</v>
      </c>
      <c r="F1239" s="4"/>
      <c r="G1239" s="4"/>
      <c r="H1239" s="4">
        <f>'data on outstanding creditors'!$E1239-'data on outstanding creditors'!$F1239-'data on outstanding creditors'!$G1239</f>
        <v>7500</v>
      </c>
      <c r="I1239" s="2"/>
      <c r="J1239" s="1" t="s">
        <v>646</v>
      </c>
      <c r="K1239" s="2">
        <v>45954.0</v>
      </c>
      <c r="L1239" s="5"/>
      <c r="M1239" s="9" t="s">
        <v>22</v>
      </c>
      <c r="N1239" s="9" t="s">
        <v>23</v>
      </c>
      <c r="O1239" s="10">
        <f>'data on outstanding creditors'!$E1239*100/107</f>
        <v>7009.345794</v>
      </c>
      <c r="P1239" s="10">
        <f>'data on outstanding creditors'!$E1239-'data on outstanding creditors'!$O1239</f>
        <v>490.6542056</v>
      </c>
      <c r="Q1239" s="7">
        <f>DAY('data on outstanding creditors'!$B1239)</f>
        <v>9</v>
      </c>
      <c r="R1239" s="7">
        <f>MONTH('data on outstanding creditors'!$B1239)</f>
        <v>7</v>
      </c>
      <c r="S1239" s="7">
        <f>YEAR('data on outstanding creditors'!$B1239)</f>
        <v>2025</v>
      </c>
      <c r="T1239" s="11" t="str">
        <f>'data on outstanding creditors'!$C1239&amp;" "&amp;'data on outstanding creditors'!$D1239&amp;" "&amp;TEXT('data on outstanding creditors'!$E1239,"#,##0.00")</f>
        <v>บ.โปลิฟาร์ม IVU-68029168 7,500.00</v>
      </c>
      <c r="U1239" s="12"/>
    </row>
    <row r="1240" ht="13.5" customHeight="1">
      <c r="A1240" s="1"/>
      <c r="B1240" s="2">
        <v>45847.0</v>
      </c>
      <c r="C1240" s="9" t="s">
        <v>252</v>
      </c>
      <c r="D1240" s="1" t="s">
        <v>1775</v>
      </c>
      <c r="E1240" s="4">
        <v>16500.0</v>
      </c>
      <c r="F1240" s="4"/>
      <c r="G1240" s="4"/>
      <c r="H1240" s="4">
        <f>'data on outstanding creditors'!$E1240-'data on outstanding creditors'!$F1240-'data on outstanding creditors'!$G1240</f>
        <v>16500</v>
      </c>
      <c r="I1240" s="2"/>
      <c r="J1240" s="1" t="s">
        <v>646</v>
      </c>
      <c r="K1240" s="2">
        <v>45906.0</v>
      </c>
      <c r="L1240" s="5"/>
      <c r="M1240" s="9" t="s">
        <v>22</v>
      </c>
      <c r="N1240" s="9" t="s">
        <v>23</v>
      </c>
      <c r="O1240" s="10">
        <f>'data on outstanding creditors'!$E1240*100/107</f>
        <v>15420.56075</v>
      </c>
      <c r="P1240" s="10">
        <f>'data on outstanding creditors'!$E1240-'data on outstanding creditors'!$O1240</f>
        <v>1079.439252</v>
      </c>
      <c r="Q1240" s="7">
        <f>DAY('data on outstanding creditors'!$B1240)</f>
        <v>9</v>
      </c>
      <c r="R1240" s="7">
        <f>MONTH('data on outstanding creditors'!$B1240)</f>
        <v>7</v>
      </c>
      <c r="S1240" s="7">
        <f>YEAR('data on outstanding creditors'!$B1240)</f>
        <v>2025</v>
      </c>
      <c r="T1240" s="11" t="str">
        <f>'data on outstanding creditors'!$C1240&amp;" "&amp;'data on outstanding creditors'!$D1240&amp;" "&amp;TEXT('data on outstanding creditors'!$E1240,"#,##0.00")</f>
        <v>บ.ฟาร์มาฮอฟ IV250702006 16,500.00</v>
      </c>
      <c r="U1240" s="12"/>
    </row>
    <row r="1241" ht="13.5" customHeight="1">
      <c r="A1241" s="1"/>
      <c r="B1241" s="2">
        <v>45847.0</v>
      </c>
      <c r="C1241" s="9" t="s">
        <v>1560</v>
      </c>
      <c r="D1241" s="1" t="s">
        <v>1776</v>
      </c>
      <c r="E1241" s="4">
        <v>16108.0</v>
      </c>
      <c r="F1241" s="4"/>
      <c r="G1241" s="4"/>
      <c r="H1241" s="4">
        <f>'data on outstanding creditors'!$E1241-'data on outstanding creditors'!$F1241-'data on outstanding creditors'!$G1241</f>
        <v>16108</v>
      </c>
      <c r="I1241" s="2"/>
      <c r="J1241" s="1" t="s">
        <v>646</v>
      </c>
      <c r="K1241" s="2">
        <v>45944.0</v>
      </c>
      <c r="L1241" s="5"/>
      <c r="M1241" s="9" t="s">
        <v>22</v>
      </c>
      <c r="N1241" s="9" t="s">
        <v>23</v>
      </c>
      <c r="O1241" s="10">
        <f>'data on outstanding creditors'!$E1241*100/107</f>
        <v>15054.20561</v>
      </c>
      <c r="P1241" s="10">
        <f>'data on outstanding creditors'!$E1241-'data on outstanding creditors'!$O1241</f>
        <v>1053.794393</v>
      </c>
      <c r="Q1241" s="7">
        <f>DAY('data on outstanding creditors'!$B1241)</f>
        <v>9</v>
      </c>
      <c r="R1241" s="7">
        <f>MONTH('data on outstanding creditors'!$B1241)</f>
        <v>7</v>
      </c>
      <c r="S1241" s="7">
        <f>YEAR('data on outstanding creditors'!$B1241)</f>
        <v>2025</v>
      </c>
      <c r="T1241" s="11" t="str">
        <f>'data on outstanding creditors'!$C1241&amp;" "&amp;'data on outstanding creditors'!$D1241&amp;" "&amp;TEXT('data on outstanding creditors'!$E1241,"#,##0.00")</f>
        <v>บ.ยูนีซัน 107000004953 16,108.00</v>
      </c>
      <c r="U1241" s="12"/>
    </row>
    <row r="1242" ht="13.5" customHeight="1">
      <c r="A1242" s="1"/>
      <c r="B1242" s="2">
        <v>45847.0</v>
      </c>
      <c r="C1242" s="9" t="s">
        <v>1303</v>
      </c>
      <c r="D1242" s="1" t="s">
        <v>1777</v>
      </c>
      <c r="E1242" s="4">
        <v>3338.4</v>
      </c>
      <c r="F1242" s="4"/>
      <c r="G1242" s="4"/>
      <c r="H1242" s="4">
        <f>'data on outstanding creditors'!$E1242-'data on outstanding creditors'!$F1242-'data on outstanding creditors'!$G1242</f>
        <v>3338.4</v>
      </c>
      <c r="I1242" s="2"/>
      <c r="J1242" s="1" t="s">
        <v>646</v>
      </c>
      <c r="K1242" s="2">
        <v>45928.0</v>
      </c>
      <c r="L1242" s="5"/>
      <c r="M1242" s="9" t="s">
        <v>22</v>
      </c>
      <c r="N1242" s="9" t="s">
        <v>23</v>
      </c>
      <c r="O1242" s="10">
        <f>'data on outstanding creditors'!$E1242*100/107</f>
        <v>3120</v>
      </c>
      <c r="P1242" s="10">
        <f>'data on outstanding creditors'!$E1242-'data on outstanding creditors'!$O1242</f>
        <v>218.4</v>
      </c>
      <c r="Q1242" s="7">
        <f>DAY('data on outstanding creditors'!$B1242)</f>
        <v>9</v>
      </c>
      <c r="R1242" s="7">
        <f>MONTH('data on outstanding creditors'!$B1242)</f>
        <v>7</v>
      </c>
      <c r="S1242" s="7">
        <f>YEAR('data on outstanding creditors'!$B1242)</f>
        <v>2025</v>
      </c>
      <c r="T1242" s="11" t="str">
        <f>'data on outstanding creditors'!$C1242&amp;" "&amp;'data on outstanding creditors'!$D1242&amp;" "&amp;TEXT('data on outstanding creditors'!$E1242,"#,##0.00")</f>
        <v>บ.บี.เอ็ล.เอช.เทร็ดดิ้ง 1068017159 3,338.40</v>
      </c>
      <c r="U1242" s="12"/>
    </row>
    <row r="1243" ht="13.5" customHeight="1">
      <c r="A1243" s="1"/>
      <c r="B1243" s="2">
        <v>45853.0</v>
      </c>
      <c r="C1243" s="9" t="s">
        <v>520</v>
      </c>
      <c r="D1243" s="1" t="s">
        <v>1778</v>
      </c>
      <c r="E1243" s="4">
        <v>61792.5</v>
      </c>
      <c r="F1243" s="4"/>
      <c r="G1243" s="4"/>
      <c r="H1243" s="4">
        <f>'data on outstanding creditors'!$E1243-'data on outstanding creditors'!$F1243-'data on outstanding creditors'!$G1243</f>
        <v>61792.5</v>
      </c>
      <c r="I1243" s="2"/>
      <c r="J1243" s="1" t="s">
        <v>646</v>
      </c>
      <c r="K1243" s="2">
        <v>45943.0</v>
      </c>
      <c r="L1243" s="5"/>
      <c r="M1243" s="9" t="s">
        <v>22</v>
      </c>
      <c r="N1243" s="9" t="s">
        <v>23</v>
      </c>
      <c r="O1243" s="10">
        <f>'data on outstanding creditors'!$E1243*100/107</f>
        <v>57750</v>
      </c>
      <c r="P1243" s="10">
        <f>'data on outstanding creditors'!$E1243-'data on outstanding creditors'!$O1243</f>
        <v>4042.5</v>
      </c>
      <c r="Q1243" s="7">
        <f>DAY('data on outstanding creditors'!$B1243)</f>
        <v>15</v>
      </c>
      <c r="R1243" s="7">
        <f>MONTH('data on outstanding creditors'!$B1243)</f>
        <v>7</v>
      </c>
      <c r="S1243" s="7">
        <f>YEAR('data on outstanding creditors'!$B1243)</f>
        <v>2025</v>
      </c>
      <c r="T1243" s="11" t="str">
        <f>'data on outstanding creditors'!$C1243&amp;" "&amp;'data on outstanding creditors'!$D1243&amp;" "&amp;TEXT('data on outstanding creditors'!$E1243,"#,##0.00")</f>
        <v>บ.ซิลลิคฟาร์มา 1317602283 61,792.50</v>
      </c>
      <c r="U1243" s="12"/>
    </row>
    <row r="1244" ht="13.5" customHeight="1">
      <c r="A1244" s="1"/>
      <c r="B1244" s="2">
        <v>45853.0</v>
      </c>
      <c r="C1244" s="9" t="s">
        <v>1432</v>
      </c>
      <c r="D1244" s="1" t="s">
        <v>1779</v>
      </c>
      <c r="E1244" s="4">
        <v>8600.0</v>
      </c>
      <c r="F1244" s="4"/>
      <c r="G1244" s="4"/>
      <c r="H1244" s="4">
        <f>'data on outstanding creditors'!$E1244-'data on outstanding creditors'!$F1244-'data on outstanding creditors'!$G1244</f>
        <v>8600</v>
      </c>
      <c r="I1244" s="2"/>
      <c r="J1244" s="1" t="s">
        <v>757</v>
      </c>
      <c r="K1244" s="2">
        <v>45885.0</v>
      </c>
      <c r="L1244" s="5"/>
      <c r="M1244" s="9" t="s">
        <v>22</v>
      </c>
      <c r="N1244" s="9" t="s">
        <v>23</v>
      </c>
      <c r="O1244" s="10">
        <f>'data on outstanding creditors'!$E1244*100/107</f>
        <v>8037.383178</v>
      </c>
      <c r="P1244" s="10">
        <f>'data on outstanding creditors'!$E1244-'data on outstanding creditors'!$O1244</f>
        <v>562.6168224</v>
      </c>
      <c r="Q1244" s="7">
        <f>DAY('data on outstanding creditors'!$B1244)</f>
        <v>15</v>
      </c>
      <c r="R1244" s="7">
        <f>MONTH('data on outstanding creditors'!$B1244)</f>
        <v>7</v>
      </c>
      <c r="S1244" s="7">
        <f>YEAR('data on outstanding creditors'!$B1244)</f>
        <v>2025</v>
      </c>
      <c r="T1244" s="11" t="str">
        <f>'data on outstanding creditors'!$C1244&amp;" "&amp;'data on outstanding creditors'!$D1244&amp;" "&amp;TEXT('data on outstanding creditors'!$E1244,"#,##0.00")</f>
        <v>บ.ยูโทเปี้ยน IV2507385 8,600.00</v>
      </c>
      <c r="U1244" s="12"/>
    </row>
    <row r="1245" ht="13.5" customHeight="1">
      <c r="A1245" s="1"/>
      <c r="B1245" s="2">
        <v>45853.0</v>
      </c>
      <c r="C1245" s="9" t="s">
        <v>771</v>
      </c>
      <c r="D1245" s="1" t="s">
        <v>1780</v>
      </c>
      <c r="E1245" s="4">
        <v>82000.0</v>
      </c>
      <c r="F1245" s="4"/>
      <c r="G1245" s="4"/>
      <c r="H1245" s="4">
        <f>'data on outstanding creditors'!$E1245-'data on outstanding creditors'!$F1245-'data on outstanding creditors'!$G1245</f>
        <v>82000</v>
      </c>
      <c r="I1245" s="2"/>
      <c r="J1245" s="1" t="s">
        <v>646</v>
      </c>
      <c r="K1245" s="2">
        <v>45928.0</v>
      </c>
      <c r="L1245" s="5"/>
      <c r="M1245" s="9" t="s">
        <v>22</v>
      </c>
      <c r="N1245" s="9" t="s">
        <v>23</v>
      </c>
      <c r="O1245" s="10">
        <f>'data on outstanding creditors'!$E1245*100/107</f>
        <v>76635.51402</v>
      </c>
      <c r="P1245" s="10">
        <f>'data on outstanding creditors'!$E1245-'data on outstanding creditors'!$O1245</f>
        <v>5364.485981</v>
      </c>
      <c r="Q1245" s="7">
        <f>DAY('data on outstanding creditors'!$B1245)</f>
        <v>15</v>
      </c>
      <c r="R1245" s="7">
        <f>MONTH('data on outstanding creditors'!$B1245)</f>
        <v>7</v>
      </c>
      <c r="S1245" s="7">
        <f>YEAR('data on outstanding creditors'!$B1245)</f>
        <v>2025</v>
      </c>
      <c r="T1245" s="11" t="str">
        <f>'data on outstanding creditors'!$C1245&amp;" "&amp;'data on outstanding creditors'!$D1245&amp;" "&amp;TEXT('data on outstanding creditors'!$E1245,"#,##0.00")</f>
        <v>หจก.ภิญโญฟาร์มาซี IV6835219 82,000.00</v>
      </c>
      <c r="U1245" s="12"/>
    </row>
    <row r="1246" ht="13.5" customHeight="1">
      <c r="A1246" s="1"/>
      <c r="B1246" s="2">
        <v>45853.0</v>
      </c>
      <c r="C1246" s="9" t="s">
        <v>1391</v>
      </c>
      <c r="D1246" s="1" t="s">
        <v>1781</v>
      </c>
      <c r="E1246" s="4">
        <v>26500.0</v>
      </c>
      <c r="F1246" s="4"/>
      <c r="G1246" s="4"/>
      <c r="H1246" s="4">
        <f>'data on outstanding creditors'!$E1246-'data on outstanding creditors'!$F1246-'data on outstanding creditors'!$G1246</f>
        <v>26500</v>
      </c>
      <c r="I1246" s="2"/>
      <c r="J1246" s="1" t="s">
        <v>646</v>
      </c>
      <c r="K1246" s="2">
        <v>45928.0</v>
      </c>
      <c r="L1246" s="5"/>
      <c r="M1246" s="9" t="s">
        <v>22</v>
      </c>
      <c r="N1246" s="9" t="s">
        <v>23</v>
      </c>
      <c r="O1246" s="10">
        <f>'data on outstanding creditors'!$E1246*100/107</f>
        <v>24766.35514</v>
      </c>
      <c r="P1246" s="10">
        <f>'data on outstanding creditors'!$E1246-'data on outstanding creditors'!$O1246</f>
        <v>1733.64486</v>
      </c>
      <c r="Q1246" s="7">
        <f>DAY('data on outstanding creditors'!$B1246)</f>
        <v>15</v>
      </c>
      <c r="R1246" s="7">
        <f>MONTH('data on outstanding creditors'!$B1246)</f>
        <v>7</v>
      </c>
      <c r="S1246" s="7">
        <f>YEAR('data on outstanding creditors'!$B1246)</f>
        <v>2025</v>
      </c>
      <c r="T1246" s="11" t="str">
        <f>'data on outstanding creditors'!$C1246&amp;" "&amp;'data on outstanding creditors'!$D1246&amp;" "&amp;TEXT('data on outstanding creditors'!$E1246,"#,##0.00")</f>
        <v>บ.ที.พี.ดรัก แลบบอราทอรี่ส์ VIV125070534 26,500.00</v>
      </c>
      <c r="U1246" s="12"/>
    </row>
    <row r="1247" ht="13.5" customHeight="1">
      <c r="A1247" s="1"/>
      <c r="B1247" s="2">
        <v>45853.0</v>
      </c>
      <c r="C1247" s="9" t="s">
        <v>1450</v>
      </c>
      <c r="D1247" s="1" t="s">
        <v>1782</v>
      </c>
      <c r="E1247" s="4">
        <v>19046.0</v>
      </c>
      <c r="F1247" s="4"/>
      <c r="G1247" s="4"/>
      <c r="H1247" s="4">
        <f>'data on outstanding creditors'!$E1247-'data on outstanding creditors'!$F1247-'data on outstanding creditors'!$G1247</f>
        <v>19046</v>
      </c>
      <c r="I1247" s="2"/>
      <c r="J1247" s="1" t="s">
        <v>757</v>
      </c>
      <c r="K1247" s="2">
        <v>45885.0</v>
      </c>
      <c r="L1247" s="5"/>
      <c r="M1247" s="9" t="s">
        <v>22</v>
      </c>
      <c r="N1247" s="9" t="s">
        <v>23</v>
      </c>
      <c r="O1247" s="10">
        <f>'data on outstanding creditors'!$E1247*100/107</f>
        <v>17800</v>
      </c>
      <c r="P1247" s="10">
        <f>'data on outstanding creditors'!$E1247-'data on outstanding creditors'!$O1247</f>
        <v>1246</v>
      </c>
      <c r="Q1247" s="7">
        <f>DAY('data on outstanding creditors'!$B1247)</f>
        <v>15</v>
      </c>
      <c r="R1247" s="7">
        <f>MONTH('data on outstanding creditors'!$B1247)</f>
        <v>7</v>
      </c>
      <c r="S1247" s="7">
        <f>YEAR('data on outstanding creditors'!$B1247)</f>
        <v>2025</v>
      </c>
      <c r="T1247" s="11" t="str">
        <f>'data on outstanding creditors'!$C1247&amp;" "&amp;'data on outstanding creditors'!$D1247&amp;" "&amp;TEXT('data on outstanding creditors'!$E1247,"#,##0.00")</f>
        <v>บ.อุยเฮง อินเตอร์เนชั่นแนล เฮลท์แคร์ OH-2-2-2025002605 19,046.00</v>
      </c>
      <c r="U1247" s="12"/>
    </row>
    <row r="1248" ht="13.5" customHeight="1">
      <c r="A1248" s="1"/>
      <c r="B1248" s="2">
        <v>45853.0</v>
      </c>
      <c r="C1248" s="9" t="s">
        <v>1320</v>
      </c>
      <c r="D1248" s="1" t="s">
        <v>1783</v>
      </c>
      <c r="E1248" s="4">
        <v>12433.4</v>
      </c>
      <c r="F1248" s="4"/>
      <c r="G1248" s="4"/>
      <c r="H1248" s="4">
        <f>'data on outstanding creditors'!$E1248-'data on outstanding creditors'!$F1248-'data on outstanding creditors'!$G1248</f>
        <v>12433.4</v>
      </c>
      <c r="I1248" s="2"/>
      <c r="J1248" s="1" t="s">
        <v>646</v>
      </c>
      <c r="K1248" s="2">
        <v>45928.0</v>
      </c>
      <c r="L1248" s="5"/>
      <c r="M1248" s="9" t="s">
        <v>22</v>
      </c>
      <c r="N1248" s="9" t="s">
        <v>23</v>
      </c>
      <c r="O1248" s="10">
        <f>'data on outstanding creditors'!$E1248*100/107</f>
        <v>11620</v>
      </c>
      <c r="P1248" s="10">
        <f>'data on outstanding creditors'!$E1248-'data on outstanding creditors'!$O1248</f>
        <v>813.4</v>
      </c>
      <c r="Q1248" s="7">
        <f>DAY('data on outstanding creditors'!$B1248)</f>
        <v>15</v>
      </c>
      <c r="R1248" s="7">
        <f>MONTH('data on outstanding creditors'!$B1248)</f>
        <v>7</v>
      </c>
      <c r="S1248" s="7">
        <f>YEAR('data on outstanding creditors'!$B1248)</f>
        <v>2025</v>
      </c>
      <c r="T1248" s="11" t="str">
        <f>'data on outstanding creditors'!$C1248&amp;" "&amp;'data on outstanding creditors'!$D1248&amp;" "&amp;TEXT('data on outstanding creditors'!$E1248,"#,##0.00")</f>
        <v>บ.บี.เอ็ล.ฮั้ว 68023204 12,433.40</v>
      </c>
      <c r="U1248" s="12"/>
    </row>
    <row r="1249" ht="13.5" customHeight="1">
      <c r="A1249" s="1"/>
      <c r="B1249" s="2">
        <v>45853.0</v>
      </c>
      <c r="C1249" s="9" t="s">
        <v>1371</v>
      </c>
      <c r="D1249" s="1" t="s">
        <v>1784</v>
      </c>
      <c r="E1249" s="4">
        <v>30000.0</v>
      </c>
      <c r="F1249" s="4"/>
      <c r="G1249" s="4"/>
      <c r="H1249" s="4">
        <f>'data on outstanding creditors'!$E1249-'data on outstanding creditors'!$F1249-'data on outstanding creditors'!$G1249</f>
        <v>30000</v>
      </c>
      <c r="I1249" s="2"/>
      <c r="J1249" s="1" t="s">
        <v>646</v>
      </c>
      <c r="K1249" s="2">
        <v>45928.0</v>
      </c>
      <c r="L1249" s="5"/>
      <c r="M1249" s="9" t="s">
        <v>22</v>
      </c>
      <c r="N1249" s="9" t="s">
        <v>23</v>
      </c>
      <c r="O1249" s="10">
        <f>'data on outstanding creditors'!$E1249*100/107</f>
        <v>28037.38318</v>
      </c>
      <c r="P1249" s="10">
        <f>'data on outstanding creditors'!$E1249-'data on outstanding creditors'!$O1249</f>
        <v>1962.616822</v>
      </c>
      <c r="Q1249" s="7">
        <f>DAY('data on outstanding creditors'!$B1249)</f>
        <v>15</v>
      </c>
      <c r="R1249" s="7">
        <f>MONTH('data on outstanding creditors'!$B1249)</f>
        <v>7</v>
      </c>
      <c r="S1249" s="7">
        <f>YEAR('data on outstanding creditors'!$B1249)</f>
        <v>2025</v>
      </c>
      <c r="T1249" s="11" t="str">
        <f>'data on outstanding creditors'!$C1249&amp;" "&amp;'data on outstanding creditors'!$D1249&amp;" "&amp;TEXT('data on outstanding creditors'!$E1249,"#,##0.00")</f>
        <v>บ.แอตแลนต้า เมดดิคแคร์ BI/225070261 30,000.00</v>
      </c>
      <c r="U1249" s="12"/>
    </row>
    <row r="1250" ht="13.5" customHeight="1">
      <c r="A1250" s="1"/>
      <c r="B1250" s="2">
        <v>45853.0</v>
      </c>
      <c r="C1250" s="9" t="s">
        <v>780</v>
      </c>
      <c r="D1250" s="1" t="s">
        <v>1785</v>
      </c>
      <c r="E1250" s="4">
        <v>16050.0</v>
      </c>
      <c r="F1250" s="4"/>
      <c r="G1250" s="4"/>
      <c r="H1250" s="4">
        <f>'data on outstanding creditors'!$E1250-'data on outstanding creditors'!$F1250-'data on outstanding creditors'!$G1250</f>
        <v>16050</v>
      </c>
      <c r="I1250" s="2"/>
      <c r="J1250" s="1" t="s">
        <v>646</v>
      </c>
      <c r="K1250" s="2">
        <v>45928.0</v>
      </c>
      <c r="L1250" s="5"/>
      <c r="M1250" s="9" t="s">
        <v>22</v>
      </c>
      <c r="N1250" s="9" t="s">
        <v>23</v>
      </c>
      <c r="O1250" s="10">
        <f>'data on outstanding creditors'!$E1250*100/107</f>
        <v>15000</v>
      </c>
      <c r="P1250" s="10">
        <f>'data on outstanding creditors'!$E1250-'data on outstanding creditors'!$O1250</f>
        <v>1050</v>
      </c>
      <c r="Q1250" s="7">
        <f>DAY('data on outstanding creditors'!$B1250)</f>
        <v>15</v>
      </c>
      <c r="R1250" s="7">
        <f>MONTH('data on outstanding creditors'!$B1250)</f>
        <v>7</v>
      </c>
      <c r="S1250" s="7">
        <f>YEAR('data on outstanding creditors'!$B1250)</f>
        <v>2025</v>
      </c>
      <c r="T1250" s="11" t="str">
        <f>'data on outstanding creditors'!$C1250&amp;" "&amp;'data on outstanding creditors'!$D1250&amp;" "&amp;TEXT('data on outstanding creditors'!$E1250,"#,##0.00")</f>
        <v>บ.แคสป้า ฟาร์มาซูติคอล(ประเทศไทย) C68070186 16,050.00</v>
      </c>
      <c r="U1250" s="12"/>
    </row>
    <row r="1251" ht="13.5" customHeight="1">
      <c r="A1251" s="1"/>
      <c r="B1251" s="2">
        <v>45854.0</v>
      </c>
      <c r="C1251" s="9" t="s">
        <v>1414</v>
      </c>
      <c r="D1251" s="1" t="s">
        <v>1786</v>
      </c>
      <c r="E1251" s="4">
        <v>12500.0</v>
      </c>
      <c r="F1251" s="4"/>
      <c r="G1251" s="4"/>
      <c r="H1251" s="4">
        <f>'data on outstanding creditors'!$E1251-'data on outstanding creditors'!$F1251-'data on outstanding creditors'!$G1251</f>
        <v>12500</v>
      </c>
      <c r="I1251" s="2"/>
      <c r="J1251" s="1" t="s">
        <v>757</v>
      </c>
      <c r="K1251" s="2">
        <v>45884.0</v>
      </c>
      <c r="L1251" s="5"/>
      <c r="M1251" s="9" t="s">
        <v>22</v>
      </c>
      <c r="N1251" s="9" t="s">
        <v>23</v>
      </c>
      <c r="O1251" s="10">
        <f>'data on outstanding creditors'!$E1251*100/107</f>
        <v>11682.24299</v>
      </c>
      <c r="P1251" s="10">
        <f>'data on outstanding creditors'!$E1251-'data on outstanding creditors'!$O1251</f>
        <v>817.7570093</v>
      </c>
      <c r="Q1251" s="7">
        <f>DAY('data on outstanding creditors'!$B1251)</f>
        <v>16</v>
      </c>
      <c r="R1251" s="7">
        <f>MONTH('data on outstanding creditors'!$B1251)</f>
        <v>7</v>
      </c>
      <c r="S1251" s="7">
        <f>YEAR('data on outstanding creditors'!$B1251)</f>
        <v>2025</v>
      </c>
      <c r="T1251" s="11" t="str">
        <f>'data on outstanding creditors'!$C1251&amp;" "&amp;'data on outstanding creditors'!$D1251&amp;" "&amp;TEXT('data on outstanding creditors'!$E1251,"#,##0.00")</f>
        <v>บ.ฟาร์มีน่า 68386048 12,500.00</v>
      </c>
      <c r="U1251" s="12"/>
    </row>
    <row r="1252" ht="13.5" customHeight="1">
      <c r="A1252" s="1"/>
      <c r="B1252" s="2">
        <v>45854.0</v>
      </c>
      <c r="C1252" s="9" t="s">
        <v>1627</v>
      </c>
      <c r="D1252" s="1" t="s">
        <v>1787</v>
      </c>
      <c r="E1252" s="4">
        <v>37800.0</v>
      </c>
      <c r="F1252" s="4"/>
      <c r="G1252" s="4"/>
      <c r="H1252" s="4">
        <f>'data on outstanding creditors'!$E1252-'data on outstanding creditors'!$F1252-'data on outstanding creditors'!$G1252</f>
        <v>37800</v>
      </c>
      <c r="I1252" s="2"/>
      <c r="J1252" s="1" t="s">
        <v>646</v>
      </c>
      <c r="K1252" s="2">
        <v>45887.0</v>
      </c>
      <c r="L1252" s="5"/>
      <c r="M1252" s="9" t="s">
        <v>22</v>
      </c>
      <c r="N1252" s="9" t="s">
        <v>23</v>
      </c>
      <c r="O1252" s="10">
        <f>'data on outstanding creditors'!$E1252*100/107</f>
        <v>35327.1028</v>
      </c>
      <c r="P1252" s="10">
        <f>'data on outstanding creditors'!$E1252-'data on outstanding creditors'!$O1252</f>
        <v>2472.897196</v>
      </c>
      <c r="Q1252" s="7">
        <f>DAY('data on outstanding creditors'!$B1252)</f>
        <v>16</v>
      </c>
      <c r="R1252" s="7">
        <f>MONTH('data on outstanding creditors'!$B1252)</f>
        <v>7</v>
      </c>
      <c r="S1252" s="7">
        <f>YEAR('data on outstanding creditors'!$B1252)</f>
        <v>2025</v>
      </c>
      <c r="T1252" s="11" t="str">
        <f>'data on outstanding creditors'!$C1252&amp;" "&amp;'data on outstanding creditors'!$D1252&amp;" "&amp;TEXT('data on outstanding creditors'!$E1252,"#,##0.00")</f>
        <v>มูลนิธิโรงพยาบาลเจ้าพระยาอภัยภูเบศร ORV68070092 37,800.00</v>
      </c>
      <c r="U1252" s="12"/>
    </row>
    <row r="1253" ht="13.5" customHeight="1">
      <c r="A1253" s="1"/>
      <c r="B1253" s="2">
        <v>45854.0</v>
      </c>
      <c r="C1253" s="9" t="s">
        <v>1383</v>
      </c>
      <c r="D1253" s="1" t="s">
        <v>1788</v>
      </c>
      <c r="E1253" s="4">
        <v>9800.0</v>
      </c>
      <c r="F1253" s="4"/>
      <c r="G1253" s="4"/>
      <c r="H1253" s="4">
        <f>'data on outstanding creditors'!$E1253-'data on outstanding creditors'!$F1253-'data on outstanding creditors'!$G1253</f>
        <v>9800</v>
      </c>
      <c r="I1253" s="2"/>
      <c r="J1253" s="1" t="s">
        <v>757</v>
      </c>
      <c r="K1253" s="2">
        <v>45884.0</v>
      </c>
      <c r="L1253" s="5"/>
      <c r="M1253" s="9" t="s">
        <v>22</v>
      </c>
      <c r="N1253" s="9" t="s">
        <v>23</v>
      </c>
      <c r="O1253" s="10">
        <f>'data on outstanding creditors'!$E1253*100/107</f>
        <v>9158.878505</v>
      </c>
      <c r="P1253" s="10">
        <f>'data on outstanding creditors'!$E1253-'data on outstanding creditors'!$O1253</f>
        <v>641.1214953</v>
      </c>
      <c r="Q1253" s="7">
        <f>DAY('data on outstanding creditors'!$B1253)</f>
        <v>16</v>
      </c>
      <c r="R1253" s="7">
        <f>MONTH('data on outstanding creditors'!$B1253)</f>
        <v>7</v>
      </c>
      <c r="S1253" s="7">
        <f>YEAR('data on outstanding creditors'!$B1253)</f>
        <v>2025</v>
      </c>
      <c r="T1253" s="11" t="str">
        <f>'data on outstanding creditors'!$C1253&amp;" "&amp;'data on outstanding creditors'!$D1253&amp;" "&amp;TEXT('data on outstanding creditors'!$E1253,"#,##0.00")</f>
        <v>บ.ยูเมด้า 323242 9,800.00</v>
      </c>
      <c r="U1253" s="12"/>
    </row>
    <row r="1254" ht="13.5" customHeight="1">
      <c r="A1254" s="1"/>
      <c r="B1254" s="2">
        <v>45854.0</v>
      </c>
      <c r="C1254" s="9" t="s">
        <v>813</v>
      </c>
      <c r="D1254" s="1" t="s">
        <v>1789</v>
      </c>
      <c r="E1254" s="4">
        <v>15000.0</v>
      </c>
      <c r="F1254" s="4"/>
      <c r="G1254" s="4"/>
      <c r="H1254" s="4">
        <f>'data on outstanding creditors'!$E1254-'data on outstanding creditors'!$F1254-'data on outstanding creditors'!$G1254</f>
        <v>15000</v>
      </c>
      <c r="I1254" s="2"/>
      <c r="J1254" s="1" t="s">
        <v>646</v>
      </c>
      <c r="K1254" s="2">
        <v>45906.0</v>
      </c>
      <c r="L1254" s="5"/>
      <c r="M1254" s="9" t="s">
        <v>22</v>
      </c>
      <c r="N1254" s="9" t="s">
        <v>23</v>
      </c>
      <c r="O1254" s="10">
        <f>'data on outstanding creditors'!$E1254*100/107</f>
        <v>14018.69159</v>
      </c>
      <c r="P1254" s="10">
        <f>'data on outstanding creditors'!$E1254-'data on outstanding creditors'!$O1254</f>
        <v>981.3084112</v>
      </c>
      <c r="Q1254" s="7">
        <f>DAY('data on outstanding creditors'!$B1254)</f>
        <v>16</v>
      </c>
      <c r="R1254" s="7">
        <f>MONTH('data on outstanding creditors'!$B1254)</f>
        <v>7</v>
      </c>
      <c r="S1254" s="7">
        <f>YEAR('data on outstanding creditors'!$B1254)</f>
        <v>2025</v>
      </c>
      <c r="T1254" s="11" t="str">
        <f>'data on outstanding creditors'!$C1254&amp;" "&amp;'data on outstanding creditors'!$D1254&amp;" "&amp;TEXT('data on outstanding creditors'!$E1254,"#,##0.00")</f>
        <v>บ.ที.แมน ฟาร์มาซูติคอล IST250104658 15,000.00</v>
      </c>
      <c r="U1254" s="12"/>
    </row>
    <row r="1255" ht="13.5" customHeight="1">
      <c r="A1255" s="1"/>
      <c r="B1255" s="2">
        <v>45854.0</v>
      </c>
      <c r="C1255" s="9" t="s">
        <v>763</v>
      </c>
      <c r="D1255" s="1" t="s">
        <v>1790</v>
      </c>
      <c r="E1255" s="4">
        <v>83460.0</v>
      </c>
      <c r="F1255" s="4"/>
      <c r="G1255" s="4"/>
      <c r="H1255" s="4">
        <f>'data on outstanding creditors'!$E1255-'data on outstanding creditors'!$F1255-'data on outstanding creditors'!$G1255</f>
        <v>83460</v>
      </c>
      <c r="I1255" s="2"/>
      <c r="J1255" s="1" t="s">
        <v>757</v>
      </c>
      <c r="K1255" s="2">
        <v>45885.0</v>
      </c>
      <c r="L1255" s="5"/>
      <c r="M1255" s="9" t="s">
        <v>22</v>
      </c>
      <c r="N1255" s="9" t="s">
        <v>23</v>
      </c>
      <c r="O1255" s="10">
        <f>'data on outstanding creditors'!$E1255*100/107</f>
        <v>78000</v>
      </c>
      <c r="P1255" s="10">
        <f>'data on outstanding creditors'!$E1255-'data on outstanding creditors'!$O1255</f>
        <v>5460</v>
      </c>
      <c r="Q1255" s="7">
        <f>DAY('data on outstanding creditors'!$B1255)</f>
        <v>16</v>
      </c>
      <c r="R1255" s="7">
        <f>MONTH('data on outstanding creditors'!$B1255)</f>
        <v>7</v>
      </c>
      <c r="S1255" s="7">
        <f>YEAR('data on outstanding creditors'!$B1255)</f>
        <v>2025</v>
      </c>
      <c r="T1255" s="11" t="str">
        <f>'data on outstanding creditors'!$C1255&amp;" "&amp;'data on outstanding creditors'!$D1255&amp;" "&amp;TEXT('data on outstanding creditors'!$E1255,"#,##0.00")</f>
        <v>บ.อัลลายแอนซ์ ฟาร์มา B56807023 83,460.00</v>
      </c>
      <c r="U1255" s="12"/>
    </row>
    <row r="1256" ht="13.5" customHeight="1">
      <c r="A1256" s="1"/>
      <c r="B1256" s="2">
        <v>45854.0</v>
      </c>
      <c r="C1256" s="9" t="s">
        <v>1791</v>
      </c>
      <c r="D1256" s="1" t="s">
        <v>1792</v>
      </c>
      <c r="E1256" s="4">
        <v>92000.0</v>
      </c>
      <c r="F1256" s="4"/>
      <c r="G1256" s="4"/>
      <c r="H1256" s="4">
        <f>'data on outstanding creditors'!$E1256-'data on outstanding creditors'!$F1256-'data on outstanding creditors'!$G1256</f>
        <v>92000</v>
      </c>
      <c r="I1256" s="2"/>
      <c r="J1256" s="1" t="s">
        <v>757</v>
      </c>
      <c r="K1256" s="2">
        <v>45874.0</v>
      </c>
      <c r="L1256" s="5"/>
      <c r="M1256" s="9" t="s">
        <v>22</v>
      </c>
      <c r="N1256" s="9" t="s">
        <v>23</v>
      </c>
      <c r="O1256" s="10">
        <f>'data on outstanding creditors'!$E1256*100/107</f>
        <v>85981.30841</v>
      </c>
      <c r="P1256" s="10">
        <f>'data on outstanding creditors'!$E1256-'data on outstanding creditors'!$O1256</f>
        <v>6018.691589</v>
      </c>
      <c r="Q1256" s="7">
        <f>DAY('data on outstanding creditors'!$B1256)</f>
        <v>16</v>
      </c>
      <c r="R1256" s="7">
        <f>MONTH('data on outstanding creditors'!$B1256)</f>
        <v>7</v>
      </c>
      <c r="S1256" s="7">
        <f>YEAR('data on outstanding creditors'!$B1256)</f>
        <v>2025</v>
      </c>
      <c r="T1256" s="11" t="str">
        <f>'data on outstanding creditors'!$C1256&amp;" "&amp;'data on outstanding creditors'!$D1256&amp;" "&amp;TEXT('data on outstanding creditors'!$E1256,"#,##0.00")</f>
        <v>บ.วนา VIN2500092 92,000.00</v>
      </c>
      <c r="U1256" s="12"/>
    </row>
    <row r="1257" ht="13.5" customHeight="1">
      <c r="A1257" s="1"/>
      <c r="B1257" s="2">
        <v>45854.0</v>
      </c>
      <c r="C1257" s="9" t="s">
        <v>520</v>
      </c>
      <c r="D1257" s="1" t="s">
        <v>1793</v>
      </c>
      <c r="E1257" s="4">
        <v>281410.0</v>
      </c>
      <c r="F1257" s="4"/>
      <c r="G1257" s="4"/>
      <c r="H1257" s="4">
        <f>'data on outstanding creditors'!$E1257-'data on outstanding creditors'!$F1257-'data on outstanding creditors'!$G1257</f>
        <v>281410</v>
      </c>
      <c r="I1257" s="2"/>
      <c r="J1257" s="1" t="s">
        <v>646</v>
      </c>
      <c r="K1257" s="2">
        <v>45943.0</v>
      </c>
      <c r="L1257" s="5"/>
      <c r="M1257" s="9" t="s">
        <v>22</v>
      </c>
      <c r="N1257" s="9" t="s">
        <v>23</v>
      </c>
      <c r="O1257" s="10">
        <f>'data on outstanding creditors'!$E1257*100/107</f>
        <v>263000</v>
      </c>
      <c r="P1257" s="10">
        <f>'data on outstanding creditors'!$E1257-'data on outstanding creditors'!$O1257</f>
        <v>18410</v>
      </c>
      <c r="Q1257" s="7">
        <f>DAY('data on outstanding creditors'!$B1257)</f>
        <v>16</v>
      </c>
      <c r="R1257" s="7">
        <f>MONTH('data on outstanding creditors'!$B1257)</f>
        <v>7</v>
      </c>
      <c r="S1257" s="7">
        <f>YEAR('data on outstanding creditors'!$B1257)</f>
        <v>2025</v>
      </c>
      <c r="T1257" s="11" t="str">
        <f>'data on outstanding creditors'!$C1257&amp;" "&amp;'data on outstanding creditors'!$D1257&amp;" "&amp;TEXT('data on outstanding creditors'!$E1257,"#,##0.00")</f>
        <v>บ.ซิลลิคฟาร์มา 1317637516 281,410.00</v>
      </c>
      <c r="U1257" s="12"/>
    </row>
    <row r="1258" ht="13.5" customHeight="1">
      <c r="A1258" s="1"/>
      <c r="B1258" s="2">
        <v>45854.0</v>
      </c>
      <c r="C1258" s="9" t="s">
        <v>771</v>
      </c>
      <c r="D1258" s="1" t="s">
        <v>1794</v>
      </c>
      <c r="E1258" s="4">
        <v>81000.0</v>
      </c>
      <c r="F1258" s="4"/>
      <c r="G1258" s="4"/>
      <c r="H1258" s="4">
        <f>'data on outstanding creditors'!$E1258-'data on outstanding creditors'!$F1258-'data on outstanding creditors'!$G1258</f>
        <v>81000</v>
      </c>
      <c r="I1258" s="2"/>
      <c r="J1258" s="1" t="s">
        <v>646</v>
      </c>
      <c r="K1258" s="2">
        <v>45929.0</v>
      </c>
      <c r="L1258" s="5"/>
      <c r="M1258" s="9" t="s">
        <v>22</v>
      </c>
      <c r="N1258" s="9" t="s">
        <v>23</v>
      </c>
      <c r="O1258" s="10">
        <f>'data on outstanding creditors'!$E1258*100/107</f>
        <v>75700.93458</v>
      </c>
      <c r="P1258" s="10">
        <f>'data on outstanding creditors'!$E1258-'data on outstanding creditors'!$O1258</f>
        <v>5299.065421</v>
      </c>
      <c r="Q1258" s="7">
        <f>DAY('data on outstanding creditors'!$B1258)</f>
        <v>16</v>
      </c>
      <c r="R1258" s="7">
        <f>MONTH('data on outstanding creditors'!$B1258)</f>
        <v>7</v>
      </c>
      <c r="S1258" s="7">
        <f>YEAR('data on outstanding creditors'!$B1258)</f>
        <v>2025</v>
      </c>
      <c r="T1258" s="11" t="str">
        <f>'data on outstanding creditors'!$C1258&amp;" "&amp;'data on outstanding creditors'!$D1258&amp;" "&amp;TEXT('data on outstanding creditors'!$E1258,"#,##0.00")</f>
        <v>หจก.ภิญโญฟาร์มาซี IV6835877 81,000.00</v>
      </c>
      <c r="U1258" s="12"/>
    </row>
    <row r="1259" ht="13.5" customHeight="1">
      <c r="A1259" s="1"/>
      <c r="B1259" s="2">
        <v>45855.0</v>
      </c>
      <c r="C1259" s="9" t="s">
        <v>780</v>
      </c>
      <c r="D1259" s="1" t="s">
        <v>1795</v>
      </c>
      <c r="E1259" s="4">
        <v>85065.0</v>
      </c>
      <c r="F1259" s="4"/>
      <c r="G1259" s="4"/>
      <c r="H1259" s="4">
        <f>'data on outstanding creditors'!$E1259-'data on outstanding creditors'!$F1259-'data on outstanding creditors'!$G1259</f>
        <v>85065</v>
      </c>
      <c r="I1259" s="2"/>
      <c r="J1259" s="1" t="s">
        <v>646</v>
      </c>
      <c r="K1259" s="2">
        <v>45928.0</v>
      </c>
      <c r="L1259" s="5"/>
      <c r="M1259" s="9" t="s">
        <v>22</v>
      </c>
      <c r="N1259" s="9" t="s">
        <v>23</v>
      </c>
      <c r="O1259" s="10">
        <f>'data on outstanding creditors'!$E1259*100/107</f>
        <v>79500</v>
      </c>
      <c r="P1259" s="10">
        <f>'data on outstanding creditors'!$E1259-'data on outstanding creditors'!$O1259</f>
        <v>5565</v>
      </c>
      <c r="Q1259" s="7">
        <f>DAY('data on outstanding creditors'!$B1259)</f>
        <v>17</v>
      </c>
      <c r="R1259" s="7">
        <f>MONTH('data on outstanding creditors'!$B1259)</f>
        <v>7</v>
      </c>
      <c r="S1259" s="7">
        <f>YEAR('data on outstanding creditors'!$B1259)</f>
        <v>2025</v>
      </c>
      <c r="T1259" s="11" t="str">
        <f>'data on outstanding creditors'!$C1259&amp;" "&amp;'data on outstanding creditors'!$D1259&amp;" "&amp;TEXT('data on outstanding creditors'!$E1259,"#,##0.00")</f>
        <v>บ.แคสป้า ฟาร์มาซูติคอล(ประเทศไทย) C68070084 85,065.00</v>
      </c>
      <c r="U1259" s="12"/>
    </row>
    <row r="1260" ht="13.5" customHeight="1">
      <c r="A1260" s="1"/>
      <c r="B1260" s="2">
        <v>45855.0</v>
      </c>
      <c r="C1260" s="9" t="s">
        <v>1414</v>
      </c>
      <c r="D1260" s="1" t="s">
        <v>1796</v>
      </c>
      <c r="E1260" s="4">
        <v>46000.0</v>
      </c>
      <c r="F1260" s="4"/>
      <c r="G1260" s="4"/>
      <c r="H1260" s="4">
        <f>'data on outstanding creditors'!$E1260-'data on outstanding creditors'!$F1260-'data on outstanding creditors'!$G1260</f>
        <v>46000</v>
      </c>
      <c r="I1260" s="2"/>
      <c r="J1260" s="1" t="s">
        <v>757</v>
      </c>
      <c r="K1260" s="2">
        <v>45884.0</v>
      </c>
      <c r="L1260" s="5"/>
      <c r="M1260" s="9" t="s">
        <v>22</v>
      </c>
      <c r="N1260" s="9" t="s">
        <v>23</v>
      </c>
      <c r="O1260" s="10">
        <f>'data on outstanding creditors'!$E1260*100/107</f>
        <v>42990.65421</v>
      </c>
      <c r="P1260" s="10">
        <f>'data on outstanding creditors'!$E1260-'data on outstanding creditors'!$O1260</f>
        <v>3009.345794</v>
      </c>
      <c r="Q1260" s="7">
        <f>DAY('data on outstanding creditors'!$B1260)</f>
        <v>17</v>
      </c>
      <c r="R1260" s="7">
        <f>MONTH('data on outstanding creditors'!$B1260)</f>
        <v>7</v>
      </c>
      <c r="S1260" s="7">
        <f>YEAR('data on outstanding creditors'!$B1260)</f>
        <v>2025</v>
      </c>
      <c r="T1260" s="11" t="str">
        <f>'data on outstanding creditors'!$C1260&amp;" "&amp;'data on outstanding creditors'!$D1260&amp;" "&amp;TEXT('data on outstanding creditors'!$E1260,"#,##0.00")</f>
        <v>บ.ฟาร์มีน่า 68386083 46,000.00</v>
      </c>
      <c r="U1260" s="12"/>
    </row>
    <row r="1261" ht="13.5" customHeight="1">
      <c r="A1261" s="1"/>
      <c r="B1261" s="2">
        <v>45855.0</v>
      </c>
      <c r="C1261" s="9" t="s">
        <v>1723</v>
      </c>
      <c r="D1261" s="1" t="s">
        <v>1797</v>
      </c>
      <c r="E1261" s="4">
        <v>12000.0</v>
      </c>
      <c r="F1261" s="4"/>
      <c r="G1261" s="4"/>
      <c r="H1261" s="4">
        <f>'data on outstanding creditors'!$E1261-'data on outstanding creditors'!$F1261-'data on outstanding creditors'!$G1261</f>
        <v>12000</v>
      </c>
      <c r="I1261" s="2"/>
      <c r="J1261" s="1" t="s">
        <v>757</v>
      </c>
      <c r="K1261" s="2">
        <v>45884.0</v>
      </c>
      <c r="L1261" s="5"/>
      <c r="M1261" s="9" t="s">
        <v>22</v>
      </c>
      <c r="N1261" s="9" t="s">
        <v>23</v>
      </c>
      <c r="O1261" s="10">
        <f>'data on outstanding creditors'!$E1261*100/107</f>
        <v>11214.95327</v>
      </c>
      <c r="P1261" s="10">
        <f>'data on outstanding creditors'!$E1261-'data on outstanding creditors'!$O1261</f>
        <v>785.046729</v>
      </c>
      <c r="Q1261" s="7">
        <f>DAY('data on outstanding creditors'!$B1261)</f>
        <v>17</v>
      </c>
      <c r="R1261" s="7">
        <f>MONTH('data on outstanding creditors'!$B1261)</f>
        <v>7</v>
      </c>
      <c r="S1261" s="7">
        <f>YEAR('data on outstanding creditors'!$B1261)</f>
        <v>2025</v>
      </c>
      <c r="T1261" s="11" t="str">
        <f>'data on outstanding creditors'!$C1261&amp;" "&amp;'data on outstanding creditors'!$D1261&amp;" "&amp;TEXT('data on outstanding creditors'!$E1261,"#,##0.00")</f>
        <v>หสน.โรงงานเภสัชกรรมพอนด์เคมีคอล C194473 12,000.00</v>
      </c>
      <c r="U1261" s="12"/>
    </row>
    <row r="1262" ht="13.5" customHeight="1">
      <c r="A1262" s="1"/>
      <c r="B1262" s="2">
        <v>45855.0</v>
      </c>
      <c r="C1262" s="9" t="s">
        <v>1723</v>
      </c>
      <c r="D1262" s="1" t="s">
        <v>1798</v>
      </c>
      <c r="E1262" s="4">
        <v>12000.0</v>
      </c>
      <c r="F1262" s="4"/>
      <c r="G1262" s="4"/>
      <c r="H1262" s="4">
        <f>'data on outstanding creditors'!$E1262-'data on outstanding creditors'!$F1262-'data on outstanding creditors'!$G1262</f>
        <v>12000</v>
      </c>
      <c r="I1262" s="2"/>
      <c r="J1262" s="1" t="s">
        <v>757</v>
      </c>
      <c r="K1262" s="2">
        <v>45884.0</v>
      </c>
      <c r="L1262" s="5"/>
      <c r="M1262" s="9" t="s">
        <v>22</v>
      </c>
      <c r="N1262" s="9" t="s">
        <v>23</v>
      </c>
      <c r="O1262" s="10">
        <f>'data on outstanding creditors'!$E1262*100/107</f>
        <v>11214.95327</v>
      </c>
      <c r="P1262" s="10">
        <f>'data on outstanding creditors'!$E1262-'data on outstanding creditors'!$O1262</f>
        <v>785.046729</v>
      </c>
      <c r="Q1262" s="7">
        <f>DAY('data on outstanding creditors'!$B1262)</f>
        <v>17</v>
      </c>
      <c r="R1262" s="7">
        <f>MONTH('data on outstanding creditors'!$B1262)</f>
        <v>7</v>
      </c>
      <c r="S1262" s="7">
        <f>YEAR('data on outstanding creditors'!$B1262)</f>
        <v>2025</v>
      </c>
      <c r="T1262" s="11" t="str">
        <f>'data on outstanding creditors'!$C1262&amp;" "&amp;'data on outstanding creditors'!$D1262&amp;" "&amp;TEXT('data on outstanding creditors'!$E1262,"#,##0.00")</f>
        <v>หสน.โรงงานเภสัชกรรมพอนด์เคมีคอล C194577 12,000.00</v>
      </c>
      <c r="U1262" s="12"/>
    </row>
    <row r="1263" ht="13.5" customHeight="1">
      <c r="A1263" s="1"/>
      <c r="B1263" s="2">
        <v>45855.0</v>
      </c>
      <c r="C1263" s="9" t="s">
        <v>1627</v>
      </c>
      <c r="D1263" s="1" t="s">
        <v>1799</v>
      </c>
      <c r="E1263" s="4">
        <v>28800.0</v>
      </c>
      <c r="F1263" s="4"/>
      <c r="G1263" s="4"/>
      <c r="H1263" s="4">
        <f>'data on outstanding creditors'!$E1263-'data on outstanding creditors'!$F1263-'data on outstanding creditors'!$G1263</f>
        <v>28800</v>
      </c>
      <c r="I1263" s="2"/>
      <c r="J1263" s="1" t="s">
        <v>646</v>
      </c>
      <c r="K1263" s="2">
        <v>45887.0</v>
      </c>
      <c r="L1263" s="5"/>
      <c r="M1263" s="9" t="s">
        <v>22</v>
      </c>
      <c r="N1263" s="9" t="s">
        <v>23</v>
      </c>
      <c r="O1263" s="10">
        <f>'data on outstanding creditors'!$E1263*100/107</f>
        <v>26915.88785</v>
      </c>
      <c r="P1263" s="10">
        <f>'data on outstanding creditors'!$E1263-'data on outstanding creditors'!$O1263</f>
        <v>1884.11215</v>
      </c>
      <c r="Q1263" s="7">
        <f>DAY('data on outstanding creditors'!$B1263)</f>
        <v>17</v>
      </c>
      <c r="R1263" s="7">
        <f>MONTH('data on outstanding creditors'!$B1263)</f>
        <v>7</v>
      </c>
      <c r="S1263" s="7">
        <f>YEAR('data on outstanding creditors'!$B1263)</f>
        <v>2025</v>
      </c>
      <c r="T1263" s="11" t="str">
        <f>'data on outstanding creditors'!$C1263&amp;" "&amp;'data on outstanding creditors'!$D1263&amp;" "&amp;TEXT('data on outstanding creditors'!$E1263,"#,##0.00")</f>
        <v>มูลนิธิโรงพยาบาลเจ้าพระยาอภัยภูเบศร ORV68070110 28,800.00</v>
      </c>
      <c r="U1263" s="12"/>
    </row>
    <row r="1264" ht="13.5" customHeight="1">
      <c r="A1264" s="1"/>
      <c r="B1264" s="2">
        <v>45855.0</v>
      </c>
      <c r="C1264" s="9" t="s">
        <v>1381</v>
      </c>
      <c r="D1264" s="1" t="s">
        <v>1800</v>
      </c>
      <c r="E1264" s="4">
        <v>18000.0</v>
      </c>
      <c r="F1264" s="4"/>
      <c r="G1264" s="4"/>
      <c r="H1264" s="4">
        <f>'data on outstanding creditors'!$E1264-'data on outstanding creditors'!$F1264-'data on outstanding creditors'!$G1264</f>
        <v>18000</v>
      </c>
      <c r="I1264" s="2"/>
      <c r="J1264" s="1" t="s">
        <v>646</v>
      </c>
      <c r="K1264" s="2">
        <v>45894.0</v>
      </c>
      <c r="L1264" s="5"/>
      <c r="M1264" s="9" t="s">
        <v>22</v>
      </c>
      <c r="N1264" s="9" t="s">
        <v>23</v>
      </c>
      <c r="O1264" s="10">
        <f>'data on outstanding creditors'!$E1264*100/107</f>
        <v>16822.42991</v>
      </c>
      <c r="P1264" s="10">
        <f>'data on outstanding creditors'!$E1264-'data on outstanding creditors'!$O1264</f>
        <v>1177.570093</v>
      </c>
      <c r="Q1264" s="7">
        <f>DAY('data on outstanding creditors'!$B1264)</f>
        <v>17</v>
      </c>
      <c r="R1264" s="7">
        <f>MONTH('data on outstanding creditors'!$B1264)</f>
        <v>7</v>
      </c>
      <c r="S1264" s="7">
        <f>YEAR('data on outstanding creditors'!$B1264)</f>
        <v>2025</v>
      </c>
      <c r="T1264" s="11" t="str">
        <f>'data on outstanding creditors'!$C1264&amp;" "&amp;'data on outstanding creditors'!$D1264&amp;" "&amp;TEXT('data on outstanding creditors'!$E1264,"#,##0.00")</f>
        <v>บ.ที เอ็น พี เฮลท์แคร์ 8103462107 18,000.00</v>
      </c>
      <c r="U1264" s="12"/>
    </row>
    <row r="1265" ht="13.5" customHeight="1">
      <c r="A1265" s="1"/>
      <c r="B1265" s="2">
        <v>45855.0</v>
      </c>
      <c r="C1265" s="9" t="s">
        <v>24</v>
      </c>
      <c r="D1265" s="1" t="s">
        <v>1801</v>
      </c>
      <c r="E1265" s="4">
        <v>10000.0</v>
      </c>
      <c r="F1265" s="4"/>
      <c r="G1265" s="4"/>
      <c r="H1265" s="4">
        <f>'data on outstanding creditors'!$E1265-'data on outstanding creditors'!$F1265-'data on outstanding creditors'!$G1265</f>
        <v>10000</v>
      </c>
      <c r="I1265" s="2"/>
      <c r="J1265" s="1" t="s">
        <v>646</v>
      </c>
      <c r="K1265" s="2">
        <v>45928.0</v>
      </c>
      <c r="L1265" s="5"/>
      <c r="M1265" s="9" t="s">
        <v>22</v>
      </c>
      <c r="N1265" s="9" t="s">
        <v>23</v>
      </c>
      <c r="O1265" s="10">
        <f>'data on outstanding creditors'!$E1265*100/107</f>
        <v>9345.794393</v>
      </c>
      <c r="P1265" s="10">
        <f>'data on outstanding creditors'!$E1265-'data on outstanding creditors'!$O1265</f>
        <v>654.2056075</v>
      </c>
      <c r="Q1265" s="7">
        <f>DAY('data on outstanding creditors'!$B1265)</f>
        <v>17</v>
      </c>
      <c r="R1265" s="7">
        <f>MONTH('data on outstanding creditors'!$B1265)</f>
        <v>7</v>
      </c>
      <c r="S1265" s="7">
        <f>YEAR('data on outstanding creditors'!$B1265)</f>
        <v>2025</v>
      </c>
      <c r="T1265" s="11" t="str">
        <f>'data on outstanding creditors'!$C1265&amp;" "&amp;'data on outstanding creditors'!$D1265&amp;" "&amp;TEXT('data on outstanding creditors'!$E1265,"#,##0.00")</f>
        <v>บ.เซ็นทรัลโพลีเทรดดิ้ง 31i25039569 10,000.00</v>
      </c>
      <c r="U1265" s="12"/>
    </row>
    <row r="1266" ht="13.5" customHeight="1">
      <c r="A1266" s="1"/>
      <c r="B1266" s="2">
        <v>45855.0</v>
      </c>
      <c r="C1266" s="9" t="s">
        <v>24</v>
      </c>
      <c r="D1266" s="1" t="s">
        <v>1802</v>
      </c>
      <c r="E1266" s="4">
        <v>15000.0</v>
      </c>
      <c r="F1266" s="4"/>
      <c r="G1266" s="4"/>
      <c r="H1266" s="4">
        <f>'data on outstanding creditors'!$E1266-'data on outstanding creditors'!$F1266-'data on outstanding creditors'!$G1266</f>
        <v>15000</v>
      </c>
      <c r="I1266" s="2"/>
      <c r="J1266" s="1" t="s">
        <v>646</v>
      </c>
      <c r="K1266" s="2">
        <v>45928.0</v>
      </c>
      <c r="L1266" s="5"/>
      <c r="M1266" s="9" t="s">
        <v>22</v>
      </c>
      <c r="N1266" s="9" t="s">
        <v>23</v>
      </c>
      <c r="O1266" s="10">
        <f>'data on outstanding creditors'!$E1266*100/107</f>
        <v>14018.69159</v>
      </c>
      <c r="P1266" s="10">
        <f>'data on outstanding creditors'!$E1266-'data on outstanding creditors'!$O1266</f>
        <v>981.3084112</v>
      </c>
      <c r="Q1266" s="7">
        <f>DAY('data on outstanding creditors'!$B1266)</f>
        <v>17</v>
      </c>
      <c r="R1266" s="7">
        <f>MONTH('data on outstanding creditors'!$B1266)</f>
        <v>7</v>
      </c>
      <c r="S1266" s="7">
        <f>YEAR('data on outstanding creditors'!$B1266)</f>
        <v>2025</v>
      </c>
      <c r="T1266" s="11" t="str">
        <f>'data on outstanding creditors'!$C1266&amp;" "&amp;'data on outstanding creditors'!$D1266&amp;" "&amp;TEXT('data on outstanding creditors'!$E1266,"#,##0.00")</f>
        <v>บ.เซ็นทรัลโพลีเทรดดิ้ง 31i25039966 15,000.00</v>
      </c>
      <c r="U1266" s="12"/>
    </row>
    <row r="1267" ht="13.5" customHeight="1">
      <c r="A1267" s="1"/>
      <c r="B1267" s="2">
        <v>45855.0</v>
      </c>
      <c r="C1267" s="9" t="s">
        <v>771</v>
      </c>
      <c r="D1267" s="1" t="s">
        <v>1803</v>
      </c>
      <c r="E1267" s="4">
        <v>82320.0</v>
      </c>
      <c r="F1267" s="4"/>
      <c r="G1267" s="4"/>
      <c r="H1267" s="4">
        <f>'data on outstanding creditors'!$E1267-'data on outstanding creditors'!$F1267-'data on outstanding creditors'!$G1267</f>
        <v>82320</v>
      </c>
      <c r="I1267" s="2"/>
      <c r="J1267" s="1" t="s">
        <v>646</v>
      </c>
      <c r="K1267" s="2">
        <v>45928.0</v>
      </c>
      <c r="L1267" s="5"/>
      <c r="M1267" s="9" t="s">
        <v>22</v>
      </c>
      <c r="N1267" s="9" t="s">
        <v>23</v>
      </c>
      <c r="O1267" s="10">
        <f>'data on outstanding creditors'!$E1267*100/107</f>
        <v>76934.57944</v>
      </c>
      <c r="P1267" s="10">
        <f>'data on outstanding creditors'!$E1267-'data on outstanding creditors'!$O1267</f>
        <v>5385.420561</v>
      </c>
      <c r="Q1267" s="7">
        <f>DAY('data on outstanding creditors'!$B1267)</f>
        <v>17</v>
      </c>
      <c r="R1267" s="7">
        <f>MONTH('data on outstanding creditors'!$B1267)</f>
        <v>7</v>
      </c>
      <c r="S1267" s="7">
        <f>YEAR('data on outstanding creditors'!$B1267)</f>
        <v>2025</v>
      </c>
      <c r="T1267" s="11" t="str">
        <f>'data on outstanding creditors'!$C1267&amp;" "&amp;'data on outstanding creditors'!$D1267&amp;" "&amp;TEXT('data on outstanding creditors'!$E1267,"#,##0.00")</f>
        <v>หจก.ภิญโญฟาร์มาซี IV6835741 82,320.00</v>
      </c>
      <c r="U1267" s="12"/>
    </row>
    <row r="1268" ht="13.5" customHeight="1">
      <c r="A1268" s="1"/>
      <c r="B1268" s="2">
        <v>45855.0</v>
      </c>
      <c r="C1268" s="9" t="s">
        <v>1243</v>
      </c>
      <c r="D1268" s="1" t="s">
        <v>1804</v>
      </c>
      <c r="E1268" s="4">
        <v>15000.0</v>
      </c>
      <c r="F1268" s="4"/>
      <c r="G1268" s="4"/>
      <c r="H1268" s="4">
        <f>'data on outstanding creditors'!$E1268-'data on outstanding creditors'!$F1268-'data on outstanding creditors'!$G1268</f>
        <v>15000</v>
      </c>
      <c r="I1268" s="2"/>
      <c r="J1268" s="1" t="s">
        <v>757</v>
      </c>
      <c r="K1268" s="2">
        <v>45885.0</v>
      </c>
      <c r="L1268" s="5"/>
      <c r="M1268" s="9" t="s">
        <v>22</v>
      </c>
      <c r="N1268" s="9" t="s">
        <v>23</v>
      </c>
      <c r="O1268" s="10">
        <f>'data on outstanding creditors'!$E1268*100/107</f>
        <v>14018.69159</v>
      </c>
      <c r="P1268" s="10">
        <f>'data on outstanding creditors'!$E1268-'data on outstanding creditors'!$O1268</f>
        <v>981.3084112</v>
      </c>
      <c r="Q1268" s="7">
        <f>DAY('data on outstanding creditors'!$B1268)</f>
        <v>17</v>
      </c>
      <c r="R1268" s="7">
        <f>MONTH('data on outstanding creditors'!$B1268)</f>
        <v>7</v>
      </c>
      <c r="S1268" s="7">
        <f>YEAR('data on outstanding creditors'!$B1268)</f>
        <v>2025</v>
      </c>
      <c r="T1268" s="11" t="str">
        <f>'data on outstanding creditors'!$C1268&amp;" "&amp;'data on outstanding creditors'!$D1268&amp;" "&amp;TEXT('data on outstanding creditors'!$E1268,"#,##0.00")</f>
        <v>บ.วี.แอนด์.วี.กรุงเทพ 8103452857 15,000.00</v>
      </c>
      <c r="U1268" s="12"/>
    </row>
    <row r="1269" ht="13.5" customHeight="1">
      <c r="A1269" s="1"/>
      <c r="B1269" s="2">
        <v>45855.0</v>
      </c>
      <c r="C1269" s="9" t="s">
        <v>250</v>
      </c>
      <c r="D1269" s="1" t="s">
        <v>1805</v>
      </c>
      <c r="E1269" s="4">
        <v>21988.5</v>
      </c>
      <c r="F1269" s="4"/>
      <c r="G1269" s="4"/>
      <c r="H1269" s="4">
        <f>'data on outstanding creditors'!$E1269-'data on outstanding creditors'!$F1269-'data on outstanding creditors'!$G1269</f>
        <v>21988.5</v>
      </c>
      <c r="I1269" s="2"/>
      <c r="J1269" s="1" t="s">
        <v>646</v>
      </c>
      <c r="K1269" s="2">
        <v>45944.0</v>
      </c>
      <c r="L1269" s="5"/>
      <c r="M1269" s="9" t="s">
        <v>22</v>
      </c>
      <c r="N1269" s="9" t="s">
        <v>23</v>
      </c>
      <c r="O1269" s="10">
        <f>'data on outstanding creditors'!$E1269*100/107</f>
        <v>20550</v>
      </c>
      <c r="P1269" s="10">
        <f>'data on outstanding creditors'!$E1269-'data on outstanding creditors'!$O1269</f>
        <v>1438.5</v>
      </c>
      <c r="Q1269" s="7">
        <f>DAY('data on outstanding creditors'!$B1269)</f>
        <v>17</v>
      </c>
      <c r="R1269" s="7">
        <f>MONTH('data on outstanding creditors'!$B1269)</f>
        <v>7</v>
      </c>
      <c r="S1269" s="7">
        <f>YEAR('data on outstanding creditors'!$B1269)</f>
        <v>2025</v>
      </c>
      <c r="T1269" s="11" t="str">
        <f>'data on outstanding creditors'!$C1269&amp;" "&amp;'data on outstanding creditors'!$D1269&amp;" "&amp;TEXT('data on outstanding creditors'!$E1269,"#,##0.00")</f>
        <v>บ.เกร๊ทเตอร์มายบาซิน #01-GM-1-2-2-2025011111 21,988.50</v>
      </c>
      <c r="U1269" s="12"/>
    </row>
    <row r="1270" ht="13.5" customHeight="1">
      <c r="A1270" s="1"/>
      <c r="B1270" s="2">
        <v>45855.0</v>
      </c>
      <c r="C1270" s="9" t="s">
        <v>1230</v>
      </c>
      <c r="D1270" s="1" t="s">
        <v>1806</v>
      </c>
      <c r="E1270" s="4">
        <v>17000.0</v>
      </c>
      <c r="F1270" s="4"/>
      <c r="G1270" s="4"/>
      <c r="H1270" s="4">
        <f>'data on outstanding creditors'!$E1270-'data on outstanding creditors'!$F1270-'data on outstanding creditors'!$G1270</f>
        <v>17000</v>
      </c>
      <c r="I1270" s="2"/>
      <c r="J1270" s="1" t="s">
        <v>757</v>
      </c>
      <c r="K1270" s="2">
        <v>45885.0</v>
      </c>
      <c r="L1270" s="5"/>
      <c r="M1270" s="9" t="s">
        <v>22</v>
      </c>
      <c r="N1270" s="9" t="s">
        <v>23</v>
      </c>
      <c r="O1270" s="10">
        <f>'data on outstanding creditors'!$E1270*100/107</f>
        <v>15887.85047</v>
      </c>
      <c r="P1270" s="10">
        <f>'data on outstanding creditors'!$E1270-'data on outstanding creditors'!$O1270</f>
        <v>1112.149533</v>
      </c>
      <c r="Q1270" s="7">
        <f>DAY('data on outstanding creditors'!$B1270)</f>
        <v>17</v>
      </c>
      <c r="R1270" s="7">
        <f>MONTH('data on outstanding creditors'!$B1270)</f>
        <v>7</v>
      </c>
      <c r="S1270" s="7">
        <f>YEAR('data on outstanding creditors'!$B1270)</f>
        <v>2025</v>
      </c>
      <c r="T1270" s="11" t="str">
        <f>'data on outstanding creditors'!$C1270&amp;" "&amp;'data on outstanding creditors'!$D1270&amp;" "&amp;TEXT('data on outstanding creditors'!$E1270,"#,##0.00")</f>
        <v>บ.พรอส ฟาร์มา INV-L-IM\2025071884 17,000.00</v>
      </c>
      <c r="U1270" s="12"/>
    </row>
    <row r="1271" ht="13.5" customHeight="1">
      <c r="A1271" s="1"/>
      <c r="B1271" s="2">
        <v>45855.0</v>
      </c>
      <c r="C1271" s="9" t="s">
        <v>1230</v>
      </c>
      <c r="D1271" s="1" t="s">
        <v>1807</v>
      </c>
      <c r="E1271" s="4">
        <v>30000.0</v>
      </c>
      <c r="F1271" s="4"/>
      <c r="G1271" s="4"/>
      <c r="H1271" s="4">
        <f>'data on outstanding creditors'!$E1271-'data on outstanding creditors'!$F1271-'data on outstanding creditors'!$G1271</f>
        <v>30000</v>
      </c>
      <c r="I1271" s="2"/>
      <c r="J1271" s="1" t="s">
        <v>757</v>
      </c>
      <c r="K1271" s="2">
        <v>45885.0</v>
      </c>
      <c r="L1271" s="5"/>
      <c r="M1271" s="9" t="s">
        <v>22</v>
      </c>
      <c r="N1271" s="9" t="s">
        <v>23</v>
      </c>
      <c r="O1271" s="10">
        <f>'data on outstanding creditors'!$E1271*100/107</f>
        <v>28037.38318</v>
      </c>
      <c r="P1271" s="10">
        <f>'data on outstanding creditors'!$E1271-'data on outstanding creditors'!$O1271</f>
        <v>1962.616822</v>
      </c>
      <c r="Q1271" s="7">
        <f>DAY('data on outstanding creditors'!$B1271)</f>
        <v>17</v>
      </c>
      <c r="R1271" s="7">
        <f>MONTH('data on outstanding creditors'!$B1271)</f>
        <v>7</v>
      </c>
      <c r="S1271" s="7">
        <f>YEAR('data on outstanding creditors'!$B1271)</f>
        <v>2025</v>
      </c>
      <c r="T1271" s="11" t="str">
        <f>'data on outstanding creditors'!$C1271&amp;" "&amp;'data on outstanding creditors'!$D1271&amp;" "&amp;TEXT('data on outstanding creditors'!$E1271,"#,##0.00")</f>
        <v>บ.พรอส ฟาร์มา INV-L-IM\2025071623 30,000.00</v>
      </c>
      <c r="U1271" s="12"/>
    </row>
    <row r="1272" ht="13.5" customHeight="1">
      <c r="A1272" s="1"/>
      <c r="B1272" s="2">
        <v>45855.0</v>
      </c>
      <c r="C1272" s="9" t="s">
        <v>20</v>
      </c>
      <c r="D1272" s="1" t="s">
        <v>1808</v>
      </c>
      <c r="E1272" s="4">
        <v>22500.0</v>
      </c>
      <c r="F1272" s="4"/>
      <c r="G1272" s="4"/>
      <c r="H1272" s="4">
        <f>'data on outstanding creditors'!$E1272-'data on outstanding creditors'!$F1272-'data on outstanding creditors'!$G1272</f>
        <v>22500</v>
      </c>
      <c r="I1272" s="2"/>
      <c r="J1272" s="1" t="s">
        <v>757</v>
      </c>
      <c r="K1272" s="2">
        <v>45885.0</v>
      </c>
      <c r="L1272" s="5"/>
      <c r="M1272" s="9" t="s">
        <v>22</v>
      </c>
      <c r="N1272" s="9" t="s">
        <v>23</v>
      </c>
      <c r="O1272" s="10">
        <f>'data on outstanding creditors'!$E1272*100/107</f>
        <v>21028.03738</v>
      </c>
      <c r="P1272" s="10">
        <f>'data on outstanding creditors'!$E1272-'data on outstanding creditors'!$O1272</f>
        <v>1471.962617</v>
      </c>
      <c r="Q1272" s="7">
        <f>DAY('data on outstanding creditors'!$B1272)</f>
        <v>17</v>
      </c>
      <c r="R1272" s="7">
        <f>MONTH('data on outstanding creditors'!$B1272)</f>
        <v>7</v>
      </c>
      <c r="S1272" s="7">
        <f>YEAR('data on outstanding creditors'!$B1272)</f>
        <v>2025</v>
      </c>
      <c r="T1272" s="11" t="str">
        <f>'data on outstanding creditors'!$C1272&amp;" "&amp;'data on outstanding creditors'!$D1272&amp;" "&amp;TEXT('data on outstanding creditors'!$E1272,"#,##0.00")</f>
        <v>บ.พีเอ็มแอล ฟาร์มาซูติคอลส์ SIS250709-089 22,500.00</v>
      </c>
      <c r="U1272" s="12"/>
    </row>
    <row r="1273" ht="13.5" customHeight="1">
      <c r="A1273" s="1"/>
      <c r="B1273" s="2">
        <v>45855.0</v>
      </c>
      <c r="C1273" s="9" t="s">
        <v>1349</v>
      </c>
      <c r="D1273" s="1" t="s">
        <v>1809</v>
      </c>
      <c r="E1273" s="4">
        <v>24000.0</v>
      </c>
      <c r="F1273" s="4"/>
      <c r="G1273" s="4"/>
      <c r="H1273" s="4">
        <f>'data on outstanding creditors'!$E1273-'data on outstanding creditors'!$F1273-'data on outstanding creditors'!$G1273</f>
        <v>24000</v>
      </c>
      <c r="I1273" s="2"/>
      <c r="J1273" s="1" t="s">
        <v>646</v>
      </c>
      <c r="K1273" s="2">
        <v>45944.0</v>
      </c>
      <c r="L1273" s="5"/>
      <c r="M1273" s="9" t="s">
        <v>22</v>
      </c>
      <c r="N1273" s="9" t="s">
        <v>23</v>
      </c>
      <c r="O1273" s="10">
        <f>'data on outstanding creditors'!$E1273*100/107</f>
        <v>22429.90654</v>
      </c>
      <c r="P1273" s="10">
        <f>'data on outstanding creditors'!$E1273-'data on outstanding creditors'!$O1273</f>
        <v>1570.093458</v>
      </c>
      <c r="Q1273" s="7">
        <f>DAY('data on outstanding creditors'!$B1273)</f>
        <v>17</v>
      </c>
      <c r="R1273" s="7">
        <f>MONTH('data on outstanding creditors'!$B1273)</f>
        <v>7</v>
      </c>
      <c r="S1273" s="7">
        <f>YEAR('data on outstanding creditors'!$B1273)</f>
        <v>2025</v>
      </c>
      <c r="T1273" s="11" t="str">
        <f>'data on outstanding creditors'!$C1273&amp;" "&amp;'data on outstanding creditors'!$D1273&amp;" "&amp;TEXT('data on outstanding creditors'!$E1273,"#,##0.00")</f>
        <v>บ.ฟาร์มาดิกา DIS250709-100 24,000.00</v>
      </c>
      <c r="U1273" s="12"/>
    </row>
    <row r="1274" ht="13.5" customHeight="1">
      <c r="A1274" s="1"/>
      <c r="B1274" s="2">
        <v>45855.0</v>
      </c>
      <c r="C1274" s="9" t="s">
        <v>765</v>
      </c>
      <c r="D1274" s="1" t="s">
        <v>1810</v>
      </c>
      <c r="E1274" s="4">
        <v>215520.0</v>
      </c>
      <c r="F1274" s="4"/>
      <c r="G1274" s="4"/>
      <c r="H1274" s="4">
        <f>'data on outstanding creditors'!$E1274-'data on outstanding creditors'!$F1274-'data on outstanding creditors'!$G1274</f>
        <v>215520</v>
      </c>
      <c r="I1274" s="2"/>
      <c r="J1274" s="1" t="s">
        <v>646</v>
      </c>
      <c r="K1274" s="2">
        <v>45954.0</v>
      </c>
      <c r="L1274" s="5"/>
      <c r="M1274" s="9" t="s">
        <v>22</v>
      </c>
      <c r="N1274" s="9" t="s">
        <v>23</v>
      </c>
      <c r="O1274" s="10">
        <f>'data on outstanding creditors'!$E1274*100/107</f>
        <v>201420.5607</v>
      </c>
      <c r="P1274" s="10">
        <f>'data on outstanding creditors'!$E1274-'data on outstanding creditors'!$O1274</f>
        <v>14099.43925</v>
      </c>
      <c r="Q1274" s="7">
        <f>DAY('data on outstanding creditors'!$B1274)</f>
        <v>17</v>
      </c>
      <c r="R1274" s="7">
        <f>MONTH('data on outstanding creditors'!$B1274)</f>
        <v>7</v>
      </c>
      <c r="S1274" s="7">
        <f>YEAR('data on outstanding creditors'!$B1274)</f>
        <v>2025</v>
      </c>
      <c r="T1274" s="11" t="str">
        <f>'data on outstanding creditors'!$C1274&amp;" "&amp;'data on outstanding creditors'!$D1274&amp;" "&amp;TEXT('data on outstanding creditors'!$E1274,"#,##0.00")</f>
        <v>บ.ไบโอ ลีดเตอร์ IV2501197 215,520.00</v>
      </c>
      <c r="U1274" s="12"/>
    </row>
    <row r="1275" ht="13.5" customHeight="1">
      <c r="A1275" s="1"/>
      <c r="B1275" s="2">
        <v>45860.0</v>
      </c>
      <c r="C1275" s="9" t="s">
        <v>520</v>
      </c>
      <c r="D1275" s="1" t="s">
        <v>1811</v>
      </c>
      <c r="E1275" s="4">
        <v>106251.0</v>
      </c>
      <c r="F1275" s="4"/>
      <c r="G1275" s="4"/>
      <c r="H1275" s="4">
        <f>'data on outstanding creditors'!$E1275-'data on outstanding creditors'!$F1275-'data on outstanding creditors'!$G1275</f>
        <v>106251</v>
      </c>
      <c r="I1275" s="2"/>
      <c r="J1275" s="1" t="s">
        <v>757</v>
      </c>
      <c r="K1275" s="2">
        <v>45943.0</v>
      </c>
      <c r="L1275" s="5"/>
      <c r="M1275" s="9" t="s">
        <v>22</v>
      </c>
      <c r="N1275" s="9" t="s">
        <v>23</v>
      </c>
      <c r="O1275" s="10">
        <f>'data on outstanding creditors'!$E1275*100/107</f>
        <v>99300</v>
      </c>
      <c r="P1275" s="10">
        <f>'data on outstanding creditors'!$E1275-'data on outstanding creditors'!$O1275</f>
        <v>6951</v>
      </c>
      <c r="Q1275" s="7">
        <f>DAY('data on outstanding creditors'!$B1275)</f>
        <v>22</v>
      </c>
      <c r="R1275" s="7">
        <f>MONTH('data on outstanding creditors'!$B1275)</f>
        <v>7</v>
      </c>
      <c r="S1275" s="7">
        <f>YEAR('data on outstanding creditors'!$B1275)</f>
        <v>2025</v>
      </c>
      <c r="T1275" s="11" t="str">
        <f>'data on outstanding creditors'!$C1275&amp;" "&amp;'data on outstanding creditors'!$D1275&amp;" "&amp;TEXT('data on outstanding creditors'!$E1275,"#,##0.00")</f>
        <v>บ.ซิลลิคฟาร์มา 1317675915 106,251.00</v>
      </c>
      <c r="U1275" s="12"/>
    </row>
    <row r="1276" ht="13.5" customHeight="1">
      <c r="A1276" s="1"/>
      <c r="B1276" s="2">
        <v>45860.0</v>
      </c>
      <c r="C1276" s="9" t="s">
        <v>520</v>
      </c>
      <c r="D1276" s="1" t="s">
        <v>1812</v>
      </c>
      <c r="E1276" s="4">
        <v>242676.0</v>
      </c>
      <c r="F1276" s="4"/>
      <c r="G1276" s="4"/>
      <c r="H1276" s="4">
        <f>'data on outstanding creditors'!$E1276-'data on outstanding creditors'!$F1276-'data on outstanding creditors'!$G1276</f>
        <v>242676</v>
      </c>
      <c r="I1276" s="2"/>
      <c r="J1276" s="1" t="s">
        <v>757</v>
      </c>
      <c r="K1276" s="2">
        <v>45943.0</v>
      </c>
      <c r="L1276" s="5"/>
      <c r="M1276" s="9" t="s">
        <v>22</v>
      </c>
      <c r="N1276" s="9" t="s">
        <v>23</v>
      </c>
      <c r="O1276" s="10">
        <f>'data on outstanding creditors'!$E1276*100/107</f>
        <v>226800</v>
      </c>
      <c r="P1276" s="10">
        <f>'data on outstanding creditors'!$E1276-'data on outstanding creditors'!$O1276</f>
        <v>15876</v>
      </c>
      <c r="Q1276" s="7">
        <f>DAY('data on outstanding creditors'!$B1276)</f>
        <v>22</v>
      </c>
      <c r="R1276" s="7">
        <f>MONTH('data on outstanding creditors'!$B1276)</f>
        <v>7</v>
      </c>
      <c r="S1276" s="7">
        <f>YEAR('data on outstanding creditors'!$B1276)</f>
        <v>2025</v>
      </c>
      <c r="T1276" s="11" t="str">
        <f>'data on outstanding creditors'!$C1276&amp;" "&amp;'data on outstanding creditors'!$D1276&amp;" "&amp;TEXT('data on outstanding creditors'!$E1276,"#,##0.00")</f>
        <v>บ.ซิลลิคฟาร์มา 1317670097 242,676.00</v>
      </c>
      <c r="U1276" s="12"/>
    </row>
    <row r="1277" ht="13.5" customHeight="1">
      <c r="A1277" s="1"/>
      <c r="B1277" s="2">
        <v>45860.0</v>
      </c>
      <c r="C1277" s="9" t="s">
        <v>920</v>
      </c>
      <c r="D1277" s="1" t="s">
        <v>1813</v>
      </c>
      <c r="E1277" s="4">
        <v>3800.0</v>
      </c>
      <c r="F1277" s="4"/>
      <c r="G1277" s="4"/>
      <c r="H1277" s="4">
        <f>'data on outstanding creditors'!$E1277-'data on outstanding creditors'!$F1277-'data on outstanding creditors'!$G1277</f>
        <v>3800</v>
      </c>
      <c r="I1277" s="2"/>
      <c r="J1277" s="1" t="s">
        <v>646</v>
      </c>
      <c r="K1277" s="2">
        <v>45954.0</v>
      </c>
      <c r="L1277" s="5"/>
      <c r="M1277" s="9" t="s">
        <v>22</v>
      </c>
      <c r="N1277" s="9" t="s">
        <v>23</v>
      </c>
      <c r="O1277" s="10">
        <f>'data on outstanding creditors'!$E1277*100/107</f>
        <v>3551.401869</v>
      </c>
      <c r="P1277" s="10">
        <f>'data on outstanding creditors'!$E1277-'data on outstanding creditors'!$O1277</f>
        <v>248.5981308</v>
      </c>
      <c r="Q1277" s="7">
        <f>DAY('data on outstanding creditors'!$B1277)</f>
        <v>22</v>
      </c>
      <c r="R1277" s="7">
        <f>MONTH('data on outstanding creditors'!$B1277)</f>
        <v>7</v>
      </c>
      <c r="S1277" s="7">
        <f>YEAR('data on outstanding creditors'!$B1277)</f>
        <v>2025</v>
      </c>
      <c r="T1277" s="11" t="str">
        <f>'data on outstanding creditors'!$C1277&amp;" "&amp;'data on outstanding creditors'!$D1277&amp;" "&amp;TEXT('data on outstanding creditors'!$E1277,"#,##0.00")</f>
        <v>บ.โปลิฟาร์ม IVU-68030701 3,800.00</v>
      </c>
      <c r="U1277" s="12"/>
    </row>
    <row r="1278" ht="13.5" customHeight="1">
      <c r="A1278" s="1"/>
      <c r="B1278" s="2">
        <v>45860.0</v>
      </c>
      <c r="C1278" s="9" t="s">
        <v>767</v>
      </c>
      <c r="D1278" s="1" t="s">
        <v>1814</v>
      </c>
      <c r="E1278" s="4">
        <v>10865.85</v>
      </c>
      <c r="F1278" s="4"/>
      <c r="G1278" s="4"/>
      <c r="H1278" s="4">
        <f>'data on outstanding creditors'!$E1278-'data on outstanding creditors'!$F1278-'data on outstanding creditors'!$G1278</f>
        <v>10865.85</v>
      </c>
      <c r="I1278" s="2"/>
      <c r="J1278" s="1" t="s">
        <v>646</v>
      </c>
      <c r="K1278" s="2">
        <v>45944.0</v>
      </c>
      <c r="L1278" s="5"/>
      <c r="M1278" s="9" t="s">
        <v>22</v>
      </c>
      <c r="N1278" s="9" t="s">
        <v>23</v>
      </c>
      <c r="O1278" s="10">
        <f>'data on outstanding creditors'!$E1278*100/107</f>
        <v>10155</v>
      </c>
      <c r="P1278" s="10">
        <f>'data on outstanding creditors'!$E1278-'data on outstanding creditors'!$O1278</f>
        <v>710.85</v>
      </c>
      <c r="Q1278" s="7">
        <f>DAY('data on outstanding creditors'!$B1278)</f>
        <v>22</v>
      </c>
      <c r="R1278" s="7">
        <f>MONTH('data on outstanding creditors'!$B1278)</f>
        <v>7</v>
      </c>
      <c r="S1278" s="7">
        <f>YEAR('data on outstanding creditors'!$B1278)</f>
        <v>2025</v>
      </c>
      <c r="T1278" s="11" t="str">
        <f>'data on outstanding creditors'!$C1278&amp;" "&amp;'data on outstanding creditors'!$D1278&amp;" "&amp;TEXT('data on outstanding creditors'!$E1278,"#,##0.00")</f>
        <v>บ.คอสม่า เทรดดิ้ง 310757401701 10,865.85</v>
      </c>
      <c r="U1278" s="12"/>
    </row>
    <row r="1279" ht="13.5" customHeight="1">
      <c r="A1279" s="1"/>
      <c r="B1279" s="2">
        <v>45860.0</v>
      </c>
      <c r="C1279" s="9" t="s">
        <v>1243</v>
      </c>
      <c r="D1279" s="1" t="s">
        <v>1815</v>
      </c>
      <c r="E1279" s="4">
        <v>20000.0</v>
      </c>
      <c r="F1279" s="4"/>
      <c r="G1279" s="4"/>
      <c r="H1279" s="4">
        <f>'data on outstanding creditors'!$E1279-'data on outstanding creditors'!$F1279-'data on outstanding creditors'!$G1279</f>
        <v>20000</v>
      </c>
      <c r="I1279" s="2"/>
      <c r="J1279" s="1" t="s">
        <v>757</v>
      </c>
      <c r="K1279" s="2">
        <v>45901.0</v>
      </c>
      <c r="L1279" s="5"/>
      <c r="M1279" s="9" t="s">
        <v>22</v>
      </c>
      <c r="N1279" s="9" t="s">
        <v>23</v>
      </c>
      <c r="O1279" s="10">
        <f>'data on outstanding creditors'!$E1279*100/107</f>
        <v>18691.58879</v>
      </c>
      <c r="P1279" s="10">
        <f>'data on outstanding creditors'!$E1279-'data on outstanding creditors'!$O1279</f>
        <v>1308.411215</v>
      </c>
      <c r="Q1279" s="7">
        <f>DAY('data on outstanding creditors'!$B1279)</f>
        <v>22</v>
      </c>
      <c r="R1279" s="7">
        <f>MONTH('data on outstanding creditors'!$B1279)</f>
        <v>7</v>
      </c>
      <c r="S1279" s="7">
        <f>YEAR('data on outstanding creditors'!$B1279)</f>
        <v>2025</v>
      </c>
      <c r="T1279" s="11" t="str">
        <f>'data on outstanding creditors'!$C1279&amp;" "&amp;'data on outstanding creditors'!$D1279&amp;" "&amp;TEXT('data on outstanding creditors'!$E1279,"#,##0.00")</f>
        <v>บ.วี.แอนด์.วี.กรุงเทพ 8103465575 20,000.00</v>
      </c>
      <c r="U1279" s="12"/>
    </row>
    <row r="1280" ht="13.5" customHeight="1">
      <c r="A1280" s="1"/>
      <c r="B1280" s="2">
        <v>45860.0</v>
      </c>
      <c r="C1280" s="9" t="s">
        <v>1414</v>
      </c>
      <c r="D1280" s="1" t="s">
        <v>1816</v>
      </c>
      <c r="E1280" s="4">
        <v>11200.0</v>
      </c>
      <c r="F1280" s="4"/>
      <c r="G1280" s="4"/>
      <c r="H1280" s="4">
        <f>'data on outstanding creditors'!$E1280-'data on outstanding creditors'!$F1280-'data on outstanding creditors'!$G1280</f>
        <v>11200</v>
      </c>
      <c r="I1280" s="2"/>
      <c r="J1280" s="1" t="s">
        <v>757</v>
      </c>
      <c r="K1280" s="2">
        <v>45901.0</v>
      </c>
      <c r="L1280" s="5"/>
      <c r="M1280" s="9" t="s">
        <v>22</v>
      </c>
      <c r="N1280" s="9" t="s">
        <v>23</v>
      </c>
      <c r="O1280" s="10">
        <f>'data on outstanding creditors'!$E1280*100/107</f>
        <v>10467.28972</v>
      </c>
      <c r="P1280" s="10">
        <f>'data on outstanding creditors'!$E1280-'data on outstanding creditors'!$O1280</f>
        <v>732.7102804</v>
      </c>
      <c r="Q1280" s="7">
        <f>DAY('data on outstanding creditors'!$B1280)</f>
        <v>22</v>
      </c>
      <c r="R1280" s="7">
        <f>MONTH('data on outstanding creditors'!$B1280)</f>
        <v>7</v>
      </c>
      <c r="S1280" s="7">
        <f>YEAR('data on outstanding creditors'!$B1280)</f>
        <v>2025</v>
      </c>
      <c r="T1280" s="11" t="str">
        <f>'data on outstanding creditors'!$C1280&amp;" "&amp;'data on outstanding creditors'!$D1280&amp;" "&amp;TEXT('data on outstanding creditors'!$E1280,"#,##0.00")</f>
        <v>บ.ฟาร์มีน่า 68386088 11,200.00</v>
      </c>
      <c r="U1280" s="12"/>
    </row>
    <row r="1281" ht="13.5" customHeight="1">
      <c r="A1281" s="1"/>
      <c r="B1281" s="2">
        <v>45860.0</v>
      </c>
      <c r="C1281" s="9" t="s">
        <v>1432</v>
      </c>
      <c r="D1281" s="1" t="s">
        <v>1817</v>
      </c>
      <c r="E1281" s="4">
        <v>9700.0</v>
      </c>
      <c r="F1281" s="4"/>
      <c r="G1281" s="4"/>
      <c r="H1281" s="4">
        <f>'data on outstanding creditors'!$E1281-'data on outstanding creditors'!$F1281-'data on outstanding creditors'!$G1281</f>
        <v>9700</v>
      </c>
      <c r="I1281" s="2"/>
      <c r="J1281" s="1" t="s">
        <v>757</v>
      </c>
      <c r="K1281" s="2">
        <v>45901.0</v>
      </c>
      <c r="L1281" s="5"/>
      <c r="M1281" s="9" t="s">
        <v>22</v>
      </c>
      <c r="N1281" s="9" t="s">
        <v>23</v>
      </c>
      <c r="O1281" s="10">
        <f>'data on outstanding creditors'!$E1281*100/107</f>
        <v>9065.420561</v>
      </c>
      <c r="P1281" s="10">
        <f>'data on outstanding creditors'!$E1281-'data on outstanding creditors'!$O1281</f>
        <v>634.5794393</v>
      </c>
      <c r="Q1281" s="7">
        <f>DAY('data on outstanding creditors'!$B1281)</f>
        <v>22</v>
      </c>
      <c r="R1281" s="7">
        <f>MONTH('data on outstanding creditors'!$B1281)</f>
        <v>7</v>
      </c>
      <c r="S1281" s="7">
        <f>YEAR('data on outstanding creditors'!$B1281)</f>
        <v>2025</v>
      </c>
      <c r="T1281" s="11" t="str">
        <f>'data on outstanding creditors'!$C1281&amp;" "&amp;'data on outstanding creditors'!$D1281&amp;" "&amp;TEXT('data on outstanding creditors'!$E1281,"#,##0.00")</f>
        <v>บ.ยูโทเปี้ยน PB6807305 9,700.00</v>
      </c>
      <c r="U1281" s="12"/>
    </row>
    <row r="1282" ht="13.5" customHeight="1">
      <c r="A1282" s="1"/>
      <c r="B1282" s="2">
        <v>45860.0</v>
      </c>
      <c r="C1282" s="9" t="s">
        <v>763</v>
      </c>
      <c r="D1282" s="1" t="s">
        <v>1818</v>
      </c>
      <c r="E1282" s="4">
        <v>34500.0</v>
      </c>
      <c r="F1282" s="4"/>
      <c r="G1282" s="4"/>
      <c r="H1282" s="4">
        <f>'data on outstanding creditors'!$E1282-'data on outstanding creditors'!$F1282-'data on outstanding creditors'!$G1282</f>
        <v>34500</v>
      </c>
      <c r="I1282" s="2"/>
      <c r="J1282" s="1" t="s">
        <v>757</v>
      </c>
      <c r="K1282" s="2">
        <v>45901.0</v>
      </c>
      <c r="L1282" s="5"/>
      <c r="M1282" s="9" t="s">
        <v>22</v>
      </c>
      <c r="N1282" s="9" t="s">
        <v>23</v>
      </c>
      <c r="O1282" s="10">
        <f>'data on outstanding creditors'!$E1282*100/107</f>
        <v>32242.99065</v>
      </c>
      <c r="P1282" s="10">
        <f>'data on outstanding creditors'!$E1282-'data on outstanding creditors'!$O1282</f>
        <v>2257.009346</v>
      </c>
      <c r="Q1282" s="7">
        <f>DAY('data on outstanding creditors'!$B1282)</f>
        <v>22</v>
      </c>
      <c r="R1282" s="7">
        <f>MONTH('data on outstanding creditors'!$B1282)</f>
        <v>7</v>
      </c>
      <c r="S1282" s="7">
        <f>YEAR('data on outstanding creditors'!$B1282)</f>
        <v>2025</v>
      </c>
      <c r="T1282" s="11" t="str">
        <f>'data on outstanding creditors'!$C1282&amp;" "&amp;'data on outstanding creditors'!$D1282&amp;" "&amp;TEXT('data on outstanding creditors'!$E1282,"#,##0.00")</f>
        <v>บ.อัลลายแอนซ์ ฟาร์มา B26807074 34,500.00</v>
      </c>
      <c r="U1282" s="12"/>
    </row>
    <row r="1283" ht="13.5" customHeight="1">
      <c r="A1283" s="1"/>
      <c r="B1283" s="2">
        <v>45860.0</v>
      </c>
      <c r="C1283" s="9" t="s">
        <v>263</v>
      </c>
      <c r="D1283" s="1" t="s">
        <v>1819</v>
      </c>
      <c r="E1283" s="4">
        <v>25800.0</v>
      </c>
      <c r="F1283" s="4"/>
      <c r="G1283" s="4"/>
      <c r="H1283" s="4">
        <f>'data on outstanding creditors'!$E1283-'data on outstanding creditors'!$F1283-'data on outstanding creditors'!$G1283</f>
        <v>25800</v>
      </c>
      <c r="I1283" s="2"/>
      <c r="J1283" s="1" t="s">
        <v>646</v>
      </c>
      <c r="K1283" s="2">
        <v>45928.0</v>
      </c>
      <c r="L1283" s="5"/>
      <c r="M1283" s="9" t="s">
        <v>22</v>
      </c>
      <c r="N1283" s="9" t="s">
        <v>23</v>
      </c>
      <c r="O1283" s="10">
        <f>'data on outstanding creditors'!$E1283*100/107</f>
        <v>24112.14953</v>
      </c>
      <c r="P1283" s="10">
        <f>'data on outstanding creditors'!$E1283-'data on outstanding creditors'!$O1283</f>
        <v>1687.850467</v>
      </c>
      <c r="Q1283" s="7">
        <f>DAY('data on outstanding creditors'!$B1283)</f>
        <v>22</v>
      </c>
      <c r="R1283" s="7">
        <f>MONTH('data on outstanding creditors'!$B1283)</f>
        <v>7</v>
      </c>
      <c r="S1283" s="7">
        <f>YEAR('data on outstanding creditors'!$B1283)</f>
        <v>2025</v>
      </c>
      <c r="T1283" s="11" t="str">
        <f>'data on outstanding creditors'!$C1283&amp;" "&amp;'data on outstanding creditors'!$D1283&amp;" "&amp;TEXT('data on outstanding creditors'!$E1283,"#,##0.00")</f>
        <v>บ.เอเบิ้ล เมดิคอล B2507/0221 25,800.00</v>
      </c>
      <c r="U1283" s="12"/>
    </row>
    <row r="1284" ht="13.5" customHeight="1">
      <c r="A1284" s="1"/>
      <c r="B1284" s="2">
        <v>45860.0</v>
      </c>
      <c r="C1284" s="9" t="s">
        <v>1297</v>
      </c>
      <c r="D1284" s="1" t="s">
        <v>1820</v>
      </c>
      <c r="E1284" s="4">
        <v>16500.0</v>
      </c>
      <c r="F1284" s="4"/>
      <c r="G1284" s="4"/>
      <c r="H1284" s="4">
        <f>'data on outstanding creditors'!$E1284-'data on outstanding creditors'!$F1284-'data on outstanding creditors'!$G1284</f>
        <v>16500</v>
      </c>
      <c r="I1284" s="2"/>
      <c r="J1284" s="1" t="s">
        <v>646</v>
      </c>
      <c r="K1284" s="2">
        <v>45928.0</v>
      </c>
      <c r="L1284" s="5"/>
      <c r="M1284" s="9" t="s">
        <v>22</v>
      </c>
      <c r="N1284" s="9" t="s">
        <v>23</v>
      </c>
      <c r="O1284" s="10">
        <f>'data on outstanding creditors'!$E1284*100/107</f>
        <v>15420.56075</v>
      </c>
      <c r="P1284" s="10">
        <f>'data on outstanding creditors'!$E1284-'data on outstanding creditors'!$O1284</f>
        <v>1079.439252</v>
      </c>
      <c r="Q1284" s="7">
        <f>DAY('data on outstanding creditors'!$B1284)</f>
        <v>22</v>
      </c>
      <c r="R1284" s="7">
        <f>MONTH('data on outstanding creditors'!$B1284)</f>
        <v>7</v>
      </c>
      <c r="S1284" s="7">
        <f>YEAR('data on outstanding creditors'!$B1284)</f>
        <v>2025</v>
      </c>
      <c r="T1284" s="11" t="str">
        <f>'data on outstanding creditors'!$C1284&amp;" "&amp;'data on outstanding creditors'!$D1284&amp;" "&amp;TEXT('data on outstanding creditors'!$E1284,"#,##0.00")</f>
        <v>บ.แอตแลนติค ฟาร์มาซูติคอล PIN2524090 16,500.00</v>
      </c>
      <c r="U1284" s="12"/>
    </row>
    <row r="1285" ht="13.5" customHeight="1">
      <c r="A1285" s="1"/>
      <c r="B1285" s="2">
        <v>45860.0</v>
      </c>
      <c r="C1285" s="9" t="s">
        <v>1469</v>
      </c>
      <c r="D1285" s="1" t="s">
        <v>1821</v>
      </c>
      <c r="E1285" s="4">
        <v>5671.0</v>
      </c>
      <c r="F1285" s="4"/>
      <c r="G1285" s="4"/>
      <c r="H1285" s="4">
        <f>'data on outstanding creditors'!$E1285-'data on outstanding creditors'!$F1285-'data on outstanding creditors'!$G1285</f>
        <v>5671</v>
      </c>
      <c r="I1285" s="2"/>
      <c r="J1285" s="1" t="s">
        <v>757</v>
      </c>
      <c r="K1285" s="2">
        <v>45901.0</v>
      </c>
      <c r="L1285" s="5"/>
      <c r="M1285" s="9" t="s">
        <v>22</v>
      </c>
      <c r="N1285" s="9" t="s">
        <v>23</v>
      </c>
      <c r="O1285" s="10">
        <f>'data on outstanding creditors'!$E1285*100/107</f>
        <v>5300</v>
      </c>
      <c r="P1285" s="10">
        <f>'data on outstanding creditors'!$E1285-'data on outstanding creditors'!$O1285</f>
        <v>371</v>
      </c>
      <c r="Q1285" s="7">
        <f>DAY('data on outstanding creditors'!$B1285)</f>
        <v>22</v>
      </c>
      <c r="R1285" s="7">
        <f>MONTH('data on outstanding creditors'!$B1285)</f>
        <v>7</v>
      </c>
      <c r="S1285" s="7">
        <f>YEAR('data on outstanding creditors'!$B1285)</f>
        <v>2025</v>
      </c>
      <c r="T1285" s="11" t="str">
        <f>'data on outstanding creditors'!$C1285&amp;" "&amp;'data on outstanding creditors'!$D1285&amp;" "&amp;TEXT('data on outstanding creditors'!$E1285,"#,##0.00")</f>
        <v>บ.สยามฟาร์มาซูติคอล 1250703488 5,671.00</v>
      </c>
      <c r="U1285" s="12"/>
    </row>
    <row r="1286" ht="13.5" customHeight="1">
      <c r="A1286" s="1"/>
      <c r="B1286" s="2">
        <v>45860.0</v>
      </c>
      <c r="C1286" s="9" t="s">
        <v>1230</v>
      </c>
      <c r="D1286" s="1" t="s">
        <v>1822</v>
      </c>
      <c r="E1286" s="4">
        <v>9000.0</v>
      </c>
      <c r="F1286" s="4"/>
      <c r="G1286" s="4"/>
      <c r="H1286" s="4">
        <f>'data on outstanding creditors'!$E1286-'data on outstanding creditors'!$F1286-'data on outstanding creditors'!$G1286</f>
        <v>9000</v>
      </c>
      <c r="I1286" s="2"/>
      <c r="J1286" s="1" t="s">
        <v>757</v>
      </c>
      <c r="K1286" s="2">
        <v>45901.0</v>
      </c>
      <c r="L1286" s="5"/>
      <c r="M1286" s="9" t="s">
        <v>22</v>
      </c>
      <c r="N1286" s="9" t="s">
        <v>23</v>
      </c>
      <c r="O1286" s="10">
        <f>'data on outstanding creditors'!$E1286*100/107</f>
        <v>8411.214953</v>
      </c>
      <c r="P1286" s="10">
        <f>'data on outstanding creditors'!$E1286-'data on outstanding creditors'!$O1286</f>
        <v>588.7850467</v>
      </c>
      <c r="Q1286" s="7">
        <f>DAY('data on outstanding creditors'!$B1286)</f>
        <v>22</v>
      </c>
      <c r="R1286" s="7">
        <f>MONTH('data on outstanding creditors'!$B1286)</f>
        <v>7</v>
      </c>
      <c r="S1286" s="7">
        <f>YEAR('data on outstanding creditors'!$B1286)</f>
        <v>2025</v>
      </c>
      <c r="T1286" s="11" t="str">
        <f>'data on outstanding creditors'!$C1286&amp;" "&amp;'data on outstanding creditors'!$D1286&amp;" "&amp;TEXT('data on outstanding creditors'!$E1286,"#,##0.00")</f>
        <v>บ.พรอส ฟาร์มา INV-L-IM\2025071822 9,000.00</v>
      </c>
      <c r="U1286" s="12"/>
    </row>
    <row r="1287" ht="13.5" customHeight="1">
      <c r="A1287" s="1"/>
      <c r="B1287" s="2">
        <v>45860.0</v>
      </c>
      <c r="C1287" s="9" t="s">
        <v>813</v>
      </c>
      <c r="D1287" s="1" t="s">
        <v>1823</v>
      </c>
      <c r="E1287" s="4">
        <v>3120.0</v>
      </c>
      <c r="F1287" s="4"/>
      <c r="G1287" s="4"/>
      <c r="H1287" s="4">
        <f>'data on outstanding creditors'!$E1287-'data on outstanding creditors'!$F1287-'data on outstanding creditors'!$G1287</f>
        <v>3120</v>
      </c>
      <c r="I1287" s="2"/>
      <c r="J1287" s="1" t="s">
        <v>646</v>
      </c>
      <c r="K1287" s="2">
        <v>45906.0</v>
      </c>
      <c r="L1287" s="5"/>
      <c r="M1287" s="9" t="s">
        <v>22</v>
      </c>
      <c r="N1287" s="9" t="s">
        <v>23</v>
      </c>
      <c r="O1287" s="10">
        <f>'data on outstanding creditors'!$E1287*100/107</f>
        <v>2915.88785</v>
      </c>
      <c r="P1287" s="10">
        <f>'data on outstanding creditors'!$E1287-'data on outstanding creditors'!$O1287</f>
        <v>204.1121495</v>
      </c>
      <c r="Q1287" s="7">
        <f>DAY('data on outstanding creditors'!$B1287)</f>
        <v>22</v>
      </c>
      <c r="R1287" s="7">
        <f>MONTH('data on outstanding creditors'!$B1287)</f>
        <v>7</v>
      </c>
      <c r="S1287" s="7">
        <f>YEAR('data on outstanding creditors'!$B1287)</f>
        <v>2025</v>
      </c>
      <c r="T1287" s="11" t="str">
        <f>'data on outstanding creditors'!$C1287&amp;" "&amp;'data on outstanding creditors'!$D1287&amp;" "&amp;TEXT('data on outstanding creditors'!$E1287,"#,##0.00")</f>
        <v>บ.ที.แมน ฟาร์มาซูติคอล IST250108278 3,120.00</v>
      </c>
      <c r="U1287" s="12"/>
    </row>
    <row r="1288" ht="13.5" customHeight="1">
      <c r="A1288" s="1"/>
      <c r="B1288" s="2">
        <v>45861.0</v>
      </c>
      <c r="C1288" s="9" t="s">
        <v>1824</v>
      </c>
      <c r="D1288" s="1" t="s">
        <v>1825</v>
      </c>
      <c r="E1288" s="4">
        <v>6800.0</v>
      </c>
      <c r="F1288" s="4"/>
      <c r="G1288" s="4"/>
      <c r="H1288" s="4">
        <f>'data on outstanding creditors'!$E1288-'data on outstanding creditors'!$F1288-'data on outstanding creditors'!$G1288</f>
        <v>6800</v>
      </c>
      <c r="I1288" s="2"/>
      <c r="J1288" s="1" t="s">
        <v>646</v>
      </c>
      <c r="K1288" s="2">
        <v>45887.0</v>
      </c>
      <c r="L1288" s="5"/>
      <c r="M1288" s="9" t="s">
        <v>22</v>
      </c>
      <c r="N1288" s="9" t="s">
        <v>23</v>
      </c>
      <c r="O1288" s="10">
        <f>'data on outstanding creditors'!$E1288*100/107</f>
        <v>6355.140187</v>
      </c>
      <c r="P1288" s="10">
        <f>'data on outstanding creditors'!$E1288-'data on outstanding creditors'!$O1288</f>
        <v>444.8598131</v>
      </c>
      <c r="Q1288" s="7">
        <f>DAY('data on outstanding creditors'!$B1288)</f>
        <v>23</v>
      </c>
      <c r="R1288" s="7">
        <f>MONTH('data on outstanding creditors'!$B1288)</f>
        <v>7</v>
      </c>
      <c r="S1288" s="7">
        <f>YEAR('data on outstanding creditors'!$B1288)</f>
        <v>2025</v>
      </c>
      <c r="T1288" s="11" t="str">
        <f>'data on outstanding creditors'!$C1288&amp;" "&amp;'data on outstanding creditors'!$D1288&amp;" "&amp;TEXT('data on outstanding creditors'!$E1288,"#,##0.00")</f>
        <v>สถานเสาวภา สภากาชาดไทย IV680000846 6,800.00</v>
      </c>
      <c r="U1288" s="12"/>
    </row>
    <row r="1289" ht="13.5" customHeight="1">
      <c r="A1289" s="1"/>
      <c r="B1289" s="2">
        <v>45861.0</v>
      </c>
      <c r="C1289" s="9" t="s">
        <v>1303</v>
      </c>
      <c r="D1289" s="1" t="s">
        <v>1826</v>
      </c>
      <c r="E1289" s="4">
        <v>69122.0</v>
      </c>
      <c r="F1289" s="4"/>
      <c r="G1289" s="4"/>
      <c r="H1289" s="4">
        <f>'data on outstanding creditors'!$E1289-'data on outstanding creditors'!$F1289-'data on outstanding creditors'!$G1289</f>
        <v>69122</v>
      </c>
      <c r="I1289" s="2"/>
      <c r="J1289" s="1" t="s">
        <v>646</v>
      </c>
      <c r="K1289" s="2">
        <v>45928.0</v>
      </c>
      <c r="L1289" s="5"/>
      <c r="M1289" s="9" t="s">
        <v>22</v>
      </c>
      <c r="N1289" s="9" t="s">
        <v>23</v>
      </c>
      <c r="O1289" s="10">
        <f>'data on outstanding creditors'!$E1289*100/107</f>
        <v>64600</v>
      </c>
      <c r="P1289" s="10">
        <f>'data on outstanding creditors'!$E1289-'data on outstanding creditors'!$O1289</f>
        <v>4522</v>
      </c>
      <c r="Q1289" s="7">
        <f>DAY('data on outstanding creditors'!$B1289)</f>
        <v>23</v>
      </c>
      <c r="R1289" s="7">
        <f>MONTH('data on outstanding creditors'!$B1289)</f>
        <v>7</v>
      </c>
      <c r="S1289" s="7">
        <f>YEAR('data on outstanding creditors'!$B1289)</f>
        <v>2025</v>
      </c>
      <c r="T1289" s="11" t="str">
        <f>'data on outstanding creditors'!$C1289&amp;" "&amp;'data on outstanding creditors'!$D1289&amp;" "&amp;TEXT('data on outstanding creditors'!$E1289,"#,##0.00")</f>
        <v>บ.บี.เอ็ล.เอช.เทร็ดดิ้ง 1068018025 69,122.00</v>
      </c>
      <c r="U1289" s="12"/>
    </row>
    <row r="1290" ht="13.5" customHeight="1">
      <c r="A1290" s="1"/>
      <c r="B1290" s="2">
        <v>45861.0</v>
      </c>
      <c r="C1290" s="9" t="s">
        <v>1766</v>
      </c>
      <c r="D1290" s="1" t="s">
        <v>1827</v>
      </c>
      <c r="E1290" s="4">
        <v>30000.0</v>
      </c>
      <c r="F1290" s="4"/>
      <c r="G1290" s="4"/>
      <c r="H1290" s="4">
        <f>'data on outstanding creditors'!$E1290-'data on outstanding creditors'!$F1290-'data on outstanding creditors'!$G1290</f>
        <v>30000</v>
      </c>
      <c r="I1290" s="2"/>
      <c r="J1290" s="1" t="s">
        <v>646</v>
      </c>
      <c r="K1290" s="2">
        <v>45915.0</v>
      </c>
      <c r="L1290" s="5"/>
      <c r="M1290" s="9" t="s">
        <v>22</v>
      </c>
      <c r="N1290" s="9" t="s">
        <v>23</v>
      </c>
      <c r="O1290" s="10">
        <f>'data on outstanding creditors'!$E1290*100/107</f>
        <v>28037.38318</v>
      </c>
      <c r="P1290" s="10">
        <f>'data on outstanding creditors'!$E1290-'data on outstanding creditors'!$O1290</f>
        <v>1962.616822</v>
      </c>
      <c r="Q1290" s="7">
        <f>DAY('data on outstanding creditors'!$B1290)</f>
        <v>23</v>
      </c>
      <c r="R1290" s="7">
        <f>MONTH('data on outstanding creditors'!$B1290)</f>
        <v>7</v>
      </c>
      <c r="S1290" s="7">
        <f>YEAR('data on outstanding creditors'!$B1290)</f>
        <v>2025</v>
      </c>
      <c r="T1290" s="11" t="str">
        <f>'data on outstanding creditors'!$C1290&amp;" "&amp;'data on outstanding creditors'!$D1290&amp;" "&amp;TEXT('data on outstanding creditors'!$E1290,"#,##0.00")</f>
        <v>สำนักงานคณะกรรมการอาหารและยา ช.68/17247 30,000.00</v>
      </c>
      <c r="U1290" s="12"/>
    </row>
    <row r="1291" ht="13.5" customHeight="1">
      <c r="A1291" s="1"/>
      <c r="B1291" s="2">
        <v>45861.0</v>
      </c>
      <c r="C1291" s="9" t="s">
        <v>1542</v>
      </c>
      <c r="D1291" s="1" t="s">
        <v>1828</v>
      </c>
      <c r="E1291" s="4">
        <v>49000.0</v>
      </c>
      <c r="F1291" s="4"/>
      <c r="G1291" s="4"/>
      <c r="H1291" s="4">
        <f>'data on outstanding creditors'!$E1291-'data on outstanding creditors'!$F1291-'data on outstanding creditors'!$G1291</f>
        <v>49000</v>
      </c>
      <c r="I1291" s="2"/>
      <c r="J1291" s="1" t="s">
        <v>646</v>
      </c>
      <c r="K1291" s="2">
        <v>45954.0</v>
      </c>
      <c r="L1291" s="5"/>
      <c r="M1291" s="9" t="s">
        <v>22</v>
      </c>
      <c r="N1291" s="9" t="s">
        <v>23</v>
      </c>
      <c r="O1291" s="10">
        <f>'data on outstanding creditors'!$E1291*100/107</f>
        <v>45794.39252</v>
      </c>
      <c r="P1291" s="10">
        <f>'data on outstanding creditors'!$E1291-'data on outstanding creditors'!$O1291</f>
        <v>3205.607477</v>
      </c>
      <c r="Q1291" s="7">
        <f>DAY('data on outstanding creditors'!$B1291)</f>
        <v>23</v>
      </c>
      <c r="R1291" s="7">
        <f>MONTH('data on outstanding creditors'!$B1291)</f>
        <v>7</v>
      </c>
      <c r="S1291" s="7">
        <f>YEAR('data on outstanding creditors'!$B1291)</f>
        <v>2025</v>
      </c>
      <c r="T1291" s="11" t="str">
        <f>'data on outstanding creditors'!$C1291&amp;" "&amp;'data on outstanding creditors'!$D1291&amp;" "&amp;TEXT('data on outstanding creditors'!$E1291,"#,##0.00")</f>
        <v>บ.ไบโอเนท-เอเชีย 1302031673 49,000.00</v>
      </c>
      <c r="U1291" s="12"/>
    </row>
    <row r="1292" ht="13.5" customHeight="1">
      <c r="A1292" s="1"/>
      <c r="B1292" s="2">
        <v>45861.0</v>
      </c>
      <c r="C1292" s="9" t="s">
        <v>399</v>
      </c>
      <c r="D1292" s="1" t="s">
        <v>1829</v>
      </c>
      <c r="E1292" s="4">
        <v>10914.0</v>
      </c>
      <c r="F1292" s="4"/>
      <c r="G1292" s="4"/>
      <c r="H1292" s="4">
        <f>'data on outstanding creditors'!$E1292-'data on outstanding creditors'!$F1292-'data on outstanding creditors'!$G1292</f>
        <v>10914</v>
      </c>
      <c r="I1292" s="2"/>
      <c r="J1292" s="1" t="s">
        <v>646</v>
      </c>
      <c r="K1292" s="2">
        <v>45943.0</v>
      </c>
      <c r="L1292" s="5"/>
      <c r="M1292" s="9" t="s">
        <v>22</v>
      </c>
      <c r="N1292" s="9" t="s">
        <v>23</v>
      </c>
      <c r="O1292" s="10">
        <f>'data on outstanding creditors'!$E1292*100/107</f>
        <v>10200</v>
      </c>
      <c r="P1292" s="10">
        <f>'data on outstanding creditors'!$E1292-'data on outstanding creditors'!$O1292</f>
        <v>714</v>
      </c>
      <c r="Q1292" s="7">
        <f>DAY('data on outstanding creditors'!$B1292)</f>
        <v>23</v>
      </c>
      <c r="R1292" s="7">
        <f>MONTH('data on outstanding creditors'!$B1292)</f>
        <v>7</v>
      </c>
      <c r="S1292" s="7">
        <f>YEAR('data on outstanding creditors'!$B1292)</f>
        <v>2025</v>
      </c>
      <c r="T1292" s="11" t="str">
        <f>'data on outstanding creditors'!$C1292&amp;" "&amp;'data on outstanding creditors'!$D1292&amp;" "&amp;TEXT('data on outstanding creditors'!$E1292,"#,##0.00")</f>
        <v>บ.ดีเคเอสเอช(ประเทศไทย) 5343996883 10,914.00</v>
      </c>
      <c r="U1292" s="12"/>
    </row>
    <row r="1293" ht="13.5" customHeight="1">
      <c r="A1293" s="1"/>
      <c r="B1293" s="2">
        <v>45861.0</v>
      </c>
      <c r="C1293" s="9" t="s">
        <v>1391</v>
      </c>
      <c r="D1293" s="1" t="s">
        <v>1830</v>
      </c>
      <c r="E1293" s="4">
        <v>11750.0</v>
      </c>
      <c r="F1293" s="4"/>
      <c r="G1293" s="4"/>
      <c r="H1293" s="4">
        <f>'data on outstanding creditors'!$E1293-'data on outstanding creditors'!$F1293-'data on outstanding creditors'!$G1293</f>
        <v>11750</v>
      </c>
      <c r="I1293" s="2"/>
      <c r="J1293" s="1" t="s">
        <v>757</v>
      </c>
      <c r="K1293" s="2">
        <v>45912.0</v>
      </c>
      <c r="L1293" s="5"/>
      <c r="M1293" s="9" t="s">
        <v>22</v>
      </c>
      <c r="N1293" s="9" t="s">
        <v>23</v>
      </c>
      <c r="O1293" s="10">
        <f>'data on outstanding creditors'!$E1293*100/107</f>
        <v>10981.30841</v>
      </c>
      <c r="P1293" s="10">
        <f>'data on outstanding creditors'!$E1293-'data on outstanding creditors'!$O1293</f>
        <v>768.6915888</v>
      </c>
      <c r="Q1293" s="7">
        <f>DAY('data on outstanding creditors'!$B1293)</f>
        <v>23</v>
      </c>
      <c r="R1293" s="7">
        <f>MONTH('data on outstanding creditors'!$B1293)</f>
        <v>7</v>
      </c>
      <c r="S1293" s="7">
        <f>YEAR('data on outstanding creditors'!$B1293)</f>
        <v>2025</v>
      </c>
      <c r="T1293" s="11" t="str">
        <f>'data on outstanding creditors'!$C1293&amp;" "&amp;'data on outstanding creditors'!$D1293&amp;" "&amp;TEXT('data on outstanding creditors'!$E1293,"#,##0.00")</f>
        <v>บ.ที.พี.ดรัก แลบบอราทอรี่ส์ VIV125071655 11,750.00</v>
      </c>
      <c r="U1293" s="12"/>
    </row>
    <row r="1294" ht="13.5" customHeight="1">
      <c r="A1294" s="1"/>
      <c r="B1294" s="2">
        <v>45861.0</v>
      </c>
      <c r="C1294" s="9" t="s">
        <v>771</v>
      </c>
      <c r="D1294" s="1" t="s">
        <v>1831</v>
      </c>
      <c r="E1294" s="4">
        <v>3150.0</v>
      </c>
      <c r="F1294" s="4"/>
      <c r="G1294" s="4"/>
      <c r="H1294" s="4">
        <f>'data on outstanding creditors'!$E1294-'data on outstanding creditors'!$F1294-'data on outstanding creditors'!$G1294</f>
        <v>3150</v>
      </c>
      <c r="I1294" s="2"/>
      <c r="J1294" s="1" t="s">
        <v>757</v>
      </c>
      <c r="K1294" s="2">
        <v>45912.0</v>
      </c>
      <c r="L1294" s="5"/>
      <c r="M1294" s="9" t="s">
        <v>22</v>
      </c>
      <c r="N1294" s="9" t="s">
        <v>23</v>
      </c>
      <c r="O1294" s="10">
        <f>'data on outstanding creditors'!$E1294*100/107</f>
        <v>2943.925234</v>
      </c>
      <c r="P1294" s="10">
        <f>'data on outstanding creditors'!$E1294-'data on outstanding creditors'!$O1294</f>
        <v>206.0747664</v>
      </c>
      <c r="Q1294" s="7">
        <f>DAY('data on outstanding creditors'!$B1294)</f>
        <v>23</v>
      </c>
      <c r="R1294" s="7">
        <f>MONTH('data on outstanding creditors'!$B1294)</f>
        <v>7</v>
      </c>
      <c r="S1294" s="7">
        <f>YEAR('data on outstanding creditors'!$B1294)</f>
        <v>2025</v>
      </c>
      <c r="T1294" s="11" t="str">
        <f>'data on outstanding creditors'!$C1294&amp;" "&amp;'data on outstanding creditors'!$D1294&amp;" "&amp;TEXT('data on outstanding creditors'!$E1294,"#,##0.00")</f>
        <v>หจก.ภิญโญฟาร์มาซี IV6836809 3,150.00</v>
      </c>
      <c r="U1294" s="12"/>
    </row>
    <row r="1295" ht="13.5" customHeight="1">
      <c r="A1295" s="1"/>
      <c r="B1295" s="2">
        <v>45861.0</v>
      </c>
      <c r="C1295" s="9" t="s">
        <v>1440</v>
      </c>
      <c r="D1295" s="1" t="s">
        <v>1832</v>
      </c>
      <c r="E1295" s="4">
        <v>12000.0</v>
      </c>
      <c r="F1295" s="4"/>
      <c r="G1295" s="4"/>
      <c r="H1295" s="4">
        <f>'data on outstanding creditors'!$E1295-'data on outstanding creditors'!$F1295-'data on outstanding creditors'!$G1295</f>
        <v>12000</v>
      </c>
      <c r="I1295" s="2"/>
      <c r="J1295" s="1" t="s">
        <v>757</v>
      </c>
      <c r="K1295" s="2">
        <v>45912.0</v>
      </c>
      <c r="L1295" s="5"/>
      <c r="M1295" s="9" t="s">
        <v>22</v>
      </c>
      <c r="N1295" s="9" t="s">
        <v>23</v>
      </c>
      <c r="O1295" s="10">
        <f>'data on outstanding creditors'!$E1295*100/107</f>
        <v>11214.95327</v>
      </c>
      <c r="P1295" s="10">
        <f>'data on outstanding creditors'!$E1295-'data on outstanding creditors'!$O1295</f>
        <v>785.046729</v>
      </c>
      <c r="Q1295" s="7">
        <f>DAY('data on outstanding creditors'!$B1295)</f>
        <v>23</v>
      </c>
      <c r="R1295" s="7">
        <f>MONTH('data on outstanding creditors'!$B1295)</f>
        <v>7</v>
      </c>
      <c r="S1295" s="7">
        <f>YEAR('data on outstanding creditors'!$B1295)</f>
        <v>2025</v>
      </c>
      <c r="T1295" s="11" t="str">
        <f>'data on outstanding creditors'!$C1295&amp;" "&amp;'data on outstanding creditors'!$D1295&amp;" "&amp;TEXT('data on outstanding creditors'!$E1295,"#,##0.00")</f>
        <v>บ.เวสโก ฟาร์มาซูติคอล IN68071040 12,000.00</v>
      </c>
      <c r="U1295" s="12"/>
    </row>
    <row r="1296" ht="13.5" customHeight="1">
      <c r="A1296" s="1"/>
      <c r="B1296" s="2">
        <v>45861.0</v>
      </c>
      <c r="C1296" s="9" t="s">
        <v>1469</v>
      </c>
      <c r="D1296" s="1" t="s">
        <v>1833</v>
      </c>
      <c r="E1296" s="4">
        <v>11641.6</v>
      </c>
      <c r="F1296" s="4"/>
      <c r="G1296" s="4"/>
      <c r="H1296" s="4">
        <f>'data on outstanding creditors'!$E1296-'data on outstanding creditors'!$F1296-'data on outstanding creditors'!$G1296</f>
        <v>11641.6</v>
      </c>
      <c r="I1296" s="2"/>
      <c r="J1296" s="1" t="s">
        <v>757</v>
      </c>
      <c r="K1296" s="2">
        <v>45912.0</v>
      </c>
      <c r="L1296" s="5"/>
      <c r="M1296" s="9" t="s">
        <v>22</v>
      </c>
      <c r="N1296" s="9" t="s">
        <v>23</v>
      </c>
      <c r="O1296" s="10">
        <f>'data on outstanding creditors'!$E1296*100/107</f>
        <v>10880</v>
      </c>
      <c r="P1296" s="10">
        <f>'data on outstanding creditors'!$E1296-'data on outstanding creditors'!$O1296</f>
        <v>761.6</v>
      </c>
      <c r="Q1296" s="7">
        <f>DAY('data on outstanding creditors'!$B1296)</f>
        <v>23</v>
      </c>
      <c r="R1296" s="7">
        <f>MONTH('data on outstanding creditors'!$B1296)</f>
        <v>7</v>
      </c>
      <c r="S1296" s="7">
        <f>YEAR('data on outstanding creditors'!$B1296)</f>
        <v>2025</v>
      </c>
      <c r="T1296" s="11" t="str">
        <f>'data on outstanding creditors'!$C1296&amp;" "&amp;'data on outstanding creditors'!$D1296&amp;" "&amp;TEXT('data on outstanding creditors'!$E1296,"#,##0.00")</f>
        <v>บ.สยามฟาร์มาซูติคอล 1250706972 11,641.60</v>
      </c>
      <c r="U1296" s="12"/>
    </row>
    <row r="1297" ht="13.5" customHeight="1">
      <c r="A1297" s="1"/>
      <c r="B1297" s="2">
        <v>45861.0</v>
      </c>
      <c r="C1297" s="9" t="s">
        <v>263</v>
      </c>
      <c r="D1297" s="1" t="s">
        <v>1834</v>
      </c>
      <c r="E1297" s="4">
        <v>19800.0</v>
      </c>
      <c r="F1297" s="4"/>
      <c r="G1297" s="4"/>
      <c r="H1297" s="4">
        <f>'data on outstanding creditors'!$E1297-'data on outstanding creditors'!$F1297-'data on outstanding creditors'!$G1297</f>
        <v>19800</v>
      </c>
      <c r="I1297" s="2"/>
      <c r="J1297" s="1" t="s">
        <v>757</v>
      </c>
      <c r="K1297" s="2">
        <v>45912.0</v>
      </c>
      <c r="L1297" s="5"/>
      <c r="M1297" s="9" t="s">
        <v>22</v>
      </c>
      <c r="N1297" s="9" t="s">
        <v>23</v>
      </c>
      <c r="O1297" s="10">
        <f>'data on outstanding creditors'!$E1297*100/107</f>
        <v>18504.6729</v>
      </c>
      <c r="P1297" s="10">
        <f>'data on outstanding creditors'!$E1297-'data on outstanding creditors'!$O1297</f>
        <v>1295.327103</v>
      </c>
      <c r="Q1297" s="7">
        <f>DAY('data on outstanding creditors'!$B1297)</f>
        <v>23</v>
      </c>
      <c r="R1297" s="7">
        <f>MONTH('data on outstanding creditors'!$B1297)</f>
        <v>7</v>
      </c>
      <c r="S1297" s="7">
        <f>YEAR('data on outstanding creditors'!$B1297)</f>
        <v>2025</v>
      </c>
      <c r="T1297" s="11" t="str">
        <f>'data on outstanding creditors'!$C1297&amp;" "&amp;'data on outstanding creditors'!$D1297&amp;" "&amp;TEXT('data on outstanding creditors'!$E1297,"#,##0.00")</f>
        <v>บ.เอเบิ้ล เมดิคอล M2507/0437 19,800.00</v>
      </c>
      <c r="U1297" s="12"/>
    </row>
    <row r="1298" ht="13.5" customHeight="1">
      <c r="A1298" s="1"/>
      <c r="B1298" s="2">
        <v>45861.0</v>
      </c>
      <c r="C1298" s="9" t="s">
        <v>263</v>
      </c>
      <c r="D1298" s="1" t="s">
        <v>1835</v>
      </c>
      <c r="E1298" s="4">
        <v>52850.0</v>
      </c>
      <c r="F1298" s="4"/>
      <c r="G1298" s="4"/>
      <c r="H1298" s="4">
        <f>'data on outstanding creditors'!$E1298-'data on outstanding creditors'!$F1298-'data on outstanding creditors'!$G1298</f>
        <v>52850</v>
      </c>
      <c r="I1298" s="2"/>
      <c r="J1298" s="1" t="s">
        <v>757</v>
      </c>
      <c r="K1298" s="2">
        <v>45912.0</v>
      </c>
      <c r="L1298" s="5"/>
      <c r="M1298" s="9" t="s">
        <v>22</v>
      </c>
      <c r="N1298" s="9" t="s">
        <v>23</v>
      </c>
      <c r="O1298" s="10">
        <f>'data on outstanding creditors'!$E1298*100/107</f>
        <v>49392.52336</v>
      </c>
      <c r="P1298" s="10">
        <f>'data on outstanding creditors'!$E1298-'data on outstanding creditors'!$O1298</f>
        <v>3457.476636</v>
      </c>
      <c r="Q1298" s="7">
        <f>DAY('data on outstanding creditors'!$B1298)</f>
        <v>23</v>
      </c>
      <c r="R1298" s="7">
        <f>MONTH('data on outstanding creditors'!$B1298)</f>
        <v>7</v>
      </c>
      <c r="S1298" s="7">
        <f>YEAR('data on outstanding creditors'!$B1298)</f>
        <v>2025</v>
      </c>
      <c r="T1298" s="11" t="str">
        <f>'data on outstanding creditors'!$C1298&amp;" "&amp;'data on outstanding creditors'!$D1298&amp;" "&amp;TEXT('data on outstanding creditors'!$E1298,"#,##0.00")</f>
        <v>บ.เอเบิ้ล เมดิคอล 6810706797 52,850.00</v>
      </c>
      <c r="U1298" s="12"/>
    </row>
    <row r="1299" ht="13.5" customHeight="1">
      <c r="A1299" s="1"/>
      <c r="B1299" s="2">
        <v>45861.0</v>
      </c>
      <c r="C1299" s="9" t="s">
        <v>761</v>
      </c>
      <c r="D1299" s="1" t="s">
        <v>1836</v>
      </c>
      <c r="E1299" s="4">
        <v>145350.0</v>
      </c>
      <c r="F1299" s="4"/>
      <c r="G1299" s="4"/>
      <c r="H1299" s="4">
        <f>'data on outstanding creditors'!$E1299-'data on outstanding creditors'!$F1299-'data on outstanding creditors'!$G1299</f>
        <v>145350</v>
      </c>
      <c r="I1299" s="2"/>
      <c r="J1299" s="1" t="s">
        <v>757</v>
      </c>
      <c r="K1299" s="2">
        <v>45938.0</v>
      </c>
      <c r="L1299" s="5"/>
      <c r="M1299" s="9" t="s">
        <v>22</v>
      </c>
      <c r="N1299" s="9" t="s">
        <v>23</v>
      </c>
      <c r="O1299" s="10">
        <f>'data on outstanding creditors'!$E1299*100/107</f>
        <v>135841.1215</v>
      </c>
      <c r="P1299" s="10">
        <f>'data on outstanding creditors'!$E1299-'data on outstanding creditors'!$O1299</f>
        <v>9508.878505</v>
      </c>
      <c r="Q1299" s="7">
        <f>DAY('data on outstanding creditors'!$B1299)</f>
        <v>23</v>
      </c>
      <c r="R1299" s="7">
        <f>MONTH('data on outstanding creditors'!$B1299)</f>
        <v>7</v>
      </c>
      <c r="S1299" s="7">
        <f>YEAR('data on outstanding creditors'!$B1299)</f>
        <v>2025</v>
      </c>
      <c r="T1299" s="11" t="str">
        <f>'data on outstanding creditors'!$C1299&amp;" "&amp;'data on outstanding creditors'!$D1299&amp;" "&amp;TEXT('data on outstanding creditors'!$E1299,"#,##0.00")</f>
        <v>บ.แมคโครฟาร์แลบ ML25072964 145,350.00</v>
      </c>
      <c r="U1299" s="12"/>
    </row>
    <row r="1300" ht="13.5" customHeight="1">
      <c r="A1300" s="1"/>
      <c r="B1300" s="2">
        <v>45861.0</v>
      </c>
      <c r="C1300" s="9" t="s">
        <v>1432</v>
      </c>
      <c r="D1300" s="1" t="s">
        <v>1837</v>
      </c>
      <c r="E1300" s="4">
        <v>83000.0</v>
      </c>
      <c r="F1300" s="4"/>
      <c r="G1300" s="4"/>
      <c r="H1300" s="4">
        <f>'data on outstanding creditors'!$E1300-'data on outstanding creditors'!$F1300-'data on outstanding creditors'!$G1300</f>
        <v>83000</v>
      </c>
      <c r="I1300" s="2"/>
      <c r="J1300" s="1" t="s">
        <v>757</v>
      </c>
      <c r="K1300" s="2">
        <v>45938.0</v>
      </c>
      <c r="L1300" s="5"/>
      <c r="M1300" s="9" t="s">
        <v>22</v>
      </c>
      <c r="N1300" s="9" t="s">
        <v>23</v>
      </c>
      <c r="O1300" s="10">
        <f>'data on outstanding creditors'!$E1300*100/107</f>
        <v>77570.09346</v>
      </c>
      <c r="P1300" s="10">
        <f>'data on outstanding creditors'!$E1300-'data on outstanding creditors'!$O1300</f>
        <v>5429.906542</v>
      </c>
      <c r="Q1300" s="7">
        <f>DAY('data on outstanding creditors'!$B1300)</f>
        <v>23</v>
      </c>
      <c r="R1300" s="7">
        <f>MONTH('data on outstanding creditors'!$B1300)</f>
        <v>7</v>
      </c>
      <c r="S1300" s="7">
        <f>YEAR('data on outstanding creditors'!$B1300)</f>
        <v>2025</v>
      </c>
      <c r="T1300" s="11" t="str">
        <f>'data on outstanding creditors'!$C1300&amp;" "&amp;'data on outstanding creditors'!$D1300&amp;" "&amp;TEXT('data on outstanding creditors'!$E1300,"#,##0.00")</f>
        <v>บ.ยูโทเปี้ยน PB6807495 83,000.00</v>
      </c>
      <c r="U1300" s="12"/>
    </row>
    <row r="1301" ht="13.5" customHeight="1">
      <c r="A1301" s="1"/>
      <c r="B1301" s="2">
        <v>45861.0</v>
      </c>
      <c r="C1301" s="9" t="s">
        <v>263</v>
      </c>
      <c r="D1301" s="1" t="s">
        <v>1838</v>
      </c>
      <c r="E1301" s="4">
        <v>118800.0</v>
      </c>
      <c r="F1301" s="4"/>
      <c r="G1301" s="4"/>
      <c r="H1301" s="4">
        <f>'data on outstanding creditors'!$E1301-'data on outstanding creditors'!$F1301-'data on outstanding creditors'!$G1301</f>
        <v>118800</v>
      </c>
      <c r="I1301" s="2"/>
      <c r="J1301" s="1" t="s">
        <v>757</v>
      </c>
      <c r="K1301" s="2">
        <v>45938.0</v>
      </c>
      <c r="L1301" s="5"/>
      <c r="M1301" s="9" t="s">
        <v>22</v>
      </c>
      <c r="N1301" s="9" t="s">
        <v>23</v>
      </c>
      <c r="O1301" s="10">
        <f>'data on outstanding creditors'!$E1301*100/107</f>
        <v>111028.0374</v>
      </c>
      <c r="P1301" s="10">
        <f>'data on outstanding creditors'!$E1301-'data on outstanding creditors'!$O1301</f>
        <v>7771.962617</v>
      </c>
      <c r="Q1301" s="7">
        <f>DAY('data on outstanding creditors'!$B1301)</f>
        <v>23</v>
      </c>
      <c r="R1301" s="7">
        <f>MONTH('data on outstanding creditors'!$B1301)</f>
        <v>7</v>
      </c>
      <c r="S1301" s="7">
        <f>YEAR('data on outstanding creditors'!$B1301)</f>
        <v>2025</v>
      </c>
      <c r="T1301" s="11" t="str">
        <f>'data on outstanding creditors'!$C1301&amp;" "&amp;'data on outstanding creditors'!$D1301&amp;" "&amp;TEXT('data on outstanding creditors'!$E1301,"#,##0.00")</f>
        <v>บ.เอเบิ้ล เมดิคอล M2507/0494 118,800.00</v>
      </c>
      <c r="U1301" s="12"/>
    </row>
    <row r="1302" ht="13.5" customHeight="1">
      <c r="A1302" s="1"/>
      <c r="B1302" s="2">
        <v>45862.0</v>
      </c>
      <c r="C1302" s="9" t="s">
        <v>767</v>
      </c>
      <c r="D1302" s="1" t="s">
        <v>1839</v>
      </c>
      <c r="E1302" s="4">
        <v>143600.0</v>
      </c>
      <c r="F1302" s="4"/>
      <c r="G1302" s="4"/>
      <c r="H1302" s="4">
        <f>'data on outstanding creditors'!$E1302-'data on outstanding creditors'!$F1302-'data on outstanding creditors'!$G1302</f>
        <v>143600</v>
      </c>
      <c r="I1302" s="2"/>
      <c r="J1302" s="1" t="s">
        <v>646</v>
      </c>
      <c r="K1302" s="2">
        <v>45954.0</v>
      </c>
      <c r="L1302" s="5"/>
      <c r="M1302" s="9" t="s">
        <v>22</v>
      </c>
      <c r="N1302" s="9" t="s">
        <v>23</v>
      </c>
      <c r="O1302" s="10">
        <f>'data on outstanding creditors'!$E1302*100/107</f>
        <v>134205.6075</v>
      </c>
      <c r="P1302" s="10">
        <f>'data on outstanding creditors'!$E1302-'data on outstanding creditors'!$O1302</f>
        <v>9394.392523</v>
      </c>
      <c r="Q1302" s="7">
        <f>DAY('data on outstanding creditors'!$B1302)</f>
        <v>24</v>
      </c>
      <c r="R1302" s="7">
        <f>MONTH('data on outstanding creditors'!$B1302)</f>
        <v>7</v>
      </c>
      <c r="S1302" s="7">
        <f>YEAR('data on outstanding creditors'!$B1302)</f>
        <v>2025</v>
      </c>
      <c r="T1302" s="11" t="str">
        <f>'data on outstanding creditors'!$C1302&amp;" "&amp;'data on outstanding creditors'!$D1302&amp;" "&amp;TEXT('data on outstanding creditors'!$E1302,"#,##0.00")</f>
        <v>บ.คอสม่า เทรดดิ้ง 310757402184 143,600.00</v>
      </c>
      <c r="U1302" s="12"/>
    </row>
    <row r="1303" ht="13.5" customHeight="1">
      <c r="A1303" s="1"/>
      <c r="B1303" s="2">
        <v>45862.0</v>
      </c>
      <c r="C1303" s="9" t="s">
        <v>1840</v>
      </c>
      <c r="D1303" s="1" t="s">
        <v>1841</v>
      </c>
      <c r="E1303" s="4">
        <v>15500.0</v>
      </c>
      <c r="F1303" s="4"/>
      <c r="G1303" s="4"/>
      <c r="H1303" s="4">
        <f>'data on outstanding creditors'!$E1303-'data on outstanding creditors'!$F1303-'data on outstanding creditors'!$G1303</f>
        <v>15500</v>
      </c>
      <c r="I1303" s="2"/>
      <c r="J1303" s="1" t="s">
        <v>757</v>
      </c>
      <c r="K1303" s="2">
        <v>45898.0</v>
      </c>
      <c r="L1303" s="5"/>
      <c r="M1303" s="9" t="s">
        <v>22</v>
      </c>
      <c r="N1303" s="9" t="s">
        <v>23</v>
      </c>
      <c r="O1303" s="10">
        <f>'data on outstanding creditors'!$E1303*100/107</f>
        <v>14485.98131</v>
      </c>
      <c r="P1303" s="10">
        <f>'data on outstanding creditors'!$E1303-'data on outstanding creditors'!$O1303</f>
        <v>1014.018692</v>
      </c>
      <c r="Q1303" s="7">
        <f>DAY('data on outstanding creditors'!$B1303)</f>
        <v>24</v>
      </c>
      <c r="R1303" s="7">
        <f>MONTH('data on outstanding creditors'!$B1303)</f>
        <v>7</v>
      </c>
      <c r="S1303" s="7">
        <f>YEAR('data on outstanding creditors'!$B1303)</f>
        <v>2025</v>
      </c>
      <c r="T1303" s="11" t="str">
        <f>'data on outstanding creditors'!$C1303&amp;" "&amp;'data on outstanding creditors'!$D1303&amp;" "&amp;TEXT('data on outstanding creditors'!$E1303,"#,##0.00")</f>
        <v>บ.เอเซียโปร ซัลพลายส์ 020424 15,500.00</v>
      </c>
      <c r="U1303" s="12"/>
    </row>
    <row r="1304" ht="13.5" customHeight="1">
      <c r="A1304" s="1"/>
      <c r="B1304" s="2">
        <v>45862.0</v>
      </c>
      <c r="C1304" s="9" t="s">
        <v>399</v>
      </c>
      <c r="D1304" s="1" t="s">
        <v>1842</v>
      </c>
      <c r="E1304" s="4">
        <v>28890.0</v>
      </c>
      <c r="F1304" s="4"/>
      <c r="G1304" s="4"/>
      <c r="H1304" s="4">
        <f>'data on outstanding creditors'!$E1304-'data on outstanding creditors'!$F1304-'data on outstanding creditors'!$G1304</f>
        <v>28890</v>
      </c>
      <c r="I1304" s="2"/>
      <c r="J1304" s="1" t="s">
        <v>646</v>
      </c>
      <c r="K1304" s="2">
        <v>45943.0</v>
      </c>
      <c r="L1304" s="5"/>
      <c r="M1304" s="9" t="s">
        <v>22</v>
      </c>
      <c r="N1304" s="9" t="s">
        <v>23</v>
      </c>
      <c r="O1304" s="10">
        <f>'data on outstanding creditors'!$E1304*100/107</f>
        <v>27000</v>
      </c>
      <c r="P1304" s="10">
        <f>'data on outstanding creditors'!$E1304-'data on outstanding creditors'!$O1304</f>
        <v>1890</v>
      </c>
      <c r="Q1304" s="7">
        <f>DAY('data on outstanding creditors'!$B1304)</f>
        <v>24</v>
      </c>
      <c r="R1304" s="7">
        <f>MONTH('data on outstanding creditors'!$B1304)</f>
        <v>7</v>
      </c>
      <c r="S1304" s="7">
        <f>YEAR('data on outstanding creditors'!$B1304)</f>
        <v>2025</v>
      </c>
      <c r="T1304" s="11" t="str">
        <f>'data on outstanding creditors'!$C1304&amp;" "&amp;'data on outstanding creditors'!$D1304&amp;" "&amp;TEXT('data on outstanding creditors'!$E1304,"#,##0.00")</f>
        <v>บ.ดีเคเอสเอช(ประเทศไทย) 5344022181 28,890.00</v>
      </c>
      <c r="U1304" s="12"/>
    </row>
    <row r="1305" ht="13.5" customHeight="1">
      <c r="A1305" s="1"/>
      <c r="B1305" s="2">
        <v>45862.0</v>
      </c>
      <c r="C1305" s="9" t="s">
        <v>884</v>
      </c>
      <c r="D1305" s="1" t="s">
        <v>1843</v>
      </c>
      <c r="E1305" s="4">
        <v>40000.0</v>
      </c>
      <c r="F1305" s="4"/>
      <c r="G1305" s="4"/>
      <c r="H1305" s="4">
        <f>'data on outstanding creditors'!$E1305-'data on outstanding creditors'!$F1305-'data on outstanding creditors'!$G1305</f>
        <v>40000</v>
      </c>
      <c r="I1305" s="2"/>
      <c r="J1305" s="1" t="s">
        <v>646</v>
      </c>
      <c r="K1305" s="2">
        <v>45928.0</v>
      </c>
      <c r="L1305" s="5"/>
      <c r="M1305" s="9" t="s">
        <v>22</v>
      </c>
      <c r="N1305" s="9" t="s">
        <v>23</v>
      </c>
      <c r="O1305" s="10">
        <f>'data on outstanding creditors'!$E1305*100/107</f>
        <v>37383.17757</v>
      </c>
      <c r="P1305" s="10">
        <f>'data on outstanding creditors'!$E1305-'data on outstanding creditors'!$O1305</f>
        <v>2616.82243</v>
      </c>
      <c r="Q1305" s="7">
        <f>DAY('data on outstanding creditors'!$B1305)</f>
        <v>24</v>
      </c>
      <c r="R1305" s="7">
        <f>MONTH('data on outstanding creditors'!$B1305)</f>
        <v>7</v>
      </c>
      <c r="S1305" s="7">
        <f>YEAR('data on outstanding creditors'!$B1305)</f>
        <v>2025</v>
      </c>
      <c r="T1305" s="11" t="str">
        <f>'data on outstanding creditors'!$C1305&amp;" "&amp;'data on outstanding creditors'!$D1305&amp;" "&amp;TEXT('data on outstanding creditors'!$E1305,"#,##0.00")</f>
        <v>บ.เอสพีเอส เมดิคอล 112507003424 40,000.00</v>
      </c>
      <c r="U1305" s="12"/>
    </row>
    <row r="1306" ht="13.5" customHeight="1">
      <c r="A1306" s="1"/>
      <c r="B1306" s="2">
        <v>45862.0</v>
      </c>
      <c r="C1306" s="9" t="s">
        <v>763</v>
      </c>
      <c r="D1306" s="1" t="s">
        <v>1844</v>
      </c>
      <c r="E1306" s="4">
        <v>39800.0</v>
      </c>
      <c r="F1306" s="4"/>
      <c r="G1306" s="4"/>
      <c r="H1306" s="4">
        <f>'data on outstanding creditors'!$E1306-'data on outstanding creditors'!$F1306-'data on outstanding creditors'!$G1306</f>
        <v>39800</v>
      </c>
      <c r="I1306" s="2"/>
      <c r="J1306" s="1" t="s">
        <v>757</v>
      </c>
      <c r="K1306" s="2">
        <v>45912.0</v>
      </c>
      <c r="L1306" s="5"/>
      <c r="M1306" s="9" t="s">
        <v>22</v>
      </c>
      <c r="N1306" s="9" t="s">
        <v>23</v>
      </c>
      <c r="O1306" s="10">
        <f>'data on outstanding creditors'!$E1306*100/107</f>
        <v>37196.26168</v>
      </c>
      <c r="P1306" s="10">
        <f>'data on outstanding creditors'!$E1306-'data on outstanding creditors'!$O1306</f>
        <v>2603.738318</v>
      </c>
      <c r="Q1306" s="7">
        <f>DAY('data on outstanding creditors'!$B1306)</f>
        <v>24</v>
      </c>
      <c r="R1306" s="7">
        <f>MONTH('data on outstanding creditors'!$B1306)</f>
        <v>7</v>
      </c>
      <c r="S1306" s="7">
        <f>YEAR('data on outstanding creditors'!$B1306)</f>
        <v>2025</v>
      </c>
      <c r="T1306" s="11" t="str">
        <f>'data on outstanding creditors'!$C1306&amp;" "&amp;'data on outstanding creditors'!$D1306&amp;" "&amp;TEXT('data on outstanding creditors'!$E1306,"#,##0.00")</f>
        <v>บ.อัลลายแอนซ์ ฟาร์มา B26807143 39,800.00</v>
      </c>
      <c r="U1306" s="12"/>
    </row>
    <row r="1307" ht="13.5" customHeight="1">
      <c r="A1307" s="1"/>
      <c r="B1307" s="2">
        <v>45862.0</v>
      </c>
      <c r="C1307" s="9" t="s">
        <v>767</v>
      </c>
      <c r="D1307" s="1" t="s">
        <v>1845</v>
      </c>
      <c r="E1307" s="4">
        <v>20000.0</v>
      </c>
      <c r="F1307" s="4"/>
      <c r="G1307" s="4"/>
      <c r="H1307" s="4">
        <f>'data on outstanding creditors'!$E1307-'data on outstanding creditors'!$F1307-'data on outstanding creditors'!$G1307</f>
        <v>20000</v>
      </c>
      <c r="I1307" s="2"/>
      <c r="J1307" s="1" t="s">
        <v>646</v>
      </c>
      <c r="K1307" s="2">
        <v>45944.0</v>
      </c>
      <c r="L1307" s="5"/>
      <c r="M1307" s="9" t="s">
        <v>22</v>
      </c>
      <c r="N1307" s="9" t="s">
        <v>23</v>
      </c>
      <c r="O1307" s="10">
        <f>'data on outstanding creditors'!$E1307*100/107</f>
        <v>18691.58879</v>
      </c>
      <c r="P1307" s="10">
        <f>'data on outstanding creditors'!$E1307-'data on outstanding creditors'!$O1307</f>
        <v>1308.411215</v>
      </c>
      <c r="Q1307" s="7">
        <f>DAY('data on outstanding creditors'!$B1307)</f>
        <v>24</v>
      </c>
      <c r="R1307" s="7">
        <f>MONTH('data on outstanding creditors'!$B1307)</f>
        <v>7</v>
      </c>
      <c r="S1307" s="7">
        <f>YEAR('data on outstanding creditors'!$B1307)</f>
        <v>2025</v>
      </c>
      <c r="T1307" s="11" t="str">
        <f>'data on outstanding creditors'!$C1307&amp;" "&amp;'data on outstanding creditors'!$D1307&amp;" "&amp;TEXT('data on outstanding creditors'!$E1307,"#,##0.00")</f>
        <v>บ.คอสม่า เทรดดิ้ง 310757402267 20,000.00</v>
      </c>
      <c r="U1307" s="12"/>
    </row>
    <row r="1308" ht="13.5" customHeight="1">
      <c r="A1308" s="1"/>
      <c r="B1308" s="2">
        <v>45862.0</v>
      </c>
      <c r="C1308" s="9" t="s">
        <v>399</v>
      </c>
      <c r="D1308" s="1" t="s">
        <v>1846</v>
      </c>
      <c r="E1308" s="4">
        <v>3500.0</v>
      </c>
      <c r="F1308" s="4"/>
      <c r="G1308" s="4"/>
      <c r="H1308" s="4">
        <f>'data on outstanding creditors'!$E1308-'data on outstanding creditors'!$F1308-'data on outstanding creditors'!$G1308</f>
        <v>3500</v>
      </c>
      <c r="I1308" s="2"/>
      <c r="J1308" s="1" t="s">
        <v>646</v>
      </c>
      <c r="K1308" s="2">
        <v>45943.0</v>
      </c>
      <c r="L1308" s="5"/>
      <c r="M1308" s="9" t="s">
        <v>22</v>
      </c>
      <c r="N1308" s="9" t="s">
        <v>23</v>
      </c>
      <c r="O1308" s="10">
        <f>'data on outstanding creditors'!$E1308*100/107</f>
        <v>3271.028037</v>
      </c>
      <c r="P1308" s="10">
        <f>'data on outstanding creditors'!$E1308-'data on outstanding creditors'!$O1308</f>
        <v>228.9719626</v>
      </c>
      <c r="Q1308" s="7">
        <f>DAY('data on outstanding creditors'!$B1308)</f>
        <v>24</v>
      </c>
      <c r="R1308" s="7">
        <f>MONTH('data on outstanding creditors'!$B1308)</f>
        <v>7</v>
      </c>
      <c r="S1308" s="7">
        <f>YEAR('data on outstanding creditors'!$B1308)</f>
        <v>2025</v>
      </c>
      <c r="T1308" s="11" t="str">
        <f>'data on outstanding creditors'!$C1308&amp;" "&amp;'data on outstanding creditors'!$D1308&amp;" "&amp;TEXT('data on outstanding creditors'!$E1308,"#,##0.00")</f>
        <v>บ.ดีเคเอสเอช(ประเทศไทย) 5344014561 3,500.00</v>
      </c>
      <c r="U1308" s="12"/>
    </row>
    <row r="1309" ht="13.5" customHeight="1">
      <c r="A1309" s="1"/>
      <c r="B1309" s="2">
        <v>45862.0</v>
      </c>
      <c r="C1309" s="9" t="s">
        <v>399</v>
      </c>
      <c r="D1309" s="1" t="s">
        <v>1847</v>
      </c>
      <c r="E1309" s="4">
        <v>64200.0</v>
      </c>
      <c r="F1309" s="4"/>
      <c r="G1309" s="4"/>
      <c r="H1309" s="4">
        <f>'data on outstanding creditors'!$E1309-'data on outstanding creditors'!$F1309-'data on outstanding creditors'!$G1309</f>
        <v>64200</v>
      </c>
      <c r="I1309" s="2"/>
      <c r="J1309" s="1" t="s">
        <v>646</v>
      </c>
      <c r="K1309" s="2">
        <v>45943.0</v>
      </c>
      <c r="L1309" s="5"/>
      <c r="M1309" s="9" t="s">
        <v>22</v>
      </c>
      <c r="N1309" s="9" t="s">
        <v>23</v>
      </c>
      <c r="O1309" s="10">
        <f>'data on outstanding creditors'!$E1309*100/107</f>
        <v>60000</v>
      </c>
      <c r="P1309" s="10">
        <f>'data on outstanding creditors'!$E1309-'data on outstanding creditors'!$O1309</f>
        <v>4200</v>
      </c>
      <c r="Q1309" s="7">
        <f>DAY('data on outstanding creditors'!$B1309)</f>
        <v>24</v>
      </c>
      <c r="R1309" s="7">
        <f>MONTH('data on outstanding creditors'!$B1309)</f>
        <v>7</v>
      </c>
      <c r="S1309" s="7">
        <f>YEAR('data on outstanding creditors'!$B1309)</f>
        <v>2025</v>
      </c>
      <c r="T1309" s="11" t="str">
        <f>'data on outstanding creditors'!$C1309&amp;" "&amp;'data on outstanding creditors'!$D1309&amp;" "&amp;TEXT('data on outstanding creditors'!$E1309,"#,##0.00")</f>
        <v>บ.ดีเคเอสเอช(ประเทศไทย) 5344014619 64,200.00</v>
      </c>
      <c r="U1309" s="12"/>
    </row>
    <row r="1310" ht="13.5" customHeight="1">
      <c r="A1310" s="1"/>
      <c r="B1310" s="2">
        <v>45862.0</v>
      </c>
      <c r="C1310" s="9" t="s">
        <v>922</v>
      </c>
      <c r="D1310" s="1" t="s">
        <v>1848</v>
      </c>
      <c r="E1310" s="4">
        <v>64400.0</v>
      </c>
      <c r="F1310" s="4"/>
      <c r="G1310" s="4"/>
      <c r="H1310" s="4">
        <f>'data on outstanding creditors'!$E1310-'data on outstanding creditors'!$F1310-'data on outstanding creditors'!$G1310</f>
        <v>64400</v>
      </c>
      <c r="I1310" s="2"/>
      <c r="J1310" s="1" t="s">
        <v>757</v>
      </c>
      <c r="K1310" s="2">
        <v>45912.0</v>
      </c>
      <c r="L1310" s="5"/>
      <c r="M1310" s="9" t="s">
        <v>22</v>
      </c>
      <c r="N1310" s="9" t="s">
        <v>23</v>
      </c>
      <c r="O1310" s="10">
        <f>'data on outstanding creditors'!$E1310*100/107</f>
        <v>60186.91589</v>
      </c>
      <c r="P1310" s="10">
        <f>'data on outstanding creditors'!$E1310-'data on outstanding creditors'!$O1310</f>
        <v>4213.084112</v>
      </c>
      <c r="Q1310" s="7">
        <f>DAY('data on outstanding creditors'!$B1310)</f>
        <v>24</v>
      </c>
      <c r="R1310" s="7">
        <f>MONTH('data on outstanding creditors'!$B1310)</f>
        <v>7</v>
      </c>
      <c r="S1310" s="7">
        <f>YEAR('data on outstanding creditors'!$B1310)</f>
        <v>2025</v>
      </c>
      <c r="T1310" s="11" t="str">
        <f>'data on outstanding creditors'!$C1310&amp;" "&amp;'data on outstanding creditors'!$D1310&amp;" "&amp;TEXT('data on outstanding creditors'!$E1310,"#,##0.00")</f>
        <v>บ.เบอร์ลินฟาร์มาซูติคอลอินดัสตรี้ 6810707441 64,400.00</v>
      </c>
      <c r="U1310" s="12"/>
    </row>
    <row r="1311" ht="13.5" customHeight="1">
      <c r="A1311" s="1"/>
      <c r="B1311" s="2">
        <v>45862.0</v>
      </c>
      <c r="C1311" s="9" t="s">
        <v>1619</v>
      </c>
      <c r="D1311" s="1" t="s">
        <v>1849</v>
      </c>
      <c r="E1311" s="4">
        <v>25500.0</v>
      </c>
      <c r="F1311" s="4"/>
      <c r="G1311" s="4"/>
      <c r="H1311" s="4">
        <f>'data on outstanding creditors'!$E1311-'data on outstanding creditors'!$F1311-'data on outstanding creditors'!$G1311</f>
        <v>25500</v>
      </c>
      <c r="I1311" s="2"/>
      <c r="J1311" s="1" t="s">
        <v>757</v>
      </c>
      <c r="K1311" s="2">
        <v>45912.0</v>
      </c>
      <c r="L1311" s="5"/>
      <c r="M1311" s="9" t="s">
        <v>22</v>
      </c>
      <c r="N1311" s="9" t="s">
        <v>23</v>
      </c>
      <c r="O1311" s="10">
        <f>'data on outstanding creditors'!$E1311*100/107</f>
        <v>23831.7757</v>
      </c>
      <c r="P1311" s="10">
        <f>'data on outstanding creditors'!$E1311-'data on outstanding creditors'!$O1311</f>
        <v>1668.224299</v>
      </c>
      <c r="Q1311" s="7">
        <f>DAY('data on outstanding creditors'!$B1311)</f>
        <v>24</v>
      </c>
      <c r="R1311" s="7">
        <f>MONTH('data on outstanding creditors'!$B1311)</f>
        <v>7</v>
      </c>
      <c r="S1311" s="7">
        <f>YEAR('data on outstanding creditors'!$B1311)</f>
        <v>2025</v>
      </c>
      <c r="T1311" s="11" t="str">
        <f>'data on outstanding creditors'!$C1311&amp;" "&amp;'data on outstanding creditors'!$D1311&amp;" "&amp;TEXT('data on outstanding creditors'!$E1311,"#,##0.00")</f>
        <v>บ.พีเอ็มแอล พลัส MIS250718-118 25,500.00</v>
      </c>
      <c r="U1311" s="12"/>
    </row>
    <row r="1312" ht="13.5" customHeight="1">
      <c r="A1312" s="1"/>
      <c r="B1312" s="2">
        <v>45862.0</v>
      </c>
      <c r="C1312" s="9" t="s">
        <v>1850</v>
      </c>
      <c r="D1312" s="1" t="s">
        <v>1851</v>
      </c>
      <c r="E1312" s="4">
        <v>1950.0</v>
      </c>
      <c r="F1312" s="4"/>
      <c r="G1312" s="4"/>
      <c r="H1312" s="4">
        <f>'data on outstanding creditors'!$E1312-'data on outstanding creditors'!$F1312-'data on outstanding creditors'!$G1312</f>
        <v>1950</v>
      </c>
      <c r="I1312" s="2"/>
      <c r="J1312" s="1" t="s">
        <v>646</v>
      </c>
      <c r="K1312" s="2">
        <v>45954.0</v>
      </c>
      <c r="L1312" s="5"/>
      <c r="M1312" s="9" t="s">
        <v>22</v>
      </c>
      <c r="N1312" s="9" t="s">
        <v>23</v>
      </c>
      <c r="O1312" s="10">
        <f>'data on outstanding creditors'!$E1312*100/107</f>
        <v>1822.429907</v>
      </c>
      <c r="P1312" s="10">
        <f>'data on outstanding creditors'!$E1312-'data on outstanding creditors'!$O1312</f>
        <v>127.5700935</v>
      </c>
      <c r="Q1312" s="7">
        <f>DAY('data on outstanding creditors'!$B1312)</f>
        <v>24</v>
      </c>
      <c r="R1312" s="7">
        <f>MONTH('data on outstanding creditors'!$B1312)</f>
        <v>7</v>
      </c>
      <c r="S1312" s="7">
        <f>YEAR('data on outstanding creditors'!$B1312)</f>
        <v>2025</v>
      </c>
      <c r="T1312" s="11" t="str">
        <f>'data on outstanding creditors'!$C1312&amp;" "&amp;'data on outstanding creditors'!$D1312&amp;" "&amp;TEXT('data on outstanding creditors'!$E1312,"#,##0.00")</f>
        <v>บ.มาซา แลบ 25072409 1,950.00</v>
      </c>
      <c r="U1312" s="12"/>
    </row>
    <row r="1313" ht="13.5" customHeight="1">
      <c r="A1313" s="1"/>
      <c r="B1313" s="2">
        <v>45862.0</v>
      </c>
      <c r="C1313" s="9" t="s">
        <v>1314</v>
      </c>
      <c r="D1313" s="1" t="s">
        <v>1852</v>
      </c>
      <c r="E1313" s="4">
        <v>24000.0</v>
      </c>
      <c r="F1313" s="4"/>
      <c r="G1313" s="4"/>
      <c r="H1313" s="4">
        <f>'data on outstanding creditors'!$E1313-'data on outstanding creditors'!$F1313-'data on outstanding creditors'!$G1313</f>
        <v>24000</v>
      </c>
      <c r="I1313" s="2"/>
      <c r="J1313" s="1" t="s">
        <v>646</v>
      </c>
      <c r="K1313" s="2">
        <v>45954.0</v>
      </c>
      <c r="L1313" s="5"/>
      <c r="M1313" s="9" t="s">
        <v>22</v>
      </c>
      <c r="N1313" s="9" t="s">
        <v>23</v>
      </c>
      <c r="O1313" s="10">
        <f>'data on outstanding creditors'!$E1313*100/107</f>
        <v>22429.90654</v>
      </c>
      <c r="P1313" s="10">
        <f>'data on outstanding creditors'!$E1313-'data on outstanding creditors'!$O1313</f>
        <v>1570.093458</v>
      </c>
      <c r="Q1313" s="7">
        <f>DAY('data on outstanding creditors'!$B1313)</f>
        <v>24</v>
      </c>
      <c r="R1313" s="7">
        <f>MONTH('data on outstanding creditors'!$B1313)</f>
        <v>7</v>
      </c>
      <c r="S1313" s="7">
        <f>YEAR('data on outstanding creditors'!$B1313)</f>
        <v>2025</v>
      </c>
      <c r="T1313" s="11" t="str">
        <f>'data on outstanding creditors'!$C1313&amp;" "&amp;'data on outstanding creditors'!$D1313&amp;" "&amp;TEXT('data on outstanding creditors'!$E1313,"#,##0.00")</f>
        <v>บ.บูรพา ฟาร์มา DSP6801615 24,000.00</v>
      </c>
      <c r="U1313" s="12"/>
    </row>
    <row r="1314" ht="13.5" customHeight="1">
      <c r="A1314" s="1"/>
      <c r="B1314" s="2">
        <v>45863.0</v>
      </c>
      <c r="C1314" s="9" t="s">
        <v>1454</v>
      </c>
      <c r="D1314" s="1" t="s">
        <v>1853</v>
      </c>
      <c r="E1314" s="4">
        <v>133500.0</v>
      </c>
      <c r="F1314" s="4"/>
      <c r="G1314" s="4"/>
      <c r="H1314" s="4">
        <f>'data on outstanding creditors'!$E1314-'data on outstanding creditors'!$F1314-'data on outstanding creditors'!$G1314</f>
        <v>133500</v>
      </c>
      <c r="I1314" s="2"/>
      <c r="J1314" s="1" t="s">
        <v>757</v>
      </c>
      <c r="K1314" s="2">
        <v>45938.0</v>
      </c>
      <c r="L1314" s="5"/>
      <c r="M1314" s="9" t="s">
        <v>22</v>
      </c>
      <c r="N1314" s="9" t="s">
        <v>23</v>
      </c>
      <c r="O1314" s="10">
        <f>'data on outstanding creditors'!$E1314*100/107</f>
        <v>124766.3551</v>
      </c>
      <c r="P1314" s="10">
        <f>'data on outstanding creditors'!$E1314-'data on outstanding creditors'!$O1314</f>
        <v>8733.64486</v>
      </c>
      <c r="Q1314" s="7">
        <f>DAY('data on outstanding creditors'!$B1314)</f>
        <v>25</v>
      </c>
      <c r="R1314" s="7">
        <f>MONTH('data on outstanding creditors'!$B1314)</f>
        <v>7</v>
      </c>
      <c r="S1314" s="7">
        <f>YEAR('data on outstanding creditors'!$B1314)</f>
        <v>2025</v>
      </c>
      <c r="T1314" s="11" t="str">
        <f>'data on outstanding creditors'!$C1314&amp;" "&amp;'data on outstanding creditors'!$D1314&amp;" "&amp;TEXT('data on outstanding creditors'!$E1314,"#,##0.00")</f>
        <v>บ.พรีเมด ฟาร์มา พลัส PL680700610 133,500.00</v>
      </c>
      <c r="U1314" s="12"/>
    </row>
    <row r="1315" ht="13.5" customHeight="1">
      <c r="A1315" s="1"/>
      <c r="B1315" s="2">
        <v>45863.0</v>
      </c>
      <c r="C1315" s="9" t="s">
        <v>761</v>
      </c>
      <c r="D1315" s="1" t="s">
        <v>1854</v>
      </c>
      <c r="E1315" s="4">
        <v>59706.0</v>
      </c>
      <c r="F1315" s="4"/>
      <c r="G1315" s="4"/>
      <c r="H1315" s="4">
        <f>'data on outstanding creditors'!$E1315-'data on outstanding creditors'!$F1315-'data on outstanding creditors'!$G1315</f>
        <v>59706</v>
      </c>
      <c r="I1315" s="2"/>
      <c r="J1315" s="1" t="s">
        <v>757</v>
      </c>
      <c r="K1315" s="2">
        <v>45912.0</v>
      </c>
      <c r="L1315" s="5"/>
      <c r="M1315" s="9" t="s">
        <v>22</v>
      </c>
      <c r="N1315" s="9" t="s">
        <v>23</v>
      </c>
      <c r="O1315" s="10">
        <f>'data on outstanding creditors'!$E1315*100/107</f>
        <v>55800</v>
      </c>
      <c r="P1315" s="10">
        <f>'data on outstanding creditors'!$E1315-'data on outstanding creditors'!$O1315</f>
        <v>3906</v>
      </c>
      <c r="Q1315" s="7">
        <f>DAY('data on outstanding creditors'!$B1315)</f>
        <v>25</v>
      </c>
      <c r="R1315" s="7">
        <f>MONTH('data on outstanding creditors'!$B1315)</f>
        <v>7</v>
      </c>
      <c r="S1315" s="7">
        <f>YEAR('data on outstanding creditors'!$B1315)</f>
        <v>2025</v>
      </c>
      <c r="T1315" s="11" t="str">
        <f>'data on outstanding creditors'!$C1315&amp;" "&amp;'data on outstanding creditors'!$D1315&amp;" "&amp;TEXT('data on outstanding creditors'!$E1315,"#,##0.00")</f>
        <v>บ.แมคโครฟาร์แลบ ML25073917 59,706.00</v>
      </c>
      <c r="U1315" s="12"/>
    </row>
    <row r="1316" ht="13.5" customHeight="1">
      <c r="A1316" s="1"/>
      <c r="B1316" s="2">
        <v>45863.0</v>
      </c>
      <c r="C1316" s="9" t="s">
        <v>1234</v>
      </c>
      <c r="D1316" s="1" t="s">
        <v>1855</v>
      </c>
      <c r="E1316" s="4">
        <v>3300.0</v>
      </c>
      <c r="F1316" s="4"/>
      <c r="G1316" s="4"/>
      <c r="H1316" s="4">
        <f>'data on outstanding creditors'!$E1316-'data on outstanding creditors'!$F1316-'data on outstanding creditors'!$G1316</f>
        <v>3300</v>
      </c>
      <c r="I1316" s="2"/>
      <c r="J1316" s="1" t="s">
        <v>757</v>
      </c>
      <c r="K1316" s="2">
        <v>45912.0</v>
      </c>
      <c r="L1316" s="5"/>
      <c r="M1316" s="9" t="s">
        <v>22</v>
      </c>
      <c r="N1316" s="9" t="s">
        <v>23</v>
      </c>
      <c r="O1316" s="10">
        <f>'data on outstanding creditors'!$E1316*100/107</f>
        <v>3084.11215</v>
      </c>
      <c r="P1316" s="10">
        <f>'data on outstanding creditors'!$E1316-'data on outstanding creditors'!$O1316</f>
        <v>215.8878505</v>
      </c>
      <c r="Q1316" s="7">
        <f>DAY('data on outstanding creditors'!$B1316)</f>
        <v>25</v>
      </c>
      <c r="R1316" s="7">
        <f>MONTH('data on outstanding creditors'!$B1316)</f>
        <v>7</v>
      </c>
      <c r="S1316" s="7">
        <f>YEAR('data on outstanding creditors'!$B1316)</f>
        <v>2025</v>
      </c>
      <c r="T1316" s="11" t="str">
        <f>'data on outstanding creditors'!$C1316&amp;" "&amp;'data on outstanding creditors'!$D1316&amp;" "&amp;TEXT('data on outstanding creditors'!$E1316,"#,##0.00")</f>
        <v>บ.คอนติเนนเติล-ฟาร์ม 250700816 3,300.00</v>
      </c>
      <c r="U1316" s="12"/>
    </row>
    <row r="1317" ht="13.5" customHeight="1">
      <c r="A1317" s="1"/>
      <c r="B1317" s="2">
        <v>45863.0</v>
      </c>
      <c r="C1317" s="9" t="s">
        <v>1245</v>
      </c>
      <c r="D1317" s="1" t="s">
        <v>1856</v>
      </c>
      <c r="E1317" s="4">
        <v>26000.0</v>
      </c>
      <c r="F1317" s="4"/>
      <c r="G1317" s="4"/>
      <c r="H1317" s="4">
        <f>'data on outstanding creditors'!$E1317-'data on outstanding creditors'!$F1317-'data on outstanding creditors'!$G1317</f>
        <v>26000</v>
      </c>
      <c r="I1317" s="2"/>
      <c r="J1317" s="1" t="s">
        <v>646</v>
      </c>
      <c r="K1317" s="2">
        <v>45952.0</v>
      </c>
      <c r="L1317" s="5"/>
      <c r="M1317" s="9" t="s">
        <v>22</v>
      </c>
      <c r="N1317" s="9" t="s">
        <v>23</v>
      </c>
      <c r="O1317" s="10">
        <f>'data on outstanding creditors'!$E1317*100/107</f>
        <v>24299.06542</v>
      </c>
      <c r="P1317" s="10">
        <f>'data on outstanding creditors'!$E1317-'data on outstanding creditors'!$O1317</f>
        <v>1700.934579</v>
      </c>
      <c r="Q1317" s="7">
        <f>DAY('data on outstanding creditors'!$B1317)</f>
        <v>25</v>
      </c>
      <c r="R1317" s="7">
        <f>MONTH('data on outstanding creditors'!$B1317)</f>
        <v>7</v>
      </c>
      <c r="S1317" s="7">
        <f>YEAR('data on outstanding creditors'!$B1317)</f>
        <v>2025</v>
      </c>
      <c r="T1317" s="11" t="str">
        <f>'data on outstanding creditors'!$C1317&amp;" "&amp;'data on outstanding creditors'!$D1317&amp;" "&amp;TEXT('data on outstanding creditors'!$E1317,"#,##0.00")</f>
        <v>บ.สามัคคีเภสัช DM-251008161 26,000.00</v>
      </c>
      <c r="U1317" s="12"/>
    </row>
    <row r="1318" ht="13.5" customHeight="1">
      <c r="A1318" s="1"/>
      <c r="B1318" s="2">
        <v>45863.0</v>
      </c>
      <c r="C1318" s="9" t="s">
        <v>813</v>
      </c>
      <c r="D1318" s="1" t="s">
        <v>1857</v>
      </c>
      <c r="E1318" s="4">
        <v>10300.0</v>
      </c>
      <c r="F1318" s="4"/>
      <c r="G1318" s="4"/>
      <c r="H1318" s="4">
        <f>'data on outstanding creditors'!$E1318-'data on outstanding creditors'!$F1318-'data on outstanding creditors'!$G1318</f>
        <v>10300</v>
      </c>
      <c r="I1318" s="2"/>
      <c r="J1318" s="1" t="s">
        <v>757</v>
      </c>
      <c r="K1318" s="2">
        <v>45912.0</v>
      </c>
      <c r="L1318" s="5"/>
      <c r="M1318" s="9" t="s">
        <v>22</v>
      </c>
      <c r="N1318" s="9" t="s">
        <v>23</v>
      </c>
      <c r="O1318" s="10">
        <f>'data on outstanding creditors'!$E1318*100/107</f>
        <v>9626.168224</v>
      </c>
      <c r="P1318" s="10">
        <f>'data on outstanding creditors'!$E1318-'data on outstanding creditors'!$O1318</f>
        <v>673.8317757</v>
      </c>
      <c r="Q1318" s="7">
        <f>DAY('data on outstanding creditors'!$B1318)</f>
        <v>25</v>
      </c>
      <c r="R1318" s="7">
        <f>MONTH('data on outstanding creditors'!$B1318)</f>
        <v>7</v>
      </c>
      <c r="S1318" s="7">
        <f>YEAR('data on outstanding creditors'!$B1318)</f>
        <v>2025</v>
      </c>
      <c r="T1318" s="11" t="str">
        <f>'data on outstanding creditors'!$C1318&amp;" "&amp;'data on outstanding creditors'!$D1318&amp;" "&amp;TEXT('data on outstanding creditors'!$E1318,"#,##0.00")</f>
        <v>บ.ที.แมน ฟาร์มาซูติคอล IST250111108 10,300.00</v>
      </c>
      <c r="U1318" s="12"/>
    </row>
    <row r="1319" ht="13.5" customHeight="1">
      <c r="A1319" s="1"/>
      <c r="B1319" s="2">
        <v>45863.0</v>
      </c>
      <c r="C1319" s="9" t="s">
        <v>254</v>
      </c>
      <c r="D1319" s="1" t="s">
        <v>1858</v>
      </c>
      <c r="E1319" s="4">
        <v>27600.0</v>
      </c>
      <c r="F1319" s="4"/>
      <c r="G1319" s="4"/>
      <c r="H1319" s="4">
        <f>'data on outstanding creditors'!$E1319-'data on outstanding creditors'!$F1319-'data on outstanding creditors'!$G1319</f>
        <v>27600</v>
      </c>
      <c r="I1319" s="2"/>
      <c r="J1319" s="1" t="s">
        <v>757</v>
      </c>
      <c r="K1319" s="2">
        <v>45912.0</v>
      </c>
      <c r="L1319" s="5"/>
      <c r="M1319" s="9" t="s">
        <v>22</v>
      </c>
      <c r="N1319" s="9" t="s">
        <v>23</v>
      </c>
      <c r="O1319" s="10">
        <f>'data on outstanding creditors'!$E1319*100/107</f>
        <v>25794.39252</v>
      </c>
      <c r="P1319" s="10">
        <f>'data on outstanding creditors'!$E1319-'data on outstanding creditors'!$O1319</f>
        <v>1805.607477</v>
      </c>
      <c r="Q1319" s="7">
        <f>DAY('data on outstanding creditors'!$B1319)</f>
        <v>25</v>
      </c>
      <c r="R1319" s="7">
        <f>MONTH('data on outstanding creditors'!$B1319)</f>
        <v>7</v>
      </c>
      <c r="S1319" s="7">
        <f>YEAR('data on outstanding creditors'!$B1319)</f>
        <v>2025</v>
      </c>
      <c r="T1319" s="11" t="str">
        <f>'data on outstanding creditors'!$C1319&amp;" "&amp;'data on outstanding creditors'!$D1319&amp;" "&amp;TEXT('data on outstanding creditors'!$E1319,"#,##0.00")</f>
        <v>บ.แม็กซิม อินเตอร์คอร์ปอร์เรชั่น IV25071237 27,600.00</v>
      </c>
      <c r="U1319" s="12"/>
    </row>
    <row r="1320" ht="13.5" customHeight="1">
      <c r="A1320" s="1"/>
      <c r="B1320" s="2">
        <v>45863.0</v>
      </c>
      <c r="C1320" s="9" t="s">
        <v>399</v>
      </c>
      <c r="D1320" s="1" t="s">
        <v>1859</v>
      </c>
      <c r="E1320" s="4">
        <v>104325.0</v>
      </c>
      <c r="F1320" s="4"/>
      <c r="G1320" s="4"/>
      <c r="H1320" s="4">
        <f>'data on outstanding creditors'!$E1320-'data on outstanding creditors'!$F1320-'data on outstanding creditors'!$G1320</f>
        <v>104325</v>
      </c>
      <c r="I1320" s="2"/>
      <c r="J1320" s="1" t="s">
        <v>646</v>
      </c>
      <c r="K1320" s="2">
        <v>45943.0</v>
      </c>
      <c r="L1320" s="5"/>
      <c r="M1320" s="9" t="s">
        <v>22</v>
      </c>
      <c r="N1320" s="9" t="s">
        <v>23</v>
      </c>
      <c r="O1320" s="10">
        <f>'data on outstanding creditors'!$E1320*100/107</f>
        <v>97500</v>
      </c>
      <c r="P1320" s="10">
        <f>'data on outstanding creditors'!$E1320-'data on outstanding creditors'!$O1320</f>
        <v>6825</v>
      </c>
      <c r="Q1320" s="7">
        <f>DAY('data on outstanding creditors'!$B1320)</f>
        <v>25</v>
      </c>
      <c r="R1320" s="7">
        <f>MONTH('data on outstanding creditors'!$B1320)</f>
        <v>7</v>
      </c>
      <c r="S1320" s="7">
        <f>YEAR('data on outstanding creditors'!$B1320)</f>
        <v>2025</v>
      </c>
      <c r="T1320" s="11" t="str">
        <f>'data on outstanding creditors'!$C1320&amp;" "&amp;'data on outstanding creditors'!$D1320&amp;" "&amp;TEXT('data on outstanding creditors'!$E1320,"#,##0.00")</f>
        <v>บ.ดีเคเอสเอช(ประเทศไทย) 5344027217 104,325.00</v>
      </c>
      <c r="U1320" s="12"/>
    </row>
    <row r="1321" ht="13.5" customHeight="1">
      <c r="A1321" s="1"/>
      <c r="B1321" s="2">
        <v>45868.0</v>
      </c>
      <c r="C1321" s="9" t="s">
        <v>259</v>
      </c>
      <c r="D1321" s="1" t="s">
        <v>1860</v>
      </c>
      <c r="E1321" s="4">
        <v>3200.0</v>
      </c>
      <c r="F1321" s="4"/>
      <c r="G1321" s="4"/>
      <c r="H1321" s="4">
        <f>'data on outstanding creditors'!$E1321-'data on outstanding creditors'!$F1321-'data on outstanding creditors'!$G1321</f>
        <v>3200</v>
      </c>
      <c r="I1321" s="2"/>
      <c r="J1321" s="1" t="s">
        <v>757</v>
      </c>
      <c r="K1321" s="2">
        <v>45912.0</v>
      </c>
      <c r="L1321" s="5"/>
      <c r="M1321" s="9" t="s">
        <v>22</v>
      </c>
      <c r="N1321" s="9" t="s">
        <v>23</v>
      </c>
      <c r="O1321" s="10">
        <f>'data on outstanding creditors'!$E1321*100/107</f>
        <v>2990.654206</v>
      </c>
      <c r="P1321" s="10">
        <f>'data on outstanding creditors'!$E1321-'data on outstanding creditors'!$O1321</f>
        <v>209.3457944</v>
      </c>
      <c r="Q1321" s="7">
        <f>DAY('data on outstanding creditors'!$B1321)</f>
        <v>30</v>
      </c>
      <c r="R1321" s="7">
        <f>MONTH('data on outstanding creditors'!$B1321)</f>
        <v>7</v>
      </c>
      <c r="S1321" s="7">
        <f>YEAR('data on outstanding creditors'!$B1321)</f>
        <v>2025</v>
      </c>
      <c r="T1321" s="11" t="str">
        <f>'data on outstanding creditors'!$C1321&amp;" "&amp;'data on outstanding creditors'!$D1321&amp;" "&amp;TEXT('data on outstanding creditors'!$E1321,"#,##0.00")</f>
        <v>บ.ที.โอ.เคมีคอลส์(1979) T6806/12000 3,200.00</v>
      </c>
      <c r="U1321" s="12"/>
    </row>
    <row r="1322" ht="13.5" customHeight="1">
      <c r="A1322" s="1"/>
      <c r="B1322" s="2">
        <v>45868.0</v>
      </c>
      <c r="C1322" s="9" t="s">
        <v>259</v>
      </c>
      <c r="D1322" s="1" t="s">
        <v>1861</v>
      </c>
      <c r="E1322" s="4">
        <v>2000.0</v>
      </c>
      <c r="F1322" s="4"/>
      <c r="G1322" s="4"/>
      <c r="H1322" s="4">
        <f>'data on outstanding creditors'!$E1322-'data on outstanding creditors'!$F1322-'data on outstanding creditors'!$G1322</f>
        <v>2000</v>
      </c>
      <c r="I1322" s="2"/>
      <c r="J1322" s="1" t="s">
        <v>757</v>
      </c>
      <c r="K1322" s="2">
        <v>45912.0</v>
      </c>
      <c r="L1322" s="5"/>
      <c r="M1322" s="9" t="s">
        <v>22</v>
      </c>
      <c r="N1322" s="9" t="s">
        <v>23</v>
      </c>
      <c r="O1322" s="10">
        <f>'data on outstanding creditors'!$E1322*100/107</f>
        <v>1869.158879</v>
      </c>
      <c r="P1322" s="10">
        <f>'data on outstanding creditors'!$E1322-'data on outstanding creditors'!$O1322</f>
        <v>130.8411215</v>
      </c>
      <c r="Q1322" s="7">
        <f>DAY('data on outstanding creditors'!$B1322)</f>
        <v>30</v>
      </c>
      <c r="R1322" s="7">
        <f>MONTH('data on outstanding creditors'!$B1322)</f>
        <v>7</v>
      </c>
      <c r="S1322" s="7">
        <f>YEAR('data on outstanding creditors'!$B1322)</f>
        <v>2025</v>
      </c>
      <c r="T1322" s="11" t="str">
        <f>'data on outstanding creditors'!$C1322&amp;" "&amp;'data on outstanding creditors'!$D1322&amp;" "&amp;TEXT('data on outstanding creditors'!$E1322,"#,##0.00")</f>
        <v>บ.ที.โอ.เคมีคอลส์(1979) T6807/11584 2,000.00</v>
      </c>
      <c r="U1322" s="12"/>
    </row>
    <row r="1323" ht="13.5" customHeight="1">
      <c r="A1323" s="1"/>
      <c r="B1323" s="2">
        <v>45868.0</v>
      </c>
      <c r="C1323" s="9" t="s">
        <v>1414</v>
      </c>
      <c r="D1323" s="1" t="s">
        <v>1862</v>
      </c>
      <c r="E1323" s="4">
        <v>25000.0</v>
      </c>
      <c r="F1323" s="4"/>
      <c r="G1323" s="4"/>
      <c r="H1323" s="4">
        <f>'data on outstanding creditors'!$E1323-'data on outstanding creditors'!$F1323-'data on outstanding creditors'!$G1323</f>
        <v>25000</v>
      </c>
      <c r="I1323" s="2"/>
      <c r="J1323" s="1" t="s">
        <v>757</v>
      </c>
      <c r="K1323" s="2">
        <v>45912.0</v>
      </c>
      <c r="L1323" s="5"/>
      <c r="M1323" s="9" t="s">
        <v>22</v>
      </c>
      <c r="N1323" s="9" t="s">
        <v>23</v>
      </c>
      <c r="O1323" s="10">
        <f>'data on outstanding creditors'!$E1323*100/107</f>
        <v>23364.48598</v>
      </c>
      <c r="P1323" s="10">
        <f>'data on outstanding creditors'!$E1323-'data on outstanding creditors'!$O1323</f>
        <v>1635.514019</v>
      </c>
      <c r="Q1323" s="7">
        <f>DAY('data on outstanding creditors'!$B1323)</f>
        <v>30</v>
      </c>
      <c r="R1323" s="7">
        <f>MONTH('data on outstanding creditors'!$B1323)</f>
        <v>7</v>
      </c>
      <c r="S1323" s="7">
        <f>YEAR('data on outstanding creditors'!$B1323)</f>
        <v>2025</v>
      </c>
      <c r="T1323" s="11" t="str">
        <f>'data on outstanding creditors'!$C1323&amp;" "&amp;'data on outstanding creditors'!$D1323&amp;" "&amp;TEXT('data on outstanding creditors'!$E1323,"#,##0.00")</f>
        <v>บ.ฟาร์มีน่า 68386466 25,000.00</v>
      </c>
      <c r="U1323" s="12"/>
    </row>
    <row r="1324" ht="13.5" customHeight="1">
      <c r="A1324" s="1"/>
      <c r="B1324" s="2">
        <v>45868.0</v>
      </c>
      <c r="C1324" s="9" t="s">
        <v>1469</v>
      </c>
      <c r="D1324" s="1" t="s">
        <v>1863</v>
      </c>
      <c r="E1324" s="4">
        <v>27520.4</v>
      </c>
      <c r="F1324" s="4"/>
      <c r="G1324" s="4"/>
      <c r="H1324" s="4">
        <f>'data on outstanding creditors'!$E1324-'data on outstanding creditors'!$F1324-'data on outstanding creditors'!$G1324</f>
        <v>27520.4</v>
      </c>
      <c r="I1324" s="2"/>
      <c r="J1324" s="1" t="s">
        <v>757</v>
      </c>
      <c r="K1324" s="2">
        <v>45901.0</v>
      </c>
      <c r="L1324" s="5"/>
      <c r="M1324" s="9" t="s">
        <v>22</v>
      </c>
      <c r="N1324" s="9" t="s">
        <v>23</v>
      </c>
      <c r="O1324" s="10">
        <f>'data on outstanding creditors'!$E1324*100/107</f>
        <v>25720</v>
      </c>
      <c r="P1324" s="10">
        <f>'data on outstanding creditors'!$E1324-'data on outstanding creditors'!$O1324</f>
        <v>1800.4</v>
      </c>
      <c r="Q1324" s="7">
        <f>DAY('data on outstanding creditors'!$B1324)</f>
        <v>30</v>
      </c>
      <c r="R1324" s="7">
        <f>MONTH('data on outstanding creditors'!$B1324)</f>
        <v>7</v>
      </c>
      <c r="S1324" s="7">
        <f>YEAR('data on outstanding creditors'!$B1324)</f>
        <v>2025</v>
      </c>
      <c r="T1324" s="11" t="str">
        <f>'data on outstanding creditors'!$C1324&amp;" "&amp;'data on outstanding creditors'!$D1324&amp;" "&amp;TEXT('data on outstanding creditors'!$E1324,"#,##0.00")</f>
        <v>บ.สยามฟาร์มาซูติคอล 1250710667 27,520.40</v>
      </c>
      <c r="U1324" s="12"/>
    </row>
    <row r="1325" ht="13.5" customHeight="1">
      <c r="A1325" s="1"/>
      <c r="B1325" s="2">
        <v>45868.0</v>
      </c>
      <c r="C1325" s="9" t="s">
        <v>1371</v>
      </c>
      <c r="D1325" s="1" t="s">
        <v>1864</v>
      </c>
      <c r="E1325" s="4">
        <v>14700.0</v>
      </c>
      <c r="F1325" s="4"/>
      <c r="G1325" s="4"/>
      <c r="H1325" s="4">
        <f>'data on outstanding creditors'!$E1325-'data on outstanding creditors'!$F1325-'data on outstanding creditors'!$G1325</f>
        <v>14700</v>
      </c>
      <c r="I1325" s="2"/>
      <c r="J1325" s="1" t="s">
        <v>646</v>
      </c>
      <c r="K1325" s="2">
        <v>45928.0</v>
      </c>
      <c r="L1325" s="5"/>
      <c r="M1325" s="9" t="s">
        <v>22</v>
      </c>
      <c r="N1325" s="9" t="s">
        <v>23</v>
      </c>
      <c r="O1325" s="10">
        <f>'data on outstanding creditors'!$E1325*100/107</f>
        <v>13738.31776</v>
      </c>
      <c r="P1325" s="10">
        <f>'data on outstanding creditors'!$E1325-'data on outstanding creditors'!$O1325</f>
        <v>961.682243</v>
      </c>
      <c r="Q1325" s="7">
        <f>DAY('data on outstanding creditors'!$B1325)</f>
        <v>30</v>
      </c>
      <c r="R1325" s="7">
        <f>MONTH('data on outstanding creditors'!$B1325)</f>
        <v>7</v>
      </c>
      <c r="S1325" s="7">
        <f>YEAR('data on outstanding creditors'!$B1325)</f>
        <v>2025</v>
      </c>
      <c r="T1325" s="11" t="str">
        <f>'data on outstanding creditors'!$C1325&amp;" "&amp;'data on outstanding creditors'!$D1325&amp;" "&amp;TEXT('data on outstanding creditors'!$E1325,"#,##0.00")</f>
        <v>บ.แอตแลนต้า เมดดิคแคร์ BU/225070744 14,700.00</v>
      </c>
      <c r="U1325" s="12"/>
    </row>
    <row r="1326" ht="13.5" customHeight="1">
      <c r="A1326" s="1"/>
      <c r="B1326" s="2">
        <v>45868.0</v>
      </c>
      <c r="C1326" s="9" t="s">
        <v>1766</v>
      </c>
      <c r="D1326" s="1" t="s">
        <v>1865</v>
      </c>
      <c r="E1326" s="4">
        <v>45000.0</v>
      </c>
      <c r="F1326" s="4"/>
      <c r="G1326" s="4"/>
      <c r="H1326" s="4">
        <f>'data on outstanding creditors'!$E1326-'data on outstanding creditors'!$F1326-'data on outstanding creditors'!$G1326</f>
        <v>45000</v>
      </c>
      <c r="I1326" s="2"/>
      <c r="J1326" s="1" t="s">
        <v>646</v>
      </c>
      <c r="K1326" s="2">
        <v>45902.0</v>
      </c>
      <c r="L1326" s="5"/>
      <c r="M1326" s="9" t="s">
        <v>22</v>
      </c>
      <c r="N1326" s="9" t="s">
        <v>23</v>
      </c>
      <c r="O1326" s="10">
        <f>'data on outstanding creditors'!$E1326*100/107</f>
        <v>42056.07477</v>
      </c>
      <c r="P1326" s="10">
        <f>'data on outstanding creditors'!$E1326-'data on outstanding creditors'!$O1326</f>
        <v>2943.925234</v>
      </c>
      <c r="Q1326" s="7">
        <f>DAY('data on outstanding creditors'!$B1326)</f>
        <v>30</v>
      </c>
      <c r="R1326" s="7">
        <f>MONTH('data on outstanding creditors'!$B1326)</f>
        <v>7</v>
      </c>
      <c r="S1326" s="7">
        <f>YEAR('data on outstanding creditors'!$B1326)</f>
        <v>2025</v>
      </c>
      <c r="T1326" s="11" t="str">
        <f>'data on outstanding creditors'!$C1326&amp;" "&amp;'data on outstanding creditors'!$D1326&amp;" "&amp;TEXT('data on outstanding creditors'!$E1326,"#,##0.00")</f>
        <v>สำนักงานคณะกรรมการอาหารและยา ช.68/17698 45,000.00</v>
      </c>
      <c r="U1326" s="12"/>
    </row>
    <row r="1327" ht="13.5" customHeight="1">
      <c r="A1327" s="1"/>
      <c r="B1327" s="2">
        <v>45868.0</v>
      </c>
      <c r="C1327" s="9" t="s">
        <v>396</v>
      </c>
      <c r="D1327" s="1" t="s">
        <v>1866</v>
      </c>
      <c r="E1327" s="4">
        <v>44000.0</v>
      </c>
      <c r="F1327" s="4"/>
      <c r="G1327" s="4"/>
      <c r="H1327" s="4">
        <f>'data on outstanding creditors'!$E1327-'data on outstanding creditors'!$F1327-'data on outstanding creditors'!$G1327</f>
        <v>44000</v>
      </c>
      <c r="I1327" s="2"/>
      <c r="J1327" s="1" t="s">
        <v>757</v>
      </c>
      <c r="K1327" s="2">
        <v>45901.0</v>
      </c>
      <c r="L1327" s="5"/>
      <c r="M1327" s="9" t="s">
        <v>22</v>
      </c>
      <c r="N1327" s="9" t="s">
        <v>23</v>
      </c>
      <c r="O1327" s="10">
        <f>'data on outstanding creditors'!$E1327*100/107</f>
        <v>41121.49533</v>
      </c>
      <c r="P1327" s="10">
        <f>'data on outstanding creditors'!$E1327-'data on outstanding creditors'!$O1327</f>
        <v>2878.504673</v>
      </c>
      <c r="Q1327" s="7">
        <f>DAY('data on outstanding creditors'!$B1327)</f>
        <v>30</v>
      </c>
      <c r="R1327" s="7">
        <f>MONTH('data on outstanding creditors'!$B1327)</f>
        <v>7</v>
      </c>
      <c r="S1327" s="7">
        <f>YEAR('data on outstanding creditors'!$B1327)</f>
        <v>2025</v>
      </c>
      <c r="T1327" s="11" t="str">
        <f>'data on outstanding creditors'!$C1327&amp;" "&amp;'data on outstanding creditors'!$D1327&amp;" "&amp;TEXT('data on outstanding creditors'!$E1327,"#,##0.00")</f>
        <v>บ.เยเนอรัล ฮอสปิตัล โปรดัคส์ 25IN08073728 44,000.00</v>
      </c>
      <c r="U1327" s="12"/>
    </row>
    <row r="1328" ht="13.5" customHeight="1">
      <c r="A1328" s="1"/>
      <c r="B1328" s="2">
        <v>45868.0</v>
      </c>
      <c r="C1328" s="9" t="s">
        <v>780</v>
      </c>
      <c r="D1328" s="1" t="s">
        <v>1867</v>
      </c>
      <c r="E1328" s="4">
        <v>85065.0</v>
      </c>
      <c r="F1328" s="4"/>
      <c r="G1328" s="4"/>
      <c r="H1328" s="4">
        <f>'data on outstanding creditors'!$E1328-'data on outstanding creditors'!$F1328-'data on outstanding creditors'!$G1328</f>
        <v>85065</v>
      </c>
      <c r="I1328" s="2"/>
      <c r="J1328" s="1" t="s">
        <v>646</v>
      </c>
      <c r="K1328" s="2">
        <v>45928.0</v>
      </c>
      <c r="L1328" s="5"/>
      <c r="M1328" s="9" t="s">
        <v>22</v>
      </c>
      <c r="N1328" s="9" t="s">
        <v>23</v>
      </c>
      <c r="O1328" s="10">
        <f>'data on outstanding creditors'!$E1328*100/107</f>
        <v>79500</v>
      </c>
      <c r="P1328" s="10">
        <f>'data on outstanding creditors'!$E1328-'data on outstanding creditors'!$O1328</f>
        <v>5565</v>
      </c>
      <c r="Q1328" s="7">
        <f>DAY('data on outstanding creditors'!$B1328)</f>
        <v>30</v>
      </c>
      <c r="R1328" s="7">
        <f>MONTH('data on outstanding creditors'!$B1328)</f>
        <v>7</v>
      </c>
      <c r="S1328" s="7">
        <f>YEAR('data on outstanding creditors'!$B1328)</f>
        <v>2025</v>
      </c>
      <c r="T1328" s="11" t="str">
        <f>'data on outstanding creditors'!$C1328&amp;" "&amp;'data on outstanding creditors'!$D1328&amp;" "&amp;TEXT('data on outstanding creditors'!$E1328,"#,##0.00")</f>
        <v>บ.แคสป้า ฟาร์มาซูติคอล(ประเทศไทย) C68070488 85,065.00</v>
      </c>
      <c r="U1328" s="12"/>
    </row>
    <row r="1329" ht="13.5" customHeight="1">
      <c r="A1329" s="1"/>
      <c r="B1329" s="2">
        <v>45868.0</v>
      </c>
      <c r="C1329" s="9" t="s">
        <v>965</v>
      </c>
      <c r="D1329" s="1" t="s">
        <v>1868</v>
      </c>
      <c r="E1329" s="4">
        <v>39998.32</v>
      </c>
      <c r="F1329" s="4"/>
      <c r="G1329" s="4"/>
      <c r="H1329" s="4">
        <f>'data on outstanding creditors'!$E1329-'data on outstanding creditors'!$F1329-'data on outstanding creditors'!$G1329</f>
        <v>39998.32</v>
      </c>
      <c r="I1329" s="2"/>
      <c r="J1329" s="1" t="s">
        <v>646</v>
      </c>
      <c r="K1329" s="2">
        <v>45944.0</v>
      </c>
      <c r="L1329" s="5"/>
      <c r="M1329" s="9" t="s">
        <v>22</v>
      </c>
      <c r="N1329" s="9" t="s">
        <v>23</v>
      </c>
      <c r="O1329" s="10">
        <f>'data on outstanding creditors'!$E1329*100/107</f>
        <v>37381.60748</v>
      </c>
      <c r="P1329" s="10">
        <f>'data on outstanding creditors'!$E1329-'data on outstanding creditors'!$O1329</f>
        <v>2616.712523</v>
      </c>
      <c r="Q1329" s="7">
        <f>DAY('data on outstanding creditors'!$B1329)</f>
        <v>30</v>
      </c>
      <c r="R1329" s="7">
        <f>MONTH('data on outstanding creditors'!$B1329)</f>
        <v>7</v>
      </c>
      <c r="S1329" s="7">
        <f>YEAR('data on outstanding creditors'!$B1329)</f>
        <v>2025</v>
      </c>
      <c r="T1329" s="11" t="str">
        <f>'data on outstanding creditors'!$C1329&amp;" "&amp;'data on outstanding creditors'!$D1329&amp;" "&amp;TEXT('data on outstanding creditors'!$E1329,"#,##0.00")</f>
        <v>บ.แปซิฟิค เฮลธ์แคร์(ไทยแลนด์) 68036721 39,998.32</v>
      </c>
      <c r="U1329" s="12"/>
    </row>
    <row r="1330" ht="13.5" customHeight="1">
      <c r="A1330" s="1"/>
      <c r="B1330" s="2">
        <v>45868.0</v>
      </c>
      <c r="C1330" s="9" t="s">
        <v>1650</v>
      </c>
      <c r="D1330" s="1" t="s">
        <v>1869</v>
      </c>
      <c r="E1330" s="4">
        <v>115560.0</v>
      </c>
      <c r="F1330" s="4"/>
      <c r="G1330" s="4"/>
      <c r="H1330" s="4">
        <f>'data on outstanding creditors'!$E1330-'data on outstanding creditors'!$F1330-'data on outstanding creditors'!$G1330</f>
        <v>115560</v>
      </c>
      <c r="I1330" s="2"/>
      <c r="J1330" s="1" t="s">
        <v>757</v>
      </c>
      <c r="K1330" s="2">
        <v>45938.0</v>
      </c>
      <c r="L1330" s="5"/>
      <c r="M1330" s="9" t="s">
        <v>22</v>
      </c>
      <c r="N1330" s="9" t="s">
        <v>23</v>
      </c>
      <c r="O1330" s="10">
        <f>'data on outstanding creditors'!$E1330*100/107</f>
        <v>108000</v>
      </c>
      <c r="P1330" s="10">
        <f>'data on outstanding creditors'!$E1330-'data on outstanding creditors'!$O1330</f>
        <v>7560</v>
      </c>
      <c r="Q1330" s="7">
        <f>DAY('data on outstanding creditors'!$B1330)</f>
        <v>30</v>
      </c>
      <c r="R1330" s="7">
        <f>MONTH('data on outstanding creditors'!$B1330)</f>
        <v>7</v>
      </c>
      <c r="S1330" s="7">
        <f>YEAR('data on outstanding creditors'!$B1330)</f>
        <v>2025</v>
      </c>
      <c r="T1330" s="11" t="str">
        <f>'data on outstanding creditors'!$C1330&amp;" "&amp;'data on outstanding creditors'!$D1330&amp;" "&amp;TEXT('data on outstanding creditors'!$E1330,"#,##0.00")</f>
        <v>บ.พีทูพีเฮลธ์แคร์ 7401210508 115,560.00</v>
      </c>
      <c r="U1330" s="12"/>
    </row>
    <row r="1331" ht="13.5" customHeight="1">
      <c r="A1331" s="1"/>
      <c r="B1331" s="2">
        <v>45869.0</v>
      </c>
      <c r="C1331" s="9" t="s">
        <v>520</v>
      </c>
      <c r="D1331" s="1" t="s">
        <v>1870</v>
      </c>
      <c r="E1331" s="4">
        <v>417300.0</v>
      </c>
      <c r="F1331" s="4"/>
      <c r="G1331" s="4"/>
      <c r="H1331" s="4">
        <f>'data on outstanding creditors'!$E1331-'data on outstanding creditors'!$F1331-'data on outstanding creditors'!$G1331</f>
        <v>417300</v>
      </c>
      <c r="I1331" s="2"/>
      <c r="J1331" s="1" t="s">
        <v>757</v>
      </c>
      <c r="K1331" s="2">
        <v>45943.0</v>
      </c>
      <c r="L1331" s="5"/>
      <c r="M1331" s="9" t="s">
        <v>22</v>
      </c>
      <c r="N1331" s="9" t="s">
        <v>23</v>
      </c>
      <c r="O1331" s="10">
        <f>'data on outstanding creditors'!$E1331*100/107</f>
        <v>390000</v>
      </c>
      <c r="P1331" s="10">
        <f>'data on outstanding creditors'!$E1331-'data on outstanding creditors'!$O1331</f>
        <v>27300</v>
      </c>
      <c r="Q1331" s="7">
        <f>DAY('data on outstanding creditors'!$B1331)</f>
        <v>31</v>
      </c>
      <c r="R1331" s="7">
        <f>MONTH('data on outstanding creditors'!$B1331)</f>
        <v>7</v>
      </c>
      <c r="S1331" s="7">
        <f>YEAR('data on outstanding creditors'!$B1331)</f>
        <v>2025</v>
      </c>
      <c r="T1331" s="11" t="str">
        <f>'data on outstanding creditors'!$C1331&amp;" "&amp;'data on outstanding creditors'!$D1331&amp;" "&amp;TEXT('data on outstanding creditors'!$E1331,"#,##0.00")</f>
        <v>บ.ซิลลิคฟาร์มา 1317740609 417,300.00</v>
      </c>
      <c r="U1331" s="12"/>
    </row>
    <row r="1332" ht="13.5" customHeight="1">
      <c r="A1332" s="1"/>
      <c r="B1332" s="2">
        <v>45869.0</v>
      </c>
      <c r="C1332" s="9" t="s">
        <v>399</v>
      </c>
      <c r="D1332" s="1" t="s">
        <v>1871</v>
      </c>
      <c r="E1332" s="4">
        <v>7383.0</v>
      </c>
      <c r="F1332" s="4"/>
      <c r="G1332" s="4"/>
      <c r="H1332" s="4">
        <f>'data on outstanding creditors'!$E1332-'data on outstanding creditors'!$F1332-'data on outstanding creditors'!$G1332</f>
        <v>7383</v>
      </c>
      <c r="I1332" s="2"/>
      <c r="J1332" s="1" t="s">
        <v>646</v>
      </c>
      <c r="K1332" s="2">
        <v>45943.0</v>
      </c>
      <c r="L1332" s="5"/>
      <c r="M1332" s="9" t="s">
        <v>22</v>
      </c>
      <c r="N1332" s="9" t="s">
        <v>23</v>
      </c>
      <c r="O1332" s="10">
        <f>'data on outstanding creditors'!$E1332*100/107</f>
        <v>6900</v>
      </c>
      <c r="P1332" s="10">
        <f>'data on outstanding creditors'!$E1332-'data on outstanding creditors'!$O1332</f>
        <v>483</v>
      </c>
      <c r="Q1332" s="7">
        <f>DAY('data on outstanding creditors'!$B1332)</f>
        <v>31</v>
      </c>
      <c r="R1332" s="7">
        <f>MONTH('data on outstanding creditors'!$B1332)</f>
        <v>7</v>
      </c>
      <c r="S1332" s="7">
        <f>YEAR('data on outstanding creditors'!$B1332)</f>
        <v>2025</v>
      </c>
      <c r="T1332" s="11" t="str">
        <f>'data on outstanding creditors'!$C1332&amp;" "&amp;'data on outstanding creditors'!$D1332&amp;" "&amp;TEXT('data on outstanding creditors'!$E1332,"#,##0.00")</f>
        <v>บ.ดีเคเอสเอช(ประเทศไทย) 5344042733 7,383.00</v>
      </c>
      <c r="U1332" s="12"/>
    </row>
    <row r="1333" ht="13.5" customHeight="1">
      <c r="A1333" s="1"/>
      <c r="B1333" s="2">
        <v>45869.0</v>
      </c>
      <c r="C1333" s="9" t="s">
        <v>1391</v>
      </c>
      <c r="D1333" s="1" t="s">
        <v>1872</v>
      </c>
      <c r="E1333" s="4">
        <v>5750.0</v>
      </c>
      <c r="F1333" s="4"/>
      <c r="G1333" s="4"/>
      <c r="H1333" s="4">
        <f>'data on outstanding creditors'!$E1333-'data on outstanding creditors'!$F1333-'data on outstanding creditors'!$G1333</f>
        <v>5750</v>
      </c>
      <c r="I1333" s="2"/>
      <c r="J1333" s="1" t="s">
        <v>757</v>
      </c>
      <c r="K1333" s="2">
        <v>45912.0</v>
      </c>
      <c r="L1333" s="5"/>
      <c r="M1333" s="9" t="s">
        <v>22</v>
      </c>
      <c r="N1333" s="9" t="s">
        <v>23</v>
      </c>
      <c r="O1333" s="10">
        <f>'data on outstanding creditors'!$E1333*100/107</f>
        <v>5373.831776</v>
      </c>
      <c r="P1333" s="10">
        <f>'data on outstanding creditors'!$E1333-'data on outstanding creditors'!$O1333</f>
        <v>376.1682243</v>
      </c>
      <c r="Q1333" s="7">
        <f>DAY('data on outstanding creditors'!$B1333)</f>
        <v>31</v>
      </c>
      <c r="R1333" s="7">
        <f>MONTH('data on outstanding creditors'!$B1333)</f>
        <v>7</v>
      </c>
      <c r="S1333" s="7">
        <f>YEAR('data on outstanding creditors'!$B1333)</f>
        <v>2025</v>
      </c>
      <c r="T1333" s="11" t="str">
        <f>'data on outstanding creditors'!$C1333&amp;" "&amp;'data on outstanding creditors'!$D1333&amp;" "&amp;TEXT('data on outstanding creditors'!$E1333,"#,##0.00")</f>
        <v>บ.ที.พี.ดรัก แลบบอราทอรี่ส์ VIV125072301 5,750.00</v>
      </c>
      <c r="U1333" s="12"/>
    </row>
    <row r="1334" ht="13.5" customHeight="1">
      <c r="A1334" s="1"/>
      <c r="B1334" s="2">
        <v>45869.0</v>
      </c>
      <c r="C1334" s="9" t="s">
        <v>771</v>
      </c>
      <c r="D1334" s="1" t="s">
        <v>1873</v>
      </c>
      <c r="E1334" s="4">
        <v>73440.0</v>
      </c>
      <c r="F1334" s="4"/>
      <c r="G1334" s="4"/>
      <c r="H1334" s="4">
        <f>'data on outstanding creditors'!$E1334-'data on outstanding creditors'!$F1334-'data on outstanding creditors'!$G1334</f>
        <v>73440</v>
      </c>
      <c r="I1334" s="2"/>
      <c r="J1334" s="1" t="s">
        <v>757</v>
      </c>
      <c r="K1334" s="2">
        <v>45912.0</v>
      </c>
      <c r="L1334" s="5"/>
      <c r="M1334" s="9" t="s">
        <v>22</v>
      </c>
      <c r="N1334" s="9" t="s">
        <v>23</v>
      </c>
      <c r="O1334" s="10">
        <f>'data on outstanding creditors'!$E1334*100/107</f>
        <v>68635.51402</v>
      </c>
      <c r="P1334" s="10">
        <f>'data on outstanding creditors'!$E1334-'data on outstanding creditors'!$O1334</f>
        <v>4804.485981</v>
      </c>
      <c r="Q1334" s="7">
        <f>DAY('data on outstanding creditors'!$B1334)</f>
        <v>31</v>
      </c>
      <c r="R1334" s="7">
        <f>MONTH('data on outstanding creditors'!$B1334)</f>
        <v>7</v>
      </c>
      <c r="S1334" s="7">
        <f>YEAR('data on outstanding creditors'!$B1334)</f>
        <v>2025</v>
      </c>
      <c r="T1334" s="11" t="str">
        <f>'data on outstanding creditors'!$C1334&amp;" "&amp;'data on outstanding creditors'!$D1334&amp;" "&amp;TEXT('data on outstanding creditors'!$E1334,"#,##0.00")</f>
        <v>หจก.ภิญโญฟาร์มาซี IV6838716 73,440.00</v>
      </c>
      <c r="U1334" s="12"/>
    </row>
    <row r="1335" ht="13.5" customHeight="1">
      <c r="A1335" s="1"/>
      <c r="B1335" s="2">
        <v>45869.0</v>
      </c>
      <c r="C1335" s="9" t="s">
        <v>1766</v>
      </c>
      <c r="D1335" s="1" t="s">
        <v>1874</v>
      </c>
      <c r="E1335" s="4">
        <v>72000.0</v>
      </c>
      <c r="F1335" s="4"/>
      <c r="G1335" s="4"/>
      <c r="H1335" s="4">
        <f>'data on outstanding creditors'!$E1335-'data on outstanding creditors'!$F1335-'data on outstanding creditors'!$G1335</f>
        <v>72000</v>
      </c>
      <c r="I1335" s="2"/>
      <c r="J1335" s="1" t="s">
        <v>646</v>
      </c>
      <c r="K1335" s="2">
        <v>45915.0</v>
      </c>
      <c r="L1335" s="5"/>
      <c r="M1335" s="9" t="s">
        <v>22</v>
      </c>
      <c r="N1335" s="9" t="s">
        <v>23</v>
      </c>
      <c r="O1335" s="10">
        <f>'data on outstanding creditors'!$E1335*100/107</f>
        <v>67289.71963</v>
      </c>
      <c r="P1335" s="10">
        <f>'data on outstanding creditors'!$E1335-'data on outstanding creditors'!$O1335</f>
        <v>4710.280374</v>
      </c>
      <c r="Q1335" s="7">
        <f>DAY('data on outstanding creditors'!$B1335)</f>
        <v>31</v>
      </c>
      <c r="R1335" s="7">
        <f>MONTH('data on outstanding creditors'!$B1335)</f>
        <v>7</v>
      </c>
      <c r="S1335" s="7">
        <f>YEAR('data on outstanding creditors'!$B1335)</f>
        <v>2025</v>
      </c>
      <c r="T1335" s="11" t="str">
        <f>'data on outstanding creditors'!$C1335&amp;" "&amp;'data on outstanding creditors'!$D1335&amp;" "&amp;TEXT('data on outstanding creditors'!$E1335,"#,##0.00")</f>
        <v>สำนักงานคณะกรรมการอาหารและยา ช.68/18097 72,000.00</v>
      </c>
      <c r="U1335" s="12"/>
    </row>
    <row r="1336" ht="13.5" customHeight="1">
      <c r="A1336" s="1"/>
      <c r="B1336" s="2">
        <v>45869.0</v>
      </c>
      <c r="C1336" s="9" t="s">
        <v>1530</v>
      </c>
      <c r="D1336" s="1" t="s">
        <v>1875</v>
      </c>
      <c r="E1336" s="4">
        <v>7200.0</v>
      </c>
      <c r="F1336" s="4"/>
      <c r="G1336" s="4"/>
      <c r="H1336" s="4">
        <f>'data on outstanding creditors'!$E1336-'data on outstanding creditors'!$F1336-'data on outstanding creditors'!$G1336</f>
        <v>7200</v>
      </c>
      <c r="I1336" s="2"/>
      <c r="J1336" s="1" t="s">
        <v>646</v>
      </c>
      <c r="K1336" s="2">
        <v>45928.0</v>
      </c>
      <c r="L1336" s="5"/>
      <c r="M1336" s="9" t="s">
        <v>22</v>
      </c>
      <c r="N1336" s="9" t="s">
        <v>23</v>
      </c>
      <c r="O1336" s="10">
        <f>'data on outstanding creditors'!$E1336*100/107</f>
        <v>6728.971963</v>
      </c>
      <c r="P1336" s="10">
        <f>'data on outstanding creditors'!$E1336-'data on outstanding creditors'!$O1336</f>
        <v>471.0280374</v>
      </c>
      <c r="Q1336" s="7">
        <f>DAY('data on outstanding creditors'!$B1336)</f>
        <v>31</v>
      </c>
      <c r="R1336" s="7">
        <f>MONTH('data on outstanding creditors'!$B1336)</f>
        <v>7</v>
      </c>
      <c r="S1336" s="7">
        <f>YEAR('data on outstanding creditors'!$B1336)</f>
        <v>2025</v>
      </c>
      <c r="T1336" s="11" t="str">
        <f>'data on outstanding creditors'!$C1336&amp;" "&amp;'data on outstanding creditors'!$D1336&amp;" "&amp;TEXT('data on outstanding creditors'!$E1336,"#,##0.00")</f>
        <v>บ.แสงไทยเมดิคอล S-07-0465/68 7,200.00</v>
      </c>
      <c r="U1336" s="12"/>
    </row>
    <row r="1337" ht="13.5" customHeight="1">
      <c r="A1337" s="1"/>
      <c r="B1337" s="2">
        <v>45869.0</v>
      </c>
      <c r="C1337" s="9" t="s">
        <v>399</v>
      </c>
      <c r="D1337" s="1" t="s">
        <v>1876</v>
      </c>
      <c r="E1337" s="4">
        <v>50400.0</v>
      </c>
      <c r="F1337" s="4"/>
      <c r="G1337" s="4"/>
      <c r="H1337" s="4">
        <f>'data on outstanding creditors'!$E1337-'data on outstanding creditors'!$F1337-'data on outstanding creditors'!$G1337</f>
        <v>50400</v>
      </c>
      <c r="I1337" s="2"/>
      <c r="J1337" s="1" t="s">
        <v>646</v>
      </c>
      <c r="K1337" s="2">
        <v>45943.0</v>
      </c>
      <c r="L1337" s="5"/>
      <c r="M1337" s="9" t="s">
        <v>22</v>
      </c>
      <c r="N1337" s="9" t="s">
        <v>23</v>
      </c>
      <c r="O1337" s="10">
        <f>'data on outstanding creditors'!$E1337*100/107</f>
        <v>47102.80374</v>
      </c>
      <c r="P1337" s="10">
        <f>'data on outstanding creditors'!$E1337-'data on outstanding creditors'!$O1337</f>
        <v>3297.196262</v>
      </c>
      <c r="Q1337" s="7">
        <f>DAY('data on outstanding creditors'!$B1337)</f>
        <v>31</v>
      </c>
      <c r="R1337" s="7">
        <f>MONTH('data on outstanding creditors'!$B1337)</f>
        <v>7</v>
      </c>
      <c r="S1337" s="7">
        <f>YEAR('data on outstanding creditors'!$B1337)</f>
        <v>2025</v>
      </c>
      <c r="T1337" s="11" t="str">
        <f>'data on outstanding creditors'!$C1337&amp;" "&amp;'data on outstanding creditors'!$D1337&amp;" "&amp;TEXT('data on outstanding creditors'!$E1337,"#,##0.00")</f>
        <v>บ.ดีเคเอสเอช(ประเทศไทย) 5344066165 50,400.00</v>
      </c>
      <c r="U1337" s="12"/>
    </row>
    <row r="1338" ht="13.5" customHeight="1">
      <c r="A1338" s="1"/>
      <c r="B1338" s="2">
        <v>45874.0</v>
      </c>
      <c r="C1338" s="9" t="s">
        <v>24</v>
      </c>
      <c r="D1338" s="1" t="s">
        <v>1877</v>
      </c>
      <c r="E1338" s="4">
        <v>55000.0</v>
      </c>
      <c r="F1338" s="4"/>
      <c r="G1338" s="4"/>
      <c r="H1338" s="4">
        <f>'data on outstanding creditors'!$E1338-'data on outstanding creditors'!$F1338-'data on outstanding creditors'!$G1338</f>
        <v>55000</v>
      </c>
      <c r="I1338" s="2"/>
      <c r="J1338" s="1" t="s">
        <v>646</v>
      </c>
      <c r="K1338" s="2">
        <v>45944.0</v>
      </c>
      <c r="L1338" s="5"/>
      <c r="M1338" s="9" t="s">
        <v>22</v>
      </c>
      <c r="N1338" s="9" t="s">
        <v>23</v>
      </c>
      <c r="O1338" s="10">
        <f>'data on outstanding creditors'!$E1338*100/107</f>
        <v>51401.86916</v>
      </c>
      <c r="P1338" s="10">
        <f>'data on outstanding creditors'!$E1338-'data on outstanding creditors'!$O1338</f>
        <v>3598.130841</v>
      </c>
      <c r="Q1338" s="7">
        <f>DAY('data on outstanding creditors'!$B1338)</f>
        <v>5</v>
      </c>
      <c r="R1338" s="7">
        <f>MONTH('data on outstanding creditors'!$B1338)</f>
        <v>8</v>
      </c>
      <c r="S1338" s="7">
        <f>YEAR('data on outstanding creditors'!$B1338)</f>
        <v>2025</v>
      </c>
      <c r="T1338" s="11" t="str">
        <f>'data on outstanding creditors'!$C1338&amp;" "&amp;'data on outstanding creditors'!$D1338&amp;" "&amp;TEXT('data on outstanding creditors'!$E1338,"#,##0.00")</f>
        <v>บ.เซ็นทรัลโพลีเทรดดิ้ง 31i25044462 55,000.00</v>
      </c>
      <c r="U1338" s="12"/>
    </row>
    <row r="1339" ht="13.5" customHeight="1">
      <c r="A1339" s="1"/>
      <c r="B1339" s="2">
        <v>45874.0</v>
      </c>
      <c r="C1339" s="9" t="s">
        <v>767</v>
      </c>
      <c r="D1339" s="1" t="s">
        <v>1878</v>
      </c>
      <c r="E1339" s="4">
        <v>72000.0</v>
      </c>
      <c r="F1339" s="4"/>
      <c r="G1339" s="4"/>
      <c r="H1339" s="4">
        <f>'data on outstanding creditors'!$E1339-'data on outstanding creditors'!$F1339-'data on outstanding creditors'!$G1339</f>
        <v>72000</v>
      </c>
      <c r="I1339" s="2"/>
      <c r="J1339" s="1" t="s">
        <v>646</v>
      </c>
      <c r="K1339" s="2">
        <v>45944.0</v>
      </c>
      <c r="L1339" s="5"/>
      <c r="M1339" s="9" t="s">
        <v>22</v>
      </c>
      <c r="N1339" s="9" t="s">
        <v>23</v>
      </c>
      <c r="O1339" s="10">
        <f>'data on outstanding creditors'!$E1339*100/107</f>
        <v>67289.71963</v>
      </c>
      <c r="P1339" s="10">
        <f>'data on outstanding creditors'!$E1339-'data on outstanding creditors'!$O1339</f>
        <v>4710.280374</v>
      </c>
      <c r="Q1339" s="7">
        <f>DAY('data on outstanding creditors'!$B1339)</f>
        <v>5</v>
      </c>
      <c r="R1339" s="7">
        <f>MONTH('data on outstanding creditors'!$B1339)</f>
        <v>8</v>
      </c>
      <c r="S1339" s="7">
        <f>YEAR('data on outstanding creditors'!$B1339)</f>
        <v>2025</v>
      </c>
      <c r="T1339" s="11" t="str">
        <f>'data on outstanding creditors'!$C1339&amp;" "&amp;'data on outstanding creditors'!$D1339&amp;" "&amp;TEXT('data on outstanding creditors'!$E1339,"#,##0.00")</f>
        <v>บ.คอสม่า เทรดดิ้ง 310757403516 72,000.00</v>
      </c>
      <c r="U1339" s="12"/>
    </row>
    <row r="1340" ht="13.5" customHeight="1">
      <c r="A1340" s="1"/>
      <c r="B1340" s="2">
        <v>45874.0</v>
      </c>
      <c r="C1340" s="9" t="s">
        <v>1381</v>
      </c>
      <c r="D1340" s="1" t="s">
        <v>1879</v>
      </c>
      <c r="E1340" s="4">
        <v>8640.0</v>
      </c>
      <c r="F1340" s="4"/>
      <c r="G1340" s="4"/>
      <c r="H1340" s="4">
        <f>'data on outstanding creditors'!$E1340-'data on outstanding creditors'!$F1340-'data on outstanding creditors'!$G1340</f>
        <v>8640</v>
      </c>
      <c r="I1340" s="2"/>
      <c r="J1340" s="1" t="s">
        <v>757</v>
      </c>
      <c r="K1340" s="2">
        <v>45912.0</v>
      </c>
      <c r="L1340" s="5"/>
      <c r="M1340" s="9" t="s">
        <v>22</v>
      </c>
      <c r="N1340" s="9" t="s">
        <v>23</v>
      </c>
      <c r="O1340" s="10">
        <f>'data on outstanding creditors'!$E1340*100/107</f>
        <v>8074.766355</v>
      </c>
      <c r="P1340" s="10">
        <f>'data on outstanding creditors'!$E1340-'data on outstanding creditors'!$O1340</f>
        <v>565.2336449</v>
      </c>
      <c r="Q1340" s="7">
        <f>DAY('data on outstanding creditors'!$B1340)</f>
        <v>5</v>
      </c>
      <c r="R1340" s="7">
        <f>MONTH('data on outstanding creditors'!$B1340)</f>
        <v>8</v>
      </c>
      <c r="S1340" s="7">
        <f>YEAR('data on outstanding creditors'!$B1340)</f>
        <v>2025</v>
      </c>
      <c r="T1340" s="11" t="str">
        <f>'data on outstanding creditors'!$C1340&amp;" "&amp;'data on outstanding creditors'!$D1340&amp;" "&amp;TEXT('data on outstanding creditors'!$E1340,"#,##0.00")</f>
        <v>บ.ที เอ็น พี เฮลท์แคร์ 8103492809 8,640.00</v>
      </c>
      <c r="U1340" s="12"/>
    </row>
    <row r="1341" ht="13.5" customHeight="1">
      <c r="A1341" s="1"/>
      <c r="B1341" s="2">
        <v>45874.0</v>
      </c>
      <c r="C1341" s="9" t="s">
        <v>1247</v>
      </c>
      <c r="D1341" s="1" t="s">
        <v>1880</v>
      </c>
      <c r="E1341" s="4">
        <v>22500.0</v>
      </c>
      <c r="F1341" s="4"/>
      <c r="G1341" s="4"/>
      <c r="H1341" s="4">
        <f>'data on outstanding creditors'!$E1341-'data on outstanding creditors'!$F1341-'data on outstanding creditors'!$G1341</f>
        <v>22500</v>
      </c>
      <c r="I1341" s="2"/>
      <c r="J1341" s="1" t="s">
        <v>646</v>
      </c>
      <c r="K1341" s="2">
        <v>45954.0</v>
      </c>
      <c r="L1341" s="5"/>
      <c r="M1341" s="9" t="s">
        <v>22</v>
      </c>
      <c r="N1341" s="9" t="s">
        <v>23</v>
      </c>
      <c r="O1341" s="10">
        <f>'data on outstanding creditors'!$E1341*100/107</f>
        <v>21028.03738</v>
      </c>
      <c r="P1341" s="10">
        <f>'data on outstanding creditors'!$E1341-'data on outstanding creditors'!$O1341</f>
        <v>1471.962617</v>
      </c>
      <c r="Q1341" s="7">
        <f>DAY('data on outstanding creditors'!$B1341)</f>
        <v>5</v>
      </c>
      <c r="R1341" s="7">
        <f>MONTH('data on outstanding creditors'!$B1341)</f>
        <v>8</v>
      </c>
      <c r="S1341" s="7">
        <f>YEAR('data on outstanding creditors'!$B1341)</f>
        <v>2025</v>
      </c>
      <c r="T1341" s="11" t="str">
        <f>'data on outstanding creditors'!$C1341&amp;" "&amp;'data on outstanding creditors'!$D1341&amp;" "&amp;TEXT('data on outstanding creditors'!$E1341,"#,##0.00")</f>
        <v>บ.เอ.เอ็น.บี.ลาบอรอตอรี่ 8370917248 22,500.00</v>
      </c>
      <c r="U1341" s="12"/>
    </row>
    <row r="1342" ht="13.5" customHeight="1">
      <c r="A1342" s="1"/>
      <c r="B1342" s="2">
        <v>45874.0</v>
      </c>
      <c r="C1342" s="9" t="s">
        <v>767</v>
      </c>
      <c r="D1342" s="1" t="s">
        <v>1881</v>
      </c>
      <c r="E1342" s="4">
        <v>14487.8</v>
      </c>
      <c r="F1342" s="4"/>
      <c r="G1342" s="4"/>
      <c r="H1342" s="4">
        <f>'data on outstanding creditors'!$E1342-'data on outstanding creditors'!$F1342-'data on outstanding creditors'!$G1342</f>
        <v>14487.8</v>
      </c>
      <c r="I1342" s="2"/>
      <c r="J1342" s="1" t="s">
        <v>646</v>
      </c>
      <c r="K1342" s="2">
        <v>45944.0</v>
      </c>
      <c r="L1342" s="5"/>
      <c r="M1342" s="9" t="s">
        <v>22</v>
      </c>
      <c r="N1342" s="9" t="s">
        <v>23</v>
      </c>
      <c r="O1342" s="10">
        <f>'data on outstanding creditors'!$E1342*100/107</f>
        <v>13540</v>
      </c>
      <c r="P1342" s="10">
        <f>'data on outstanding creditors'!$E1342-'data on outstanding creditors'!$O1342</f>
        <v>947.8</v>
      </c>
      <c r="Q1342" s="7">
        <f>DAY('data on outstanding creditors'!$B1342)</f>
        <v>5</v>
      </c>
      <c r="R1342" s="7">
        <f>MONTH('data on outstanding creditors'!$B1342)</f>
        <v>8</v>
      </c>
      <c r="S1342" s="7">
        <f>YEAR('data on outstanding creditors'!$B1342)</f>
        <v>2025</v>
      </c>
      <c r="T1342" s="11" t="str">
        <f>'data on outstanding creditors'!$C1342&amp;" "&amp;'data on outstanding creditors'!$D1342&amp;" "&amp;TEXT('data on outstanding creditors'!$E1342,"#,##0.00")</f>
        <v>บ.คอสม่า เทรดดิ้ง 310757403479 14,487.80</v>
      </c>
      <c r="U1342" s="12"/>
    </row>
    <row r="1343" ht="13.5" customHeight="1">
      <c r="A1343" s="1"/>
      <c r="B1343" s="2">
        <v>45874.0</v>
      </c>
      <c r="C1343" s="9" t="s">
        <v>767</v>
      </c>
      <c r="D1343" s="1" t="s">
        <v>1882</v>
      </c>
      <c r="E1343" s="4">
        <v>21600.0</v>
      </c>
      <c r="F1343" s="4"/>
      <c r="G1343" s="4"/>
      <c r="H1343" s="4">
        <f>'data on outstanding creditors'!$E1343-'data on outstanding creditors'!$F1343-'data on outstanding creditors'!$G1343</f>
        <v>21600</v>
      </c>
      <c r="I1343" s="2"/>
      <c r="J1343" s="1" t="s">
        <v>646</v>
      </c>
      <c r="K1343" s="2">
        <v>45944.0</v>
      </c>
      <c r="L1343" s="5"/>
      <c r="M1343" s="9" t="s">
        <v>22</v>
      </c>
      <c r="N1343" s="9" t="s">
        <v>23</v>
      </c>
      <c r="O1343" s="10">
        <f>'data on outstanding creditors'!$E1343*100/107</f>
        <v>20186.91589</v>
      </c>
      <c r="P1343" s="10">
        <f>'data on outstanding creditors'!$E1343-'data on outstanding creditors'!$O1343</f>
        <v>1413.084112</v>
      </c>
      <c r="Q1343" s="7">
        <f>DAY('data on outstanding creditors'!$B1343)</f>
        <v>5</v>
      </c>
      <c r="R1343" s="7">
        <f>MONTH('data on outstanding creditors'!$B1343)</f>
        <v>8</v>
      </c>
      <c r="S1343" s="7">
        <f>YEAR('data on outstanding creditors'!$B1343)</f>
        <v>2025</v>
      </c>
      <c r="T1343" s="11" t="str">
        <f>'data on outstanding creditors'!$C1343&amp;" "&amp;'data on outstanding creditors'!$D1343&amp;" "&amp;TEXT('data on outstanding creditors'!$E1343,"#,##0.00")</f>
        <v>บ.คอสม่า เทรดดิ้ง 310757403231 21,600.00</v>
      </c>
      <c r="U1343" s="12"/>
    </row>
    <row r="1344" ht="13.5" customHeight="1">
      <c r="A1344" s="1"/>
      <c r="B1344" s="2">
        <v>45874.0</v>
      </c>
      <c r="C1344" s="9" t="s">
        <v>1297</v>
      </c>
      <c r="D1344" s="1" t="s">
        <v>1883</v>
      </c>
      <c r="E1344" s="4">
        <v>7990.0</v>
      </c>
      <c r="F1344" s="4"/>
      <c r="G1344" s="4"/>
      <c r="H1344" s="4">
        <f>'data on outstanding creditors'!$E1344-'data on outstanding creditors'!$F1344-'data on outstanding creditors'!$G1344</f>
        <v>7990</v>
      </c>
      <c r="I1344" s="2"/>
      <c r="J1344" s="1" t="s">
        <v>646</v>
      </c>
      <c r="K1344" s="2">
        <v>45928.0</v>
      </c>
      <c r="L1344" s="5"/>
      <c r="M1344" s="9" t="s">
        <v>22</v>
      </c>
      <c r="N1344" s="9" t="s">
        <v>23</v>
      </c>
      <c r="O1344" s="10">
        <f>'data on outstanding creditors'!$E1344*100/107</f>
        <v>7467.28972</v>
      </c>
      <c r="P1344" s="10">
        <f>'data on outstanding creditors'!$E1344-'data on outstanding creditors'!$O1344</f>
        <v>522.7102804</v>
      </c>
      <c r="Q1344" s="7">
        <f>DAY('data on outstanding creditors'!$B1344)</f>
        <v>5</v>
      </c>
      <c r="R1344" s="7">
        <f>MONTH('data on outstanding creditors'!$B1344)</f>
        <v>8</v>
      </c>
      <c r="S1344" s="7">
        <f>YEAR('data on outstanding creditors'!$B1344)</f>
        <v>2025</v>
      </c>
      <c r="T1344" s="11" t="str">
        <f>'data on outstanding creditors'!$C1344&amp;" "&amp;'data on outstanding creditors'!$D1344&amp;" "&amp;TEXT('data on outstanding creditors'!$E1344,"#,##0.00")</f>
        <v>บ.แอตแลนติค ฟาร์มาซูติคอล PIN2526194 7,990.00</v>
      </c>
      <c r="U1344" s="12"/>
    </row>
    <row r="1345" ht="13.5" customHeight="1">
      <c r="A1345" s="1"/>
      <c r="B1345" s="2">
        <v>45874.0</v>
      </c>
      <c r="C1345" s="9" t="s">
        <v>771</v>
      </c>
      <c r="D1345" s="1" t="s">
        <v>1884</v>
      </c>
      <c r="E1345" s="4">
        <v>6129.0</v>
      </c>
      <c r="F1345" s="4"/>
      <c r="G1345" s="4"/>
      <c r="H1345" s="4">
        <f>'data on outstanding creditors'!$E1345-'data on outstanding creditors'!$F1345-'data on outstanding creditors'!$G1345</f>
        <v>6129</v>
      </c>
      <c r="I1345" s="2"/>
      <c r="J1345" s="1" t="s">
        <v>757</v>
      </c>
      <c r="K1345" s="2">
        <v>45938.0</v>
      </c>
      <c r="L1345" s="5"/>
      <c r="M1345" s="9" t="s">
        <v>22</v>
      </c>
      <c r="N1345" s="9" t="s">
        <v>23</v>
      </c>
      <c r="O1345" s="10">
        <f>'data on outstanding creditors'!$E1345*100/107</f>
        <v>5728.037383</v>
      </c>
      <c r="P1345" s="10">
        <f>'data on outstanding creditors'!$E1345-'data on outstanding creditors'!$O1345</f>
        <v>400.9626168</v>
      </c>
      <c r="Q1345" s="7">
        <f>DAY('data on outstanding creditors'!$B1345)</f>
        <v>5</v>
      </c>
      <c r="R1345" s="7">
        <f>MONTH('data on outstanding creditors'!$B1345)</f>
        <v>8</v>
      </c>
      <c r="S1345" s="7">
        <f>YEAR('data on outstanding creditors'!$B1345)</f>
        <v>2025</v>
      </c>
      <c r="T1345" s="11" t="str">
        <f>'data on outstanding creditors'!$C1345&amp;" "&amp;'data on outstanding creditors'!$D1345&amp;" "&amp;TEXT('data on outstanding creditors'!$E1345,"#,##0.00")</f>
        <v>หจก.ภิญโญฟาร์มาซี IV6839245 6,129.00</v>
      </c>
      <c r="U1345" s="12"/>
    </row>
    <row r="1346" ht="13.5" customHeight="1">
      <c r="A1346" s="1"/>
      <c r="B1346" s="2">
        <v>45874.0</v>
      </c>
      <c r="C1346" s="9" t="s">
        <v>771</v>
      </c>
      <c r="D1346" s="1" t="s">
        <v>1885</v>
      </c>
      <c r="E1346" s="4">
        <v>39271.0</v>
      </c>
      <c r="F1346" s="4"/>
      <c r="G1346" s="4"/>
      <c r="H1346" s="4">
        <f>'data on outstanding creditors'!$E1346-'data on outstanding creditors'!$F1346-'data on outstanding creditors'!$G1346</f>
        <v>39271</v>
      </c>
      <c r="I1346" s="2"/>
      <c r="J1346" s="1" t="s">
        <v>757</v>
      </c>
      <c r="K1346" s="2">
        <v>45938.0</v>
      </c>
      <c r="L1346" s="5"/>
      <c r="M1346" s="9" t="s">
        <v>22</v>
      </c>
      <c r="N1346" s="9" t="s">
        <v>23</v>
      </c>
      <c r="O1346" s="10">
        <f>'data on outstanding creditors'!$E1346*100/107</f>
        <v>36701.86916</v>
      </c>
      <c r="P1346" s="10">
        <f>'data on outstanding creditors'!$E1346-'data on outstanding creditors'!$O1346</f>
        <v>2569.130841</v>
      </c>
      <c r="Q1346" s="7">
        <f>DAY('data on outstanding creditors'!$B1346)</f>
        <v>5</v>
      </c>
      <c r="R1346" s="7">
        <f>MONTH('data on outstanding creditors'!$B1346)</f>
        <v>8</v>
      </c>
      <c r="S1346" s="7">
        <f>YEAR('data on outstanding creditors'!$B1346)</f>
        <v>2025</v>
      </c>
      <c r="T1346" s="11" t="str">
        <f>'data on outstanding creditors'!$C1346&amp;" "&amp;'data on outstanding creditors'!$D1346&amp;" "&amp;TEXT('data on outstanding creditors'!$E1346,"#,##0.00")</f>
        <v>หจก.ภิญโญฟาร์มาซี IV6839246 39,271.00</v>
      </c>
      <c r="U1346" s="12"/>
    </row>
    <row r="1347" ht="13.5" customHeight="1">
      <c r="A1347" s="1"/>
      <c r="B1347" s="2">
        <v>45874.0</v>
      </c>
      <c r="C1347" s="9" t="s">
        <v>520</v>
      </c>
      <c r="D1347" s="1" t="s">
        <v>1886</v>
      </c>
      <c r="E1347" s="4">
        <v>164780.0</v>
      </c>
      <c r="F1347" s="4"/>
      <c r="G1347" s="4"/>
      <c r="H1347" s="4">
        <f>'data on outstanding creditors'!$E1347-'data on outstanding creditors'!$F1347-'data on outstanding creditors'!$G1347</f>
        <v>164780</v>
      </c>
      <c r="I1347" s="2"/>
      <c r="J1347" s="1" t="s">
        <v>757</v>
      </c>
      <c r="K1347" s="2">
        <v>45943.0</v>
      </c>
      <c r="L1347" s="5"/>
      <c r="M1347" s="9" t="s">
        <v>22</v>
      </c>
      <c r="N1347" s="9" t="s">
        <v>23</v>
      </c>
      <c r="O1347" s="10">
        <f>'data on outstanding creditors'!$E1347*100/107</f>
        <v>154000</v>
      </c>
      <c r="P1347" s="10">
        <f>'data on outstanding creditors'!$E1347-'data on outstanding creditors'!$O1347</f>
        <v>10780</v>
      </c>
      <c r="Q1347" s="7">
        <f>DAY('data on outstanding creditors'!$B1347)</f>
        <v>5</v>
      </c>
      <c r="R1347" s="7">
        <f>MONTH('data on outstanding creditors'!$B1347)</f>
        <v>8</v>
      </c>
      <c r="S1347" s="7">
        <f>YEAR('data on outstanding creditors'!$B1347)</f>
        <v>2025</v>
      </c>
      <c r="T1347" s="11" t="str">
        <f>'data on outstanding creditors'!$C1347&amp;" "&amp;'data on outstanding creditors'!$D1347&amp;" "&amp;TEXT('data on outstanding creditors'!$E1347,"#,##0.00")</f>
        <v>บ.ซิลลิคฟาร์มา 1317805923 164,780.00</v>
      </c>
      <c r="U1347" s="12"/>
    </row>
    <row r="1348" ht="13.5" customHeight="1">
      <c r="A1348" s="1"/>
      <c r="B1348" s="2">
        <v>45874.0</v>
      </c>
      <c r="C1348" s="9" t="s">
        <v>1230</v>
      </c>
      <c r="D1348" s="1" t="s">
        <v>1887</v>
      </c>
      <c r="E1348" s="4">
        <v>136000.0</v>
      </c>
      <c r="F1348" s="4"/>
      <c r="G1348" s="4"/>
      <c r="H1348" s="4">
        <f>'data on outstanding creditors'!$E1348-'data on outstanding creditors'!$F1348-'data on outstanding creditors'!$G1348</f>
        <v>136000</v>
      </c>
      <c r="I1348" s="2"/>
      <c r="J1348" s="1" t="s">
        <v>757</v>
      </c>
      <c r="K1348" s="2">
        <v>45938.0</v>
      </c>
      <c r="L1348" s="5"/>
      <c r="M1348" s="9" t="s">
        <v>22</v>
      </c>
      <c r="N1348" s="9" t="s">
        <v>23</v>
      </c>
      <c r="O1348" s="10">
        <f>'data on outstanding creditors'!$E1348*100/107</f>
        <v>127102.8037</v>
      </c>
      <c r="P1348" s="10">
        <f>'data on outstanding creditors'!$E1348-'data on outstanding creditors'!$O1348</f>
        <v>8897.196262</v>
      </c>
      <c r="Q1348" s="7">
        <f>DAY('data on outstanding creditors'!$B1348)</f>
        <v>5</v>
      </c>
      <c r="R1348" s="7">
        <f>MONTH('data on outstanding creditors'!$B1348)</f>
        <v>8</v>
      </c>
      <c r="S1348" s="7">
        <f>YEAR('data on outstanding creditors'!$B1348)</f>
        <v>2025</v>
      </c>
      <c r="T1348" s="11" t="str">
        <f>'data on outstanding creditors'!$C1348&amp;" "&amp;'data on outstanding creditors'!$D1348&amp;" "&amp;TEXT('data on outstanding creditors'!$E1348,"#,##0.00")</f>
        <v>บ.พรอส ฟาร์มา INV-L-IM\2025074503 136,000.00</v>
      </c>
      <c r="U1348" s="12"/>
    </row>
    <row r="1349" ht="13.5" customHeight="1">
      <c r="A1349" s="1"/>
      <c r="B1349" s="2">
        <v>45874.0</v>
      </c>
      <c r="C1349" s="9" t="s">
        <v>24</v>
      </c>
      <c r="D1349" s="1" t="s">
        <v>1888</v>
      </c>
      <c r="E1349" s="4">
        <v>56000.0</v>
      </c>
      <c r="F1349" s="4"/>
      <c r="G1349" s="4"/>
      <c r="H1349" s="4">
        <f>'data on outstanding creditors'!$E1349-'data on outstanding creditors'!$F1349-'data on outstanding creditors'!$G1349</f>
        <v>56000</v>
      </c>
      <c r="I1349" s="2"/>
      <c r="J1349" s="1" t="s">
        <v>646</v>
      </c>
      <c r="K1349" s="2">
        <v>45954.0</v>
      </c>
      <c r="L1349" s="5"/>
      <c r="M1349" s="9" t="s">
        <v>22</v>
      </c>
      <c r="N1349" s="9" t="s">
        <v>23</v>
      </c>
      <c r="O1349" s="10">
        <f>'data on outstanding creditors'!$E1349*100/107</f>
        <v>52336.4486</v>
      </c>
      <c r="P1349" s="10">
        <f>'data on outstanding creditors'!$E1349-'data on outstanding creditors'!$O1349</f>
        <v>3663.551402</v>
      </c>
      <c r="Q1349" s="7">
        <f>DAY('data on outstanding creditors'!$B1349)</f>
        <v>5</v>
      </c>
      <c r="R1349" s="7">
        <f>MONTH('data on outstanding creditors'!$B1349)</f>
        <v>8</v>
      </c>
      <c r="S1349" s="7">
        <f>YEAR('data on outstanding creditors'!$B1349)</f>
        <v>2025</v>
      </c>
      <c r="T1349" s="11" t="str">
        <f>'data on outstanding creditors'!$C1349&amp;" "&amp;'data on outstanding creditors'!$D1349&amp;" "&amp;TEXT('data on outstanding creditors'!$E1349,"#,##0.00")</f>
        <v>บ.เซ็นทรัลโพลีเทรดดิ้ง 31i25044261 56,000.00</v>
      </c>
      <c r="U1349" s="12"/>
    </row>
    <row r="1350" ht="13.5" customHeight="1">
      <c r="A1350" s="1"/>
      <c r="B1350" s="2">
        <v>45874.0</v>
      </c>
      <c r="C1350" s="9" t="s">
        <v>520</v>
      </c>
      <c r="D1350" s="1" t="s">
        <v>1889</v>
      </c>
      <c r="E1350" s="4">
        <v>154080.0</v>
      </c>
      <c r="F1350" s="4"/>
      <c r="G1350" s="4"/>
      <c r="H1350" s="4">
        <f>'data on outstanding creditors'!$E1350-'data on outstanding creditors'!$F1350-'data on outstanding creditors'!$G1350</f>
        <v>154080</v>
      </c>
      <c r="I1350" s="2"/>
      <c r="J1350" s="1" t="s">
        <v>757</v>
      </c>
      <c r="K1350" s="2">
        <v>45943.0</v>
      </c>
      <c r="L1350" s="5"/>
      <c r="M1350" s="9" t="s">
        <v>22</v>
      </c>
      <c r="N1350" s="9" t="s">
        <v>23</v>
      </c>
      <c r="O1350" s="10">
        <f>'data on outstanding creditors'!$E1350*100/107</f>
        <v>144000</v>
      </c>
      <c r="P1350" s="10">
        <f>'data on outstanding creditors'!$E1350-'data on outstanding creditors'!$O1350</f>
        <v>10080</v>
      </c>
      <c r="Q1350" s="7">
        <f>DAY('data on outstanding creditors'!$B1350)</f>
        <v>5</v>
      </c>
      <c r="R1350" s="7">
        <f>MONTH('data on outstanding creditors'!$B1350)</f>
        <v>8</v>
      </c>
      <c r="S1350" s="7">
        <f>YEAR('data on outstanding creditors'!$B1350)</f>
        <v>2025</v>
      </c>
      <c r="T1350" s="11" t="str">
        <f>'data on outstanding creditors'!$C1350&amp;" "&amp;'data on outstanding creditors'!$D1350&amp;" "&amp;TEXT('data on outstanding creditors'!$E1350,"#,##0.00")</f>
        <v>บ.ซิลลิคฟาร์มา 1317778163 154,080.00</v>
      </c>
      <c r="U1350" s="12"/>
    </row>
    <row r="1351" ht="13.5" customHeight="1">
      <c r="A1351" s="1"/>
      <c r="B1351" s="2">
        <v>45876.0</v>
      </c>
      <c r="C1351" s="9" t="s">
        <v>767</v>
      </c>
      <c r="D1351" s="1" t="s">
        <v>1890</v>
      </c>
      <c r="E1351" s="4">
        <v>320000.0</v>
      </c>
      <c r="F1351" s="4"/>
      <c r="G1351" s="4"/>
      <c r="H1351" s="4">
        <f>'data on outstanding creditors'!$E1351-'data on outstanding creditors'!$F1351-'data on outstanding creditors'!$G1351</f>
        <v>320000</v>
      </c>
      <c r="I1351" s="2"/>
      <c r="J1351" s="1" t="s">
        <v>646</v>
      </c>
      <c r="K1351" s="2">
        <v>45954.0</v>
      </c>
      <c r="L1351" s="5"/>
      <c r="M1351" s="9" t="s">
        <v>22</v>
      </c>
      <c r="N1351" s="9" t="s">
        <v>23</v>
      </c>
      <c r="O1351" s="10">
        <f>'data on outstanding creditors'!$E1351*100/107</f>
        <v>299065.4206</v>
      </c>
      <c r="P1351" s="10">
        <f>'data on outstanding creditors'!$E1351-'data on outstanding creditors'!$O1351</f>
        <v>20934.57944</v>
      </c>
      <c r="Q1351" s="7">
        <f>DAY('data on outstanding creditors'!$B1351)</f>
        <v>7</v>
      </c>
      <c r="R1351" s="7">
        <f>MONTH('data on outstanding creditors'!$B1351)</f>
        <v>8</v>
      </c>
      <c r="S1351" s="7">
        <f>YEAR('data on outstanding creditors'!$B1351)</f>
        <v>2025</v>
      </c>
      <c r="T1351" s="11" t="str">
        <f>'data on outstanding creditors'!$C1351&amp;" "&amp;'data on outstanding creditors'!$D1351&amp;" "&amp;TEXT('data on outstanding creditors'!$E1351,"#,##0.00")</f>
        <v>บ.คอสม่า เทรดดิ้ง 310757403746 320,000.00</v>
      </c>
      <c r="U1351" s="12"/>
    </row>
    <row r="1352" ht="13.5" customHeight="1">
      <c r="A1352" s="1"/>
      <c r="B1352" s="2">
        <v>45876.0</v>
      </c>
      <c r="C1352" s="9" t="s">
        <v>922</v>
      </c>
      <c r="D1352" s="1" t="s">
        <v>1891</v>
      </c>
      <c r="E1352" s="4">
        <v>74560.0</v>
      </c>
      <c r="F1352" s="4"/>
      <c r="G1352" s="4"/>
      <c r="H1352" s="4">
        <f>'data on outstanding creditors'!$E1352-'data on outstanding creditors'!$F1352-'data on outstanding creditors'!$G1352</f>
        <v>74560</v>
      </c>
      <c r="I1352" s="2"/>
      <c r="J1352" s="1" t="s">
        <v>757</v>
      </c>
      <c r="K1352" s="2">
        <v>45938.0</v>
      </c>
      <c r="L1352" s="5"/>
      <c r="M1352" s="9" t="s">
        <v>22</v>
      </c>
      <c r="N1352" s="9" t="s">
        <v>23</v>
      </c>
      <c r="O1352" s="10">
        <f>'data on outstanding creditors'!$E1352*100/107</f>
        <v>69682.24299</v>
      </c>
      <c r="P1352" s="10">
        <f>'data on outstanding creditors'!$E1352-'data on outstanding creditors'!$O1352</f>
        <v>4877.757009</v>
      </c>
      <c r="Q1352" s="7">
        <f>DAY('data on outstanding creditors'!$B1352)</f>
        <v>7</v>
      </c>
      <c r="R1352" s="7">
        <f>MONTH('data on outstanding creditors'!$B1352)</f>
        <v>8</v>
      </c>
      <c r="S1352" s="7">
        <f>YEAR('data on outstanding creditors'!$B1352)</f>
        <v>2025</v>
      </c>
      <c r="T1352" s="11" t="str">
        <f>'data on outstanding creditors'!$C1352&amp;" "&amp;'data on outstanding creditors'!$D1352&amp;" "&amp;TEXT('data on outstanding creditors'!$E1352,"#,##0.00")</f>
        <v>บ.เบอร์ลินฟาร์มาซูติคอลอินดัสตรี้ 6810712207 74,560.00</v>
      </c>
      <c r="U1352" s="12"/>
    </row>
    <row r="1353" ht="13.5" customHeight="1">
      <c r="A1353" s="1"/>
      <c r="B1353" s="2">
        <v>45876.0</v>
      </c>
      <c r="C1353" s="9" t="s">
        <v>767</v>
      </c>
      <c r="D1353" s="1" t="s">
        <v>1892</v>
      </c>
      <c r="E1353" s="4">
        <v>143600.0</v>
      </c>
      <c r="F1353" s="4"/>
      <c r="G1353" s="4"/>
      <c r="H1353" s="4">
        <f>'data on outstanding creditors'!$E1353-'data on outstanding creditors'!$F1353-'data on outstanding creditors'!$G1353</f>
        <v>143600</v>
      </c>
      <c r="I1353" s="2"/>
      <c r="J1353" s="1" t="s">
        <v>646</v>
      </c>
      <c r="K1353" s="2">
        <v>45954.0</v>
      </c>
      <c r="L1353" s="5"/>
      <c r="M1353" s="9" t="s">
        <v>22</v>
      </c>
      <c r="N1353" s="9" t="s">
        <v>23</v>
      </c>
      <c r="O1353" s="10">
        <f>'data on outstanding creditors'!$E1353*100/107</f>
        <v>134205.6075</v>
      </c>
      <c r="P1353" s="10">
        <f>'data on outstanding creditors'!$E1353-'data on outstanding creditors'!$O1353</f>
        <v>9394.392523</v>
      </c>
      <c r="Q1353" s="7">
        <f>DAY('data on outstanding creditors'!$B1353)</f>
        <v>7</v>
      </c>
      <c r="R1353" s="7">
        <f>MONTH('data on outstanding creditors'!$B1353)</f>
        <v>8</v>
      </c>
      <c r="S1353" s="7">
        <f>YEAR('data on outstanding creditors'!$B1353)</f>
        <v>2025</v>
      </c>
      <c r="T1353" s="11" t="str">
        <f>'data on outstanding creditors'!$C1353&amp;" "&amp;'data on outstanding creditors'!$D1353&amp;" "&amp;TEXT('data on outstanding creditors'!$E1353,"#,##0.00")</f>
        <v>บ.คอสม่า เทรดดิ้ง 310857400305 143,600.00</v>
      </c>
      <c r="U1353" s="12"/>
    </row>
    <row r="1354" ht="13.5" customHeight="1">
      <c r="A1354" s="1"/>
      <c r="B1354" s="2">
        <v>45876.0</v>
      </c>
      <c r="C1354" s="9" t="s">
        <v>520</v>
      </c>
      <c r="D1354" s="1" t="s">
        <v>1893</v>
      </c>
      <c r="E1354" s="4">
        <v>157986.57</v>
      </c>
      <c r="F1354" s="4"/>
      <c r="G1354" s="4"/>
      <c r="H1354" s="4">
        <f>'data on outstanding creditors'!$E1354-'data on outstanding creditors'!$F1354-'data on outstanding creditors'!$G1354</f>
        <v>157986.57</v>
      </c>
      <c r="I1354" s="2"/>
      <c r="J1354" s="1" t="s">
        <v>757</v>
      </c>
      <c r="K1354" s="2">
        <v>45943.0</v>
      </c>
      <c r="L1354" s="5"/>
      <c r="M1354" s="9" t="s">
        <v>22</v>
      </c>
      <c r="N1354" s="9" t="s">
        <v>23</v>
      </c>
      <c r="O1354" s="10">
        <f>'data on outstanding creditors'!$E1354*100/107</f>
        <v>147651</v>
      </c>
      <c r="P1354" s="10">
        <f>'data on outstanding creditors'!$E1354-'data on outstanding creditors'!$O1354</f>
        <v>10335.57</v>
      </c>
      <c r="Q1354" s="7">
        <f>DAY('data on outstanding creditors'!$B1354)</f>
        <v>7</v>
      </c>
      <c r="R1354" s="7">
        <f>MONTH('data on outstanding creditors'!$B1354)</f>
        <v>8</v>
      </c>
      <c r="S1354" s="7">
        <f>YEAR('data on outstanding creditors'!$B1354)</f>
        <v>2025</v>
      </c>
      <c r="T1354" s="11" t="str">
        <f>'data on outstanding creditors'!$C1354&amp;" "&amp;'data on outstanding creditors'!$D1354&amp;" "&amp;TEXT('data on outstanding creditors'!$E1354,"#,##0.00")</f>
        <v>บ.ซิลลิคฟาร์มา 1317820200 157,986.57</v>
      </c>
      <c r="U1354" s="12"/>
    </row>
    <row r="1355" ht="13.5" customHeight="1">
      <c r="A1355" s="1"/>
      <c r="B1355" s="2">
        <v>45876.0</v>
      </c>
      <c r="C1355" s="9" t="s">
        <v>520</v>
      </c>
      <c r="D1355" s="1" t="s">
        <v>1894</v>
      </c>
      <c r="E1355" s="4">
        <v>118770.0</v>
      </c>
      <c r="F1355" s="4"/>
      <c r="G1355" s="4"/>
      <c r="H1355" s="4">
        <f>'data on outstanding creditors'!$E1355-'data on outstanding creditors'!$F1355-'data on outstanding creditors'!$G1355</f>
        <v>118770</v>
      </c>
      <c r="I1355" s="2"/>
      <c r="J1355" s="1" t="s">
        <v>757</v>
      </c>
      <c r="K1355" s="2">
        <v>45943.0</v>
      </c>
      <c r="L1355" s="5"/>
      <c r="M1355" s="9" t="s">
        <v>22</v>
      </c>
      <c r="N1355" s="9" t="s">
        <v>23</v>
      </c>
      <c r="O1355" s="10">
        <f>'data on outstanding creditors'!$E1355*100/107</f>
        <v>111000</v>
      </c>
      <c r="P1355" s="10">
        <f>'data on outstanding creditors'!$E1355-'data on outstanding creditors'!$O1355</f>
        <v>7770</v>
      </c>
      <c r="Q1355" s="7">
        <f>DAY('data on outstanding creditors'!$B1355)</f>
        <v>7</v>
      </c>
      <c r="R1355" s="7">
        <f>MONTH('data on outstanding creditors'!$B1355)</f>
        <v>8</v>
      </c>
      <c r="S1355" s="7">
        <f>YEAR('data on outstanding creditors'!$B1355)</f>
        <v>2025</v>
      </c>
      <c r="T1355" s="11" t="str">
        <f>'data on outstanding creditors'!$C1355&amp;" "&amp;'data on outstanding creditors'!$D1355&amp;" "&amp;TEXT('data on outstanding creditors'!$E1355,"#,##0.00")</f>
        <v>บ.ซิลลิคฟาร์มา 1317825606 118,770.00</v>
      </c>
      <c r="U1355" s="12"/>
    </row>
    <row r="1356" ht="13.5" customHeight="1">
      <c r="A1356" s="1"/>
      <c r="B1356" s="2">
        <v>45877.0</v>
      </c>
      <c r="C1356" s="9" t="s">
        <v>1422</v>
      </c>
      <c r="D1356" s="1" t="s">
        <v>1895</v>
      </c>
      <c r="E1356" s="4">
        <v>158360.0</v>
      </c>
      <c r="F1356" s="4"/>
      <c r="G1356" s="4"/>
      <c r="H1356" s="4">
        <f>'data on outstanding creditors'!$E1356-'data on outstanding creditors'!$F1356-'data on outstanding creditors'!$G1356</f>
        <v>158360</v>
      </c>
      <c r="I1356" s="2"/>
      <c r="J1356" s="1" t="s">
        <v>646</v>
      </c>
      <c r="K1356" s="2">
        <v>45954.0</v>
      </c>
      <c r="L1356" s="5"/>
      <c r="M1356" s="9" t="s">
        <v>22</v>
      </c>
      <c r="N1356" s="9" t="s">
        <v>23</v>
      </c>
      <c r="O1356" s="10">
        <f>'data on outstanding creditors'!$E1356*100/107</f>
        <v>148000</v>
      </c>
      <c r="P1356" s="10">
        <f>'data on outstanding creditors'!$E1356-'data on outstanding creditors'!$O1356</f>
        <v>10360</v>
      </c>
      <c r="Q1356" s="7">
        <f>DAY('data on outstanding creditors'!$B1356)</f>
        <v>8</v>
      </c>
      <c r="R1356" s="7">
        <f>MONTH('data on outstanding creditors'!$B1356)</f>
        <v>8</v>
      </c>
      <c r="S1356" s="7">
        <f>YEAR('data on outstanding creditors'!$B1356)</f>
        <v>2025</v>
      </c>
      <c r="T1356" s="11" t="str">
        <f>'data on outstanding creditors'!$C1356&amp;" "&amp;'data on outstanding creditors'!$D1356&amp;" "&amp;TEXT('data on outstanding creditors'!$E1356,"#,##0.00")</f>
        <v>บ.ดีซีเอช ออดิกา (ปรเทศไทย) UG94663713 158,360.00</v>
      </c>
      <c r="U1356" s="12"/>
    </row>
    <row r="1357" ht="13.5" customHeight="1">
      <c r="A1357" s="1"/>
      <c r="B1357" s="2">
        <v>45877.0</v>
      </c>
      <c r="C1357" s="9" t="s">
        <v>813</v>
      </c>
      <c r="D1357" s="1" t="s">
        <v>1896</v>
      </c>
      <c r="E1357" s="4">
        <v>700.0</v>
      </c>
      <c r="F1357" s="4"/>
      <c r="G1357" s="4"/>
      <c r="H1357" s="4">
        <f>'data on outstanding creditors'!$E1357-'data on outstanding creditors'!$F1357-'data on outstanding creditors'!$G1357</f>
        <v>700</v>
      </c>
      <c r="I1357" s="2"/>
      <c r="J1357" s="1" t="s">
        <v>757</v>
      </c>
      <c r="K1357" s="2">
        <v>45912.0</v>
      </c>
      <c r="L1357" s="5"/>
      <c r="M1357" s="9" t="s">
        <v>22</v>
      </c>
      <c r="N1357" s="9" t="s">
        <v>23</v>
      </c>
      <c r="O1357" s="10">
        <f>'data on outstanding creditors'!$E1357*100/107</f>
        <v>654.2056075</v>
      </c>
      <c r="P1357" s="10">
        <f>'data on outstanding creditors'!$E1357-'data on outstanding creditors'!$O1357</f>
        <v>45.79439252</v>
      </c>
      <c r="Q1357" s="7">
        <f>DAY('data on outstanding creditors'!$B1357)</f>
        <v>8</v>
      </c>
      <c r="R1357" s="7">
        <f>MONTH('data on outstanding creditors'!$B1357)</f>
        <v>8</v>
      </c>
      <c r="S1357" s="7">
        <f>YEAR('data on outstanding creditors'!$B1357)</f>
        <v>2025</v>
      </c>
      <c r="T1357" s="11" t="str">
        <f>'data on outstanding creditors'!$C1357&amp;" "&amp;'data on outstanding creditors'!$D1357&amp;" "&amp;TEXT('data on outstanding creditors'!$E1357,"#,##0.00")</f>
        <v>บ.ที.แมน ฟาร์มาซูติคอล IST250119758 700.00</v>
      </c>
      <c r="U1357" s="12"/>
    </row>
    <row r="1358" ht="13.5" customHeight="1">
      <c r="A1358" s="1"/>
      <c r="B1358" s="2">
        <v>45877.0</v>
      </c>
      <c r="C1358" s="9" t="s">
        <v>813</v>
      </c>
      <c r="D1358" s="1" t="s">
        <v>1897</v>
      </c>
      <c r="E1358" s="4">
        <v>14000.0</v>
      </c>
      <c r="F1358" s="4"/>
      <c r="G1358" s="4"/>
      <c r="H1358" s="4">
        <f>'data on outstanding creditors'!$E1358-'data on outstanding creditors'!$F1358-'data on outstanding creditors'!$G1358</f>
        <v>14000</v>
      </c>
      <c r="I1358" s="2"/>
      <c r="J1358" s="1" t="s">
        <v>757</v>
      </c>
      <c r="K1358" s="2">
        <v>45912.0</v>
      </c>
      <c r="L1358" s="5"/>
      <c r="M1358" s="9" t="s">
        <v>22</v>
      </c>
      <c r="N1358" s="9" t="s">
        <v>23</v>
      </c>
      <c r="O1358" s="10">
        <f>'data on outstanding creditors'!$E1358*100/107</f>
        <v>13084.11215</v>
      </c>
      <c r="P1358" s="10">
        <f>'data on outstanding creditors'!$E1358-'data on outstanding creditors'!$O1358</f>
        <v>915.8878505</v>
      </c>
      <c r="Q1358" s="7">
        <f>DAY('data on outstanding creditors'!$B1358)</f>
        <v>8</v>
      </c>
      <c r="R1358" s="7">
        <f>MONTH('data on outstanding creditors'!$B1358)</f>
        <v>8</v>
      </c>
      <c r="S1358" s="7">
        <f>YEAR('data on outstanding creditors'!$B1358)</f>
        <v>2025</v>
      </c>
      <c r="T1358" s="11" t="str">
        <f>'data on outstanding creditors'!$C1358&amp;" "&amp;'data on outstanding creditors'!$D1358&amp;" "&amp;TEXT('data on outstanding creditors'!$E1358,"#,##0.00")</f>
        <v>บ.ที.แมน ฟาร์มาซูติคอล IST250109765 14,000.00</v>
      </c>
      <c r="U1358" s="12"/>
    </row>
    <row r="1359" ht="13.5" customHeight="1">
      <c r="A1359" s="1"/>
      <c r="B1359" s="2">
        <v>45877.0</v>
      </c>
      <c r="C1359" s="9" t="s">
        <v>1422</v>
      </c>
      <c r="D1359" s="1" t="s">
        <v>1898</v>
      </c>
      <c r="E1359" s="4">
        <v>54000.0</v>
      </c>
      <c r="F1359" s="4"/>
      <c r="G1359" s="4"/>
      <c r="H1359" s="4">
        <f>'data on outstanding creditors'!$E1359-'data on outstanding creditors'!$F1359-'data on outstanding creditors'!$G1359</f>
        <v>54000</v>
      </c>
      <c r="I1359" s="2"/>
      <c r="J1359" s="1" t="s">
        <v>646</v>
      </c>
      <c r="K1359" s="2">
        <v>45944.0</v>
      </c>
      <c r="L1359" s="5"/>
      <c r="M1359" s="9" t="s">
        <v>22</v>
      </c>
      <c r="N1359" s="9" t="s">
        <v>23</v>
      </c>
      <c r="O1359" s="10">
        <f>'data on outstanding creditors'!$E1359*100/107</f>
        <v>50467.28972</v>
      </c>
      <c r="P1359" s="10">
        <f>'data on outstanding creditors'!$E1359-'data on outstanding creditors'!$O1359</f>
        <v>3532.71028</v>
      </c>
      <c r="Q1359" s="7">
        <f>DAY('data on outstanding creditors'!$B1359)</f>
        <v>8</v>
      </c>
      <c r="R1359" s="7">
        <f>MONTH('data on outstanding creditors'!$B1359)</f>
        <v>8</v>
      </c>
      <c r="S1359" s="7">
        <f>YEAR('data on outstanding creditors'!$B1359)</f>
        <v>2025</v>
      </c>
      <c r="T1359" s="11" t="str">
        <f>'data on outstanding creditors'!$C1359&amp;" "&amp;'data on outstanding creditors'!$D1359&amp;" "&amp;TEXT('data on outstanding creditors'!$E1359,"#,##0.00")</f>
        <v>บ.ดีซีเอช ออดิกา (ปรเทศไทย) UG94663716 54,000.00</v>
      </c>
      <c r="U1359" s="12"/>
    </row>
    <row r="1360" ht="13.5" customHeight="1">
      <c r="A1360" s="1"/>
      <c r="B1360" s="2">
        <v>45877.0</v>
      </c>
      <c r="C1360" s="9" t="s">
        <v>922</v>
      </c>
      <c r="D1360" s="1" t="s">
        <v>1899</v>
      </c>
      <c r="E1360" s="4">
        <v>3250.0</v>
      </c>
      <c r="F1360" s="4"/>
      <c r="G1360" s="4"/>
      <c r="H1360" s="4">
        <f>'data on outstanding creditors'!$E1360-'data on outstanding creditors'!$F1360-'data on outstanding creditors'!$G1360</f>
        <v>3250</v>
      </c>
      <c r="I1360" s="2"/>
      <c r="J1360" s="1" t="s">
        <v>757</v>
      </c>
      <c r="K1360" s="2">
        <v>45912.0</v>
      </c>
      <c r="L1360" s="5"/>
      <c r="M1360" s="9" t="s">
        <v>22</v>
      </c>
      <c r="N1360" s="9" t="s">
        <v>23</v>
      </c>
      <c r="O1360" s="10">
        <f>'data on outstanding creditors'!$E1360*100/107</f>
        <v>3037.383178</v>
      </c>
      <c r="P1360" s="10">
        <f>'data on outstanding creditors'!$E1360-'data on outstanding creditors'!$O1360</f>
        <v>212.6168224</v>
      </c>
      <c r="Q1360" s="7">
        <f>DAY('data on outstanding creditors'!$B1360)</f>
        <v>8</v>
      </c>
      <c r="R1360" s="7">
        <f>MONTH('data on outstanding creditors'!$B1360)</f>
        <v>8</v>
      </c>
      <c r="S1360" s="7">
        <f>YEAR('data on outstanding creditors'!$B1360)</f>
        <v>2025</v>
      </c>
      <c r="T1360" s="11" t="str">
        <f>'data on outstanding creditors'!$C1360&amp;" "&amp;'data on outstanding creditors'!$D1360&amp;" "&amp;TEXT('data on outstanding creditors'!$E1360,"#,##0.00")</f>
        <v>บ.เบอร์ลินฟาร์มาซูติคอลอินดัสตรี้ 6810711801 3,250.00</v>
      </c>
      <c r="U1360" s="12"/>
    </row>
    <row r="1361" ht="13.5" customHeight="1">
      <c r="A1361" s="1"/>
      <c r="B1361" s="2">
        <v>45877.0</v>
      </c>
      <c r="C1361" s="9" t="s">
        <v>24</v>
      </c>
      <c r="D1361" s="1" t="s">
        <v>1900</v>
      </c>
      <c r="E1361" s="4">
        <v>13780.0</v>
      </c>
      <c r="F1361" s="4"/>
      <c r="G1361" s="4"/>
      <c r="H1361" s="4">
        <f>'data on outstanding creditors'!$E1361-'data on outstanding creditors'!$F1361-'data on outstanding creditors'!$G1361</f>
        <v>13780</v>
      </c>
      <c r="I1361" s="2"/>
      <c r="J1361" s="1" t="s">
        <v>646</v>
      </c>
      <c r="K1361" s="2">
        <v>45944.0</v>
      </c>
      <c r="L1361" s="5"/>
      <c r="M1361" s="9" t="s">
        <v>22</v>
      </c>
      <c r="N1361" s="9" t="s">
        <v>23</v>
      </c>
      <c r="O1361" s="10">
        <f>'data on outstanding creditors'!$E1361*100/107</f>
        <v>12878.50467</v>
      </c>
      <c r="P1361" s="10">
        <f>'data on outstanding creditors'!$E1361-'data on outstanding creditors'!$O1361</f>
        <v>901.4953271</v>
      </c>
      <c r="Q1361" s="7">
        <f>DAY('data on outstanding creditors'!$B1361)</f>
        <v>8</v>
      </c>
      <c r="R1361" s="7">
        <f>MONTH('data on outstanding creditors'!$B1361)</f>
        <v>8</v>
      </c>
      <c r="S1361" s="7">
        <f>YEAR('data on outstanding creditors'!$B1361)</f>
        <v>2025</v>
      </c>
      <c r="T1361" s="11" t="str">
        <f>'data on outstanding creditors'!$C1361&amp;" "&amp;'data on outstanding creditors'!$D1361&amp;" "&amp;TEXT('data on outstanding creditors'!$E1361,"#,##0.00")</f>
        <v>บ.เซ็นทรัลโพลีเทรดดิ้ง 31i25044263 13,780.00</v>
      </c>
      <c r="U1361" s="12"/>
    </row>
    <row r="1362" ht="13.5" customHeight="1">
      <c r="A1362" s="1"/>
      <c r="B1362" s="2">
        <v>45877.0</v>
      </c>
      <c r="C1362" s="9" t="s">
        <v>920</v>
      </c>
      <c r="D1362" s="1" t="s">
        <v>1901</v>
      </c>
      <c r="E1362" s="4">
        <v>5700.0</v>
      </c>
      <c r="F1362" s="4"/>
      <c r="G1362" s="4"/>
      <c r="H1362" s="4">
        <f>'data on outstanding creditors'!$E1362-'data on outstanding creditors'!$F1362-'data on outstanding creditors'!$G1362</f>
        <v>5700</v>
      </c>
      <c r="I1362" s="2"/>
      <c r="J1362" s="1" t="s">
        <v>646</v>
      </c>
      <c r="K1362" s="2">
        <v>45954.0</v>
      </c>
      <c r="L1362" s="5"/>
      <c r="M1362" s="9" t="s">
        <v>22</v>
      </c>
      <c r="N1362" s="9" t="s">
        <v>23</v>
      </c>
      <c r="O1362" s="10">
        <f>'data on outstanding creditors'!$E1362*100/107</f>
        <v>5327.102804</v>
      </c>
      <c r="P1362" s="10">
        <f>'data on outstanding creditors'!$E1362-'data on outstanding creditors'!$O1362</f>
        <v>372.8971963</v>
      </c>
      <c r="Q1362" s="7">
        <f>DAY('data on outstanding creditors'!$B1362)</f>
        <v>8</v>
      </c>
      <c r="R1362" s="7">
        <f>MONTH('data on outstanding creditors'!$B1362)</f>
        <v>8</v>
      </c>
      <c r="S1362" s="7">
        <f>YEAR('data on outstanding creditors'!$B1362)</f>
        <v>2025</v>
      </c>
      <c r="T1362" s="11" t="str">
        <f>'data on outstanding creditors'!$C1362&amp;" "&amp;'data on outstanding creditors'!$D1362&amp;" "&amp;TEXT('data on outstanding creditors'!$E1362,"#,##0.00")</f>
        <v>บ.โปลิฟาร์ม IVU-68033692 5,700.00</v>
      </c>
      <c r="U1362" s="12"/>
    </row>
    <row r="1363" ht="13.5" customHeight="1">
      <c r="A1363" s="1"/>
      <c r="B1363" s="2">
        <v>45877.0</v>
      </c>
      <c r="C1363" s="9" t="s">
        <v>1288</v>
      </c>
      <c r="D1363" s="1" t="s">
        <v>1902</v>
      </c>
      <c r="E1363" s="4">
        <v>36808.0</v>
      </c>
      <c r="F1363" s="4"/>
      <c r="G1363" s="4"/>
      <c r="H1363" s="4">
        <f>'data on outstanding creditors'!$E1363-'data on outstanding creditors'!$F1363-'data on outstanding creditors'!$G1363</f>
        <v>36808</v>
      </c>
      <c r="I1363" s="2"/>
      <c r="J1363" s="1" t="s">
        <v>646</v>
      </c>
      <c r="K1363" s="2">
        <v>45928.0</v>
      </c>
      <c r="L1363" s="5"/>
      <c r="M1363" s="9" t="s">
        <v>22</v>
      </c>
      <c r="N1363" s="9" t="s">
        <v>23</v>
      </c>
      <c r="O1363" s="10">
        <f>'data on outstanding creditors'!$E1363*100/107</f>
        <v>34400</v>
      </c>
      <c r="P1363" s="10">
        <f>'data on outstanding creditors'!$E1363-'data on outstanding creditors'!$O1363</f>
        <v>2408</v>
      </c>
      <c r="Q1363" s="7">
        <f>DAY('data on outstanding creditors'!$B1363)</f>
        <v>8</v>
      </c>
      <c r="R1363" s="7">
        <f>MONTH('data on outstanding creditors'!$B1363)</f>
        <v>8</v>
      </c>
      <c r="S1363" s="7">
        <f>YEAR('data on outstanding creditors'!$B1363)</f>
        <v>2025</v>
      </c>
      <c r="T1363" s="11" t="str">
        <f>'data on outstanding creditors'!$C1363&amp;" "&amp;'data on outstanding creditors'!$D1363&amp;" "&amp;TEXT('data on outstanding creditors'!$E1363,"#,##0.00")</f>
        <v>บ.เจ เอส วิชั่น 100522183 36,808.00</v>
      </c>
      <c r="U1363" s="12"/>
    </row>
    <row r="1364" ht="13.5" customHeight="1">
      <c r="A1364" s="1"/>
      <c r="B1364" s="2">
        <v>45877.0</v>
      </c>
      <c r="C1364" s="9" t="s">
        <v>767</v>
      </c>
      <c r="D1364" s="1" t="s">
        <v>1903</v>
      </c>
      <c r="E1364" s="4">
        <v>7400.0</v>
      </c>
      <c r="F1364" s="4"/>
      <c r="G1364" s="4"/>
      <c r="H1364" s="4">
        <f>'data on outstanding creditors'!$E1364-'data on outstanding creditors'!$F1364-'data on outstanding creditors'!$G1364</f>
        <v>7400</v>
      </c>
      <c r="I1364" s="2"/>
      <c r="J1364" s="1" t="s">
        <v>646</v>
      </c>
      <c r="K1364" s="2">
        <v>45944.0</v>
      </c>
      <c r="L1364" s="5"/>
      <c r="M1364" s="9" t="s">
        <v>22</v>
      </c>
      <c r="N1364" s="9" t="s">
        <v>23</v>
      </c>
      <c r="O1364" s="10">
        <f>'data on outstanding creditors'!$E1364*100/107</f>
        <v>6915.88785</v>
      </c>
      <c r="P1364" s="10">
        <f>'data on outstanding creditors'!$E1364-'data on outstanding creditors'!$O1364</f>
        <v>484.1121495</v>
      </c>
      <c r="Q1364" s="7">
        <f>DAY('data on outstanding creditors'!$B1364)</f>
        <v>8</v>
      </c>
      <c r="R1364" s="7">
        <f>MONTH('data on outstanding creditors'!$B1364)</f>
        <v>8</v>
      </c>
      <c r="S1364" s="7">
        <f>YEAR('data on outstanding creditors'!$B1364)</f>
        <v>2025</v>
      </c>
      <c r="T1364" s="11" t="str">
        <f>'data on outstanding creditors'!$C1364&amp;" "&amp;'data on outstanding creditors'!$D1364&amp;" "&amp;TEXT('data on outstanding creditors'!$E1364,"#,##0.00")</f>
        <v>บ.คอสม่า เทรดดิ้ง 310857400292 7,400.00</v>
      </c>
      <c r="U1364" s="12"/>
    </row>
    <row r="1365" ht="13.5" customHeight="1">
      <c r="A1365" s="1"/>
      <c r="B1365" s="2">
        <v>45877.0</v>
      </c>
      <c r="C1365" s="9" t="s">
        <v>771</v>
      </c>
      <c r="D1365" s="1" t="s">
        <v>1904</v>
      </c>
      <c r="E1365" s="4">
        <v>4615.0</v>
      </c>
      <c r="F1365" s="4"/>
      <c r="G1365" s="4"/>
      <c r="H1365" s="4">
        <f>'data on outstanding creditors'!$E1365-'data on outstanding creditors'!$F1365-'data on outstanding creditors'!$G1365</f>
        <v>4615</v>
      </c>
      <c r="I1365" s="2"/>
      <c r="J1365" s="1" t="s">
        <v>757</v>
      </c>
      <c r="K1365" s="2">
        <v>45912.0</v>
      </c>
      <c r="L1365" s="5"/>
      <c r="M1365" s="9" t="s">
        <v>22</v>
      </c>
      <c r="N1365" s="9" t="s">
        <v>23</v>
      </c>
      <c r="O1365" s="10">
        <f>'data on outstanding creditors'!$E1365*100/107</f>
        <v>4313.084112</v>
      </c>
      <c r="P1365" s="10">
        <f>'data on outstanding creditors'!$E1365-'data on outstanding creditors'!$O1365</f>
        <v>301.9158879</v>
      </c>
      <c r="Q1365" s="7">
        <f>DAY('data on outstanding creditors'!$B1365)</f>
        <v>8</v>
      </c>
      <c r="R1365" s="7">
        <f>MONTH('data on outstanding creditors'!$B1365)</f>
        <v>8</v>
      </c>
      <c r="S1365" s="7">
        <f>YEAR('data on outstanding creditors'!$B1365)</f>
        <v>2025</v>
      </c>
      <c r="T1365" s="11" t="str">
        <f>'data on outstanding creditors'!$C1365&amp;" "&amp;'data on outstanding creditors'!$D1365&amp;" "&amp;TEXT('data on outstanding creditors'!$E1365,"#,##0.00")</f>
        <v>หจก.ภิญโญฟาร์มาซี IV6839673 4,615.00</v>
      </c>
      <c r="U1365" s="12"/>
    </row>
    <row r="1366" ht="13.5" customHeight="1">
      <c r="A1366" s="1"/>
      <c r="B1366" s="2">
        <v>45882.0</v>
      </c>
      <c r="C1366" s="9" t="s">
        <v>399</v>
      </c>
      <c r="D1366" s="1" t="s">
        <v>1905</v>
      </c>
      <c r="E1366" s="4">
        <v>150870.0</v>
      </c>
      <c r="F1366" s="4"/>
      <c r="G1366" s="4"/>
      <c r="H1366" s="4">
        <f>'data on outstanding creditors'!$E1366-'data on outstanding creditors'!$F1366-'data on outstanding creditors'!$G1366</f>
        <v>150870</v>
      </c>
      <c r="I1366" s="2"/>
      <c r="J1366" s="1" t="s">
        <v>757</v>
      </c>
      <c r="K1366" s="2">
        <v>45938.0</v>
      </c>
      <c r="L1366" s="5"/>
      <c r="M1366" s="9" t="s">
        <v>22</v>
      </c>
      <c r="N1366" s="9" t="s">
        <v>23</v>
      </c>
      <c r="O1366" s="10">
        <f>'data on outstanding creditors'!$E1366*100/107</f>
        <v>141000</v>
      </c>
      <c r="P1366" s="10">
        <f>'data on outstanding creditors'!$E1366-'data on outstanding creditors'!$O1366</f>
        <v>9870</v>
      </c>
      <c r="Q1366" s="7">
        <f>DAY('data on outstanding creditors'!$B1366)</f>
        <v>13</v>
      </c>
      <c r="R1366" s="7">
        <f>MONTH('data on outstanding creditors'!$B1366)</f>
        <v>8</v>
      </c>
      <c r="S1366" s="7">
        <f>YEAR('data on outstanding creditors'!$B1366)</f>
        <v>2025</v>
      </c>
      <c r="T1366" s="11" t="str">
        <f>'data on outstanding creditors'!$C1366&amp;" "&amp;'data on outstanding creditors'!$D1366&amp;" "&amp;TEXT('data on outstanding creditors'!$E1366,"#,##0.00")</f>
        <v>บ.ดีเคเอสเอช(ประเทศไทย) 5344120809 150,870.00</v>
      </c>
      <c r="U1366" s="12"/>
    </row>
    <row r="1367" ht="13.5" customHeight="1">
      <c r="A1367" s="1"/>
      <c r="B1367" s="2">
        <v>45882.0</v>
      </c>
      <c r="C1367" s="9" t="s">
        <v>1791</v>
      </c>
      <c r="D1367" s="1" t="s">
        <v>1906</v>
      </c>
      <c r="E1367" s="4">
        <v>92000.0</v>
      </c>
      <c r="F1367" s="4"/>
      <c r="G1367" s="4"/>
      <c r="H1367" s="4">
        <f>'data on outstanding creditors'!$E1367-'data on outstanding creditors'!$F1367-'data on outstanding creditors'!$G1367</f>
        <v>92000</v>
      </c>
      <c r="I1367" s="2"/>
      <c r="J1367" s="1" t="s">
        <v>757</v>
      </c>
      <c r="K1367" s="2">
        <v>45938.0</v>
      </c>
      <c r="L1367" s="5"/>
      <c r="M1367" s="9" t="s">
        <v>22</v>
      </c>
      <c r="N1367" s="9" t="s">
        <v>23</v>
      </c>
      <c r="O1367" s="10">
        <f>'data on outstanding creditors'!$E1367*100/107</f>
        <v>85981.30841</v>
      </c>
      <c r="P1367" s="10">
        <f>'data on outstanding creditors'!$E1367-'data on outstanding creditors'!$O1367</f>
        <v>6018.691589</v>
      </c>
      <c r="Q1367" s="7">
        <f>DAY('data on outstanding creditors'!$B1367)</f>
        <v>13</v>
      </c>
      <c r="R1367" s="7">
        <f>MONTH('data on outstanding creditors'!$B1367)</f>
        <v>8</v>
      </c>
      <c r="S1367" s="7">
        <f>YEAR('data on outstanding creditors'!$B1367)</f>
        <v>2025</v>
      </c>
      <c r="T1367" s="11" t="str">
        <f>'data on outstanding creditors'!$C1367&amp;" "&amp;'data on outstanding creditors'!$D1367&amp;" "&amp;TEXT('data on outstanding creditors'!$E1367,"#,##0.00")</f>
        <v>บ.วนา VIN2500102 92,000.00</v>
      </c>
      <c r="U1367" s="12"/>
    </row>
    <row r="1368" ht="13.5" customHeight="1">
      <c r="A1368" s="1"/>
      <c r="B1368" s="2">
        <v>45882.0</v>
      </c>
      <c r="C1368" s="9" t="s">
        <v>520</v>
      </c>
      <c r="D1368" s="1" t="s">
        <v>1907</v>
      </c>
      <c r="E1368" s="4">
        <v>170000.0</v>
      </c>
      <c r="F1368" s="4"/>
      <c r="G1368" s="4"/>
      <c r="H1368" s="4">
        <f>'data on outstanding creditors'!$E1368-'data on outstanding creditors'!$F1368-'data on outstanding creditors'!$G1368</f>
        <v>170000</v>
      </c>
      <c r="I1368" s="2"/>
      <c r="J1368" s="1" t="s">
        <v>757</v>
      </c>
      <c r="K1368" s="2">
        <v>45943.0</v>
      </c>
      <c r="L1368" s="5"/>
      <c r="M1368" s="9" t="s">
        <v>22</v>
      </c>
      <c r="N1368" s="9" t="s">
        <v>23</v>
      </c>
      <c r="O1368" s="10">
        <f>'data on outstanding creditors'!$E1368*100/107</f>
        <v>158878.5047</v>
      </c>
      <c r="P1368" s="10">
        <f>'data on outstanding creditors'!$E1368-'data on outstanding creditors'!$O1368</f>
        <v>11121.49533</v>
      </c>
      <c r="Q1368" s="7">
        <f>DAY('data on outstanding creditors'!$B1368)</f>
        <v>13</v>
      </c>
      <c r="R1368" s="7">
        <f>MONTH('data on outstanding creditors'!$B1368)</f>
        <v>8</v>
      </c>
      <c r="S1368" s="7">
        <f>YEAR('data on outstanding creditors'!$B1368)</f>
        <v>2025</v>
      </c>
      <c r="T1368" s="11" t="str">
        <f>'data on outstanding creditors'!$C1368&amp;" "&amp;'data on outstanding creditors'!$D1368&amp;" "&amp;TEXT('data on outstanding creditors'!$E1368,"#,##0.00")</f>
        <v>บ.ซิลลิคฟาร์มา 1317835919 170,000.00</v>
      </c>
      <c r="U1368" s="12"/>
    </row>
    <row r="1369" ht="13.5" customHeight="1">
      <c r="A1369" s="1"/>
      <c r="B1369" s="2">
        <v>45883.0</v>
      </c>
      <c r="C1369" s="9" t="s">
        <v>520</v>
      </c>
      <c r="D1369" s="1" t="s">
        <v>1908</v>
      </c>
      <c r="E1369" s="4">
        <v>58850.0</v>
      </c>
      <c r="F1369" s="4"/>
      <c r="G1369" s="4"/>
      <c r="H1369" s="4">
        <f>'data on outstanding creditors'!$E1369-'data on outstanding creditors'!$F1369-'data on outstanding creditors'!$G1369</f>
        <v>58850</v>
      </c>
      <c r="I1369" s="2"/>
      <c r="J1369" s="1" t="s">
        <v>757</v>
      </c>
      <c r="K1369" s="2">
        <v>45967.0</v>
      </c>
      <c r="L1369" s="5"/>
      <c r="M1369" s="9" t="s">
        <v>22</v>
      </c>
      <c r="N1369" s="9" t="s">
        <v>23</v>
      </c>
      <c r="O1369" s="10">
        <f>'data on outstanding creditors'!$E1369*100/107</f>
        <v>55000</v>
      </c>
      <c r="P1369" s="10">
        <f>'data on outstanding creditors'!$E1369-'data on outstanding creditors'!$O1369</f>
        <v>3850</v>
      </c>
      <c r="Q1369" s="7">
        <f>DAY('data on outstanding creditors'!$B1369)</f>
        <v>14</v>
      </c>
      <c r="R1369" s="7">
        <f>MONTH('data on outstanding creditors'!$B1369)</f>
        <v>8</v>
      </c>
      <c r="S1369" s="7">
        <f>YEAR('data on outstanding creditors'!$B1369)</f>
        <v>2025</v>
      </c>
      <c r="T1369" s="11" t="str">
        <f>'data on outstanding creditors'!$C1369&amp;" "&amp;'data on outstanding creditors'!$D1369&amp;" "&amp;TEXT('data on outstanding creditors'!$E1369,"#,##0.00")</f>
        <v>บ.ซิลลิคฟาร์มา 1317843917 58,850.00</v>
      </c>
      <c r="U1369" s="12"/>
    </row>
    <row r="1370" ht="13.5" customHeight="1">
      <c r="A1370" s="1"/>
      <c r="B1370" s="2">
        <v>45883.0</v>
      </c>
      <c r="C1370" s="9" t="s">
        <v>1314</v>
      </c>
      <c r="D1370" s="1" t="s">
        <v>1909</v>
      </c>
      <c r="E1370" s="4">
        <v>16000.0</v>
      </c>
      <c r="F1370" s="4"/>
      <c r="G1370" s="4"/>
      <c r="H1370" s="4">
        <f>'data on outstanding creditors'!$E1370-'data on outstanding creditors'!$F1370-'data on outstanding creditors'!$G1370</f>
        <v>16000</v>
      </c>
      <c r="I1370" s="2"/>
      <c r="J1370" s="1" t="s">
        <v>646</v>
      </c>
      <c r="K1370" s="2">
        <v>45954.0</v>
      </c>
      <c r="L1370" s="5"/>
      <c r="M1370" s="9" t="s">
        <v>22</v>
      </c>
      <c r="N1370" s="9" t="s">
        <v>23</v>
      </c>
      <c r="O1370" s="10">
        <f>'data on outstanding creditors'!$E1370*100/107</f>
        <v>14953.27103</v>
      </c>
      <c r="P1370" s="10">
        <f>'data on outstanding creditors'!$E1370-'data on outstanding creditors'!$O1370</f>
        <v>1046.728972</v>
      </c>
      <c r="Q1370" s="7">
        <f>DAY('data on outstanding creditors'!$B1370)</f>
        <v>14</v>
      </c>
      <c r="R1370" s="7">
        <f>MONTH('data on outstanding creditors'!$B1370)</f>
        <v>8</v>
      </c>
      <c r="S1370" s="7">
        <f>YEAR('data on outstanding creditors'!$B1370)</f>
        <v>2025</v>
      </c>
      <c r="T1370" s="11" t="str">
        <f>'data on outstanding creditors'!$C1370&amp;" "&amp;'data on outstanding creditors'!$D1370&amp;" "&amp;TEXT('data on outstanding creditors'!$E1370,"#,##0.00")</f>
        <v>บ.บูรพา ฟาร์มา DSP6801732 16,000.00</v>
      </c>
      <c r="U1370" s="12"/>
    </row>
    <row r="1371" ht="13.5" customHeight="1">
      <c r="A1371" s="1"/>
      <c r="B1371" s="2">
        <v>45883.0</v>
      </c>
      <c r="C1371" s="9" t="s">
        <v>1349</v>
      </c>
      <c r="D1371" s="1" t="s">
        <v>1910</v>
      </c>
      <c r="E1371" s="4">
        <v>5670.0</v>
      </c>
      <c r="F1371" s="4"/>
      <c r="G1371" s="4"/>
      <c r="H1371" s="4">
        <f>'data on outstanding creditors'!$E1371-'data on outstanding creditors'!$F1371-'data on outstanding creditors'!$G1371</f>
        <v>5670</v>
      </c>
      <c r="I1371" s="2"/>
      <c r="J1371" s="1" t="s">
        <v>646</v>
      </c>
      <c r="K1371" s="2">
        <v>45944.0</v>
      </c>
      <c r="L1371" s="5"/>
      <c r="M1371" s="9" t="s">
        <v>22</v>
      </c>
      <c r="N1371" s="9" t="s">
        <v>23</v>
      </c>
      <c r="O1371" s="10">
        <f>'data on outstanding creditors'!$E1371*100/107</f>
        <v>5299.065421</v>
      </c>
      <c r="P1371" s="10">
        <f>'data on outstanding creditors'!$E1371-'data on outstanding creditors'!$O1371</f>
        <v>370.9345794</v>
      </c>
      <c r="Q1371" s="7">
        <f>DAY('data on outstanding creditors'!$B1371)</f>
        <v>14</v>
      </c>
      <c r="R1371" s="7">
        <f>MONTH('data on outstanding creditors'!$B1371)</f>
        <v>8</v>
      </c>
      <c r="S1371" s="7">
        <f>YEAR('data on outstanding creditors'!$B1371)</f>
        <v>2025</v>
      </c>
      <c r="T1371" s="11" t="str">
        <f>'data on outstanding creditors'!$C1371&amp;" "&amp;'data on outstanding creditors'!$D1371&amp;" "&amp;TEXT('data on outstanding creditors'!$E1371,"#,##0.00")</f>
        <v>บ.ฟาร์มาดิกา DIS250806-067 5,670.00</v>
      </c>
      <c r="U1371" s="12"/>
    </row>
    <row r="1372" ht="13.5" customHeight="1">
      <c r="A1372" s="1"/>
      <c r="B1372" s="2">
        <v>45883.0</v>
      </c>
      <c r="C1372" s="9" t="s">
        <v>1766</v>
      </c>
      <c r="D1372" s="1" t="s">
        <v>1911</v>
      </c>
      <c r="E1372" s="4">
        <v>9500.0</v>
      </c>
      <c r="F1372" s="4"/>
      <c r="G1372" s="4"/>
      <c r="H1372" s="4">
        <f>'data on outstanding creditors'!$E1372-'data on outstanding creditors'!$F1372-'data on outstanding creditors'!$G1372</f>
        <v>9500</v>
      </c>
      <c r="I1372" s="2"/>
      <c r="J1372" s="1" t="s">
        <v>646</v>
      </c>
      <c r="K1372" s="2">
        <v>45915.0</v>
      </c>
      <c r="L1372" s="5"/>
      <c r="M1372" s="9" t="s">
        <v>22</v>
      </c>
      <c r="N1372" s="9" t="s">
        <v>23</v>
      </c>
      <c r="O1372" s="10">
        <f>'data on outstanding creditors'!$E1372*100/107</f>
        <v>8878.504673</v>
      </c>
      <c r="P1372" s="10">
        <f>'data on outstanding creditors'!$E1372-'data on outstanding creditors'!$O1372</f>
        <v>621.4953271</v>
      </c>
      <c r="Q1372" s="7">
        <f>DAY('data on outstanding creditors'!$B1372)</f>
        <v>14</v>
      </c>
      <c r="R1372" s="7">
        <f>MONTH('data on outstanding creditors'!$B1372)</f>
        <v>8</v>
      </c>
      <c r="S1372" s="7">
        <f>YEAR('data on outstanding creditors'!$B1372)</f>
        <v>2025</v>
      </c>
      <c r="T1372" s="11" t="str">
        <f>'data on outstanding creditors'!$C1372&amp;" "&amp;'data on outstanding creditors'!$D1372&amp;" "&amp;TEXT('data on outstanding creditors'!$E1372,"#,##0.00")</f>
        <v>สำนักงานคณะกรรมการอาหารและยา ช.68/18673 9,500.00</v>
      </c>
      <c r="U1372" s="12"/>
    </row>
    <row r="1373" ht="13.5" customHeight="1">
      <c r="A1373" s="1"/>
      <c r="B1373" s="2">
        <v>45883.0</v>
      </c>
      <c r="C1373" s="9" t="s">
        <v>1766</v>
      </c>
      <c r="D1373" s="1" t="s">
        <v>1912</v>
      </c>
      <c r="E1373" s="4">
        <v>4000.0</v>
      </c>
      <c r="F1373" s="4"/>
      <c r="G1373" s="4"/>
      <c r="H1373" s="4">
        <f>'data on outstanding creditors'!$E1373-'data on outstanding creditors'!$F1373-'data on outstanding creditors'!$G1373</f>
        <v>4000</v>
      </c>
      <c r="I1373" s="2"/>
      <c r="J1373" s="1" t="s">
        <v>646</v>
      </c>
      <c r="K1373" s="2">
        <v>45915.0</v>
      </c>
      <c r="L1373" s="5"/>
      <c r="M1373" s="9" t="s">
        <v>22</v>
      </c>
      <c r="N1373" s="9" t="s">
        <v>23</v>
      </c>
      <c r="O1373" s="10">
        <f>'data on outstanding creditors'!$E1373*100/107</f>
        <v>3738.317757</v>
      </c>
      <c r="P1373" s="10">
        <f>'data on outstanding creditors'!$E1373-'data on outstanding creditors'!$O1373</f>
        <v>261.682243</v>
      </c>
      <c r="Q1373" s="7">
        <f>DAY('data on outstanding creditors'!$B1373)</f>
        <v>14</v>
      </c>
      <c r="R1373" s="7">
        <f>MONTH('data on outstanding creditors'!$B1373)</f>
        <v>8</v>
      </c>
      <c r="S1373" s="7">
        <f>YEAR('data on outstanding creditors'!$B1373)</f>
        <v>2025</v>
      </c>
      <c r="T1373" s="11" t="str">
        <f>'data on outstanding creditors'!$C1373&amp;" "&amp;'data on outstanding creditors'!$D1373&amp;" "&amp;TEXT('data on outstanding creditors'!$E1373,"#,##0.00")</f>
        <v>สำนักงานคณะกรรมการอาหารและยา ช.68/18699 4,000.00</v>
      </c>
      <c r="U1373" s="12"/>
    </row>
    <row r="1374" ht="13.5" customHeight="1">
      <c r="A1374" s="1"/>
      <c r="B1374" s="2">
        <v>45883.0</v>
      </c>
      <c r="C1374" s="9" t="s">
        <v>1243</v>
      </c>
      <c r="D1374" s="1" t="s">
        <v>1913</v>
      </c>
      <c r="E1374" s="4">
        <v>50000.0</v>
      </c>
      <c r="F1374" s="4"/>
      <c r="G1374" s="4"/>
      <c r="H1374" s="4">
        <f>'data on outstanding creditors'!$E1374-'data on outstanding creditors'!$F1374-'data on outstanding creditors'!$G1374</f>
        <v>50000</v>
      </c>
      <c r="I1374" s="2"/>
      <c r="J1374" s="1" t="s">
        <v>757</v>
      </c>
      <c r="K1374" s="2">
        <v>45912.0</v>
      </c>
      <c r="L1374" s="5"/>
      <c r="M1374" s="9" t="s">
        <v>22</v>
      </c>
      <c r="N1374" s="9" t="s">
        <v>23</v>
      </c>
      <c r="O1374" s="10">
        <f>'data on outstanding creditors'!$E1374*100/107</f>
        <v>46728.97196</v>
      </c>
      <c r="P1374" s="10">
        <f>'data on outstanding creditors'!$E1374-'data on outstanding creditors'!$O1374</f>
        <v>3271.028037</v>
      </c>
      <c r="Q1374" s="7">
        <f>DAY('data on outstanding creditors'!$B1374)</f>
        <v>14</v>
      </c>
      <c r="R1374" s="7">
        <f>MONTH('data on outstanding creditors'!$B1374)</f>
        <v>8</v>
      </c>
      <c r="S1374" s="7">
        <f>YEAR('data on outstanding creditors'!$B1374)</f>
        <v>2025</v>
      </c>
      <c r="T1374" s="11" t="str">
        <f>'data on outstanding creditors'!$C1374&amp;" "&amp;'data on outstanding creditors'!$D1374&amp;" "&amp;TEXT('data on outstanding creditors'!$E1374,"#,##0.00")</f>
        <v>บ.วี.แอนด์.วี.กรุงเทพ 8103504527 50,000.00</v>
      </c>
      <c r="U1374" s="12"/>
    </row>
    <row r="1375" ht="13.5" customHeight="1">
      <c r="A1375" s="1"/>
      <c r="B1375" s="2">
        <v>45883.0</v>
      </c>
      <c r="C1375" s="9" t="s">
        <v>1402</v>
      </c>
      <c r="D1375" s="1" t="s">
        <v>1914</v>
      </c>
      <c r="E1375" s="4">
        <v>18720.0</v>
      </c>
      <c r="F1375" s="4"/>
      <c r="G1375" s="4"/>
      <c r="H1375" s="4">
        <f>'data on outstanding creditors'!$E1375-'data on outstanding creditors'!$F1375-'data on outstanding creditors'!$G1375</f>
        <v>18720</v>
      </c>
      <c r="I1375" s="2"/>
      <c r="J1375" s="1" t="s">
        <v>757</v>
      </c>
      <c r="K1375" s="2">
        <v>45912.0</v>
      </c>
      <c r="L1375" s="5"/>
      <c r="M1375" s="9" t="s">
        <v>22</v>
      </c>
      <c r="N1375" s="9" t="s">
        <v>23</v>
      </c>
      <c r="O1375" s="10">
        <f>'data on outstanding creditors'!$E1375*100/107</f>
        <v>17495.3271</v>
      </c>
      <c r="P1375" s="10">
        <f>'data on outstanding creditors'!$E1375-'data on outstanding creditors'!$O1375</f>
        <v>1224.672897</v>
      </c>
      <c r="Q1375" s="7">
        <f>DAY('data on outstanding creditors'!$B1375)</f>
        <v>14</v>
      </c>
      <c r="R1375" s="7">
        <f>MONTH('data on outstanding creditors'!$B1375)</f>
        <v>8</v>
      </c>
      <c r="S1375" s="7">
        <f>YEAR('data on outstanding creditors'!$B1375)</f>
        <v>2025</v>
      </c>
      <c r="T1375" s="11" t="str">
        <f>'data on outstanding creditors'!$C1375&amp;" "&amp;'data on outstanding creditors'!$D1375&amp;" "&amp;TEXT('data on outstanding creditors'!$E1375,"#,##0.00")</f>
        <v>บ.โรงงานเภสัชกรรมแหลมทองการแพทย์ IV6808/0082 18,720.00</v>
      </c>
      <c r="U1375" s="12"/>
    </row>
    <row r="1376" ht="13.5" customHeight="1">
      <c r="A1376" s="1"/>
      <c r="B1376" s="2">
        <v>45883.0</v>
      </c>
      <c r="C1376" s="9" t="s">
        <v>1560</v>
      </c>
      <c r="D1376" s="1" t="s">
        <v>1915</v>
      </c>
      <c r="E1376" s="4">
        <v>20216.8</v>
      </c>
      <c r="F1376" s="4"/>
      <c r="G1376" s="4"/>
      <c r="H1376" s="4">
        <f>'data on outstanding creditors'!$E1376-'data on outstanding creditors'!$F1376-'data on outstanding creditors'!$G1376</f>
        <v>20216.8</v>
      </c>
      <c r="I1376" s="2"/>
      <c r="J1376" s="1" t="s">
        <v>646</v>
      </c>
      <c r="K1376" s="2">
        <v>45944.0</v>
      </c>
      <c r="L1376" s="5"/>
      <c r="M1376" s="9" t="s">
        <v>22</v>
      </c>
      <c r="N1376" s="9" t="s">
        <v>23</v>
      </c>
      <c r="O1376" s="10">
        <f>'data on outstanding creditors'!$E1376*100/107</f>
        <v>18894.20561</v>
      </c>
      <c r="P1376" s="10">
        <f>'data on outstanding creditors'!$E1376-'data on outstanding creditors'!$O1376</f>
        <v>1322.594393</v>
      </c>
      <c r="Q1376" s="7">
        <f>DAY('data on outstanding creditors'!$B1376)</f>
        <v>14</v>
      </c>
      <c r="R1376" s="7">
        <f>MONTH('data on outstanding creditors'!$B1376)</f>
        <v>8</v>
      </c>
      <c r="S1376" s="7">
        <f>YEAR('data on outstanding creditors'!$B1376)</f>
        <v>2025</v>
      </c>
      <c r="T1376" s="11" t="str">
        <f>'data on outstanding creditors'!$C1376&amp;" "&amp;'data on outstanding creditors'!$D1376&amp;" "&amp;TEXT('data on outstanding creditors'!$E1376,"#,##0.00")</f>
        <v>บ.ยูนีซัน 108000005499 20,216.80</v>
      </c>
      <c r="U1376" s="12"/>
    </row>
    <row r="1377" ht="13.5" customHeight="1">
      <c r="A1377" s="1"/>
      <c r="B1377" s="2">
        <v>45883.0</v>
      </c>
      <c r="C1377" s="9" t="s">
        <v>399</v>
      </c>
      <c r="D1377" s="1" t="s">
        <v>1916</v>
      </c>
      <c r="E1377" s="4">
        <v>17120.0</v>
      </c>
      <c r="F1377" s="4"/>
      <c r="G1377" s="4"/>
      <c r="H1377" s="4">
        <f>'data on outstanding creditors'!$E1377-'data on outstanding creditors'!$F1377-'data on outstanding creditors'!$G1377</f>
        <v>17120</v>
      </c>
      <c r="I1377" s="2"/>
      <c r="J1377" s="1" t="s">
        <v>646</v>
      </c>
      <c r="K1377" s="2">
        <v>45943.0</v>
      </c>
      <c r="L1377" s="5"/>
      <c r="M1377" s="9" t="s">
        <v>22</v>
      </c>
      <c r="N1377" s="9" t="s">
        <v>23</v>
      </c>
      <c r="O1377" s="10">
        <f>'data on outstanding creditors'!$E1377*100/107</f>
        <v>16000</v>
      </c>
      <c r="P1377" s="10">
        <f>'data on outstanding creditors'!$E1377-'data on outstanding creditors'!$O1377</f>
        <v>1120</v>
      </c>
      <c r="Q1377" s="7">
        <f>DAY('data on outstanding creditors'!$B1377)</f>
        <v>14</v>
      </c>
      <c r="R1377" s="7">
        <f>MONTH('data on outstanding creditors'!$B1377)</f>
        <v>8</v>
      </c>
      <c r="S1377" s="7">
        <f>YEAR('data on outstanding creditors'!$B1377)</f>
        <v>2025</v>
      </c>
      <c r="T1377" s="11" t="str">
        <f>'data on outstanding creditors'!$C1377&amp;" "&amp;'data on outstanding creditors'!$D1377&amp;" "&amp;TEXT('data on outstanding creditors'!$E1377,"#,##0.00")</f>
        <v>บ.ดีเคเอสเอช(ประเทศไทย) 5344130755 17,120.00</v>
      </c>
      <c r="U1377" s="12"/>
    </row>
    <row r="1378" ht="13.5" customHeight="1">
      <c r="A1378" s="1"/>
      <c r="B1378" s="2">
        <v>45884.0</v>
      </c>
      <c r="C1378" s="9" t="s">
        <v>1303</v>
      </c>
      <c r="D1378" s="1" t="s">
        <v>1917</v>
      </c>
      <c r="E1378" s="4">
        <v>3338.4</v>
      </c>
      <c r="F1378" s="4"/>
      <c r="G1378" s="4"/>
      <c r="H1378" s="4">
        <f>'data on outstanding creditors'!$E1378-'data on outstanding creditors'!$F1378-'data on outstanding creditors'!$G1378</f>
        <v>3338.4</v>
      </c>
      <c r="I1378" s="2"/>
      <c r="J1378" s="1" t="s">
        <v>646</v>
      </c>
      <c r="K1378" s="2">
        <v>45928.0</v>
      </c>
      <c r="L1378" s="5"/>
      <c r="M1378" s="9" t="s">
        <v>22</v>
      </c>
      <c r="N1378" s="9" t="s">
        <v>23</v>
      </c>
      <c r="O1378" s="10">
        <f>'data on outstanding creditors'!$E1378*100/107</f>
        <v>3120</v>
      </c>
      <c r="P1378" s="10">
        <f>'data on outstanding creditors'!$E1378-'data on outstanding creditors'!$O1378</f>
        <v>218.4</v>
      </c>
      <c r="Q1378" s="7">
        <f>DAY('data on outstanding creditors'!$B1378)</f>
        <v>15</v>
      </c>
      <c r="R1378" s="7">
        <f>MONTH('data on outstanding creditors'!$B1378)</f>
        <v>8</v>
      </c>
      <c r="S1378" s="7">
        <f>YEAR('data on outstanding creditors'!$B1378)</f>
        <v>2025</v>
      </c>
      <c r="T1378" s="11" t="str">
        <f>'data on outstanding creditors'!$C1378&amp;" "&amp;'data on outstanding creditors'!$D1378&amp;" "&amp;TEXT('data on outstanding creditors'!$E1378,"#,##0.00")</f>
        <v>บ.บี.เอ็ล.เอช.เทร็ดดิ้ง 1068018934 3,338.40</v>
      </c>
      <c r="U1378" s="12"/>
    </row>
    <row r="1379" ht="13.5" customHeight="1">
      <c r="A1379" s="1"/>
      <c r="B1379" s="2">
        <v>45884.0</v>
      </c>
      <c r="C1379" s="9" t="s">
        <v>1469</v>
      </c>
      <c r="D1379" s="1" t="s">
        <v>1918</v>
      </c>
      <c r="E1379" s="4">
        <v>42800.0</v>
      </c>
      <c r="F1379" s="4"/>
      <c r="G1379" s="4"/>
      <c r="H1379" s="4">
        <f>'data on outstanding creditors'!$E1379-'data on outstanding creditors'!$F1379-'data on outstanding creditors'!$G1379</f>
        <v>42800</v>
      </c>
      <c r="I1379" s="2"/>
      <c r="J1379" s="1" t="s">
        <v>757</v>
      </c>
      <c r="K1379" s="2">
        <v>45912.0</v>
      </c>
      <c r="L1379" s="5"/>
      <c r="M1379" s="9" t="s">
        <v>22</v>
      </c>
      <c r="N1379" s="9" t="s">
        <v>23</v>
      </c>
      <c r="O1379" s="10">
        <f>'data on outstanding creditors'!$E1379*100/107</f>
        <v>40000</v>
      </c>
      <c r="P1379" s="10">
        <f>'data on outstanding creditors'!$E1379-'data on outstanding creditors'!$O1379</f>
        <v>2800</v>
      </c>
      <c r="Q1379" s="7">
        <f>DAY('data on outstanding creditors'!$B1379)</f>
        <v>15</v>
      </c>
      <c r="R1379" s="7">
        <f>MONTH('data on outstanding creditors'!$B1379)</f>
        <v>8</v>
      </c>
      <c r="S1379" s="7">
        <f>YEAR('data on outstanding creditors'!$B1379)</f>
        <v>2025</v>
      </c>
      <c r="T1379" s="11" t="str">
        <f>'data on outstanding creditors'!$C1379&amp;" "&amp;'data on outstanding creditors'!$D1379&amp;" "&amp;TEXT('data on outstanding creditors'!$E1379,"#,##0.00")</f>
        <v>บ.สยามฟาร์มาซูติคอล 1250802917 42,800.00</v>
      </c>
      <c r="U1379" s="12"/>
    </row>
    <row r="1380" ht="13.5" customHeight="1">
      <c r="A1380" s="1"/>
      <c r="B1380" s="2">
        <v>45884.0</v>
      </c>
      <c r="C1380" s="9" t="s">
        <v>922</v>
      </c>
      <c r="D1380" s="1" t="s">
        <v>1919</v>
      </c>
      <c r="E1380" s="4">
        <v>21000.0</v>
      </c>
      <c r="F1380" s="4"/>
      <c r="G1380" s="4"/>
      <c r="H1380" s="4">
        <f>'data on outstanding creditors'!$E1380-'data on outstanding creditors'!$F1380-'data on outstanding creditors'!$G1380</f>
        <v>21000</v>
      </c>
      <c r="I1380" s="2"/>
      <c r="J1380" s="1" t="s">
        <v>757</v>
      </c>
      <c r="K1380" s="2">
        <v>45912.0</v>
      </c>
      <c r="L1380" s="5"/>
      <c r="M1380" s="9" t="s">
        <v>22</v>
      </c>
      <c r="N1380" s="9" t="s">
        <v>23</v>
      </c>
      <c r="O1380" s="10">
        <f>'data on outstanding creditors'!$E1380*100/107</f>
        <v>19626.16822</v>
      </c>
      <c r="P1380" s="10">
        <f>'data on outstanding creditors'!$E1380-'data on outstanding creditors'!$O1380</f>
        <v>1373.831776</v>
      </c>
      <c r="Q1380" s="7">
        <f>DAY('data on outstanding creditors'!$B1380)</f>
        <v>15</v>
      </c>
      <c r="R1380" s="7">
        <f>MONTH('data on outstanding creditors'!$B1380)</f>
        <v>8</v>
      </c>
      <c r="S1380" s="7">
        <f>YEAR('data on outstanding creditors'!$B1380)</f>
        <v>2025</v>
      </c>
      <c r="T1380" s="11" t="str">
        <f>'data on outstanding creditors'!$C1380&amp;" "&amp;'data on outstanding creditors'!$D1380&amp;" "&amp;TEXT('data on outstanding creditors'!$E1380,"#,##0.00")</f>
        <v>บ.เบอร์ลินฟาร์มาซูติคอลอินดัสตรี้ 6801801806 21,000.00</v>
      </c>
      <c r="U1380" s="12"/>
    </row>
    <row r="1381" ht="13.5" customHeight="1">
      <c r="A1381" s="1"/>
      <c r="B1381" s="2">
        <v>45884.0</v>
      </c>
      <c r="C1381" s="9" t="s">
        <v>1297</v>
      </c>
      <c r="D1381" s="1" t="s">
        <v>1920</v>
      </c>
      <c r="E1381" s="4">
        <v>45520.0</v>
      </c>
      <c r="F1381" s="4"/>
      <c r="G1381" s="4"/>
      <c r="H1381" s="4">
        <f>'data on outstanding creditors'!$E1381-'data on outstanding creditors'!$F1381-'data on outstanding creditors'!$G1381</f>
        <v>45520</v>
      </c>
      <c r="I1381" s="2"/>
      <c r="J1381" s="1" t="s">
        <v>646</v>
      </c>
      <c r="K1381" s="2">
        <v>45928.0</v>
      </c>
      <c r="L1381" s="5"/>
      <c r="M1381" s="9" t="s">
        <v>22</v>
      </c>
      <c r="N1381" s="9" t="s">
        <v>23</v>
      </c>
      <c r="O1381" s="10">
        <f>'data on outstanding creditors'!$E1381*100/107</f>
        <v>42542.05607</v>
      </c>
      <c r="P1381" s="10">
        <f>'data on outstanding creditors'!$E1381-'data on outstanding creditors'!$O1381</f>
        <v>2977.943925</v>
      </c>
      <c r="Q1381" s="7">
        <f>DAY('data on outstanding creditors'!$B1381)</f>
        <v>15</v>
      </c>
      <c r="R1381" s="7">
        <f>MONTH('data on outstanding creditors'!$B1381)</f>
        <v>8</v>
      </c>
      <c r="S1381" s="7">
        <f>YEAR('data on outstanding creditors'!$B1381)</f>
        <v>2025</v>
      </c>
      <c r="T1381" s="11" t="str">
        <f>'data on outstanding creditors'!$C1381&amp;" "&amp;'data on outstanding creditors'!$D1381&amp;" "&amp;TEXT('data on outstanding creditors'!$E1381,"#,##0.00")</f>
        <v>บ.แอตแลนติค ฟาร์มาซูติคอล PIN2527529 45,520.00</v>
      </c>
      <c r="U1381" s="12"/>
    </row>
    <row r="1382" ht="13.5" customHeight="1">
      <c r="A1382" s="1"/>
      <c r="B1382" s="2">
        <v>45884.0</v>
      </c>
      <c r="C1382" s="9" t="s">
        <v>1243</v>
      </c>
      <c r="D1382" s="1" t="s">
        <v>1921</v>
      </c>
      <c r="E1382" s="4">
        <v>46000.0</v>
      </c>
      <c r="F1382" s="4"/>
      <c r="G1382" s="4"/>
      <c r="H1382" s="4">
        <f>'data on outstanding creditors'!$E1382-'data on outstanding creditors'!$F1382-'data on outstanding creditors'!$G1382</f>
        <v>46000</v>
      </c>
      <c r="I1382" s="2"/>
      <c r="J1382" s="1" t="s">
        <v>757</v>
      </c>
      <c r="K1382" s="2">
        <v>45918.0</v>
      </c>
      <c r="L1382" s="5"/>
      <c r="M1382" s="9" t="s">
        <v>22</v>
      </c>
      <c r="N1382" s="9" t="s">
        <v>23</v>
      </c>
      <c r="O1382" s="10">
        <f>'data on outstanding creditors'!$E1382*100/107</f>
        <v>42990.65421</v>
      </c>
      <c r="P1382" s="10">
        <f>'data on outstanding creditors'!$E1382-'data on outstanding creditors'!$O1382</f>
        <v>3009.345794</v>
      </c>
      <c r="Q1382" s="7">
        <f>DAY('data on outstanding creditors'!$B1382)</f>
        <v>15</v>
      </c>
      <c r="R1382" s="7">
        <f>MONTH('data on outstanding creditors'!$B1382)</f>
        <v>8</v>
      </c>
      <c r="S1382" s="7">
        <f>YEAR('data on outstanding creditors'!$B1382)</f>
        <v>2025</v>
      </c>
      <c r="T1382" s="11" t="str">
        <f>'data on outstanding creditors'!$C1382&amp;" "&amp;'data on outstanding creditors'!$D1382&amp;" "&amp;TEXT('data on outstanding creditors'!$E1382,"#,##0.00")</f>
        <v>บ.วี.แอนด์.วี.กรุงเทพ 8103504528 46,000.00</v>
      </c>
      <c r="U1382" s="12"/>
    </row>
    <row r="1383" ht="13.5" customHeight="1">
      <c r="A1383" s="1"/>
      <c r="B1383" s="2">
        <v>45884.0</v>
      </c>
      <c r="C1383" s="9" t="s">
        <v>396</v>
      </c>
      <c r="D1383" s="1" t="s">
        <v>1922</v>
      </c>
      <c r="E1383" s="4">
        <v>26750.0</v>
      </c>
      <c r="F1383" s="4"/>
      <c r="G1383" s="4"/>
      <c r="H1383" s="4">
        <f>'data on outstanding creditors'!$E1383-'data on outstanding creditors'!$F1383-'data on outstanding creditors'!$G1383</f>
        <v>26750</v>
      </c>
      <c r="I1383" s="2"/>
      <c r="J1383" s="1" t="s">
        <v>757</v>
      </c>
      <c r="K1383" s="2">
        <v>45939.0</v>
      </c>
      <c r="L1383" s="5"/>
      <c r="M1383" s="9" t="s">
        <v>22</v>
      </c>
      <c r="N1383" s="9" t="s">
        <v>23</v>
      </c>
      <c r="O1383" s="10">
        <f>'data on outstanding creditors'!$E1383*100/107</f>
        <v>25000</v>
      </c>
      <c r="P1383" s="10">
        <f>'data on outstanding creditors'!$E1383-'data on outstanding creditors'!$O1383</f>
        <v>1750</v>
      </c>
      <c r="Q1383" s="7">
        <f>DAY('data on outstanding creditors'!$B1383)</f>
        <v>15</v>
      </c>
      <c r="R1383" s="7">
        <f>MONTH('data on outstanding creditors'!$B1383)</f>
        <v>8</v>
      </c>
      <c r="S1383" s="7">
        <f>YEAR('data on outstanding creditors'!$B1383)</f>
        <v>2025</v>
      </c>
      <c r="T1383" s="11" t="str">
        <f>'data on outstanding creditors'!$C1383&amp;" "&amp;'data on outstanding creditors'!$D1383&amp;" "&amp;TEXT('data on outstanding creditors'!$E1383,"#,##0.00")</f>
        <v>บ.เยเนอรัล ฮอสปิตัล โปรดัคส์ 25IN08081608 26,750.00</v>
      </c>
      <c r="U1383" s="12"/>
    </row>
    <row r="1384" ht="13.5" customHeight="1">
      <c r="A1384" s="1"/>
      <c r="B1384" s="2">
        <v>45884.0</v>
      </c>
      <c r="C1384" s="9" t="s">
        <v>396</v>
      </c>
      <c r="D1384" s="1" t="s">
        <v>1923</v>
      </c>
      <c r="E1384" s="4">
        <v>43600.0</v>
      </c>
      <c r="F1384" s="4"/>
      <c r="G1384" s="4"/>
      <c r="H1384" s="4">
        <f>'data on outstanding creditors'!$E1384-'data on outstanding creditors'!$F1384-'data on outstanding creditors'!$G1384</f>
        <v>43600</v>
      </c>
      <c r="I1384" s="2"/>
      <c r="J1384" s="1" t="s">
        <v>757</v>
      </c>
      <c r="K1384" s="2">
        <v>45926.0</v>
      </c>
      <c r="L1384" s="5"/>
      <c r="M1384" s="9" t="s">
        <v>22</v>
      </c>
      <c r="N1384" s="9" t="s">
        <v>23</v>
      </c>
      <c r="O1384" s="10">
        <f>'data on outstanding creditors'!$E1384*100/107</f>
        <v>40747.66355</v>
      </c>
      <c r="P1384" s="10">
        <f>'data on outstanding creditors'!$E1384-'data on outstanding creditors'!$O1384</f>
        <v>2852.336449</v>
      </c>
      <c r="Q1384" s="7">
        <f>DAY('data on outstanding creditors'!$B1384)</f>
        <v>15</v>
      </c>
      <c r="R1384" s="7">
        <f>MONTH('data on outstanding creditors'!$B1384)</f>
        <v>8</v>
      </c>
      <c r="S1384" s="7">
        <f>YEAR('data on outstanding creditors'!$B1384)</f>
        <v>2025</v>
      </c>
      <c r="T1384" s="11" t="str">
        <f>'data on outstanding creditors'!$C1384&amp;" "&amp;'data on outstanding creditors'!$D1384&amp;" "&amp;TEXT('data on outstanding creditors'!$E1384,"#,##0.00")</f>
        <v>บ.เยเนอรัล ฮอสปิตัล โปรดัคส์ 25IN08081023 43,600.00</v>
      </c>
      <c r="U1384" s="12"/>
    </row>
    <row r="1385" ht="13.5" customHeight="1">
      <c r="A1385" s="1"/>
      <c r="B1385" s="2">
        <v>45884.0</v>
      </c>
      <c r="C1385" s="9" t="s">
        <v>1243</v>
      </c>
      <c r="D1385" s="1" t="s">
        <v>1924</v>
      </c>
      <c r="E1385" s="4">
        <v>24000.0</v>
      </c>
      <c r="F1385" s="4"/>
      <c r="G1385" s="4"/>
      <c r="H1385" s="4">
        <f>'data on outstanding creditors'!$E1385-'data on outstanding creditors'!$F1385-'data on outstanding creditors'!$G1385</f>
        <v>24000</v>
      </c>
      <c r="I1385" s="2"/>
      <c r="J1385" s="1" t="s">
        <v>757</v>
      </c>
      <c r="K1385" s="2">
        <v>45926.0</v>
      </c>
      <c r="L1385" s="5"/>
      <c r="M1385" s="9" t="s">
        <v>22</v>
      </c>
      <c r="N1385" s="9" t="s">
        <v>23</v>
      </c>
      <c r="O1385" s="10">
        <f>'data on outstanding creditors'!$E1385*100/107</f>
        <v>22429.90654</v>
      </c>
      <c r="P1385" s="10">
        <f>'data on outstanding creditors'!$E1385-'data on outstanding creditors'!$O1385</f>
        <v>1570.093458</v>
      </c>
      <c r="Q1385" s="7">
        <f>DAY('data on outstanding creditors'!$B1385)</f>
        <v>15</v>
      </c>
      <c r="R1385" s="7">
        <f>MONTH('data on outstanding creditors'!$B1385)</f>
        <v>8</v>
      </c>
      <c r="S1385" s="7">
        <f>YEAR('data on outstanding creditors'!$B1385)</f>
        <v>2025</v>
      </c>
      <c r="T1385" s="11" t="str">
        <f>'data on outstanding creditors'!$C1385&amp;" "&amp;'data on outstanding creditors'!$D1385&amp;" "&amp;TEXT('data on outstanding creditors'!$E1385,"#,##0.00")</f>
        <v>บ.วี.แอนด์.วี.กรุงเทพ 8103510763 24,000.00</v>
      </c>
      <c r="U1385" s="12"/>
    </row>
    <row r="1386" ht="13.5" customHeight="1">
      <c r="A1386" s="1"/>
      <c r="B1386" s="2">
        <v>45884.0</v>
      </c>
      <c r="C1386" s="9" t="s">
        <v>396</v>
      </c>
      <c r="D1386" s="1" t="s">
        <v>1925</v>
      </c>
      <c r="E1386" s="4">
        <v>31200.0</v>
      </c>
      <c r="F1386" s="4"/>
      <c r="G1386" s="4"/>
      <c r="H1386" s="4">
        <f>'data on outstanding creditors'!$E1386-'data on outstanding creditors'!$F1386-'data on outstanding creditors'!$G1386</f>
        <v>31200</v>
      </c>
      <c r="I1386" s="2"/>
      <c r="J1386" s="1" t="s">
        <v>757</v>
      </c>
      <c r="K1386" s="2">
        <v>45926.0</v>
      </c>
      <c r="L1386" s="5"/>
      <c r="M1386" s="9" t="s">
        <v>22</v>
      </c>
      <c r="N1386" s="9" t="s">
        <v>23</v>
      </c>
      <c r="O1386" s="10">
        <f>'data on outstanding creditors'!$E1386*100/107</f>
        <v>29158.8785</v>
      </c>
      <c r="P1386" s="10">
        <f>'data on outstanding creditors'!$E1386-'data on outstanding creditors'!$O1386</f>
        <v>2041.121495</v>
      </c>
      <c r="Q1386" s="7">
        <f>DAY('data on outstanding creditors'!$B1386)</f>
        <v>15</v>
      </c>
      <c r="R1386" s="7">
        <f>MONTH('data on outstanding creditors'!$B1386)</f>
        <v>8</v>
      </c>
      <c r="S1386" s="7">
        <f>YEAR('data on outstanding creditors'!$B1386)</f>
        <v>2025</v>
      </c>
      <c r="T1386" s="11" t="str">
        <f>'data on outstanding creditors'!$C1386&amp;" "&amp;'data on outstanding creditors'!$D1386&amp;" "&amp;TEXT('data on outstanding creditors'!$E1386,"#,##0.00")</f>
        <v>บ.เยเนอรัล ฮอสปิตัล โปรดัคส์ 25IN08081607 31,200.00</v>
      </c>
      <c r="U1386" s="12"/>
    </row>
    <row r="1387" ht="13.5" customHeight="1">
      <c r="A1387" s="1"/>
      <c r="B1387" s="2">
        <v>45884.0</v>
      </c>
      <c r="C1387" s="9" t="s">
        <v>520</v>
      </c>
      <c r="D1387" s="1" t="s">
        <v>1926</v>
      </c>
      <c r="E1387" s="4">
        <v>100580.0</v>
      </c>
      <c r="F1387" s="4"/>
      <c r="G1387" s="4"/>
      <c r="H1387" s="4">
        <f>'data on outstanding creditors'!$E1387-'data on outstanding creditors'!$F1387-'data on outstanding creditors'!$G1387</f>
        <v>100580</v>
      </c>
      <c r="I1387" s="2"/>
      <c r="J1387" s="1" t="s">
        <v>757</v>
      </c>
      <c r="K1387" s="2">
        <v>45943.0</v>
      </c>
      <c r="L1387" s="5"/>
      <c r="M1387" s="9" t="s">
        <v>22</v>
      </c>
      <c r="N1387" s="9" t="s">
        <v>23</v>
      </c>
      <c r="O1387" s="10">
        <f>'data on outstanding creditors'!$E1387*100/107</f>
        <v>94000</v>
      </c>
      <c r="P1387" s="10">
        <f>'data on outstanding creditors'!$E1387-'data on outstanding creditors'!$O1387</f>
        <v>6580</v>
      </c>
      <c r="Q1387" s="7">
        <f>DAY('data on outstanding creditors'!$B1387)</f>
        <v>15</v>
      </c>
      <c r="R1387" s="7">
        <f>MONTH('data on outstanding creditors'!$B1387)</f>
        <v>8</v>
      </c>
      <c r="S1387" s="7">
        <f>YEAR('data on outstanding creditors'!$B1387)</f>
        <v>2025</v>
      </c>
      <c r="T1387" s="11" t="str">
        <f>'data on outstanding creditors'!$C1387&amp;" "&amp;'data on outstanding creditors'!$D1387&amp;" "&amp;TEXT('data on outstanding creditors'!$E1387,"#,##0.00")</f>
        <v>บ.ซิลลิคฟาร์มา 1317850268 100,580.00</v>
      </c>
      <c r="U1387" s="12"/>
    </row>
    <row r="1388" ht="13.5" customHeight="1">
      <c r="A1388" s="1"/>
      <c r="B1388" s="2">
        <v>45884.0</v>
      </c>
      <c r="C1388" s="9" t="s">
        <v>520</v>
      </c>
      <c r="D1388" s="1" t="s">
        <v>1927</v>
      </c>
      <c r="E1388" s="4">
        <v>281410.0</v>
      </c>
      <c r="F1388" s="4"/>
      <c r="G1388" s="4"/>
      <c r="H1388" s="4">
        <f>'data on outstanding creditors'!$E1388-'data on outstanding creditors'!$F1388-'data on outstanding creditors'!$G1388</f>
        <v>281410</v>
      </c>
      <c r="I1388" s="2"/>
      <c r="J1388" s="1" t="s">
        <v>757</v>
      </c>
      <c r="K1388" s="2">
        <v>45943.0</v>
      </c>
      <c r="L1388" s="5"/>
      <c r="M1388" s="9" t="s">
        <v>22</v>
      </c>
      <c r="N1388" s="9" t="s">
        <v>23</v>
      </c>
      <c r="O1388" s="10">
        <f>'data on outstanding creditors'!$E1388*100/107</f>
        <v>263000</v>
      </c>
      <c r="P1388" s="10">
        <f>'data on outstanding creditors'!$E1388-'data on outstanding creditors'!$O1388</f>
        <v>18410</v>
      </c>
      <c r="Q1388" s="7">
        <f>DAY('data on outstanding creditors'!$B1388)</f>
        <v>15</v>
      </c>
      <c r="R1388" s="7">
        <f>MONTH('data on outstanding creditors'!$B1388)</f>
        <v>8</v>
      </c>
      <c r="S1388" s="7">
        <f>YEAR('data on outstanding creditors'!$B1388)</f>
        <v>2025</v>
      </c>
      <c r="T1388" s="11" t="str">
        <f>'data on outstanding creditors'!$C1388&amp;" "&amp;'data on outstanding creditors'!$D1388&amp;" "&amp;TEXT('data on outstanding creditors'!$E1388,"#,##0.00")</f>
        <v>บ.ซิลลิคฟาร์มา 1317858594 281,410.00</v>
      </c>
      <c r="U1388" s="12"/>
    </row>
    <row r="1389" ht="13.5" customHeight="1">
      <c r="A1389" s="1"/>
      <c r="B1389" s="2">
        <v>45884.0</v>
      </c>
      <c r="C1389" s="9" t="s">
        <v>520</v>
      </c>
      <c r="D1389" s="1" t="s">
        <v>1928</v>
      </c>
      <c r="E1389" s="4">
        <v>182970.0</v>
      </c>
      <c r="F1389" s="4"/>
      <c r="G1389" s="4"/>
      <c r="H1389" s="4">
        <f>'data on outstanding creditors'!$E1389-'data on outstanding creditors'!$F1389-'data on outstanding creditors'!$G1389</f>
        <v>182970</v>
      </c>
      <c r="I1389" s="2"/>
      <c r="J1389" s="1" t="s">
        <v>757</v>
      </c>
      <c r="K1389" s="2">
        <v>45943.0</v>
      </c>
      <c r="L1389" s="5"/>
      <c r="M1389" s="9" t="s">
        <v>22</v>
      </c>
      <c r="N1389" s="9" t="s">
        <v>23</v>
      </c>
      <c r="O1389" s="10">
        <f>'data on outstanding creditors'!$E1389*100/107</f>
        <v>171000</v>
      </c>
      <c r="P1389" s="10">
        <f>'data on outstanding creditors'!$E1389-'data on outstanding creditors'!$O1389</f>
        <v>11970</v>
      </c>
      <c r="Q1389" s="7">
        <f>DAY('data on outstanding creditors'!$B1389)</f>
        <v>15</v>
      </c>
      <c r="R1389" s="7">
        <f>MONTH('data on outstanding creditors'!$B1389)</f>
        <v>8</v>
      </c>
      <c r="S1389" s="7">
        <f>YEAR('data on outstanding creditors'!$B1389)</f>
        <v>2025</v>
      </c>
      <c r="T1389" s="11" t="str">
        <f>'data on outstanding creditors'!$C1389&amp;" "&amp;'data on outstanding creditors'!$D1389&amp;" "&amp;TEXT('data on outstanding creditors'!$E1389,"#,##0.00")</f>
        <v>บ.ซิลลิคฟาร์มา 1317850655 182,970.00</v>
      </c>
      <c r="U1389" s="12"/>
    </row>
    <row r="1390" ht="13.5" customHeight="1">
      <c r="A1390" s="1"/>
      <c r="B1390" s="2">
        <v>45884.0</v>
      </c>
      <c r="C1390" s="9" t="s">
        <v>771</v>
      </c>
      <c r="D1390" s="1" t="s">
        <v>1929</v>
      </c>
      <c r="E1390" s="4">
        <v>141600.0</v>
      </c>
      <c r="F1390" s="4"/>
      <c r="G1390" s="4"/>
      <c r="H1390" s="4">
        <f>'data on outstanding creditors'!$E1390-'data on outstanding creditors'!$F1390-'data on outstanding creditors'!$G1390</f>
        <v>141600</v>
      </c>
      <c r="I1390" s="2"/>
      <c r="J1390" s="1" t="s">
        <v>757</v>
      </c>
      <c r="K1390" s="2">
        <v>45938.0</v>
      </c>
      <c r="L1390" s="5"/>
      <c r="M1390" s="9" t="s">
        <v>22</v>
      </c>
      <c r="N1390" s="9" t="s">
        <v>23</v>
      </c>
      <c r="O1390" s="10">
        <f>'data on outstanding creditors'!$E1390*100/107</f>
        <v>132336.4486</v>
      </c>
      <c r="P1390" s="10">
        <f>'data on outstanding creditors'!$E1390-'data on outstanding creditors'!$O1390</f>
        <v>9263.551402</v>
      </c>
      <c r="Q1390" s="7">
        <f>DAY('data on outstanding creditors'!$B1390)</f>
        <v>15</v>
      </c>
      <c r="R1390" s="7">
        <f>MONTH('data on outstanding creditors'!$B1390)</f>
        <v>8</v>
      </c>
      <c r="S1390" s="7">
        <f>YEAR('data on outstanding creditors'!$B1390)</f>
        <v>2025</v>
      </c>
      <c r="T1390" s="11" t="str">
        <f>'data on outstanding creditors'!$C1390&amp;" "&amp;'data on outstanding creditors'!$D1390&amp;" "&amp;TEXT('data on outstanding creditors'!$E1390,"#,##0.00")</f>
        <v>หจก.ภิญโญฟาร์มาซี IV6841656 141,600.00</v>
      </c>
      <c r="U1390" s="12"/>
    </row>
    <row r="1391" ht="13.5" customHeight="1">
      <c r="A1391" s="1"/>
      <c r="B1391" s="2">
        <v>45884.0</v>
      </c>
      <c r="C1391" s="9" t="s">
        <v>263</v>
      </c>
      <c r="D1391" s="1" t="s">
        <v>1930</v>
      </c>
      <c r="E1391" s="4">
        <v>118800.0</v>
      </c>
      <c r="F1391" s="4"/>
      <c r="G1391" s="4"/>
      <c r="H1391" s="4">
        <f>'data on outstanding creditors'!$E1391-'data on outstanding creditors'!$F1391-'data on outstanding creditors'!$G1391</f>
        <v>118800</v>
      </c>
      <c r="I1391" s="2"/>
      <c r="J1391" s="1" t="s">
        <v>757</v>
      </c>
      <c r="K1391" s="2">
        <v>45938.0</v>
      </c>
      <c r="L1391" s="5"/>
      <c r="M1391" s="9" t="s">
        <v>22</v>
      </c>
      <c r="N1391" s="9" t="s">
        <v>23</v>
      </c>
      <c r="O1391" s="10">
        <f>'data on outstanding creditors'!$E1391*100/107</f>
        <v>111028.0374</v>
      </c>
      <c r="P1391" s="10">
        <f>'data on outstanding creditors'!$E1391-'data on outstanding creditors'!$O1391</f>
        <v>7771.962617</v>
      </c>
      <c r="Q1391" s="7">
        <f>DAY('data on outstanding creditors'!$B1391)</f>
        <v>15</v>
      </c>
      <c r="R1391" s="7">
        <f>MONTH('data on outstanding creditors'!$B1391)</f>
        <v>8</v>
      </c>
      <c r="S1391" s="7">
        <f>YEAR('data on outstanding creditors'!$B1391)</f>
        <v>2025</v>
      </c>
      <c r="T1391" s="11" t="str">
        <f>'data on outstanding creditors'!$C1391&amp;" "&amp;'data on outstanding creditors'!$D1391&amp;" "&amp;TEXT('data on outstanding creditors'!$E1391,"#,##0.00")</f>
        <v>บ.เอเบิ้ล เมดิคอล M2508/0225 118,800.00</v>
      </c>
      <c r="U1391" s="12"/>
    </row>
    <row r="1392" ht="13.5" customHeight="1">
      <c r="A1392" s="1"/>
      <c r="B1392" s="2">
        <v>45884.0</v>
      </c>
      <c r="C1392" s="9" t="s">
        <v>1330</v>
      </c>
      <c r="D1392" s="1" t="s">
        <v>1931</v>
      </c>
      <c r="E1392" s="4">
        <v>71200.0</v>
      </c>
      <c r="F1392" s="4"/>
      <c r="G1392" s="4"/>
      <c r="H1392" s="4">
        <f>'data on outstanding creditors'!$E1392-'data on outstanding creditors'!$F1392-'data on outstanding creditors'!$G1392</f>
        <v>71200</v>
      </c>
      <c r="I1392" s="2"/>
      <c r="J1392" s="1" t="s">
        <v>757</v>
      </c>
      <c r="K1392" s="2">
        <v>45938.0</v>
      </c>
      <c r="L1392" s="5"/>
      <c r="M1392" s="9" t="s">
        <v>22</v>
      </c>
      <c r="N1392" s="9" t="s">
        <v>23</v>
      </c>
      <c r="O1392" s="10">
        <f>'data on outstanding creditors'!$E1392*100/107</f>
        <v>66542.05607</v>
      </c>
      <c r="P1392" s="10">
        <f>'data on outstanding creditors'!$E1392-'data on outstanding creditors'!$O1392</f>
        <v>4657.943925</v>
      </c>
      <c r="Q1392" s="7">
        <f>DAY('data on outstanding creditors'!$B1392)</f>
        <v>15</v>
      </c>
      <c r="R1392" s="7">
        <f>MONTH('data on outstanding creditors'!$B1392)</f>
        <v>8</v>
      </c>
      <c r="S1392" s="7">
        <f>YEAR('data on outstanding creditors'!$B1392)</f>
        <v>2025</v>
      </c>
      <c r="T1392" s="11" t="str">
        <f>'data on outstanding creditors'!$C1392&amp;" "&amp;'data on outstanding creditors'!$D1392&amp;" "&amp;TEXT('data on outstanding creditors'!$E1392,"#,##0.00")</f>
        <v>บ.ชุมชนเภสัชกรรม IV680801389 71,200.00</v>
      </c>
      <c r="U1392" s="12"/>
    </row>
    <row r="1393" ht="13.5" customHeight="1">
      <c r="A1393" s="1"/>
      <c r="B1393" s="2">
        <v>45884.0</v>
      </c>
      <c r="C1393" s="9" t="s">
        <v>1230</v>
      </c>
      <c r="D1393" s="1" t="s">
        <v>1932</v>
      </c>
      <c r="E1393" s="4">
        <v>42600.0</v>
      </c>
      <c r="F1393" s="4"/>
      <c r="G1393" s="4"/>
      <c r="H1393" s="4">
        <f>'data on outstanding creditors'!$E1393-'data on outstanding creditors'!$F1393-'data on outstanding creditors'!$G1393</f>
        <v>42600</v>
      </c>
      <c r="I1393" s="2"/>
      <c r="J1393" s="1" t="s">
        <v>757</v>
      </c>
      <c r="K1393" s="2">
        <v>45938.0</v>
      </c>
      <c r="L1393" s="5"/>
      <c r="M1393" s="9" t="s">
        <v>22</v>
      </c>
      <c r="N1393" s="9" t="s">
        <v>23</v>
      </c>
      <c r="O1393" s="10">
        <f>'data on outstanding creditors'!$E1393*100/107</f>
        <v>39813.08411</v>
      </c>
      <c r="P1393" s="10">
        <f>'data on outstanding creditors'!$E1393-'data on outstanding creditors'!$O1393</f>
        <v>2786.915888</v>
      </c>
      <c r="Q1393" s="7">
        <f>DAY('data on outstanding creditors'!$B1393)</f>
        <v>15</v>
      </c>
      <c r="R1393" s="7">
        <f>MONTH('data on outstanding creditors'!$B1393)</f>
        <v>8</v>
      </c>
      <c r="S1393" s="7">
        <f>YEAR('data on outstanding creditors'!$B1393)</f>
        <v>2025</v>
      </c>
      <c r="T1393" s="11" t="str">
        <f>'data on outstanding creditors'!$C1393&amp;" "&amp;'data on outstanding creditors'!$D1393&amp;" "&amp;TEXT('data on outstanding creditors'!$E1393,"#,##0.00")</f>
        <v>บ.พรอส ฟาร์มา INV-L-IM\2025081464 42,600.00</v>
      </c>
      <c r="U1393" s="12"/>
    </row>
    <row r="1394" ht="13.5" customHeight="1">
      <c r="A1394" s="1"/>
      <c r="B1394" s="2">
        <v>45888.0</v>
      </c>
      <c r="C1394" s="9" t="s">
        <v>1265</v>
      </c>
      <c r="D1394" s="1" t="s">
        <v>1933</v>
      </c>
      <c r="E1394" s="4">
        <v>5500.0</v>
      </c>
      <c r="F1394" s="4"/>
      <c r="G1394" s="4"/>
      <c r="H1394" s="4">
        <f>'data on outstanding creditors'!$E1394-'data on outstanding creditors'!$F1394-'data on outstanding creditors'!$G1394</f>
        <v>5500</v>
      </c>
      <c r="I1394" s="2"/>
      <c r="J1394" s="1" t="s">
        <v>646</v>
      </c>
      <c r="K1394" s="2">
        <v>45944.0</v>
      </c>
      <c r="L1394" s="5"/>
      <c r="M1394" s="9" t="s">
        <v>22</v>
      </c>
      <c r="N1394" s="9" t="s">
        <v>23</v>
      </c>
      <c r="O1394" s="10">
        <f>'data on outstanding creditors'!$E1394*100/107</f>
        <v>5140.186916</v>
      </c>
      <c r="P1394" s="10">
        <f>'data on outstanding creditors'!$E1394-'data on outstanding creditors'!$O1394</f>
        <v>359.8130841</v>
      </c>
      <c r="Q1394" s="7">
        <f>DAY('data on outstanding creditors'!$B1394)</f>
        <v>19</v>
      </c>
      <c r="R1394" s="7">
        <f>MONTH('data on outstanding creditors'!$B1394)</f>
        <v>8</v>
      </c>
      <c r="S1394" s="7">
        <f>YEAR('data on outstanding creditors'!$B1394)</f>
        <v>2025</v>
      </c>
      <c r="T1394" s="11" t="str">
        <f>'data on outstanding creditors'!$C1394&amp;" "&amp;'data on outstanding creditors'!$D1394&amp;" "&amp;TEXT('data on outstanding creditors'!$E1394,"#,##0.00")</f>
        <v>บ.แอล.บี.เอส.แลบบอเรตอรี่ 881382 5,500.00</v>
      </c>
      <c r="U1394" s="12"/>
    </row>
    <row r="1395" ht="13.5" customHeight="1">
      <c r="A1395" s="1"/>
      <c r="B1395" s="2">
        <v>45888.0</v>
      </c>
      <c r="C1395" s="9" t="s">
        <v>1265</v>
      </c>
      <c r="D1395" s="1" t="s">
        <v>1934</v>
      </c>
      <c r="E1395" s="4">
        <v>11600.0</v>
      </c>
      <c r="F1395" s="4"/>
      <c r="G1395" s="4"/>
      <c r="H1395" s="4">
        <f>'data on outstanding creditors'!$E1395-'data on outstanding creditors'!$F1395-'data on outstanding creditors'!$G1395</f>
        <v>11600</v>
      </c>
      <c r="I1395" s="2"/>
      <c r="J1395" s="1" t="s">
        <v>646</v>
      </c>
      <c r="K1395" s="2">
        <v>45944.0</v>
      </c>
      <c r="L1395" s="5"/>
      <c r="M1395" s="9" t="s">
        <v>22</v>
      </c>
      <c r="N1395" s="9" t="s">
        <v>23</v>
      </c>
      <c r="O1395" s="10">
        <f>'data on outstanding creditors'!$E1395*100/107</f>
        <v>10841.1215</v>
      </c>
      <c r="P1395" s="10">
        <f>'data on outstanding creditors'!$E1395-'data on outstanding creditors'!$O1395</f>
        <v>758.8785047</v>
      </c>
      <c r="Q1395" s="7">
        <f>DAY('data on outstanding creditors'!$B1395)</f>
        <v>19</v>
      </c>
      <c r="R1395" s="7">
        <f>MONTH('data on outstanding creditors'!$B1395)</f>
        <v>8</v>
      </c>
      <c r="S1395" s="7">
        <f>YEAR('data on outstanding creditors'!$B1395)</f>
        <v>2025</v>
      </c>
      <c r="T1395" s="11" t="str">
        <f>'data on outstanding creditors'!$C1395&amp;" "&amp;'data on outstanding creditors'!$D1395&amp;" "&amp;TEXT('data on outstanding creditors'!$E1395,"#,##0.00")</f>
        <v>บ.แอล.บี.เอส.แลบบอเรตอรี่ 881138 11,600.00</v>
      </c>
      <c r="U1395" s="12"/>
    </row>
    <row r="1396" ht="13.5" customHeight="1">
      <c r="A1396" s="1"/>
      <c r="B1396" s="2">
        <v>45888.0</v>
      </c>
      <c r="C1396" s="9" t="s">
        <v>771</v>
      </c>
      <c r="D1396" s="1" t="s">
        <v>1935</v>
      </c>
      <c r="E1396" s="4">
        <v>16700.0</v>
      </c>
      <c r="F1396" s="4"/>
      <c r="G1396" s="4"/>
      <c r="H1396" s="4">
        <f>'data on outstanding creditors'!$E1396-'data on outstanding creditors'!$F1396-'data on outstanding creditors'!$G1396</f>
        <v>16700</v>
      </c>
      <c r="I1396" s="2"/>
      <c r="J1396" s="1"/>
      <c r="K1396" s="2"/>
      <c r="L1396" s="5"/>
      <c r="M1396" s="9" t="s">
        <v>22</v>
      </c>
      <c r="N1396" s="9" t="s">
        <v>23</v>
      </c>
      <c r="O1396" s="10">
        <f>'data on outstanding creditors'!$E1396*100/107</f>
        <v>15607.47664</v>
      </c>
      <c r="P1396" s="10">
        <f>'data on outstanding creditors'!$E1396-'data on outstanding creditors'!$O1396</f>
        <v>1092.523364</v>
      </c>
      <c r="Q1396" s="7">
        <f>DAY('data on outstanding creditors'!$B1396)</f>
        <v>19</v>
      </c>
      <c r="R1396" s="7">
        <f>MONTH('data on outstanding creditors'!$B1396)</f>
        <v>8</v>
      </c>
      <c r="S1396" s="7">
        <f>YEAR('data on outstanding creditors'!$B1396)</f>
        <v>2025</v>
      </c>
      <c r="T1396" s="11" t="str">
        <f>'data on outstanding creditors'!$C1396&amp;" "&amp;'data on outstanding creditors'!$D1396&amp;" "&amp;TEXT('data on outstanding creditors'!$E1396,"#,##0.00")</f>
        <v>หจก.ภิญโญฟาร์มาซี IV6841869 16,700.00</v>
      </c>
      <c r="U1396" s="12"/>
    </row>
    <row r="1397" ht="13.5" customHeight="1">
      <c r="A1397" s="1"/>
      <c r="B1397" s="2">
        <v>45888.0</v>
      </c>
      <c r="C1397" s="9" t="s">
        <v>771</v>
      </c>
      <c r="D1397" s="1" t="s">
        <v>1936</v>
      </c>
      <c r="E1397" s="4">
        <v>7500.0</v>
      </c>
      <c r="F1397" s="4"/>
      <c r="G1397" s="4"/>
      <c r="H1397" s="4">
        <f>'data on outstanding creditors'!$E1397-'data on outstanding creditors'!$F1397-'data on outstanding creditors'!$G1397</f>
        <v>7500</v>
      </c>
      <c r="I1397" s="2"/>
      <c r="J1397" s="1"/>
      <c r="K1397" s="2"/>
      <c r="L1397" s="5"/>
      <c r="M1397" s="9" t="s">
        <v>22</v>
      </c>
      <c r="N1397" s="9" t="s">
        <v>23</v>
      </c>
      <c r="O1397" s="10">
        <f>'data on outstanding creditors'!$E1397*100/107</f>
        <v>7009.345794</v>
      </c>
      <c r="P1397" s="10">
        <f>'data on outstanding creditors'!$E1397-'data on outstanding creditors'!$O1397</f>
        <v>490.6542056</v>
      </c>
      <c r="Q1397" s="7">
        <f>DAY('data on outstanding creditors'!$B1397)</f>
        <v>19</v>
      </c>
      <c r="R1397" s="7">
        <f>MONTH('data on outstanding creditors'!$B1397)</f>
        <v>8</v>
      </c>
      <c r="S1397" s="7">
        <f>YEAR('data on outstanding creditors'!$B1397)</f>
        <v>2025</v>
      </c>
      <c r="T1397" s="11" t="str">
        <f>'data on outstanding creditors'!$C1397&amp;" "&amp;'data on outstanding creditors'!$D1397&amp;" "&amp;TEXT('data on outstanding creditors'!$E1397,"#,##0.00")</f>
        <v>หจก.ภิญโญฟาร์มาซี IV6841870 7,500.00</v>
      </c>
      <c r="U1397" s="12"/>
    </row>
    <row r="1398" ht="13.5" customHeight="1">
      <c r="A1398" s="1"/>
      <c r="B1398" s="2">
        <v>45888.0</v>
      </c>
      <c r="C1398" s="9" t="s">
        <v>767</v>
      </c>
      <c r="D1398" s="1" t="s">
        <v>1937</v>
      </c>
      <c r="E1398" s="4">
        <v>27000.0</v>
      </c>
      <c r="F1398" s="4"/>
      <c r="G1398" s="4"/>
      <c r="H1398" s="4">
        <f>'data on outstanding creditors'!$E1398-'data on outstanding creditors'!$F1398-'data on outstanding creditors'!$G1398</f>
        <v>27000</v>
      </c>
      <c r="I1398" s="2"/>
      <c r="J1398" s="1" t="s">
        <v>646</v>
      </c>
      <c r="K1398" s="2">
        <v>45944.0</v>
      </c>
      <c r="L1398" s="5"/>
      <c r="M1398" s="9" t="s">
        <v>22</v>
      </c>
      <c r="N1398" s="9" t="s">
        <v>23</v>
      </c>
      <c r="O1398" s="10">
        <f>'data on outstanding creditors'!$E1398*100/107</f>
        <v>25233.64486</v>
      </c>
      <c r="P1398" s="10">
        <f>'data on outstanding creditors'!$E1398-'data on outstanding creditors'!$O1398</f>
        <v>1766.35514</v>
      </c>
      <c r="Q1398" s="7">
        <f>DAY('data on outstanding creditors'!$B1398)</f>
        <v>19</v>
      </c>
      <c r="R1398" s="7">
        <f>MONTH('data on outstanding creditors'!$B1398)</f>
        <v>8</v>
      </c>
      <c r="S1398" s="7">
        <f>YEAR('data on outstanding creditors'!$B1398)</f>
        <v>2025</v>
      </c>
      <c r="T1398" s="11" t="str">
        <f>'data on outstanding creditors'!$C1398&amp;" "&amp;'data on outstanding creditors'!$D1398&amp;" "&amp;TEXT('data on outstanding creditors'!$E1398,"#,##0.00")</f>
        <v>บ.คอสม่า เทรดดิ้ง 310857400692 27,000.00</v>
      </c>
      <c r="U1398" s="12"/>
    </row>
    <row r="1399" ht="13.5" customHeight="1">
      <c r="A1399" s="1"/>
      <c r="B1399" s="2">
        <v>45888.0</v>
      </c>
      <c r="C1399" s="9" t="s">
        <v>1766</v>
      </c>
      <c r="D1399" s="1" t="s">
        <v>1938</v>
      </c>
      <c r="E1399" s="4">
        <v>80000.0</v>
      </c>
      <c r="F1399" s="4"/>
      <c r="G1399" s="4"/>
      <c r="H1399" s="4">
        <f>'data on outstanding creditors'!$E1399-'data on outstanding creditors'!$F1399-'data on outstanding creditors'!$G1399</f>
        <v>80000</v>
      </c>
      <c r="I1399" s="2"/>
      <c r="J1399" s="1" t="s">
        <v>646</v>
      </c>
      <c r="K1399" s="2">
        <v>45932.0</v>
      </c>
      <c r="L1399" s="5"/>
      <c r="M1399" s="9" t="s">
        <v>22</v>
      </c>
      <c r="N1399" s="9" t="s">
        <v>23</v>
      </c>
      <c r="O1399" s="10">
        <f>'data on outstanding creditors'!$E1399*100/107</f>
        <v>74766.35514</v>
      </c>
      <c r="P1399" s="10">
        <f>'data on outstanding creditors'!$E1399-'data on outstanding creditors'!$O1399</f>
        <v>5233.64486</v>
      </c>
      <c r="Q1399" s="7">
        <f>DAY('data on outstanding creditors'!$B1399)</f>
        <v>19</v>
      </c>
      <c r="R1399" s="7">
        <f>MONTH('data on outstanding creditors'!$B1399)</f>
        <v>8</v>
      </c>
      <c r="S1399" s="7">
        <f>YEAR('data on outstanding creditors'!$B1399)</f>
        <v>2025</v>
      </c>
      <c r="T1399" s="11" t="str">
        <f>'data on outstanding creditors'!$C1399&amp;" "&amp;'data on outstanding creditors'!$D1399&amp;" "&amp;TEXT('data on outstanding creditors'!$E1399,"#,##0.00")</f>
        <v>สำนักงานคณะกรรมการอาหารและยา ช.68/18833 80,000.00</v>
      </c>
      <c r="U1399" s="12"/>
    </row>
    <row r="1400" ht="13.5" customHeight="1">
      <c r="A1400" s="1"/>
      <c r="B1400" s="2">
        <v>45888.0</v>
      </c>
      <c r="C1400" s="9" t="s">
        <v>767</v>
      </c>
      <c r="D1400" s="1" t="s">
        <v>1939</v>
      </c>
      <c r="E1400" s="4">
        <v>16500.0</v>
      </c>
      <c r="F1400" s="4"/>
      <c r="G1400" s="4"/>
      <c r="H1400" s="4">
        <f>'data on outstanding creditors'!$E1400-'data on outstanding creditors'!$F1400-'data on outstanding creditors'!$G1400</f>
        <v>16500</v>
      </c>
      <c r="I1400" s="2"/>
      <c r="J1400" s="1" t="s">
        <v>646</v>
      </c>
      <c r="K1400" s="2">
        <v>45944.0</v>
      </c>
      <c r="L1400" s="5"/>
      <c r="M1400" s="9" t="s">
        <v>22</v>
      </c>
      <c r="N1400" s="9" t="s">
        <v>23</v>
      </c>
      <c r="O1400" s="10">
        <f>'data on outstanding creditors'!$E1400*100/107</f>
        <v>15420.56075</v>
      </c>
      <c r="P1400" s="10">
        <f>'data on outstanding creditors'!$E1400-'data on outstanding creditors'!$O1400</f>
        <v>1079.439252</v>
      </c>
      <c r="Q1400" s="7">
        <f>DAY('data on outstanding creditors'!$B1400)</f>
        <v>19</v>
      </c>
      <c r="R1400" s="7">
        <f>MONTH('data on outstanding creditors'!$B1400)</f>
        <v>8</v>
      </c>
      <c r="S1400" s="7">
        <f>YEAR('data on outstanding creditors'!$B1400)</f>
        <v>2025</v>
      </c>
      <c r="T1400" s="11" t="str">
        <f>'data on outstanding creditors'!$C1400&amp;" "&amp;'data on outstanding creditors'!$D1400&amp;" "&amp;TEXT('data on outstanding creditors'!$E1400,"#,##0.00")</f>
        <v>บ.คอสม่า เทรดดิ้ง 310857401097 16,500.00</v>
      </c>
      <c r="U1400" s="12"/>
    </row>
    <row r="1401" ht="13.5" customHeight="1">
      <c r="A1401" s="1"/>
      <c r="B1401" s="2">
        <v>45888.0</v>
      </c>
      <c r="C1401" s="9" t="s">
        <v>1288</v>
      </c>
      <c r="D1401" s="1" t="s">
        <v>1940</v>
      </c>
      <c r="E1401" s="4">
        <v>10528.8</v>
      </c>
      <c r="F1401" s="4"/>
      <c r="G1401" s="4"/>
      <c r="H1401" s="4">
        <f>'data on outstanding creditors'!$E1401-'data on outstanding creditors'!$F1401-'data on outstanding creditors'!$G1401</f>
        <v>10528.8</v>
      </c>
      <c r="I1401" s="2"/>
      <c r="J1401" s="1" t="s">
        <v>757</v>
      </c>
      <c r="K1401" s="2">
        <v>45833.0</v>
      </c>
      <c r="L1401" s="5"/>
      <c r="M1401" s="9" t="s">
        <v>22</v>
      </c>
      <c r="N1401" s="9" t="s">
        <v>23</v>
      </c>
      <c r="O1401" s="10">
        <f>'data on outstanding creditors'!$E1401*100/107</f>
        <v>9840</v>
      </c>
      <c r="P1401" s="10">
        <f>'data on outstanding creditors'!$E1401-'data on outstanding creditors'!$O1401</f>
        <v>688.8</v>
      </c>
      <c r="Q1401" s="7">
        <f>DAY('data on outstanding creditors'!$B1401)</f>
        <v>19</v>
      </c>
      <c r="R1401" s="7">
        <f>MONTH('data on outstanding creditors'!$B1401)</f>
        <v>8</v>
      </c>
      <c r="S1401" s="7">
        <f>YEAR('data on outstanding creditors'!$B1401)</f>
        <v>2025</v>
      </c>
      <c r="T1401" s="11" t="str">
        <f>'data on outstanding creditors'!$C1401&amp;" "&amp;'data on outstanding creditors'!$D1401&amp;" "&amp;TEXT('data on outstanding creditors'!$E1401,"#,##0.00")</f>
        <v>บ.เจ เอส วิชั่น 100523142 10,528.80</v>
      </c>
      <c r="U1401" s="12"/>
    </row>
    <row r="1402" ht="13.5" customHeight="1">
      <c r="A1402" s="1"/>
      <c r="B1402" s="2">
        <v>45888.0</v>
      </c>
      <c r="C1402" s="9" t="s">
        <v>1330</v>
      </c>
      <c r="D1402" s="1" t="s">
        <v>1941</v>
      </c>
      <c r="E1402" s="4">
        <v>34500.0</v>
      </c>
      <c r="F1402" s="4"/>
      <c r="G1402" s="4"/>
      <c r="H1402" s="4">
        <f>'data on outstanding creditors'!$E1402-'data on outstanding creditors'!$F1402-'data on outstanding creditors'!$G1402</f>
        <v>34500</v>
      </c>
      <c r="I1402" s="2"/>
      <c r="J1402" s="1" t="s">
        <v>757</v>
      </c>
      <c r="K1402" s="2">
        <v>45925.0</v>
      </c>
      <c r="L1402" s="5"/>
      <c r="M1402" s="9" t="s">
        <v>22</v>
      </c>
      <c r="N1402" s="9" t="s">
        <v>23</v>
      </c>
      <c r="O1402" s="10">
        <f>'data on outstanding creditors'!$E1402*100/107</f>
        <v>32242.99065</v>
      </c>
      <c r="P1402" s="10">
        <f>'data on outstanding creditors'!$E1402-'data on outstanding creditors'!$O1402</f>
        <v>2257.009346</v>
      </c>
      <c r="Q1402" s="7">
        <f>DAY('data on outstanding creditors'!$B1402)</f>
        <v>19</v>
      </c>
      <c r="R1402" s="7">
        <f>MONTH('data on outstanding creditors'!$B1402)</f>
        <v>8</v>
      </c>
      <c r="S1402" s="7">
        <f>YEAR('data on outstanding creditors'!$B1402)</f>
        <v>2025</v>
      </c>
      <c r="T1402" s="11" t="str">
        <f>'data on outstanding creditors'!$C1402&amp;" "&amp;'data on outstanding creditors'!$D1402&amp;" "&amp;TEXT('data on outstanding creditors'!$E1402,"#,##0.00")</f>
        <v>บ.ชุมชนเภสัชกรรม IV680800806 34,500.00</v>
      </c>
      <c r="U1402" s="12"/>
    </row>
    <row r="1403" ht="13.5" customHeight="1">
      <c r="A1403" s="1"/>
      <c r="B1403" s="2">
        <v>45888.0</v>
      </c>
      <c r="C1403" s="9" t="s">
        <v>771</v>
      </c>
      <c r="D1403" s="1" t="s">
        <v>1942</v>
      </c>
      <c r="E1403" s="4">
        <v>42000.0</v>
      </c>
      <c r="F1403" s="4"/>
      <c r="G1403" s="4"/>
      <c r="H1403" s="4">
        <f>'data on outstanding creditors'!$E1403-'data on outstanding creditors'!$F1403-'data on outstanding creditors'!$G1403</f>
        <v>42000</v>
      </c>
      <c r="I1403" s="2"/>
      <c r="J1403" s="1" t="s">
        <v>757</v>
      </c>
      <c r="K1403" s="2">
        <v>45925.0</v>
      </c>
      <c r="L1403" s="5"/>
      <c r="M1403" s="9" t="s">
        <v>22</v>
      </c>
      <c r="N1403" s="9" t="s">
        <v>23</v>
      </c>
      <c r="O1403" s="10">
        <f>'data on outstanding creditors'!$E1403*100/107</f>
        <v>39252.33645</v>
      </c>
      <c r="P1403" s="10">
        <f>'data on outstanding creditors'!$E1403-'data on outstanding creditors'!$O1403</f>
        <v>2747.663551</v>
      </c>
      <c r="Q1403" s="7">
        <f>DAY('data on outstanding creditors'!$B1403)</f>
        <v>19</v>
      </c>
      <c r="R1403" s="7">
        <f>MONTH('data on outstanding creditors'!$B1403)</f>
        <v>8</v>
      </c>
      <c r="S1403" s="7">
        <f>YEAR('data on outstanding creditors'!$B1403)</f>
        <v>2025</v>
      </c>
      <c r="T1403" s="11" t="str">
        <f>'data on outstanding creditors'!$C1403&amp;" "&amp;'data on outstanding creditors'!$D1403&amp;" "&amp;TEXT('data on outstanding creditors'!$E1403,"#,##0.00")</f>
        <v>หจก.ภิญโญฟาร์มาซี IV6841032 42,000.00</v>
      </c>
      <c r="U1403" s="12"/>
    </row>
    <row r="1404" ht="13.5" customHeight="1">
      <c r="A1404" s="1"/>
      <c r="B1404" s="2">
        <v>45888.0</v>
      </c>
      <c r="C1404" s="9" t="s">
        <v>1666</v>
      </c>
      <c r="D1404" s="1" t="s">
        <v>1943</v>
      </c>
      <c r="E1404" s="4">
        <v>124032.0</v>
      </c>
      <c r="F1404" s="4"/>
      <c r="G1404" s="4"/>
      <c r="H1404" s="4">
        <f>'data on outstanding creditors'!$E1404-'data on outstanding creditors'!$F1404-'data on outstanding creditors'!$G1404</f>
        <v>124032</v>
      </c>
      <c r="I1404" s="2"/>
      <c r="J1404" s="1" t="s">
        <v>757</v>
      </c>
      <c r="K1404" s="2">
        <v>45938.0</v>
      </c>
      <c r="L1404" s="5"/>
      <c r="M1404" s="9" t="s">
        <v>22</v>
      </c>
      <c r="N1404" s="9" t="s">
        <v>23</v>
      </c>
      <c r="O1404" s="10">
        <f>'data on outstanding creditors'!$E1404*100/107</f>
        <v>115917.757</v>
      </c>
      <c r="P1404" s="10">
        <f>'data on outstanding creditors'!$E1404-'data on outstanding creditors'!$O1404</f>
        <v>8114.242991</v>
      </c>
      <c r="Q1404" s="7">
        <f>DAY('data on outstanding creditors'!$B1404)</f>
        <v>19</v>
      </c>
      <c r="R1404" s="7">
        <f>MONTH('data on outstanding creditors'!$B1404)</f>
        <v>8</v>
      </c>
      <c r="S1404" s="7">
        <f>YEAR('data on outstanding creditors'!$B1404)</f>
        <v>2025</v>
      </c>
      <c r="T1404" s="11" t="str">
        <f>'data on outstanding creditors'!$C1404&amp;" "&amp;'data on outstanding creditors'!$D1404&amp;" "&amp;TEXT('data on outstanding creditors'!$E1404,"#,##0.00")</f>
        <v>บ.โมเดิร์น ฟาร์มา INV6808-0011 124,032.00</v>
      </c>
      <c r="U1404" s="12"/>
    </row>
    <row r="1405" ht="13.5" customHeight="1">
      <c r="A1405" s="1"/>
      <c r="B1405" s="2">
        <v>45888.0</v>
      </c>
      <c r="C1405" s="9" t="s">
        <v>520</v>
      </c>
      <c r="D1405" s="1" t="s">
        <v>1944</v>
      </c>
      <c r="E1405" s="4">
        <v>61792.5</v>
      </c>
      <c r="F1405" s="4"/>
      <c r="G1405" s="4"/>
      <c r="H1405" s="4">
        <f>'data on outstanding creditors'!$E1405-'data on outstanding creditors'!$F1405-'data on outstanding creditors'!$G1405</f>
        <v>61792.5</v>
      </c>
      <c r="I1405" s="2"/>
      <c r="J1405" s="1" t="s">
        <v>757</v>
      </c>
      <c r="K1405" s="2">
        <v>45943.0</v>
      </c>
      <c r="L1405" s="5"/>
      <c r="M1405" s="9" t="s">
        <v>22</v>
      </c>
      <c r="N1405" s="9" t="s">
        <v>23</v>
      </c>
      <c r="O1405" s="10">
        <f>'data on outstanding creditors'!$E1405*100/107</f>
        <v>57750</v>
      </c>
      <c r="P1405" s="10">
        <f>'data on outstanding creditors'!$E1405-'data on outstanding creditors'!$O1405</f>
        <v>4042.5</v>
      </c>
      <c r="Q1405" s="7">
        <f>DAY('data on outstanding creditors'!$B1405)</f>
        <v>19</v>
      </c>
      <c r="R1405" s="7">
        <f>MONTH('data on outstanding creditors'!$B1405)</f>
        <v>8</v>
      </c>
      <c r="S1405" s="7">
        <f>YEAR('data on outstanding creditors'!$B1405)</f>
        <v>2025</v>
      </c>
      <c r="T1405" s="11" t="str">
        <f>'data on outstanding creditors'!$C1405&amp;" "&amp;'data on outstanding creditors'!$D1405&amp;" "&amp;TEXT('data on outstanding creditors'!$E1405,"#,##0.00")</f>
        <v>บ.ซิลลิคฟาร์มา 1317923205 61,792.50</v>
      </c>
      <c r="U1405" s="12"/>
    </row>
    <row r="1406" ht="13.5" customHeight="1">
      <c r="A1406" s="1"/>
      <c r="B1406" s="2">
        <v>45889.0</v>
      </c>
      <c r="C1406" s="9" t="s">
        <v>1391</v>
      </c>
      <c r="D1406" s="1" t="s">
        <v>1945</v>
      </c>
      <c r="E1406" s="4">
        <v>15200.0</v>
      </c>
      <c r="F1406" s="4"/>
      <c r="G1406" s="4"/>
      <c r="H1406" s="4">
        <f>'data on outstanding creditors'!$E1406-'data on outstanding creditors'!$F1406-'data on outstanding creditors'!$G1406</f>
        <v>15200</v>
      </c>
      <c r="I1406" s="2"/>
      <c r="J1406" s="1" t="s">
        <v>757</v>
      </c>
      <c r="K1406" s="2">
        <v>45918.0</v>
      </c>
      <c r="L1406" s="5"/>
      <c r="M1406" s="9" t="s">
        <v>22</v>
      </c>
      <c r="N1406" s="9" t="s">
        <v>23</v>
      </c>
      <c r="O1406" s="10">
        <f>'data on outstanding creditors'!$E1406*100/107</f>
        <v>14205.60748</v>
      </c>
      <c r="P1406" s="10">
        <f>'data on outstanding creditors'!$E1406-'data on outstanding creditors'!$O1406</f>
        <v>994.3925234</v>
      </c>
      <c r="Q1406" s="7">
        <f>DAY('data on outstanding creditors'!$B1406)</f>
        <v>20</v>
      </c>
      <c r="R1406" s="7">
        <f>MONTH('data on outstanding creditors'!$B1406)</f>
        <v>8</v>
      </c>
      <c r="S1406" s="7">
        <f>YEAR('data on outstanding creditors'!$B1406)</f>
        <v>2025</v>
      </c>
      <c r="T1406" s="11" t="str">
        <f>'data on outstanding creditors'!$C1406&amp;" "&amp;'data on outstanding creditors'!$D1406&amp;" "&amp;TEXT('data on outstanding creditors'!$E1406,"#,##0.00")</f>
        <v>บ.ที.พี.ดรัก แลบบอราทอรี่ส์ VIV125080671 15,200.00</v>
      </c>
      <c r="U1406" s="12"/>
    </row>
    <row r="1407" ht="13.5" customHeight="1">
      <c r="A1407" s="1"/>
      <c r="B1407" s="2">
        <v>45889.0</v>
      </c>
      <c r="C1407" s="9" t="s">
        <v>256</v>
      </c>
      <c r="D1407" s="1" t="s">
        <v>1946</v>
      </c>
      <c r="E1407" s="4">
        <v>27500.0</v>
      </c>
      <c r="F1407" s="4"/>
      <c r="G1407" s="4"/>
      <c r="H1407" s="4">
        <f>'data on outstanding creditors'!$E1407-'data on outstanding creditors'!$F1407-'data on outstanding creditors'!$G1407</f>
        <v>27500</v>
      </c>
      <c r="I1407" s="2"/>
      <c r="J1407" s="1" t="s">
        <v>757</v>
      </c>
      <c r="K1407" s="2">
        <v>45918.0</v>
      </c>
      <c r="L1407" s="5"/>
      <c r="M1407" s="9" t="s">
        <v>22</v>
      </c>
      <c r="N1407" s="9" t="s">
        <v>23</v>
      </c>
      <c r="O1407" s="10">
        <f>'data on outstanding creditors'!$E1407*100/107</f>
        <v>25700.93458</v>
      </c>
      <c r="P1407" s="10">
        <f>'data on outstanding creditors'!$E1407-'data on outstanding creditors'!$O1407</f>
        <v>1799.065421</v>
      </c>
      <c r="Q1407" s="7">
        <f>DAY('data on outstanding creditors'!$B1407)</f>
        <v>20</v>
      </c>
      <c r="R1407" s="7">
        <f>MONTH('data on outstanding creditors'!$B1407)</f>
        <v>8</v>
      </c>
      <c r="S1407" s="7">
        <f>YEAR('data on outstanding creditors'!$B1407)</f>
        <v>2025</v>
      </c>
      <c r="T1407" s="11" t="str">
        <f>'data on outstanding creditors'!$C1407&amp;" "&amp;'data on outstanding creditors'!$D1407&amp;" "&amp;TEXT('data on outstanding creditors'!$E1407,"#,##0.00")</f>
        <v>บ.พาตาร์แลบ(2517) INV125081190 27,500.00</v>
      </c>
      <c r="U1407" s="12"/>
    </row>
    <row r="1408" ht="13.5" customHeight="1">
      <c r="A1408" s="1"/>
      <c r="B1408" s="2">
        <v>45889.0</v>
      </c>
      <c r="C1408" s="9" t="s">
        <v>1232</v>
      </c>
      <c r="D1408" s="1" t="s">
        <v>1947</v>
      </c>
      <c r="E1408" s="4">
        <v>6750.0</v>
      </c>
      <c r="F1408" s="4"/>
      <c r="G1408" s="4"/>
      <c r="H1408" s="4">
        <f>'data on outstanding creditors'!$E1408-'data on outstanding creditors'!$F1408-'data on outstanding creditors'!$G1408</f>
        <v>6750</v>
      </c>
      <c r="I1408" s="2"/>
      <c r="J1408" s="1" t="s">
        <v>757</v>
      </c>
      <c r="K1408" s="2">
        <v>45918.0</v>
      </c>
      <c r="L1408" s="5"/>
      <c r="M1408" s="9" t="s">
        <v>22</v>
      </c>
      <c r="N1408" s="9" t="s">
        <v>23</v>
      </c>
      <c r="O1408" s="10">
        <f>'data on outstanding creditors'!$E1408*100/107</f>
        <v>6308.411215</v>
      </c>
      <c r="P1408" s="10">
        <f>'data on outstanding creditors'!$E1408-'data on outstanding creditors'!$O1408</f>
        <v>441.588785</v>
      </c>
      <c r="Q1408" s="7">
        <f>DAY('data on outstanding creditors'!$B1408)</f>
        <v>20</v>
      </c>
      <c r="R1408" s="7">
        <f>MONTH('data on outstanding creditors'!$B1408)</f>
        <v>8</v>
      </c>
      <c r="S1408" s="7">
        <f>YEAR('data on outstanding creditors'!$B1408)</f>
        <v>2025</v>
      </c>
      <c r="T1408" s="11" t="str">
        <f>'data on outstanding creditors'!$C1408&amp;" "&amp;'data on outstanding creditors'!$D1408&amp;" "&amp;TEXT('data on outstanding creditors'!$E1408,"#,##0.00")</f>
        <v>บ.มาสุ 261058 6,750.00</v>
      </c>
      <c r="U1408" s="12"/>
    </row>
    <row r="1409" ht="13.5" customHeight="1">
      <c r="A1409" s="1"/>
      <c r="B1409" s="2">
        <v>45889.0</v>
      </c>
      <c r="C1409" s="9" t="s">
        <v>1627</v>
      </c>
      <c r="D1409" s="1" t="s">
        <v>1948</v>
      </c>
      <c r="E1409" s="4">
        <v>37800.0</v>
      </c>
      <c r="F1409" s="4"/>
      <c r="G1409" s="4"/>
      <c r="H1409" s="4">
        <f>'data on outstanding creditors'!$E1409-'data on outstanding creditors'!$F1409-'data on outstanding creditors'!$G1409</f>
        <v>37800</v>
      </c>
      <c r="I1409" s="2"/>
      <c r="J1409" s="1" t="s">
        <v>646</v>
      </c>
      <c r="K1409" s="2">
        <v>45928.0</v>
      </c>
      <c r="L1409" s="5"/>
      <c r="M1409" s="9" t="s">
        <v>22</v>
      </c>
      <c r="N1409" s="9" t="s">
        <v>23</v>
      </c>
      <c r="O1409" s="10">
        <f>'data on outstanding creditors'!$E1409*100/107</f>
        <v>35327.1028</v>
      </c>
      <c r="P1409" s="10">
        <f>'data on outstanding creditors'!$E1409-'data on outstanding creditors'!$O1409</f>
        <v>2472.897196</v>
      </c>
      <c r="Q1409" s="7">
        <f>DAY('data on outstanding creditors'!$B1409)</f>
        <v>20</v>
      </c>
      <c r="R1409" s="7">
        <f>MONTH('data on outstanding creditors'!$B1409)</f>
        <v>8</v>
      </c>
      <c r="S1409" s="7">
        <f>YEAR('data on outstanding creditors'!$B1409)</f>
        <v>2025</v>
      </c>
      <c r="T1409" s="11" t="str">
        <f>'data on outstanding creditors'!$C1409&amp;" "&amp;'data on outstanding creditors'!$D1409&amp;" "&amp;TEXT('data on outstanding creditors'!$E1409,"#,##0.00")</f>
        <v>มูลนิธิโรงพยาบาลเจ้าพระยาอภัยภูเบศร ORV68080068 37,800.00</v>
      </c>
      <c r="U1409" s="12"/>
    </row>
    <row r="1410" ht="13.5" customHeight="1">
      <c r="A1410" s="1"/>
      <c r="B1410" s="2">
        <v>45889.0</v>
      </c>
      <c r="C1410" s="9" t="s">
        <v>1432</v>
      </c>
      <c r="D1410" s="1" t="s">
        <v>1949</v>
      </c>
      <c r="E1410" s="4">
        <v>7500.0</v>
      </c>
      <c r="F1410" s="4"/>
      <c r="G1410" s="4"/>
      <c r="H1410" s="4">
        <f>'data on outstanding creditors'!$E1410-'data on outstanding creditors'!$F1410-'data on outstanding creditors'!$G1410</f>
        <v>7500</v>
      </c>
      <c r="I1410" s="2"/>
      <c r="J1410" s="1" t="s">
        <v>757</v>
      </c>
      <c r="K1410" s="2">
        <v>45918.0</v>
      </c>
      <c r="L1410" s="5"/>
      <c r="M1410" s="9" t="s">
        <v>22</v>
      </c>
      <c r="N1410" s="9" t="s">
        <v>23</v>
      </c>
      <c r="O1410" s="10">
        <f>'data on outstanding creditors'!$E1410*100/107</f>
        <v>7009.345794</v>
      </c>
      <c r="P1410" s="10">
        <f>'data on outstanding creditors'!$E1410-'data on outstanding creditors'!$O1410</f>
        <v>490.6542056</v>
      </c>
      <c r="Q1410" s="7">
        <f>DAY('data on outstanding creditors'!$B1410)</f>
        <v>20</v>
      </c>
      <c r="R1410" s="7">
        <f>MONTH('data on outstanding creditors'!$B1410)</f>
        <v>8</v>
      </c>
      <c r="S1410" s="7">
        <f>YEAR('data on outstanding creditors'!$B1410)</f>
        <v>2025</v>
      </c>
      <c r="T1410" s="11" t="str">
        <f>'data on outstanding creditors'!$C1410&amp;" "&amp;'data on outstanding creditors'!$D1410&amp;" "&amp;TEXT('data on outstanding creditors'!$E1410,"#,##0.00")</f>
        <v>บ.ยูโทเปี้ยน PB6808244 7,500.00</v>
      </c>
      <c r="U1410" s="12"/>
    </row>
    <row r="1411" ht="13.5" customHeight="1">
      <c r="A1411" s="1"/>
      <c r="B1411" s="2">
        <v>45889.0</v>
      </c>
      <c r="C1411" s="9" t="s">
        <v>1383</v>
      </c>
      <c r="D1411" s="1" t="s">
        <v>1950</v>
      </c>
      <c r="E1411" s="4">
        <v>37500.0</v>
      </c>
      <c r="F1411" s="4"/>
      <c r="G1411" s="4"/>
      <c r="H1411" s="4">
        <f>'data on outstanding creditors'!$E1411-'data on outstanding creditors'!$F1411-'data on outstanding creditors'!$G1411</f>
        <v>37500</v>
      </c>
      <c r="I1411" s="2"/>
      <c r="J1411" s="1" t="s">
        <v>757</v>
      </c>
      <c r="K1411" s="2">
        <v>45918.0</v>
      </c>
      <c r="L1411" s="5"/>
      <c r="M1411" s="9" t="s">
        <v>22</v>
      </c>
      <c r="N1411" s="9" t="s">
        <v>23</v>
      </c>
      <c r="O1411" s="10">
        <f>'data on outstanding creditors'!$E1411*100/107</f>
        <v>35046.72897</v>
      </c>
      <c r="P1411" s="10">
        <f>'data on outstanding creditors'!$E1411-'data on outstanding creditors'!$O1411</f>
        <v>2453.271028</v>
      </c>
      <c r="Q1411" s="7">
        <f>DAY('data on outstanding creditors'!$B1411)</f>
        <v>20</v>
      </c>
      <c r="R1411" s="7">
        <f>MONTH('data on outstanding creditors'!$B1411)</f>
        <v>8</v>
      </c>
      <c r="S1411" s="7">
        <f>YEAR('data on outstanding creditors'!$B1411)</f>
        <v>2025</v>
      </c>
      <c r="T1411" s="11" t="str">
        <f>'data on outstanding creditors'!$C1411&amp;" "&amp;'data on outstanding creditors'!$D1411&amp;" "&amp;TEXT('data on outstanding creditors'!$E1411,"#,##0.00")</f>
        <v>บ.ยูเมด้า 325234 37,500.00</v>
      </c>
      <c r="U1411" s="12"/>
    </row>
    <row r="1412" ht="13.5" customHeight="1">
      <c r="A1412" s="1"/>
      <c r="B1412" s="2">
        <v>45889.0</v>
      </c>
      <c r="C1412" s="9" t="s">
        <v>1530</v>
      </c>
      <c r="D1412" s="1" t="s">
        <v>1951</v>
      </c>
      <c r="E1412" s="4">
        <v>14400.0</v>
      </c>
      <c r="F1412" s="4"/>
      <c r="G1412" s="4"/>
      <c r="H1412" s="4">
        <f>'data on outstanding creditors'!$E1412-'data on outstanding creditors'!$F1412-'data on outstanding creditors'!$G1412</f>
        <v>14400</v>
      </c>
      <c r="I1412" s="2"/>
      <c r="J1412" s="1" t="s">
        <v>646</v>
      </c>
      <c r="K1412" s="2">
        <v>45954.0</v>
      </c>
      <c r="L1412" s="5"/>
      <c r="M1412" s="9" t="s">
        <v>22</v>
      </c>
      <c r="N1412" s="9" t="s">
        <v>23</v>
      </c>
      <c r="O1412" s="10">
        <f>'data on outstanding creditors'!$E1412*100/107</f>
        <v>13457.94393</v>
      </c>
      <c r="P1412" s="10">
        <f>'data on outstanding creditors'!$E1412-'data on outstanding creditors'!$O1412</f>
        <v>942.0560748</v>
      </c>
      <c r="Q1412" s="7">
        <f>DAY('data on outstanding creditors'!$B1412)</f>
        <v>20</v>
      </c>
      <c r="R1412" s="7">
        <f>MONTH('data on outstanding creditors'!$B1412)</f>
        <v>8</v>
      </c>
      <c r="S1412" s="7">
        <f>YEAR('data on outstanding creditors'!$B1412)</f>
        <v>2025</v>
      </c>
      <c r="T1412" s="11" t="str">
        <f>'data on outstanding creditors'!$C1412&amp;" "&amp;'data on outstanding creditors'!$D1412&amp;" "&amp;TEXT('data on outstanding creditors'!$E1412,"#,##0.00")</f>
        <v>บ.แสงไทยเมดิคอล S-08-0029/68 14,400.00</v>
      </c>
      <c r="U1412" s="12"/>
    </row>
    <row r="1413" ht="13.5" customHeight="1">
      <c r="A1413" s="1"/>
      <c r="B1413" s="2">
        <v>45889.0</v>
      </c>
      <c r="C1413" s="9" t="s">
        <v>763</v>
      </c>
      <c r="D1413" s="1" t="s">
        <v>1952</v>
      </c>
      <c r="E1413" s="4">
        <v>34500.0</v>
      </c>
      <c r="F1413" s="4"/>
      <c r="G1413" s="4"/>
      <c r="H1413" s="4">
        <f>'data on outstanding creditors'!$E1413-'data on outstanding creditors'!$F1413-'data on outstanding creditors'!$G1413</f>
        <v>34500</v>
      </c>
      <c r="I1413" s="2"/>
      <c r="J1413" s="1" t="s">
        <v>757</v>
      </c>
      <c r="K1413" s="2">
        <v>45918.0</v>
      </c>
      <c r="L1413" s="5"/>
      <c r="M1413" s="9" t="s">
        <v>22</v>
      </c>
      <c r="N1413" s="9" t="s">
        <v>23</v>
      </c>
      <c r="O1413" s="10">
        <f>'data on outstanding creditors'!$E1413*100/107</f>
        <v>32242.99065</v>
      </c>
      <c r="P1413" s="10">
        <f>'data on outstanding creditors'!$E1413-'data on outstanding creditors'!$O1413</f>
        <v>2257.009346</v>
      </c>
      <c r="Q1413" s="7">
        <f>DAY('data on outstanding creditors'!$B1413)</f>
        <v>20</v>
      </c>
      <c r="R1413" s="7">
        <f>MONTH('data on outstanding creditors'!$B1413)</f>
        <v>8</v>
      </c>
      <c r="S1413" s="7">
        <f>YEAR('data on outstanding creditors'!$B1413)</f>
        <v>2025</v>
      </c>
      <c r="T1413" s="11" t="str">
        <f>'data on outstanding creditors'!$C1413&amp;" "&amp;'data on outstanding creditors'!$D1413&amp;" "&amp;TEXT('data on outstanding creditors'!$E1413,"#,##0.00")</f>
        <v>บ.อัลลายแอนซ์ ฟาร์มา B26808048 34,500.00</v>
      </c>
      <c r="U1413" s="12"/>
    </row>
    <row r="1414" ht="13.5" customHeight="1">
      <c r="A1414" s="1"/>
      <c r="B1414" s="2">
        <v>45889.0</v>
      </c>
      <c r="C1414" s="9" t="s">
        <v>1297</v>
      </c>
      <c r="D1414" s="1" t="s">
        <v>1953</v>
      </c>
      <c r="E1414" s="4">
        <v>26400.0</v>
      </c>
      <c r="F1414" s="4"/>
      <c r="G1414" s="4"/>
      <c r="H1414" s="4">
        <f>'data on outstanding creditors'!$E1414-'data on outstanding creditors'!$F1414-'data on outstanding creditors'!$G1414</f>
        <v>26400</v>
      </c>
      <c r="I1414" s="2"/>
      <c r="J1414" s="1" t="s">
        <v>757</v>
      </c>
      <c r="K1414" s="2">
        <v>45912.0</v>
      </c>
      <c r="L1414" s="5"/>
      <c r="M1414" s="9" t="s">
        <v>22</v>
      </c>
      <c r="N1414" s="9" t="s">
        <v>23</v>
      </c>
      <c r="O1414" s="10">
        <f>'data on outstanding creditors'!$E1414*100/107</f>
        <v>24672.8972</v>
      </c>
      <c r="P1414" s="10">
        <f>'data on outstanding creditors'!$E1414-'data on outstanding creditors'!$O1414</f>
        <v>1727.102804</v>
      </c>
      <c r="Q1414" s="7">
        <f>DAY('data on outstanding creditors'!$B1414)</f>
        <v>20</v>
      </c>
      <c r="R1414" s="7">
        <f>MONTH('data on outstanding creditors'!$B1414)</f>
        <v>8</v>
      </c>
      <c r="S1414" s="7">
        <f>YEAR('data on outstanding creditors'!$B1414)</f>
        <v>2025</v>
      </c>
      <c r="T1414" s="11" t="str">
        <f>'data on outstanding creditors'!$C1414&amp;" "&amp;'data on outstanding creditors'!$D1414&amp;" "&amp;TEXT('data on outstanding creditors'!$E1414,"#,##0.00")</f>
        <v>บ.แอตแลนติค ฟาร์มาซูติคอล PIN2527470 26,400.00</v>
      </c>
      <c r="U1414" s="12"/>
    </row>
    <row r="1415" ht="13.5" customHeight="1">
      <c r="A1415" s="1"/>
      <c r="B1415" s="2">
        <v>45889.0</v>
      </c>
      <c r="C1415" s="9" t="s">
        <v>1265</v>
      </c>
      <c r="D1415" s="1" t="s">
        <v>1954</v>
      </c>
      <c r="E1415" s="4">
        <v>3900.0</v>
      </c>
      <c r="F1415" s="4"/>
      <c r="G1415" s="4"/>
      <c r="H1415" s="4">
        <f>'data on outstanding creditors'!$E1415-'data on outstanding creditors'!$F1415-'data on outstanding creditors'!$G1415</f>
        <v>3900</v>
      </c>
      <c r="I1415" s="2"/>
      <c r="J1415" s="1" t="s">
        <v>757</v>
      </c>
      <c r="K1415" s="2">
        <v>45939.0</v>
      </c>
      <c r="L1415" s="5"/>
      <c r="M1415" s="9" t="s">
        <v>22</v>
      </c>
      <c r="N1415" s="9" t="s">
        <v>23</v>
      </c>
      <c r="O1415" s="10">
        <f>'data on outstanding creditors'!$E1415*100/107</f>
        <v>3644.859813</v>
      </c>
      <c r="P1415" s="10">
        <f>'data on outstanding creditors'!$E1415-'data on outstanding creditors'!$O1415</f>
        <v>255.1401869</v>
      </c>
      <c r="Q1415" s="7">
        <f>DAY('data on outstanding creditors'!$B1415)</f>
        <v>20</v>
      </c>
      <c r="R1415" s="7">
        <f>MONTH('data on outstanding creditors'!$B1415)</f>
        <v>8</v>
      </c>
      <c r="S1415" s="7">
        <f>YEAR('data on outstanding creditors'!$B1415)</f>
        <v>2025</v>
      </c>
      <c r="T1415" s="11" t="str">
        <f>'data on outstanding creditors'!$C1415&amp;" "&amp;'data on outstanding creditors'!$D1415&amp;" "&amp;TEXT('data on outstanding creditors'!$E1415,"#,##0.00")</f>
        <v>บ.แอล.บี.เอส.แลบบอเรตอรี่ 880832 3,900.00</v>
      </c>
      <c r="U1415" s="12"/>
    </row>
    <row r="1416" ht="13.5" customHeight="1">
      <c r="A1416" s="1"/>
      <c r="B1416" s="2">
        <v>45889.0</v>
      </c>
      <c r="C1416" s="9" t="s">
        <v>520</v>
      </c>
      <c r="D1416" s="1" t="s">
        <v>1955</v>
      </c>
      <c r="E1416" s="4">
        <v>12000.0</v>
      </c>
      <c r="F1416" s="4"/>
      <c r="G1416" s="4"/>
      <c r="H1416" s="4">
        <f>'data on outstanding creditors'!$E1416-'data on outstanding creditors'!$F1416-'data on outstanding creditors'!$G1416</f>
        <v>12000</v>
      </c>
      <c r="I1416" s="2"/>
      <c r="J1416" s="1" t="s">
        <v>757</v>
      </c>
      <c r="K1416" s="2">
        <v>45943.0</v>
      </c>
      <c r="L1416" s="5"/>
      <c r="M1416" s="9" t="s">
        <v>22</v>
      </c>
      <c r="N1416" s="9" t="s">
        <v>23</v>
      </c>
      <c r="O1416" s="10">
        <f>'data on outstanding creditors'!$E1416*100/107</f>
        <v>11214.95327</v>
      </c>
      <c r="P1416" s="10">
        <f>'data on outstanding creditors'!$E1416-'data on outstanding creditors'!$O1416</f>
        <v>785.046729</v>
      </c>
      <c r="Q1416" s="7">
        <f>DAY('data on outstanding creditors'!$B1416)</f>
        <v>20</v>
      </c>
      <c r="R1416" s="7">
        <f>MONTH('data on outstanding creditors'!$B1416)</f>
        <v>8</v>
      </c>
      <c r="S1416" s="7">
        <f>YEAR('data on outstanding creditors'!$B1416)</f>
        <v>2025</v>
      </c>
      <c r="T1416" s="11" t="str">
        <f>'data on outstanding creditors'!$C1416&amp;" "&amp;'data on outstanding creditors'!$D1416&amp;" "&amp;TEXT('data on outstanding creditors'!$E1416,"#,##0.00")</f>
        <v>บ.ซิลลิคฟาร์มา 1317864657 12,000.00</v>
      </c>
      <c r="U1416" s="12"/>
    </row>
    <row r="1417" ht="13.5" customHeight="1">
      <c r="A1417" s="1"/>
      <c r="B1417" s="2">
        <v>45890.0</v>
      </c>
      <c r="C1417" s="9" t="s">
        <v>884</v>
      </c>
      <c r="D1417" s="1" t="s">
        <v>1956</v>
      </c>
      <c r="E1417" s="4">
        <v>44500.0</v>
      </c>
      <c r="F1417" s="4"/>
      <c r="G1417" s="4"/>
      <c r="H1417" s="4">
        <f>'data on outstanding creditors'!$E1417-'data on outstanding creditors'!$F1417-'data on outstanding creditors'!$G1417</f>
        <v>44500</v>
      </c>
      <c r="I1417" s="2"/>
      <c r="J1417" s="1" t="s">
        <v>646</v>
      </c>
      <c r="K1417" s="2">
        <v>45954.0</v>
      </c>
      <c r="L1417" s="5"/>
      <c r="M1417" s="9" t="s">
        <v>22</v>
      </c>
      <c r="N1417" s="9" t="s">
        <v>23</v>
      </c>
      <c r="O1417" s="10">
        <f>'data on outstanding creditors'!$E1417*100/107</f>
        <v>41588.78505</v>
      </c>
      <c r="P1417" s="10">
        <f>'data on outstanding creditors'!$E1417-'data on outstanding creditors'!$O1417</f>
        <v>2911.214953</v>
      </c>
      <c r="Q1417" s="7">
        <f>DAY('data on outstanding creditors'!$B1417)</f>
        <v>21</v>
      </c>
      <c r="R1417" s="7">
        <f>MONTH('data on outstanding creditors'!$B1417)</f>
        <v>8</v>
      </c>
      <c r="S1417" s="7">
        <f>YEAR('data on outstanding creditors'!$B1417)</f>
        <v>2025</v>
      </c>
      <c r="T1417" s="11" t="str">
        <f>'data on outstanding creditors'!$C1417&amp;" "&amp;'data on outstanding creditors'!$D1417&amp;" "&amp;TEXT('data on outstanding creditors'!$E1417,"#,##0.00")</f>
        <v>บ.เอสพีเอส เมดิคอล 112508003778 44,500.00</v>
      </c>
      <c r="U1417" s="12"/>
    </row>
    <row r="1418" ht="13.5" customHeight="1">
      <c r="A1418" s="1"/>
      <c r="B1418" s="2">
        <v>45890.0</v>
      </c>
      <c r="C1418" s="9" t="s">
        <v>920</v>
      </c>
      <c r="D1418" s="1" t="s">
        <v>1957</v>
      </c>
      <c r="E1418" s="4">
        <v>57600.0</v>
      </c>
      <c r="F1418" s="4"/>
      <c r="G1418" s="4"/>
      <c r="H1418" s="4">
        <f>'data on outstanding creditors'!$E1418-'data on outstanding creditors'!$F1418-'data on outstanding creditors'!$G1418</f>
        <v>57600</v>
      </c>
      <c r="I1418" s="2"/>
      <c r="J1418" s="1" t="s">
        <v>646</v>
      </c>
      <c r="K1418" s="2">
        <v>45954.0</v>
      </c>
      <c r="L1418" s="5"/>
      <c r="M1418" s="9" t="s">
        <v>22</v>
      </c>
      <c r="N1418" s="9" t="s">
        <v>23</v>
      </c>
      <c r="O1418" s="10">
        <f>'data on outstanding creditors'!$E1418*100/107</f>
        <v>53831.7757</v>
      </c>
      <c r="P1418" s="10">
        <f>'data on outstanding creditors'!$E1418-'data on outstanding creditors'!$O1418</f>
        <v>3768.224299</v>
      </c>
      <c r="Q1418" s="7">
        <f>DAY('data on outstanding creditors'!$B1418)</f>
        <v>21</v>
      </c>
      <c r="R1418" s="7">
        <f>MONTH('data on outstanding creditors'!$B1418)</f>
        <v>8</v>
      </c>
      <c r="S1418" s="7">
        <f>YEAR('data on outstanding creditors'!$B1418)</f>
        <v>2025</v>
      </c>
      <c r="T1418" s="11" t="str">
        <f>'data on outstanding creditors'!$C1418&amp;" "&amp;'data on outstanding creditors'!$D1418&amp;" "&amp;TEXT('data on outstanding creditors'!$E1418,"#,##0.00")</f>
        <v>บ.โปลิฟาร์ม IVU-68034493 57,600.00</v>
      </c>
      <c r="U1418" s="12"/>
    </row>
    <row r="1419" ht="13.5" customHeight="1">
      <c r="A1419" s="1"/>
      <c r="B1419" s="2">
        <v>45890.0</v>
      </c>
      <c r="C1419" s="9" t="s">
        <v>256</v>
      </c>
      <c r="D1419" s="1" t="s">
        <v>1958</v>
      </c>
      <c r="E1419" s="4">
        <v>6000.0</v>
      </c>
      <c r="F1419" s="4"/>
      <c r="G1419" s="4"/>
      <c r="H1419" s="4">
        <f>'data on outstanding creditors'!$E1419-'data on outstanding creditors'!$F1419-'data on outstanding creditors'!$G1419</f>
        <v>6000</v>
      </c>
      <c r="I1419" s="2"/>
      <c r="J1419" s="1" t="s">
        <v>757</v>
      </c>
      <c r="K1419" s="2">
        <v>45926.0</v>
      </c>
      <c r="L1419" s="5"/>
      <c r="M1419" s="9" t="s">
        <v>22</v>
      </c>
      <c r="N1419" s="9" t="s">
        <v>23</v>
      </c>
      <c r="O1419" s="10">
        <f>'data on outstanding creditors'!$E1419*100/107</f>
        <v>5607.476636</v>
      </c>
      <c r="P1419" s="10">
        <f>'data on outstanding creditors'!$E1419-'data on outstanding creditors'!$O1419</f>
        <v>392.5233645</v>
      </c>
      <c r="Q1419" s="7">
        <f>DAY('data on outstanding creditors'!$B1419)</f>
        <v>21</v>
      </c>
      <c r="R1419" s="7">
        <f>MONTH('data on outstanding creditors'!$B1419)</f>
        <v>8</v>
      </c>
      <c r="S1419" s="7">
        <f>YEAR('data on outstanding creditors'!$B1419)</f>
        <v>2025</v>
      </c>
      <c r="T1419" s="11" t="str">
        <f>'data on outstanding creditors'!$C1419&amp;" "&amp;'data on outstanding creditors'!$D1419&amp;" "&amp;TEXT('data on outstanding creditors'!$E1419,"#,##0.00")</f>
        <v>บ.พาตาร์แลบ(2517) INV125081081 6,000.00</v>
      </c>
      <c r="U1419" s="12"/>
    </row>
    <row r="1420" ht="13.5" customHeight="1">
      <c r="A1420" s="1"/>
      <c r="B1420" s="2">
        <v>45890.0</v>
      </c>
      <c r="C1420" s="9" t="s">
        <v>1959</v>
      </c>
      <c r="D1420" s="1" t="s">
        <v>1960</v>
      </c>
      <c r="E1420" s="4">
        <v>36500.0</v>
      </c>
      <c r="F1420" s="4"/>
      <c r="G1420" s="4"/>
      <c r="H1420" s="4">
        <f>'data on outstanding creditors'!$E1420-'data on outstanding creditors'!$F1420-'data on outstanding creditors'!$G1420</f>
        <v>36500</v>
      </c>
      <c r="I1420" s="2"/>
      <c r="J1420" s="1" t="s">
        <v>757</v>
      </c>
      <c r="K1420" s="2">
        <v>45926.0</v>
      </c>
      <c r="L1420" s="5"/>
      <c r="M1420" s="9" t="s">
        <v>22</v>
      </c>
      <c r="N1420" s="9" t="s">
        <v>23</v>
      </c>
      <c r="O1420" s="10">
        <f>'data on outstanding creditors'!$E1420*100/107</f>
        <v>34112.14953</v>
      </c>
      <c r="P1420" s="10">
        <f>'data on outstanding creditors'!$E1420-'data on outstanding creditors'!$O1420</f>
        <v>2387.850467</v>
      </c>
      <c r="Q1420" s="7">
        <f>DAY('data on outstanding creditors'!$B1420)</f>
        <v>21</v>
      </c>
      <c r="R1420" s="7">
        <f>MONTH('data on outstanding creditors'!$B1420)</f>
        <v>8</v>
      </c>
      <c r="S1420" s="7">
        <f>YEAR('data on outstanding creditors'!$B1420)</f>
        <v>2025</v>
      </c>
      <c r="T1420" s="11" t="str">
        <f>'data on outstanding creditors'!$C1420&amp;" "&amp;'data on outstanding creditors'!$D1420&amp;" "&amp;TEXT('data on outstanding creditors'!$E1420,"#,##0.00")</f>
        <v>บ.เอสพี โปรดักส์ 112508003766 36,500.00</v>
      </c>
      <c r="U1420" s="12"/>
    </row>
    <row r="1421" ht="13.5" customHeight="1">
      <c r="A1421" s="1"/>
      <c r="B1421" s="2">
        <v>45890.0</v>
      </c>
      <c r="C1421" s="9" t="s">
        <v>1243</v>
      </c>
      <c r="D1421" s="1" t="s">
        <v>1961</v>
      </c>
      <c r="E1421" s="4">
        <v>12500.0</v>
      </c>
      <c r="F1421" s="4"/>
      <c r="G1421" s="4"/>
      <c r="H1421" s="4">
        <f>'data on outstanding creditors'!$E1421-'data on outstanding creditors'!$F1421-'data on outstanding creditors'!$G1421</f>
        <v>12500</v>
      </c>
      <c r="I1421" s="2"/>
      <c r="J1421" s="1" t="s">
        <v>757</v>
      </c>
      <c r="K1421" s="2">
        <v>45926.0</v>
      </c>
      <c r="L1421" s="5"/>
      <c r="M1421" s="9" t="s">
        <v>22</v>
      </c>
      <c r="N1421" s="9" t="s">
        <v>23</v>
      </c>
      <c r="O1421" s="10">
        <f>'data on outstanding creditors'!$E1421*100/107</f>
        <v>11682.24299</v>
      </c>
      <c r="P1421" s="10">
        <f>'data on outstanding creditors'!$E1421-'data on outstanding creditors'!$O1421</f>
        <v>817.7570093</v>
      </c>
      <c r="Q1421" s="7">
        <f>DAY('data on outstanding creditors'!$B1421)</f>
        <v>21</v>
      </c>
      <c r="R1421" s="7">
        <f>MONTH('data on outstanding creditors'!$B1421)</f>
        <v>8</v>
      </c>
      <c r="S1421" s="7">
        <f>YEAR('data on outstanding creditors'!$B1421)</f>
        <v>2025</v>
      </c>
      <c r="T1421" s="11" t="str">
        <f>'data on outstanding creditors'!$C1421&amp;" "&amp;'data on outstanding creditors'!$D1421&amp;" "&amp;TEXT('data on outstanding creditors'!$E1421,"#,##0.00")</f>
        <v>บ.วี.แอนด์.วี.กรุงเทพ 8103510762 12,500.00</v>
      </c>
      <c r="U1421" s="12"/>
    </row>
    <row r="1422" ht="13.5" customHeight="1">
      <c r="A1422" s="1"/>
      <c r="B1422" s="2">
        <v>45890.0</v>
      </c>
      <c r="C1422" s="9" t="s">
        <v>1243</v>
      </c>
      <c r="D1422" s="1" t="s">
        <v>1962</v>
      </c>
      <c r="E1422" s="4">
        <v>37500.0</v>
      </c>
      <c r="F1422" s="4"/>
      <c r="G1422" s="4"/>
      <c r="H1422" s="4">
        <f>'data on outstanding creditors'!$E1422-'data on outstanding creditors'!$F1422-'data on outstanding creditors'!$G1422</f>
        <v>37500</v>
      </c>
      <c r="I1422" s="2"/>
      <c r="J1422" s="1" t="s">
        <v>757</v>
      </c>
      <c r="K1422" s="2">
        <v>45926.0</v>
      </c>
      <c r="L1422" s="5"/>
      <c r="M1422" s="9" t="s">
        <v>22</v>
      </c>
      <c r="N1422" s="9" t="s">
        <v>23</v>
      </c>
      <c r="O1422" s="10">
        <f>'data on outstanding creditors'!$E1422*100/107</f>
        <v>35046.72897</v>
      </c>
      <c r="P1422" s="10">
        <f>'data on outstanding creditors'!$E1422-'data on outstanding creditors'!$O1422</f>
        <v>2453.271028</v>
      </c>
      <c r="Q1422" s="7">
        <f>DAY('data on outstanding creditors'!$B1422)</f>
        <v>21</v>
      </c>
      <c r="R1422" s="7">
        <f>MONTH('data on outstanding creditors'!$B1422)</f>
        <v>8</v>
      </c>
      <c r="S1422" s="7">
        <f>YEAR('data on outstanding creditors'!$B1422)</f>
        <v>2025</v>
      </c>
      <c r="T1422" s="11" t="str">
        <f>'data on outstanding creditors'!$C1422&amp;" "&amp;'data on outstanding creditors'!$D1422&amp;" "&amp;TEXT('data on outstanding creditors'!$E1422,"#,##0.00")</f>
        <v>บ.วี.แอนด์.วี.กรุงเทพ 8103515859 37,500.00</v>
      </c>
      <c r="U1422" s="12"/>
    </row>
    <row r="1423" ht="13.5" customHeight="1">
      <c r="A1423" s="1"/>
      <c r="B1423" s="2">
        <v>45890.0</v>
      </c>
      <c r="C1423" s="9" t="s">
        <v>922</v>
      </c>
      <c r="D1423" s="1" t="s">
        <v>1963</v>
      </c>
      <c r="E1423" s="4">
        <v>23400.0</v>
      </c>
      <c r="F1423" s="4"/>
      <c r="G1423" s="4"/>
      <c r="H1423" s="4">
        <f>'data on outstanding creditors'!$E1423-'data on outstanding creditors'!$F1423-'data on outstanding creditors'!$G1423</f>
        <v>23400</v>
      </c>
      <c r="I1423" s="2"/>
      <c r="J1423" s="1" t="s">
        <v>757</v>
      </c>
      <c r="K1423" s="2">
        <v>45926.0</v>
      </c>
      <c r="L1423" s="5"/>
      <c r="M1423" s="9" t="s">
        <v>22</v>
      </c>
      <c r="N1423" s="9" t="s">
        <v>23</v>
      </c>
      <c r="O1423" s="10">
        <f>'data on outstanding creditors'!$E1423*100/107</f>
        <v>21869.15888</v>
      </c>
      <c r="P1423" s="10">
        <f>'data on outstanding creditors'!$E1423-'data on outstanding creditors'!$O1423</f>
        <v>1530.841121</v>
      </c>
      <c r="Q1423" s="7">
        <f>DAY('data on outstanding creditors'!$B1423)</f>
        <v>21</v>
      </c>
      <c r="R1423" s="7">
        <f>MONTH('data on outstanding creditors'!$B1423)</f>
        <v>8</v>
      </c>
      <c r="S1423" s="7">
        <f>YEAR('data on outstanding creditors'!$B1423)</f>
        <v>2025</v>
      </c>
      <c r="T1423" s="11" t="str">
        <f>'data on outstanding creditors'!$C1423&amp;" "&amp;'data on outstanding creditors'!$D1423&amp;" "&amp;TEXT('data on outstanding creditors'!$E1423,"#,##0.00")</f>
        <v>บ.เบอร์ลินฟาร์มาซูติคอลอินดัสตรี้ 6810802983 23,400.00</v>
      </c>
      <c r="U1423" s="12"/>
    </row>
    <row r="1424" ht="13.5" customHeight="1">
      <c r="A1424" s="1"/>
      <c r="B1424" s="2">
        <v>45890.0</v>
      </c>
      <c r="C1424" s="9" t="s">
        <v>767</v>
      </c>
      <c r="D1424" s="1" t="s">
        <v>1964</v>
      </c>
      <c r="E1424" s="4">
        <v>22200.0</v>
      </c>
      <c r="F1424" s="4"/>
      <c r="G1424" s="4"/>
      <c r="H1424" s="4">
        <f>'data on outstanding creditors'!$E1424-'data on outstanding creditors'!$F1424-'data on outstanding creditors'!$G1424</f>
        <v>22200</v>
      </c>
      <c r="I1424" s="2"/>
      <c r="J1424" s="1" t="s">
        <v>646</v>
      </c>
      <c r="K1424" s="2">
        <v>45944.0</v>
      </c>
      <c r="L1424" s="5"/>
      <c r="M1424" s="9" t="s">
        <v>22</v>
      </c>
      <c r="N1424" s="9" t="s">
        <v>23</v>
      </c>
      <c r="O1424" s="10">
        <f>'data on outstanding creditors'!$E1424*100/107</f>
        <v>20747.66355</v>
      </c>
      <c r="P1424" s="10">
        <f>'data on outstanding creditors'!$E1424-'data on outstanding creditors'!$O1424</f>
        <v>1452.336449</v>
      </c>
      <c r="Q1424" s="7">
        <f>DAY('data on outstanding creditors'!$B1424)</f>
        <v>21</v>
      </c>
      <c r="R1424" s="7">
        <f>MONTH('data on outstanding creditors'!$B1424)</f>
        <v>8</v>
      </c>
      <c r="S1424" s="7">
        <f>YEAR('data on outstanding creditors'!$B1424)</f>
        <v>2025</v>
      </c>
      <c r="T1424" s="11" t="str">
        <f>'data on outstanding creditors'!$C1424&amp;" "&amp;'data on outstanding creditors'!$D1424&amp;" "&amp;TEXT('data on outstanding creditors'!$E1424,"#,##0.00")</f>
        <v>บ.คอสม่า เทรดดิ้ง 310857402070 22,200.00</v>
      </c>
      <c r="U1424" s="12"/>
    </row>
    <row r="1425" ht="13.5" customHeight="1">
      <c r="A1425" s="1"/>
      <c r="B1425" s="2">
        <v>45890.0</v>
      </c>
      <c r="C1425" s="9" t="s">
        <v>1314</v>
      </c>
      <c r="D1425" s="1" t="s">
        <v>1965</v>
      </c>
      <c r="E1425" s="4">
        <v>9250.0</v>
      </c>
      <c r="F1425" s="4"/>
      <c r="G1425" s="4"/>
      <c r="H1425" s="4">
        <f>'data on outstanding creditors'!$E1425-'data on outstanding creditors'!$F1425-'data on outstanding creditors'!$G1425</f>
        <v>9250</v>
      </c>
      <c r="I1425" s="2"/>
      <c r="J1425" s="1" t="s">
        <v>646</v>
      </c>
      <c r="K1425" s="2">
        <v>45954.0</v>
      </c>
      <c r="L1425" s="5"/>
      <c r="M1425" s="9" t="s">
        <v>22</v>
      </c>
      <c r="N1425" s="9" t="s">
        <v>23</v>
      </c>
      <c r="O1425" s="10">
        <f>'data on outstanding creditors'!$E1425*100/107</f>
        <v>8644.859813</v>
      </c>
      <c r="P1425" s="10">
        <f>'data on outstanding creditors'!$E1425-'data on outstanding creditors'!$O1425</f>
        <v>605.1401869</v>
      </c>
      <c r="Q1425" s="7">
        <f>DAY('data on outstanding creditors'!$B1425)</f>
        <v>21</v>
      </c>
      <c r="R1425" s="7">
        <f>MONTH('data on outstanding creditors'!$B1425)</f>
        <v>8</v>
      </c>
      <c r="S1425" s="7">
        <f>YEAR('data on outstanding creditors'!$B1425)</f>
        <v>2025</v>
      </c>
      <c r="T1425" s="11" t="str">
        <f>'data on outstanding creditors'!$C1425&amp;" "&amp;'data on outstanding creditors'!$D1425&amp;" "&amp;TEXT('data on outstanding creditors'!$E1425,"#,##0.00")</f>
        <v>บ.บูรพา ฟาร์มา DSP6801788 9,250.00</v>
      </c>
      <c r="U1425" s="12"/>
    </row>
    <row r="1426" ht="13.5" customHeight="1">
      <c r="A1426" s="1"/>
      <c r="B1426" s="2">
        <v>45890.0</v>
      </c>
      <c r="C1426" s="9" t="s">
        <v>399</v>
      </c>
      <c r="D1426" s="1" t="s">
        <v>1966</v>
      </c>
      <c r="E1426" s="4">
        <v>104325.0</v>
      </c>
      <c r="F1426" s="4"/>
      <c r="G1426" s="4"/>
      <c r="H1426" s="4">
        <f>'data on outstanding creditors'!$E1426-'data on outstanding creditors'!$F1426-'data on outstanding creditors'!$G1426</f>
        <v>104325</v>
      </c>
      <c r="I1426" s="2"/>
      <c r="J1426" s="1" t="s">
        <v>757</v>
      </c>
      <c r="K1426" s="2">
        <v>45923.0</v>
      </c>
      <c r="L1426" s="5"/>
      <c r="M1426" s="9" t="s">
        <v>22</v>
      </c>
      <c r="N1426" s="9" t="s">
        <v>23</v>
      </c>
      <c r="O1426" s="10">
        <f>'data on outstanding creditors'!$E1426*100/107</f>
        <v>97500</v>
      </c>
      <c r="P1426" s="10">
        <f>'data on outstanding creditors'!$E1426-'data on outstanding creditors'!$O1426</f>
        <v>6825</v>
      </c>
      <c r="Q1426" s="7">
        <f>DAY('data on outstanding creditors'!$B1426)</f>
        <v>21</v>
      </c>
      <c r="R1426" s="7">
        <f>MONTH('data on outstanding creditors'!$B1426)</f>
        <v>8</v>
      </c>
      <c r="S1426" s="7">
        <f>YEAR('data on outstanding creditors'!$B1426)</f>
        <v>2025</v>
      </c>
      <c r="T1426" s="11" t="str">
        <f>'data on outstanding creditors'!$C1426&amp;" "&amp;'data on outstanding creditors'!$D1426&amp;" "&amp;TEXT('data on outstanding creditors'!$E1426,"#,##0.00")</f>
        <v>บ.ดีเคเอสเอช(ประเทศไทย) 5344208928 104,325.00</v>
      </c>
      <c r="U1426" s="12"/>
    </row>
    <row r="1427" ht="13.5" customHeight="1">
      <c r="A1427" s="1"/>
      <c r="B1427" s="2">
        <v>45890.0</v>
      </c>
      <c r="C1427" s="9" t="s">
        <v>1440</v>
      </c>
      <c r="D1427" s="1" t="s">
        <v>1967</v>
      </c>
      <c r="E1427" s="4">
        <v>10800.0</v>
      </c>
      <c r="F1427" s="4"/>
      <c r="G1427" s="4"/>
      <c r="H1427" s="4">
        <f>'data on outstanding creditors'!$E1427-'data on outstanding creditors'!$F1427-'data on outstanding creditors'!$G1427</f>
        <v>10800</v>
      </c>
      <c r="I1427" s="2"/>
      <c r="J1427" s="1" t="s">
        <v>757</v>
      </c>
      <c r="K1427" s="2">
        <v>45926.0</v>
      </c>
      <c r="L1427" s="5"/>
      <c r="M1427" s="9" t="s">
        <v>22</v>
      </c>
      <c r="N1427" s="9" t="s">
        <v>23</v>
      </c>
      <c r="O1427" s="10">
        <f>'data on outstanding creditors'!$E1427*100/107</f>
        <v>10093.45794</v>
      </c>
      <c r="P1427" s="10">
        <f>'data on outstanding creditors'!$E1427-'data on outstanding creditors'!$O1427</f>
        <v>706.5420561</v>
      </c>
      <c r="Q1427" s="7">
        <f>DAY('data on outstanding creditors'!$B1427)</f>
        <v>21</v>
      </c>
      <c r="R1427" s="7">
        <f>MONTH('data on outstanding creditors'!$B1427)</f>
        <v>8</v>
      </c>
      <c r="S1427" s="7">
        <f>YEAR('data on outstanding creditors'!$B1427)</f>
        <v>2025</v>
      </c>
      <c r="T1427" s="11" t="str">
        <f>'data on outstanding creditors'!$C1427&amp;" "&amp;'data on outstanding creditors'!$D1427&amp;" "&amp;TEXT('data on outstanding creditors'!$E1427,"#,##0.00")</f>
        <v>บ.เวสโก ฟาร์มาซูติคอล IN68080667 10,800.00</v>
      </c>
      <c r="U1427" s="12"/>
    </row>
    <row r="1428" ht="13.5" customHeight="1">
      <c r="A1428" s="1"/>
      <c r="B1428" s="2">
        <v>45890.0</v>
      </c>
      <c r="C1428" s="9" t="s">
        <v>1968</v>
      </c>
      <c r="D1428" s="1" t="s">
        <v>1969</v>
      </c>
      <c r="E1428" s="4">
        <v>28800.0</v>
      </c>
      <c r="F1428" s="4"/>
      <c r="G1428" s="4"/>
      <c r="H1428" s="4">
        <f>'data on outstanding creditors'!$E1428-'data on outstanding creditors'!$F1428-'data on outstanding creditors'!$G1428</f>
        <v>28800</v>
      </c>
      <c r="I1428" s="2"/>
      <c r="J1428" s="1" t="s">
        <v>757</v>
      </c>
      <c r="K1428" s="2">
        <v>45926.0</v>
      </c>
      <c r="L1428" s="5"/>
      <c r="M1428" s="9" t="s">
        <v>22</v>
      </c>
      <c r="N1428" s="9" t="s">
        <v>23</v>
      </c>
      <c r="O1428" s="10">
        <f>'data on outstanding creditors'!$E1428*100/107</f>
        <v>26915.88785</v>
      </c>
      <c r="P1428" s="10">
        <f>'data on outstanding creditors'!$E1428-'data on outstanding creditors'!$O1428</f>
        <v>1884.11215</v>
      </c>
      <c r="Q1428" s="7">
        <f>DAY('data on outstanding creditors'!$B1428)</f>
        <v>21</v>
      </c>
      <c r="R1428" s="7">
        <f>MONTH('data on outstanding creditors'!$B1428)</f>
        <v>8</v>
      </c>
      <c r="S1428" s="7">
        <f>YEAR('data on outstanding creditors'!$B1428)</f>
        <v>2025</v>
      </c>
      <c r="T1428" s="11" t="str">
        <f>'data on outstanding creditors'!$C1428&amp;" "&amp;'data on outstanding creditors'!$D1428&amp;" "&amp;TEXT('data on outstanding creditors'!$E1428,"#,##0.00")</f>
        <v>บ.ไบโอฟาร์ม เคมิคัลส์ 111582420 28,800.00</v>
      </c>
      <c r="U1428" s="12"/>
    </row>
    <row r="1429" ht="13.5" customHeight="1">
      <c r="A1429" s="1"/>
      <c r="B1429" s="2">
        <v>45890.0</v>
      </c>
      <c r="C1429" s="9" t="s">
        <v>1314</v>
      </c>
      <c r="D1429" s="1" t="s">
        <v>1970</v>
      </c>
      <c r="E1429" s="4">
        <v>48000.0</v>
      </c>
      <c r="F1429" s="4"/>
      <c r="G1429" s="4"/>
      <c r="H1429" s="4">
        <f>'data on outstanding creditors'!$E1429-'data on outstanding creditors'!$F1429-'data on outstanding creditors'!$G1429</f>
        <v>48000</v>
      </c>
      <c r="I1429" s="2"/>
      <c r="J1429" s="1" t="s">
        <v>646</v>
      </c>
      <c r="K1429" s="2">
        <v>45954.0</v>
      </c>
      <c r="L1429" s="5"/>
      <c r="M1429" s="9" t="s">
        <v>22</v>
      </c>
      <c r="N1429" s="9" t="s">
        <v>23</v>
      </c>
      <c r="O1429" s="10">
        <f>'data on outstanding creditors'!$E1429*100/107</f>
        <v>44859.81308</v>
      </c>
      <c r="P1429" s="10">
        <f>'data on outstanding creditors'!$E1429-'data on outstanding creditors'!$O1429</f>
        <v>3140.186916</v>
      </c>
      <c r="Q1429" s="7">
        <f>DAY('data on outstanding creditors'!$B1429)</f>
        <v>21</v>
      </c>
      <c r="R1429" s="7">
        <f>MONTH('data on outstanding creditors'!$B1429)</f>
        <v>8</v>
      </c>
      <c r="S1429" s="7">
        <f>YEAR('data on outstanding creditors'!$B1429)</f>
        <v>2025</v>
      </c>
      <c r="T1429" s="11" t="str">
        <f>'data on outstanding creditors'!$C1429&amp;" "&amp;'data on outstanding creditors'!$D1429&amp;" "&amp;TEXT('data on outstanding creditors'!$E1429,"#,##0.00")</f>
        <v>บ.บูรพา ฟาร์มา DSP6801807 48,000.00</v>
      </c>
      <c r="U1429" s="12"/>
    </row>
    <row r="1430" ht="13.5" customHeight="1">
      <c r="A1430" s="1"/>
      <c r="B1430" s="2">
        <v>45890.0</v>
      </c>
      <c r="C1430" s="9" t="s">
        <v>1230</v>
      </c>
      <c r="D1430" s="1" t="s">
        <v>1971</v>
      </c>
      <c r="E1430" s="4">
        <v>30000.0</v>
      </c>
      <c r="F1430" s="4"/>
      <c r="G1430" s="4"/>
      <c r="H1430" s="4">
        <f>'data on outstanding creditors'!$E1430-'data on outstanding creditors'!$F1430-'data on outstanding creditors'!$G1430</f>
        <v>30000</v>
      </c>
      <c r="I1430" s="2"/>
      <c r="J1430" s="1" t="s">
        <v>757</v>
      </c>
      <c r="K1430" s="2">
        <v>45918.0</v>
      </c>
      <c r="L1430" s="5"/>
      <c r="M1430" s="9" t="s">
        <v>22</v>
      </c>
      <c r="N1430" s="9" t="s">
        <v>23</v>
      </c>
      <c r="O1430" s="10">
        <f>'data on outstanding creditors'!$E1430*100/107</f>
        <v>28037.38318</v>
      </c>
      <c r="P1430" s="10">
        <f>'data on outstanding creditors'!$E1430-'data on outstanding creditors'!$O1430</f>
        <v>1962.616822</v>
      </c>
      <c r="Q1430" s="7">
        <f>DAY('data on outstanding creditors'!$B1430)</f>
        <v>21</v>
      </c>
      <c r="R1430" s="7">
        <f>MONTH('data on outstanding creditors'!$B1430)</f>
        <v>8</v>
      </c>
      <c r="S1430" s="7">
        <f>YEAR('data on outstanding creditors'!$B1430)</f>
        <v>2025</v>
      </c>
      <c r="T1430" s="11" t="str">
        <f>'data on outstanding creditors'!$C1430&amp;" "&amp;'data on outstanding creditors'!$D1430&amp;" "&amp;TEXT('data on outstanding creditors'!$E1430,"#,##0.00")</f>
        <v>บ.พรอส ฟาร์มา INV-L-IM\2025081732 30,000.00</v>
      </c>
      <c r="U1430" s="12"/>
    </row>
    <row r="1431" ht="13.5" customHeight="1">
      <c r="A1431" s="1"/>
      <c r="B1431" s="2">
        <v>45890.0</v>
      </c>
      <c r="C1431" s="9" t="s">
        <v>1432</v>
      </c>
      <c r="D1431" s="1" t="s">
        <v>1972</v>
      </c>
      <c r="E1431" s="4">
        <v>5500.0</v>
      </c>
      <c r="F1431" s="4"/>
      <c r="G1431" s="4"/>
      <c r="H1431" s="4">
        <f>'data on outstanding creditors'!$E1431-'data on outstanding creditors'!$F1431-'data on outstanding creditors'!$G1431</f>
        <v>5500</v>
      </c>
      <c r="I1431" s="2"/>
      <c r="J1431" s="1" t="s">
        <v>757</v>
      </c>
      <c r="K1431" s="2">
        <v>45918.0</v>
      </c>
      <c r="L1431" s="5"/>
      <c r="M1431" s="9" t="s">
        <v>22</v>
      </c>
      <c r="N1431" s="9" t="s">
        <v>23</v>
      </c>
      <c r="O1431" s="10">
        <f>'data on outstanding creditors'!$E1431*100/107</f>
        <v>5140.186916</v>
      </c>
      <c r="P1431" s="10">
        <f>'data on outstanding creditors'!$E1431-'data on outstanding creditors'!$O1431</f>
        <v>359.8130841</v>
      </c>
      <c r="Q1431" s="7">
        <f>DAY('data on outstanding creditors'!$B1431)</f>
        <v>21</v>
      </c>
      <c r="R1431" s="7">
        <f>MONTH('data on outstanding creditors'!$B1431)</f>
        <v>8</v>
      </c>
      <c r="S1431" s="7">
        <f>YEAR('data on outstanding creditors'!$B1431)</f>
        <v>2025</v>
      </c>
      <c r="T1431" s="11" t="str">
        <f>'data on outstanding creditors'!$C1431&amp;" "&amp;'data on outstanding creditors'!$D1431&amp;" "&amp;TEXT('data on outstanding creditors'!$E1431,"#,##0.00")</f>
        <v>บ.ยูโทเปี้ยน IV2508305 5,500.00</v>
      </c>
      <c r="U1431" s="12"/>
    </row>
    <row r="1432" ht="13.5" customHeight="1">
      <c r="A1432" s="1"/>
      <c r="B1432" s="2">
        <v>45890.0</v>
      </c>
      <c r="C1432" s="9" t="s">
        <v>1371</v>
      </c>
      <c r="D1432" s="1" t="s">
        <v>1973</v>
      </c>
      <c r="E1432" s="4">
        <v>31600.0</v>
      </c>
      <c r="F1432" s="4"/>
      <c r="G1432" s="4"/>
      <c r="H1432" s="4">
        <f>'data on outstanding creditors'!$E1432-'data on outstanding creditors'!$F1432-'data on outstanding creditors'!$G1432</f>
        <v>31600</v>
      </c>
      <c r="I1432" s="2"/>
      <c r="J1432" s="1" t="s">
        <v>757</v>
      </c>
      <c r="K1432" s="2">
        <v>45918.0</v>
      </c>
      <c r="L1432" s="5"/>
      <c r="M1432" s="9" t="s">
        <v>22</v>
      </c>
      <c r="N1432" s="9" t="s">
        <v>23</v>
      </c>
      <c r="O1432" s="10">
        <f>'data on outstanding creditors'!$E1432*100/107</f>
        <v>29532.71028</v>
      </c>
      <c r="P1432" s="10">
        <f>'data on outstanding creditors'!$E1432-'data on outstanding creditors'!$O1432</f>
        <v>2067.28972</v>
      </c>
      <c r="Q1432" s="7">
        <f>DAY('data on outstanding creditors'!$B1432)</f>
        <v>21</v>
      </c>
      <c r="R1432" s="7">
        <f>MONTH('data on outstanding creditors'!$B1432)</f>
        <v>8</v>
      </c>
      <c r="S1432" s="7">
        <f>YEAR('data on outstanding creditors'!$B1432)</f>
        <v>2025</v>
      </c>
      <c r="T1432" s="11" t="str">
        <f>'data on outstanding creditors'!$C1432&amp;" "&amp;'data on outstanding creditors'!$D1432&amp;" "&amp;TEXT('data on outstanding creditors'!$E1432,"#,##0.00")</f>
        <v>บ.แอตแลนต้า เมดดิคแคร์ BU/225080255 31,600.00</v>
      </c>
      <c r="U1432" s="12"/>
    </row>
    <row r="1433" ht="13.5" customHeight="1">
      <c r="A1433" s="1"/>
      <c r="B1433" s="2">
        <v>45890.0</v>
      </c>
      <c r="C1433" s="9" t="s">
        <v>1617</v>
      </c>
      <c r="D1433" s="1" t="s">
        <v>1974</v>
      </c>
      <c r="E1433" s="4">
        <v>31030.0</v>
      </c>
      <c r="F1433" s="4"/>
      <c r="G1433" s="4"/>
      <c r="H1433" s="4">
        <f>'data on outstanding creditors'!$E1433-'data on outstanding creditors'!$F1433-'data on outstanding creditors'!$G1433</f>
        <v>31030</v>
      </c>
      <c r="I1433" s="2"/>
      <c r="J1433" s="1" t="s">
        <v>757</v>
      </c>
      <c r="K1433" s="2">
        <v>45926.0</v>
      </c>
      <c r="L1433" s="5"/>
      <c r="M1433" s="9" t="s">
        <v>22</v>
      </c>
      <c r="N1433" s="9" t="s">
        <v>23</v>
      </c>
      <c r="O1433" s="10">
        <f>'data on outstanding creditors'!$E1433*100/107</f>
        <v>29000</v>
      </c>
      <c r="P1433" s="10">
        <f>'data on outstanding creditors'!$E1433-'data on outstanding creditors'!$O1433</f>
        <v>2030</v>
      </c>
      <c r="Q1433" s="7">
        <f>DAY('data on outstanding creditors'!$B1433)</f>
        <v>21</v>
      </c>
      <c r="R1433" s="7">
        <f>MONTH('data on outstanding creditors'!$B1433)</f>
        <v>8</v>
      </c>
      <c r="S1433" s="7">
        <f>YEAR('data on outstanding creditors'!$B1433)</f>
        <v>2025</v>
      </c>
      <c r="T1433" s="11" t="str">
        <f>'data on outstanding creditors'!$C1433&amp;" "&amp;'data on outstanding creditors'!$D1433&amp;" "&amp;TEXT('data on outstanding creditors'!$E1433,"#,##0.00")</f>
        <v>บ.โมเดิร์น แบรนด์ส MB25/4024 31,030.00</v>
      </c>
      <c r="U1433" s="12"/>
    </row>
    <row r="1434" ht="13.5" customHeight="1">
      <c r="A1434" s="1"/>
      <c r="B1434" s="2">
        <v>45890.0</v>
      </c>
      <c r="C1434" s="9" t="s">
        <v>1279</v>
      </c>
      <c r="D1434" s="1" t="s">
        <v>1975</v>
      </c>
      <c r="E1434" s="4">
        <v>10800.0</v>
      </c>
      <c r="F1434" s="4"/>
      <c r="G1434" s="4"/>
      <c r="H1434" s="4">
        <f>'data on outstanding creditors'!$E1434-'data on outstanding creditors'!$F1434-'data on outstanding creditors'!$G1434</f>
        <v>10800</v>
      </c>
      <c r="I1434" s="2"/>
      <c r="J1434" s="1" t="s">
        <v>757</v>
      </c>
      <c r="K1434" s="2">
        <v>45926.0</v>
      </c>
      <c r="L1434" s="5"/>
      <c r="M1434" s="9" t="s">
        <v>22</v>
      </c>
      <c r="N1434" s="9" t="s">
        <v>23</v>
      </c>
      <c r="O1434" s="10">
        <f>'data on outstanding creditors'!$E1434*100/107</f>
        <v>10093.45794</v>
      </c>
      <c r="P1434" s="10">
        <f>'data on outstanding creditors'!$E1434-'data on outstanding creditors'!$O1434</f>
        <v>706.5420561</v>
      </c>
      <c r="Q1434" s="7">
        <f>DAY('data on outstanding creditors'!$B1434)</f>
        <v>21</v>
      </c>
      <c r="R1434" s="7">
        <f>MONTH('data on outstanding creditors'!$B1434)</f>
        <v>8</v>
      </c>
      <c r="S1434" s="7">
        <f>YEAR('data on outstanding creditors'!$B1434)</f>
        <v>2025</v>
      </c>
      <c r="T1434" s="11" t="str">
        <f>'data on outstanding creditors'!$C1434&amp;" "&amp;'data on outstanding creditors'!$D1434&amp;" "&amp;TEXT('data on outstanding creditors'!$E1434,"#,##0.00")</f>
        <v>บ.ไบโอจีนีเทค IV250800935 10,800.00</v>
      </c>
      <c r="U1434" s="12"/>
    </row>
    <row r="1435" ht="13.5" customHeight="1">
      <c r="A1435" s="1"/>
      <c r="B1435" s="2">
        <v>45890.0</v>
      </c>
      <c r="C1435" s="9" t="s">
        <v>1297</v>
      </c>
      <c r="D1435" s="1" t="s">
        <v>1976</v>
      </c>
      <c r="E1435" s="4">
        <v>36000.0</v>
      </c>
      <c r="F1435" s="4"/>
      <c r="G1435" s="4"/>
      <c r="H1435" s="4">
        <f>'data on outstanding creditors'!$E1435-'data on outstanding creditors'!$F1435-'data on outstanding creditors'!$G1435</f>
        <v>36000</v>
      </c>
      <c r="I1435" s="2"/>
      <c r="J1435" s="1" t="s">
        <v>757</v>
      </c>
      <c r="K1435" s="2">
        <v>45926.0</v>
      </c>
      <c r="L1435" s="5"/>
      <c r="M1435" s="9" t="s">
        <v>22</v>
      </c>
      <c r="N1435" s="9" t="s">
        <v>23</v>
      </c>
      <c r="O1435" s="10">
        <f>'data on outstanding creditors'!$E1435*100/107</f>
        <v>33644.85981</v>
      </c>
      <c r="P1435" s="10">
        <f>'data on outstanding creditors'!$E1435-'data on outstanding creditors'!$O1435</f>
        <v>2355.140187</v>
      </c>
      <c r="Q1435" s="7">
        <f>DAY('data on outstanding creditors'!$B1435)</f>
        <v>21</v>
      </c>
      <c r="R1435" s="7">
        <f>MONTH('data on outstanding creditors'!$B1435)</f>
        <v>8</v>
      </c>
      <c r="S1435" s="7">
        <f>YEAR('data on outstanding creditors'!$B1435)</f>
        <v>2025</v>
      </c>
      <c r="T1435" s="11" t="str">
        <f>'data on outstanding creditors'!$C1435&amp;" "&amp;'data on outstanding creditors'!$D1435&amp;" "&amp;TEXT('data on outstanding creditors'!$E1435,"#,##0.00")</f>
        <v>บ.แอตแลนติค ฟาร์มาซูติคอล PIN2528682 36,000.00</v>
      </c>
      <c r="U1435" s="12"/>
    </row>
    <row r="1436" ht="13.5" customHeight="1">
      <c r="A1436" s="1"/>
      <c r="B1436" s="2">
        <v>45891.0</v>
      </c>
      <c r="C1436" s="9" t="s">
        <v>1422</v>
      </c>
      <c r="D1436" s="1" t="s">
        <v>1977</v>
      </c>
      <c r="E1436" s="4">
        <v>237540.0</v>
      </c>
      <c r="F1436" s="4"/>
      <c r="G1436" s="4"/>
      <c r="H1436" s="4">
        <f>'data on outstanding creditors'!$E1436-'data on outstanding creditors'!$F1436-'data on outstanding creditors'!$G1436</f>
        <v>237540</v>
      </c>
      <c r="I1436" s="2"/>
      <c r="J1436" s="1" t="s">
        <v>646</v>
      </c>
      <c r="K1436" s="2">
        <v>45954.0</v>
      </c>
      <c r="L1436" s="5"/>
      <c r="M1436" s="9" t="s">
        <v>22</v>
      </c>
      <c r="N1436" s="9" t="s">
        <v>23</v>
      </c>
      <c r="O1436" s="10">
        <f>'data on outstanding creditors'!$E1436*100/107</f>
        <v>222000</v>
      </c>
      <c r="P1436" s="10">
        <f>'data on outstanding creditors'!$E1436-'data on outstanding creditors'!$O1436</f>
        <v>15540</v>
      </c>
      <c r="Q1436" s="7">
        <f>DAY('data on outstanding creditors'!$B1436)</f>
        <v>22</v>
      </c>
      <c r="R1436" s="7">
        <f>MONTH('data on outstanding creditors'!$B1436)</f>
        <v>8</v>
      </c>
      <c r="S1436" s="7">
        <f>YEAR('data on outstanding creditors'!$B1436)</f>
        <v>2025</v>
      </c>
      <c r="T1436" s="11" t="str">
        <f>'data on outstanding creditors'!$C1436&amp;" "&amp;'data on outstanding creditors'!$D1436&amp;" "&amp;TEXT('data on outstanding creditors'!$E1436,"#,##0.00")</f>
        <v>บ.ดีซีเอช ออดิกา (ปรเทศไทย) UG94667795 237,540.00</v>
      </c>
      <c r="U1436" s="12"/>
    </row>
    <row r="1437" ht="13.5" customHeight="1">
      <c r="A1437" s="1"/>
      <c r="B1437" s="2">
        <v>45891.0</v>
      </c>
      <c r="C1437" s="9" t="s">
        <v>771</v>
      </c>
      <c r="D1437" s="1" t="s">
        <v>1978</v>
      </c>
      <c r="E1437" s="4">
        <v>45400.0</v>
      </c>
      <c r="F1437" s="4"/>
      <c r="G1437" s="4"/>
      <c r="H1437" s="4">
        <f>'data on outstanding creditors'!$E1437-'data on outstanding creditors'!$F1437-'data on outstanding creditors'!$G1437</f>
        <v>45400</v>
      </c>
      <c r="I1437" s="2"/>
      <c r="J1437" s="1" t="s">
        <v>757</v>
      </c>
      <c r="K1437" s="2">
        <v>45938.0</v>
      </c>
      <c r="L1437" s="5"/>
      <c r="M1437" s="9" t="s">
        <v>22</v>
      </c>
      <c r="N1437" s="9" t="s">
        <v>23</v>
      </c>
      <c r="O1437" s="10">
        <f>'data on outstanding creditors'!$E1437*100/107</f>
        <v>42429.90654</v>
      </c>
      <c r="P1437" s="10">
        <f>'data on outstanding creditors'!$E1437-'data on outstanding creditors'!$O1437</f>
        <v>2970.093458</v>
      </c>
      <c r="Q1437" s="7">
        <f>DAY('data on outstanding creditors'!$B1437)</f>
        <v>22</v>
      </c>
      <c r="R1437" s="7">
        <f>MONTH('data on outstanding creditors'!$B1437)</f>
        <v>8</v>
      </c>
      <c r="S1437" s="7">
        <f>YEAR('data on outstanding creditors'!$B1437)</f>
        <v>2025</v>
      </c>
      <c r="T1437" s="11" t="str">
        <f>'data on outstanding creditors'!$C1437&amp;" "&amp;'data on outstanding creditors'!$D1437&amp;" "&amp;TEXT('data on outstanding creditors'!$E1437,"#,##0.00")</f>
        <v>หจก.ภิญโญฟาร์มาซี IV6843661 45,400.00</v>
      </c>
      <c r="U1437" s="12"/>
    </row>
    <row r="1438" ht="13.5" customHeight="1">
      <c r="A1438" s="1"/>
      <c r="B1438" s="2">
        <v>45894.0</v>
      </c>
      <c r="C1438" s="9" t="s">
        <v>1454</v>
      </c>
      <c r="D1438" s="1" t="s">
        <v>1979</v>
      </c>
      <c r="E1438" s="4">
        <v>66375.0</v>
      </c>
      <c r="F1438" s="4"/>
      <c r="G1438" s="4"/>
      <c r="H1438" s="4">
        <f>'data on outstanding creditors'!$E1438-'data on outstanding creditors'!$F1438-'data on outstanding creditors'!$G1438</f>
        <v>66375</v>
      </c>
      <c r="I1438" s="2"/>
      <c r="J1438" s="1" t="s">
        <v>757</v>
      </c>
      <c r="K1438" s="2">
        <v>45938.0</v>
      </c>
      <c r="L1438" s="5"/>
      <c r="M1438" s="9" t="s">
        <v>22</v>
      </c>
      <c r="N1438" s="9" t="s">
        <v>23</v>
      </c>
      <c r="O1438" s="10">
        <f>'data on outstanding creditors'!$E1438*100/107</f>
        <v>62032.71028</v>
      </c>
      <c r="P1438" s="10">
        <f>'data on outstanding creditors'!$E1438-'data on outstanding creditors'!$O1438</f>
        <v>4342.28972</v>
      </c>
      <c r="Q1438" s="7">
        <f>DAY('data on outstanding creditors'!$B1438)</f>
        <v>25</v>
      </c>
      <c r="R1438" s="7">
        <f>MONTH('data on outstanding creditors'!$B1438)</f>
        <v>8</v>
      </c>
      <c r="S1438" s="7">
        <f>YEAR('data on outstanding creditors'!$B1438)</f>
        <v>2025</v>
      </c>
      <c r="T1438" s="11" t="str">
        <f>'data on outstanding creditors'!$C1438&amp;" "&amp;'data on outstanding creditors'!$D1438&amp;" "&amp;TEXT('data on outstanding creditors'!$E1438,"#,##0.00")</f>
        <v>บ.พรีเมด ฟาร์มา พลัส PL680800511 66,375.00</v>
      </c>
      <c r="U1438" s="12"/>
    </row>
    <row r="1439" ht="13.5" customHeight="1">
      <c r="A1439" s="1"/>
      <c r="B1439" s="2">
        <v>45894.0</v>
      </c>
      <c r="C1439" s="9" t="s">
        <v>520</v>
      </c>
      <c r="D1439" s="1" t="s">
        <v>1980</v>
      </c>
      <c r="E1439" s="4">
        <v>24610.0</v>
      </c>
      <c r="F1439" s="4"/>
      <c r="G1439" s="4"/>
      <c r="H1439" s="4">
        <f>'data on outstanding creditors'!$E1439-'data on outstanding creditors'!$F1439-'data on outstanding creditors'!$G1439</f>
        <v>24610</v>
      </c>
      <c r="I1439" s="2"/>
      <c r="J1439" s="1" t="s">
        <v>757</v>
      </c>
      <c r="K1439" s="2">
        <v>45943.0</v>
      </c>
      <c r="L1439" s="5"/>
      <c r="M1439" s="9" t="s">
        <v>22</v>
      </c>
      <c r="N1439" s="9" t="s">
        <v>23</v>
      </c>
      <c r="O1439" s="10">
        <f>'data on outstanding creditors'!$E1439*100/107</f>
        <v>23000</v>
      </c>
      <c r="P1439" s="10">
        <f>'data on outstanding creditors'!$E1439-'data on outstanding creditors'!$O1439</f>
        <v>1610</v>
      </c>
      <c r="Q1439" s="7">
        <f>DAY('data on outstanding creditors'!$B1439)</f>
        <v>25</v>
      </c>
      <c r="R1439" s="7">
        <f>MONTH('data on outstanding creditors'!$B1439)</f>
        <v>8</v>
      </c>
      <c r="S1439" s="7">
        <f>YEAR('data on outstanding creditors'!$B1439)</f>
        <v>2025</v>
      </c>
      <c r="T1439" s="11" t="str">
        <f>'data on outstanding creditors'!$C1439&amp;" "&amp;'data on outstanding creditors'!$D1439&amp;" "&amp;TEXT('data on outstanding creditors'!$E1439,"#,##0.00")</f>
        <v>บ.ซิลลิคฟาร์มา 1317971035 24,610.00</v>
      </c>
      <c r="U1439" s="12"/>
    </row>
    <row r="1440" ht="13.5" customHeight="1">
      <c r="A1440" s="1"/>
      <c r="B1440" s="2">
        <v>45895.0</v>
      </c>
      <c r="C1440" s="9" t="s">
        <v>1440</v>
      </c>
      <c r="D1440" s="1" t="s">
        <v>1981</v>
      </c>
      <c r="E1440" s="4">
        <v>92500.0</v>
      </c>
      <c r="F1440" s="4"/>
      <c r="G1440" s="4"/>
      <c r="H1440" s="4">
        <f>'data on outstanding creditors'!$E1440-'data on outstanding creditors'!$F1440-'data on outstanding creditors'!$G1440</f>
        <v>92500</v>
      </c>
      <c r="I1440" s="2"/>
      <c r="J1440" s="1"/>
      <c r="K1440" s="2"/>
      <c r="L1440" s="5"/>
      <c r="M1440" s="9" t="s">
        <v>22</v>
      </c>
      <c r="N1440" s="9" t="s">
        <v>23</v>
      </c>
      <c r="O1440" s="10">
        <f>'data on outstanding creditors'!$E1440*100/107</f>
        <v>86448.59813</v>
      </c>
      <c r="P1440" s="10">
        <f>'data on outstanding creditors'!$E1440-'data on outstanding creditors'!$O1440</f>
        <v>6051.401869</v>
      </c>
      <c r="Q1440" s="7">
        <f>DAY('data on outstanding creditors'!$B1440)</f>
        <v>26</v>
      </c>
      <c r="R1440" s="7">
        <f>MONTH('data on outstanding creditors'!$B1440)</f>
        <v>8</v>
      </c>
      <c r="S1440" s="7">
        <f>YEAR('data on outstanding creditors'!$B1440)</f>
        <v>2025</v>
      </c>
      <c r="T1440" s="11" t="str">
        <f>'data on outstanding creditors'!$C1440&amp;" "&amp;'data on outstanding creditors'!$D1440&amp;" "&amp;TEXT('data on outstanding creditors'!$E1440,"#,##0.00")</f>
        <v>บ.เวสโก ฟาร์มาซูติคอล IN68081297 92,500.00</v>
      </c>
      <c r="U1440" s="12"/>
    </row>
    <row r="1441" ht="13.5" customHeight="1">
      <c r="A1441" s="1"/>
      <c r="B1441" s="2">
        <v>45895.0</v>
      </c>
      <c r="C1441" s="9" t="s">
        <v>520</v>
      </c>
      <c r="D1441" s="1" t="s">
        <v>1982</v>
      </c>
      <c r="E1441" s="4">
        <v>158400.0</v>
      </c>
      <c r="F1441" s="4"/>
      <c r="G1441" s="4"/>
      <c r="H1441" s="4">
        <f>'data on outstanding creditors'!$E1441-'data on outstanding creditors'!$F1441-'data on outstanding creditors'!$G1441</f>
        <v>158400</v>
      </c>
      <c r="I1441" s="2"/>
      <c r="J1441" s="1" t="s">
        <v>757</v>
      </c>
      <c r="K1441" s="2">
        <v>45943.0</v>
      </c>
      <c r="L1441" s="5"/>
      <c r="M1441" s="9" t="s">
        <v>22</v>
      </c>
      <c r="N1441" s="9" t="s">
        <v>23</v>
      </c>
      <c r="O1441" s="10">
        <f>'data on outstanding creditors'!$E1441*100/107</f>
        <v>148037.3832</v>
      </c>
      <c r="P1441" s="10">
        <f>'data on outstanding creditors'!$E1441-'data on outstanding creditors'!$O1441</f>
        <v>10362.61682</v>
      </c>
      <c r="Q1441" s="7">
        <f>DAY('data on outstanding creditors'!$B1441)</f>
        <v>26</v>
      </c>
      <c r="R1441" s="7">
        <f>MONTH('data on outstanding creditors'!$B1441)</f>
        <v>8</v>
      </c>
      <c r="S1441" s="7">
        <f>YEAR('data on outstanding creditors'!$B1441)</f>
        <v>2025</v>
      </c>
      <c r="T1441" s="11" t="str">
        <f>'data on outstanding creditors'!$C1441&amp;" "&amp;'data on outstanding creditors'!$D1441&amp;" "&amp;TEXT('data on outstanding creditors'!$E1441,"#,##0.00")</f>
        <v>บ.ซิลลิคฟาร์มา 1317974143 158,400.00</v>
      </c>
      <c r="U1441" s="12"/>
    </row>
    <row r="1442" ht="13.5" customHeight="1">
      <c r="A1442" s="1"/>
      <c r="B1442" s="2">
        <v>45895.0</v>
      </c>
      <c r="C1442" s="9" t="s">
        <v>24</v>
      </c>
      <c r="D1442" s="1" t="s">
        <v>1983</v>
      </c>
      <c r="E1442" s="4">
        <v>43750.0</v>
      </c>
      <c r="F1442" s="4"/>
      <c r="G1442" s="4"/>
      <c r="H1442" s="4">
        <f>'data on outstanding creditors'!$E1442-'data on outstanding creditors'!$F1442-'data on outstanding creditors'!$G1442</f>
        <v>43750</v>
      </c>
      <c r="I1442" s="2"/>
      <c r="J1442" s="1" t="s">
        <v>646</v>
      </c>
      <c r="K1442" s="2">
        <v>45928.0</v>
      </c>
      <c r="L1442" s="5"/>
      <c r="M1442" s="9" t="s">
        <v>22</v>
      </c>
      <c r="N1442" s="9" t="s">
        <v>23</v>
      </c>
      <c r="O1442" s="10">
        <f>'data on outstanding creditors'!$E1442*100/107</f>
        <v>40887.85047</v>
      </c>
      <c r="P1442" s="10">
        <f>'data on outstanding creditors'!$E1442-'data on outstanding creditors'!$O1442</f>
        <v>2862.149533</v>
      </c>
      <c r="Q1442" s="7">
        <f>DAY('data on outstanding creditors'!$B1442)</f>
        <v>26</v>
      </c>
      <c r="R1442" s="7">
        <f>MONTH('data on outstanding creditors'!$B1442)</f>
        <v>8</v>
      </c>
      <c r="S1442" s="7">
        <f>YEAR('data on outstanding creditors'!$B1442)</f>
        <v>2025</v>
      </c>
      <c r="T1442" s="11" t="str">
        <f>'data on outstanding creditors'!$C1442&amp;" "&amp;'data on outstanding creditors'!$D1442&amp;" "&amp;TEXT('data on outstanding creditors'!$E1442,"#,##0.00")</f>
        <v>บ.เซ็นทรัลโพลีเทรดดิ้ง 31i25047412 43,750.00</v>
      </c>
      <c r="U1442" s="12"/>
    </row>
    <row r="1443" ht="13.5" customHeight="1">
      <c r="A1443" s="1"/>
      <c r="B1443" s="2">
        <v>45895.0</v>
      </c>
      <c r="C1443" s="9" t="s">
        <v>24</v>
      </c>
      <c r="D1443" s="1" t="s">
        <v>1984</v>
      </c>
      <c r="E1443" s="4">
        <v>43200.0</v>
      </c>
      <c r="F1443" s="4"/>
      <c r="G1443" s="4"/>
      <c r="H1443" s="4">
        <f>'data on outstanding creditors'!$E1443-'data on outstanding creditors'!$F1443-'data on outstanding creditors'!$G1443</f>
        <v>43200</v>
      </c>
      <c r="I1443" s="2"/>
      <c r="J1443" s="1" t="s">
        <v>646</v>
      </c>
      <c r="K1443" s="2">
        <v>45928.0</v>
      </c>
      <c r="L1443" s="5"/>
      <c r="M1443" s="9" t="s">
        <v>22</v>
      </c>
      <c r="N1443" s="9" t="s">
        <v>23</v>
      </c>
      <c r="O1443" s="10">
        <f>'data on outstanding creditors'!$E1443*100/107</f>
        <v>40373.83178</v>
      </c>
      <c r="P1443" s="10">
        <f>'data on outstanding creditors'!$E1443-'data on outstanding creditors'!$O1443</f>
        <v>2826.168224</v>
      </c>
      <c r="Q1443" s="7">
        <f>DAY('data on outstanding creditors'!$B1443)</f>
        <v>26</v>
      </c>
      <c r="R1443" s="7">
        <f>MONTH('data on outstanding creditors'!$B1443)</f>
        <v>8</v>
      </c>
      <c r="S1443" s="7">
        <f>YEAR('data on outstanding creditors'!$B1443)</f>
        <v>2025</v>
      </c>
      <c r="T1443" s="11" t="str">
        <f>'data on outstanding creditors'!$C1443&amp;" "&amp;'data on outstanding creditors'!$D1443&amp;" "&amp;TEXT('data on outstanding creditors'!$E1443,"#,##0.00")</f>
        <v>บ.เซ็นทรัลโพลีเทรดดิ้ง 31i25047411 43,200.00</v>
      </c>
      <c r="U1443" s="12"/>
    </row>
    <row r="1444" ht="13.5" customHeight="1">
      <c r="A1444" s="1"/>
      <c r="B1444" s="2">
        <v>45895.0</v>
      </c>
      <c r="C1444" s="9" t="s">
        <v>24</v>
      </c>
      <c r="D1444" s="1" t="s">
        <v>1985</v>
      </c>
      <c r="E1444" s="4">
        <v>38400.0</v>
      </c>
      <c r="F1444" s="4"/>
      <c r="G1444" s="4"/>
      <c r="H1444" s="4">
        <f>'data on outstanding creditors'!$E1444-'data on outstanding creditors'!$F1444-'data on outstanding creditors'!$G1444</f>
        <v>38400</v>
      </c>
      <c r="I1444" s="2"/>
      <c r="J1444" s="1" t="s">
        <v>646</v>
      </c>
      <c r="K1444" s="2">
        <v>45928.0</v>
      </c>
      <c r="L1444" s="5"/>
      <c r="M1444" s="9" t="s">
        <v>22</v>
      </c>
      <c r="N1444" s="9" t="s">
        <v>23</v>
      </c>
      <c r="O1444" s="10">
        <f>'data on outstanding creditors'!$E1444*100/107</f>
        <v>35887.85047</v>
      </c>
      <c r="P1444" s="10">
        <f>'data on outstanding creditors'!$E1444-'data on outstanding creditors'!$O1444</f>
        <v>2512.149533</v>
      </c>
      <c r="Q1444" s="7">
        <f>DAY('data on outstanding creditors'!$B1444)</f>
        <v>26</v>
      </c>
      <c r="R1444" s="7">
        <f>MONTH('data on outstanding creditors'!$B1444)</f>
        <v>8</v>
      </c>
      <c r="S1444" s="7">
        <f>YEAR('data on outstanding creditors'!$B1444)</f>
        <v>2025</v>
      </c>
      <c r="T1444" s="11" t="str">
        <f>'data on outstanding creditors'!$C1444&amp;" "&amp;'data on outstanding creditors'!$D1444&amp;" "&amp;TEXT('data on outstanding creditors'!$E1444,"#,##0.00")</f>
        <v>บ.เซ็นทรัลโพลีเทรดดิ้ง 31i25047414 38,400.00</v>
      </c>
      <c r="U1444" s="12"/>
    </row>
    <row r="1445" ht="13.5" customHeight="1">
      <c r="A1445" s="1"/>
      <c r="B1445" s="2">
        <v>45895.0</v>
      </c>
      <c r="C1445" s="9" t="s">
        <v>24</v>
      </c>
      <c r="D1445" s="1" t="s">
        <v>1986</v>
      </c>
      <c r="E1445" s="4">
        <v>13600.0</v>
      </c>
      <c r="F1445" s="4"/>
      <c r="G1445" s="4"/>
      <c r="H1445" s="4">
        <f>'data on outstanding creditors'!$E1445-'data on outstanding creditors'!$F1445-'data on outstanding creditors'!$G1445</f>
        <v>13600</v>
      </c>
      <c r="I1445" s="2"/>
      <c r="J1445" s="1" t="s">
        <v>646</v>
      </c>
      <c r="K1445" s="2">
        <v>45928.0</v>
      </c>
      <c r="L1445" s="5"/>
      <c r="M1445" s="9" t="s">
        <v>22</v>
      </c>
      <c r="N1445" s="9" t="s">
        <v>23</v>
      </c>
      <c r="O1445" s="10">
        <f>'data on outstanding creditors'!$E1445*100/107</f>
        <v>12710.28037</v>
      </c>
      <c r="P1445" s="10">
        <f>'data on outstanding creditors'!$E1445-'data on outstanding creditors'!$O1445</f>
        <v>889.7196262</v>
      </c>
      <c r="Q1445" s="7">
        <f>DAY('data on outstanding creditors'!$B1445)</f>
        <v>26</v>
      </c>
      <c r="R1445" s="7">
        <f>MONTH('data on outstanding creditors'!$B1445)</f>
        <v>8</v>
      </c>
      <c r="S1445" s="7">
        <f>YEAR('data on outstanding creditors'!$B1445)</f>
        <v>2025</v>
      </c>
      <c r="T1445" s="11" t="str">
        <f>'data on outstanding creditors'!$C1445&amp;" "&amp;'data on outstanding creditors'!$D1445&amp;" "&amp;TEXT('data on outstanding creditors'!$E1445,"#,##0.00")</f>
        <v>บ.เซ็นทรัลโพลีเทรดดิ้ง 31i25047413 13,600.00</v>
      </c>
      <c r="U1445" s="12"/>
    </row>
    <row r="1446" ht="13.5" customHeight="1">
      <c r="A1446" s="1"/>
      <c r="B1446" s="2">
        <v>45895.0</v>
      </c>
      <c r="C1446" s="9" t="s">
        <v>24</v>
      </c>
      <c r="D1446" s="1" t="s">
        <v>1987</v>
      </c>
      <c r="E1446" s="4">
        <v>8400.0</v>
      </c>
      <c r="F1446" s="4"/>
      <c r="G1446" s="4"/>
      <c r="H1446" s="4">
        <f>'data on outstanding creditors'!$E1446-'data on outstanding creditors'!$F1446-'data on outstanding creditors'!$G1446</f>
        <v>8400</v>
      </c>
      <c r="I1446" s="2"/>
      <c r="J1446" s="1" t="s">
        <v>646</v>
      </c>
      <c r="K1446" s="2">
        <v>45928.0</v>
      </c>
      <c r="L1446" s="5"/>
      <c r="M1446" s="9" t="s">
        <v>22</v>
      </c>
      <c r="N1446" s="9" t="s">
        <v>23</v>
      </c>
      <c r="O1446" s="10">
        <f>'data on outstanding creditors'!$E1446*100/107</f>
        <v>7850.46729</v>
      </c>
      <c r="P1446" s="10">
        <f>'data on outstanding creditors'!$E1446-'data on outstanding creditors'!$O1446</f>
        <v>549.5327103</v>
      </c>
      <c r="Q1446" s="7">
        <f>DAY('data on outstanding creditors'!$B1446)</f>
        <v>26</v>
      </c>
      <c r="R1446" s="7">
        <f>MONTH('data on outstanding creditors'!$B1446)</f>
        <v>8</v>
      </c>
      <c r="S1446" s="7">
        <f>YEAR('data on outstanding creditors'!$B1446)</f>
        <v>2025</v>
      </c>
      <c r="T1446" s="11" t="str">
        <f>'data on outstanding creditors'!$C1446&amp;" "&amp;'data on outstanding creditors'!$D1446&amp;" "&amp;TEXT('data on outstanding creditors'!$E1446,"#,##0.00")</f>
        <v>บ.เซ็นทรัลโพลีเทรดดิ้ง 31i25047720 8,400.00</v>
      </c>
      <c r="U1446" s="12"/>
    </row>
    <row r="1447" ht="13.5" customHeight="1">
      <c r="A1447" s="1"/>
      <c r="B1447" s="2">
        <v>45895.0</v>
      </c>
      <c r="C1447" s="9" t="s">
        <v>1432</v>
      </c>
      <c r="D1447" s="1" t="s">
        <v>1988</v>
      </c>
      <c r="E1447" s="4">
        <v>40000.0</v>
      </c>
      <c r="F1447" s="4"/>
      <c r="G1447" s="4"/>
      <c r="H1447" s="4">
        <f>'data on outstanding creditors'!$E1447-'data on outstanding creditors'!$F1447-'data on outstanding creditors'!$G1447</f>
        <v>40000</v>
      </c>
      <c r="I1447" s="2"/>
      <c r="J1447" s="1" t="s">
        <v>757</v>
      </c>
      <c r="K1447" s="2">
        <v>45926.0</v>
      </c>
      <c r="L1447" s="5"/>
      <c r="M1447" s="9" t="s">
        <v>22</v>
      </c>
      <c r="N1447" s="9" t="s">
        <v>23</v>
      </c>
      <c r="O1447" s="10">
        <f>'data on outstanding creditors'!$E1447*100/107</f>
        <v>37383.17757</v>
      </c>
      <c r="P1447" s="10">
        <f>'data on outstanding creditors'!$E1447-'data on outstanding creditors'!$O1447</f>
        <v>2616.82243</v>
      </c>
      <c r="Q1447" s="7">
        <f>DAY('data on outstanding creditors'!$B1447)</f>
        <v>26</v>
      </c>
      <c r="R1447" s="7">
        <f>MONTH('data on outstanding creditors'!$B1447)</f>
        <v>8</v>
      </c>
      <c r="S1447" s="7">
        <f>YEAR('data on outstanding creditors'!$B1447)</f>
        <v>2025</v>
      </c>
      <c r="T1447" s="11" t="str">
        <f>'data on outstanding creditors'!$C1447&amp;" "&amp;'data on outstanding creditors'!$D1447&amp;" "&amp;TEXT('data on outstanding creditors'!$E1447,"#,##0.00")</f>
        <v>บ.ยูโทเปี้ยน IV2508666 40,000.00</v>
      </c>
      <c r="U1447" s="12"/>
    </row>
    <row r="1448" ht="13.5" customHeight="1">
      <c r="A1448" s="1"/>
      <c r="B1448" s="2">
        <v>45895.0</v>
      </c>
      <c r="C1448" s="9" t="s">
        <v>1414</v>
      </c>
      <c r="D1448" s="1" t="s">
        <v>1989</v>
      </c>
      <c r="E1448" s="4">
        <v>12750.0</v>
      </c>
      <c r="F1448" s="4"/>
      <c r="G1448" s="4"/>
      <c r="H1448" s="4">
        <f>'data on outstanding creditors'!$E1448-'data on outstanding creditors'!$F1448-'data on outstanding creditors'!$G1448</f>
        <v>12750</v>
      </c>
      <c r="I1448" s="2"/>
      <c r="J1448" s="1" t="s">
        <v>757</v>
      </c>
      <c r="K1448" s="2">
        <v>45923.0</v>
      </c>
      <c r="L1448" s="5"/>
      <c r="M1448" s="9" t="s">
        <v>22</v>
      </c>
      <c r="N1448" s="9" t="s">
        <v>23</v>
      </c>
      <c r="O1448" s="10">
        <f>'data on outstanding creditors'!$E1448*100/107</f>
        <v>11915.88785</v>
      </c>
      <c r="P1448" s="10">
        <f>'data on outstanding creditors'!$E1448-'data on outstanding creditors'!$O1448</f>
        <v>834.1121495</v>
      </c>
      <c r="Q1448" s="7">
        <f>DAY('data on outstanding creditors'!$B1448)</f>
        <v>26</v>
      </c>
      <c r="R1448" s="7">
        <f>MONTH('data on outstanding creditors'!$B1448)</f>
        <v>8</v>
      </c>
      <c r="S1448" s="7">
        <f>YEAR('data on outstanding creditors'!$B1448)</f>
        <v>2025</v>
      </c>
      <c r="T1448" s="11" t="str">
        <f>'data on outstanding creditors'!$C1448&amp;" "&amp;'data on outstanding creditors'!$D1448&amp;" "&amp;TEXT('data on outstanding creditors'!$E1448,"#,##0.00")</f>
        <v>บ.ฟาร์มีน่า 68387223 12,750.00</v>
      </c>
      <c r="U1448" s="12"/>
    </row>
    <row r="1449" ht="13.5" customHeight="1">
      <c r="A1449" s="1"/>
      <c r="B1449" s="2">
        <v>45895.0</v>
      </c>
      <c r="C1449" s="9" t="s">
        <v>399</v>
      </c>
      <c r="D1449" s="1" t="s">
        <v>1990</v>
      </c>
      <c r="E1449" s="4">
        <v>7029.9</v>
      </c>
      <c r="F1449" s="4"/>
      <c r="G1449" s="4"/>
      <c r="H1449" s="4">
        <f>'data on outstanding creditors'!$E1449-'data on outstanding creditors'!$F1449-'data on outstanding creditors'!$G1449</f>
        <v>7029.9</v>
      </c>
      <c r="I1449" s="2"/>
      <c r="J1449" s="1" t="s">
        <v>646</v>
      </c>
      <c r="K1449" s="2">
        <v>45943.0</v>
      </c>
      <c r="L1449" s="5"/>
      <c r="M1449" s="9" t="s">
        <v>22</v>
      </c>
      <c r="N1449" s="9" t="s">
        <v>23</v>
      </c>
      <c r="O1449" s="10">
        <f>'data on outstanding creditors'!$E1449*100/107</f>
        <v>6570</v>
      </c>
      <c r="P1449" s="10">
        <f>'data on outstanding creditors'!$E1449-'data on outstanding creditors'!$O1449</f>
        <v>459.9</v>
      </c>
      <c r="Q1449" s="7">
        <f>DAY('data on outstanding creditors'!$B1449)</f>
        <v>26</v>
      </c>
      <c r="R1449" s="7">
        <f>MONTH('data on outstanding creditors'!$B1449)</f>
        <v>8</v>
      </c>
      <c r="S1449" s="7">
        <f>YEAR('data on outstanding creditors'!$B1449)</f>
        <v>2025</v>
      </c>
      <c r="T1449" s="11" t="str">
        <f>'data on outstanding creditors'!$C1449&amp;" "&amp;'data on outstanding creditors'!$D1449&amp;" "&amp;TEXT('data on outstanding creditors'!$E1449,"#,##0.00")</f>
        <v>บ.ดีเคเอสเอช(ประเทศไทย) 5344194519 7,029.90</v>
      </c>
      <c r="U1449" s="12"/>
    </row>
    <row r="1450" ht="13.5" customHeight="1">
      <c r="A1450" s="1"/>
      <c r="B1450" s="2">
        <v>45895.0</v>
      </c>
      <c r="C1450" s="9" t="s">
        <v>1330</v>
      </c>
      <c r="D1450" s="1" t="s">
        <v>1991</v>
      </c>
      <c r="E1450" s="4">
        <v>39000.0</v>
      </c>
      <c r="F1450" s="4"/>
      <c r="G1450" s="4"/>
      <c r="H1450" s="4">
        <f>'data on outstanding creditors'!$E1450-'data on outstanding creditors'!$F1450-'data on outstanding creditors'!$G1450</f>
        <v>39000</v>
      </c>
      <c r="I1450" s="2"/>
      <c r="J1450" s="1" t="s">
        <v>757</v>
      </c>
      <c r="K1450" s="2">
        <v>45926.0</v>
      </c>
      <c r="L1450" s="5"/>
      <c r="M1450" s="9" t="s">
        <v>22</v>
      </c>
      <c r="N1450" s="9" t="s">
        <v>23</v>
      </c>
      <c r="O1450" s="10">
        <f>'data on outstanding creditors'!$E1450*100/107</f>
        <v>36448.59813</v>
      </c>
      <c r="P1450" s="10">
        <f>'data on outstanding creditors'!$E1450-'data on outstanding creditors'!$O1450</f>
        <v>2551.401869</v>
      </c>
      <c r="Q1450" s="7">
        <f>DAY('data on outstanding creditors'!$B1450)</f>
        <v>26</v>
      </c>
      <c r="R1450" s="7">
        <f>MONTH('data on outstanding creditors'!$B1450)</f>
        <v>8</v>
      </c>
      <c r="S1450" s="7">
        <f>YEAR('data on outstanding creditors'!$B1450)</f>
        <v>2025</v>
      </c>
      <c r="T1450" s="11" t="str">
        <f>'data on outstanding creditors'!$C1450&amp;" "&amp;'data on outstanding creditors'!$D1450&amp;" "&amp;TEXT('data on outstanding creditors'!$E1450,"#,##0.00")</f>
        <v>บ.ชุมชนเภสัชกรรม IV680802805 39,000.00</v>
      </c>
      <c r="U1450" s="12"/>
    </row>
    <row r="1451" ht="13.5" customHeight="1">
      <c r="A1451" s="1"/>
      <c r="B1451" s="2">
        <v>45895.0</v>
      </c>
      <c r="C1451" s="9" t="s">
        <v>1297</v>
      </c>
      <c r="D1451" s="1" t="s">
        <v>1992</v>
      </c>
      <c r="E1451" s="4">
        <v>36000.0</v>
      </c>
      <c r="F1451" s="4"/>
      <c r="G1451" s="4"/>
      <c r="H1451" s="4">
        <f>'data on outstanding creditors'!$E1451-'data on outstanding creditors'!$F1451-'data on outstanding creditors'!$G1451</f>
        <v>36000</v>
      </c>
      <c r="I1451" s="2"/>
      <c r="J1451" s="1" t="s">
        <v>646</v>
      </c>
      <c r="K1451" s="2">
        <v>45928.0</v>
      </c>
      <c r="L1451" s="5"/>
      <c r="M1451" s="9" t="s">
        <v>22</v>
      </c>
      <c r="N1451" s="9" t="s">
        <v>23</v>
      </c>
      <c r="O1451" s="10">
        <f>'data on outstanding creditors'!$E1451*100/107</f>
        <v>33644.85981</v>
      </c>
      <c r="P1451" s="10">
        <f>'data on outstanding creditors'!$E1451-'data on outstanding creditors'!$O1451</f>
        <v>2355.140187</v>
      </c>
      <c r="Q1451" s="7">
        <f>DAY('data on outstanding creditors'!$B1451)</f>
        <v>26</v>
      </c>
      <c r="R1451" s="7">
        <f>MONTH('data on outstanding creditors'!$B1451)</f>
        <v>8</v>
      </c>
      <c r="S1451" s="7">
        <f>YEAR('data on outstanding creditors'!$B1451)</f>
        <v>2025</v>
      </c>
      <c r="T1451" s="11" t="str">
        <f>'data on outstanding creditors'!$C1451&amp;" "&amp;'data on outstanding creditors'!$D1451&amp;" "&amp;TEXT('data on outstanding creditors'!$E1451,"#,##0.00")</f>
        <v>บ.แอตแลนติค ฟาร์มาซูติคอล PIN2529660 36,000.00</v>
      </c>
      <c r="U1451" s="12"/>
    </row>
    <row r="1452" ht="13.5" customHeight="1">
      <c r="A1452" s="1"/>
      <c r="B1452" s="2">
        <v>45895.0</v>
      </c>
      <c r="C1452" s="9" t="s">
        <v>780</v>
      </c>
      <c r="D1452" s="1" t="s">
        <v>1993</v>
      </c>
      <c r="E1452" s="4">
        <v>11770.0</v>
      </c>
      <c r="F1452" s="4"/>
      <c r="G1452" s="4"/>
      <c r="H1452" s="4">
        <f>'data on outstanding creditors'!$E1452-'data on outstanding creditors'!$F1452-'data on outstanding creditors'!$G1452</f>
        <v>11770</v>
      </c>
      <c r="I1452" s="2"/>
      <c r="J1452" s="1" t="s">
        <v>646</v>
      </c>
      <c r="K1452" s="2">
        <v>45944.0</v>
      </c>
      <c r="L1452" s="5"/>
      <c r="M1452" s="9" t="s">
        <v>22</v>
      </c>
      <c r="N1452" s="9" t="s">
        <v>23</v>
      </c>
      <c r="O1452" s="10">
        <f>'data on outstanding creditors'!$E1452*100/107</f>
        <v>11000</v>
      </c>
      <c r="P1452" s="10">
        <f>'data on outstanding creditors'!$E1452-'data on outstanding creditors'!$O1452</f>
        <v>770</v>
      </c>
      <c r="Q1452" s="7">
        <f>DAY('data on outstanding creditors'!$B1452)</f>
        <v>26</v>
      </c>
      <c r="R1452" s="7">
        <f>MONTH('data on outstanding creditors'!$B1452)</f>
        <v>8</v>
      </c>
      <c r="S1452" s="7">
        <f>YEAR('data on outstanding creditors'!$B1452)</f>
        <v>2025</v>
      </c>
      <c r="T1452" s="11" t="str">
        <f>'data on outstanding creditors'!$C1452&amp;" "&amp;'data on outstanding creditors'!$D1452&amp;" "&amp;TEXT('data on outstanding creditors'!$E1452,"#,##0.00")</f>
        <v>บ.แคสป้า ฟาร์มาซูติคอล(ประเทศไทย) C68080381 11,770.00</v>
      </c>
      <c r="U1452" s="12"/>
    </row>
    <row r="1453" ht="13.5" customHeight="1">
      <c r="A1453" s="1"/>
      <c r="B1453" s="2">
        <v>45895.0</v>
      </c>
      <c r="C1453" s="9" t="s">
        <v>399</v>
      </c>
      <c r="D1453" s="1" t="s">
        <v>1994</v>
      </c>
      <c r="E1453" s="4">
        <v>3959.0</v>
      </c>
      <c r="F1453" s="4"/>
      <c r="G1453" s="4"/>
      <c r="H1453" s="4">
        <f>'data on outstanding creditors'!$E1453-'data on outstanding creditors'!$F1453-'data on outstanding creditors'!$G1453</f>
        <v>3959</v>
      </c>
      <c r="I1453" s="2"/>
      <c r="J1453" s="1" t="s">
        <v>646</v>
      </c>
      <c r="K1453" s="2">
        <v>45943.0</v>
      </c>
      <c r="L1453" s="5"/>
      <c r="M1453" s="9" t="s">
        <v>22</v>
      </c>
      <c r="N1453" s="9" t="s">
        <v>23</v>
      </c>
      <c r="O1453" s="10">
        <f>'data on outstanding creditors'!$E1453*100/107</f>
        <v>3700</v>
      </c>
      <c r="P1453" s="10">
        <f>'data on outstanding creditors'!$E1453-'data on outstanding creditors'!$O1453</f>
        <v>259</v>
      </c>
      <c r="Q1453" s="7">
        <f>DAY('data on outstanding creditors'!$B1453)</f>
        <v>26</v>
      </c>
      <c r="R1453" s="7">
        <f>MONTH('data on outstanding creditors'!$B1453)</f>
        <v>8</v>
      </c>
      <c r="S1453" s="7">
        <f>YEAR('data on outstanding creditors'!$B1453)</f>
        <v>2025</v>
      </c>
      <c r="T1453" s="11" t="str">
        <f>'data on outstanding creditors'!$C1453&amp;" "&amp;'data on outstanding creditors'!$D1453&amp;" "&amp;TEXT('data on outstanding creditors'!$E1453,"#,##0.00")</f>
        <v>บ.ดีเคเอสเอช(ประเทศไทย) 5344218609 3,959.00</v>
      </c>
      <c r="U1453" s="12"/>
    </row>
    <row r="1454" ht="13.5" customHeight="1">
      <c r="A1454" s="1"/>
      <c r="B1454" s="2">
        <v>45895.0</v>
      </c>
      <c r="C1454" s="9" t="s">
        <v>399</v>
      </c>
      <c r="D1454" s="1" t="s">
        <v>1995</v>
      </c>
      <c r="E1454" s="4">
        <v>34775.0</v>
      </c>
      <c r="F1454" s="4"/>
      <c r="G1454" s="4"/>
      <c r="H1454" s="4">
        <f>'data on outstanding creditors'!$E1454-'data on outstanding creditors'!$F1454-'data on outstanding creditors'!$G1454</f>
        <v>34775</v>
      </c>
      <c r="I1454" s="2"/>
      <c r="J1454" s="1" t="s">
        <v>757</v>
      </c>
      <c r="K1454" s="2">
        <v>45918.0</v>
      </c>
      <c r="L1454" s="5"/>
      <c r="M1454" s="9" t="s">
        <v>22</v>
      </c>
      <c r="N1454" s="9" t="s">
        <v>23</v>
      </c>
      <c r="O1454" s="10">
        <f>'data on outstanding creditors'!$E1454*100/107</f>
        <v>32500</v>
      </c>
      <c r="P1454" s="10">
        <f>'data on outstanding creditors'!$E1454-'data on outstanding creditors'!$O1454</f>
        <v>2275</v>
      </c>
      <c r="Q1454" s="7">
        <f>DAY('data on outstanding creditors'!$B1454)</f>
        <v>26</v>
      </c>
      <c r="R1454" s="7">
        <f>MONTH('data on outstanding creditors'!$B1454)</f>
        <v>8</v>
      </c>
      <c r="S1454" s="7">
        <f>YEAR('data on outstanding creditors'!$B1454)</f>
        <v>2025</v>
      </c>
      <c r="T1454" s="11" t="str">
        <f>'data on outstanding creditors'!$C1454&amp;" "&amp;'data on outstanding creditors'!$D1454&amp;" "&amp;TEXT('data on outstanding creditors'!$E1454,"#,##0.00")</f>
        <v>บ.ดีเคเอสเอช(ประเทศไทย) 5344225153 34,775.00</v>
      </c>
      <c r="U1454" s="12"/>
    </row>
    <row r="1455" ht="13.5" customHeight="1">
      <c r="A1455" s="1"/>
      <c r="B1455" s="2">
        <v>45895.0</v>
      </c>
      <c r="C1455" s="9" t="s">
        <v>1450</v>
      </c>
      <c r="D1455" s="1" t="s">
        <v>1996</v>
      </c>
      <c r="E1455" s="4">
        <v>19046.0</v>
      </c>
      <c r="F1455" s="4"/>
      <c r="G1455" s="4"/>
      <c r="H1455" s="4">
        <f>'data on outstanding creditors'!$E1455-'data on outstanding creditors'!$F1455-'data on outstanding creditors'!$G1455</f>
        <v>19046</v>
      </c>
      <c r="I1455" s="2"/>
      <c r="J1455" s="1" t="s">
        <v>757</v>
      </c>
      <c r="K1455" s="2">
        <v>45918.0</v>
      </c>
      <c r="L1455" s="5"/>
      <c r="M1455" s="9" t="s">
        <v>22</v>
      </c>
      <c r="N1455" s="9" t="s">
        <v>23</v>
      </c>
      <c r="O1455" s="10">
        <f>'data on outstanding creditors'!$E1455*100/107</f>
        <v>17800</v>
      </c>
      <c r="P1455" s="10">
        <f>'data on outstanding creditors'!$E1455-'data on outstanding creditors'!$O1455</f>
        <v>1246</v>
      </c>
      <c r="Q1455" s="7">
        <f>DAY('data on outstanding creditors'!$B1455)</f>
        <v>26</v>
      </c>
      <c r="R1455" s="7">
        <f>MONTH('data on outstanding creditors'!$B1455)</f>
        <v>8</v>
      </c>
      <c r="S1455" s="7">
        <f>YEAR('data on outstanding creditors'!$B1455)</f>
        <v>2025</v>
      </c>
      <c r="T1455" s="11" t="str">
        <f>'data on outstanding creditors'!$C1455&amp;" "&amp;'data on outstanding creditors'!$D1455&amp;" "&amp;TEXT('data on outstanding creditors'!$E1455,"#,##0.00")</f>
        <v>บ.อุยเฮง อินเตอร์เนชั่นแนล เฮลท์แคร์ OH-2-2-2025003175 19,046.00</v>
      </c>
      <c r="U1455" s="12"/>
    </row>
    <row r="1456" ht="13.5" customHeight="1">
      <c r="A1456" s="1"/>
      <c r="B1456" s="2">
        <v>45895.0</v>
      </c>
      <c r="C1456" s="9" t="s">
        <v>1243</v>
      </c>
      <c r="D1456" s="1" t="s">
        <v>1997</v>
      </c>
      <c r="E1456" s="4">
        <v>64400.0</v>
      </c>
      <c r="F1456" s="4"/>
      <c r="G1456" s="4"/>
      <c r="H1456" s="4">
        <f>'data on outstanding creditors'!$E1456-'data on outstanding creditors'!$F1456-'data on outstanding creditors'!$G1456</f>
        <v>64400</v>
      </c>
      <c r="I1456" s="2"/>
      <c r="J1456" s="1" t="s">
        <v>757</v>
      </c>
      <c r="K1456" s="2">
        <v>45918.0</v>
      </c>
      <c r="L1456" s="5"/>
      <c r="M1456" s="9" t="s">
        <v>22</v>
      </c>
      <c r="N1456" s="9" t="s">
        <v>23</v>
      </c>
      <c r="O1456" s="10">
        <f>'data on outstanding creditors'!$E1456*100/107</f>
        <v>60186.91589</v>
      </c>
      <c r="P1456" s="10">
        <f>'data on outstanding creditors'!$E1456-'data on outstanding creditors'!$O1456</f>
        <v>4213.084112</v>
      </c>
      <c r="Q1456" s="7">
        <f>DAY('data on outstanding creditors'!$B1456)</f>
        <v>26</v>
      </c>
      <c r="R1456" s="7">
        <f>MONTH('data on outstanding creditors'!$B1456)</f>
        <v>8</v>
      </c>
      <c r="S1456" s="7">
        <f>YEAR('data on outstanding creditors'!$B1456)</f>
        <v>2025</v>
      </c>
      <c r="T1456" s="11" t="str">
        <f>'data on outstanding creditors'!$C1456&amp;" "&amp;'data on outstanding creditors'!$D1456&amp;" "&amp;TEXT('data on outstanding creditors'!$E1456,"#,##0.00")</f>
        <v>บ.วี.แอนด์.วี.กรุงเทพ 8103532829 64,400.00</v>
      </c>
      <c r="U1456" s="12"/>
    </row>
    <row r="1457" ht="13.5" customHeight="1">
      <c r="A1457" s="1"/>
      <c r="B1457" s="2">
        <v>45895.0</v>
      </c>
      <c r="C1457" s="9" t="s">
        <v>396</v>
      </c>
      <c r="D1457" s="1" t="s">
        <v>1998</v>
      </c>
      <c r="E1457" s="4">
        <v>23200.0</v>
      </c>
      <c r="F1457" s="4"/>
      <c r="G1457" s="4"/>
      <c r="H1457" s="4">
        <f>'data on outstanding creditors'!$E1457-'data on outstanding creditors'!$F1457-'data on outstanding creditors'!$G1457</f>
        <v>23200</v>
      </c>
      <c r="I1457" s="2"/>
      <c r="J1457" s="1" t="s">
        <v>757</v>
      </c>
      <c r="K1457" s="2">
        <v>45918.0</v>
      </c>
      <c r="L1457" s="5"/>
      <c r="M1457" s="9" t="s">
        <v>22</v>
      </c>
      <c r="N1457" s="9" t="s">
        <v>23</v>
      </c>
      <c r="O1457" s="10">
        <f>'data on outstanding creditors'!$E1457*100/107</f>
        <v>21682.24299</v>
      </c>
      <c r="P1457" s="10">
        <f>'data on outstanding creditors'!$E1457-'data on outstanding creditors'!$O1457</f>
        <v>1517.757009</v>
      </c>
      <c r="Q1457" s="7">
        <f>DAY('data on outstanding creditors'!$B1457)</f>
        <v>26</v>
      </c>
      <c r="R1457" s="7">
        <f>MONTH('data on outstanding creditors'!$B1457)</f>
        <v>8</v>
      </c>
      <c r="S1457" s="7">
        <f>YEAR('data on outstanding creditors'!$B1457)</f>
        <v>2025</v>
      </c>
      <c r="T1457" s="11" t="str">
        <f>'data on outstanding creditors'!$C1457&amp;" "&amp;'data on outstanding creditors'!$D1457&amp;" "&amp;TEXT('data on outstanding creditors'!$E1457,"#,##0.00")</f>
        <v>บ.เยเนอรัล ฮอสปิตัล โปรดัคส์ 25IN08083177 23,200.00</v>
      </c>
      <c r="U1457" s="12"/>
    </row>
    <row r="1458" ht="13.5" customHeight="1">
      <c r="A1458" s="1"/>
      <c r="B1458" s="2">
        <v>45895.0</v>
      </c>
      <c r="C1458" s="9" t="s">
        <v>1230</v>
      </c>
      <c r="D1458" s="1" t="s">
        <v>1999</v>
      </c>
      <c r="E1458" s="4">
        <v>42000.0</v>
      </c>
      <c r="F1458" s="4"/>
      <c r="G1458" s="4"/>
      <c r="H1458" s="4">
        <f>'data on outstanding creditors'!$E1458-'data on outstanding creditors'!$F1458-'data on outstanding creditors'!$G1458</f>
        <v>42000</v>
      </c>
      <c r="I1458" s="2"/>
      <c r="J1458" s="1" t="s">
        <v>757</v>
      </c>
      <c r="K1458" s="2">
        <v>45918.0</v>
      </c>
      <c r="L1458" s="5"/>
      <c r="M1458" s="9" t="s">
        <v>22</v>
      </c>
      <c r="N1458" s="9" t="s">
        <v>23</v>
      </c>
      <c r="O1458" s="10">
        <f>'data on outstanding creditors'!$E1458*100/107</f>
        <v>39252.33645</v>
      </c>
      <c r="P1458" s="10">
        <f>'data on outstanding creditors'!$E1458-'data on outstanding creditors'!$O1458</f>
        <v>2747.663551</v>
      </c>
      <c r="Q1458" s="7">
        <f>DAY('data on outstanding creditors'!$B1458)</f>
        <v>26</v>
      </c>
      <c r="R1458" s="7">
        <f>MONTH('data on outstanding creditors'!$B1458)</f>
        <v>8</v>
      </c>
      <c r="S1458" s="7">
        <f>YEAR('data on outstanding creditors'!$B1458)</f>
        <v>2025</v>
      </c>
      <c r="T1458" s="11" t="str">
        <f>'data on outstanding creditors'!$C1458&amp;" "&amp;'data on outstanding creditors'!$D1458&amp;" "&amp;TEXT('data on outstanding creditors'!$E1458,"#,##0.00")</f>
        <v>บ.พรอส ฟาร์มา INV-L-IM\2025083124 42,000.00</v>
      </c>
      <c r="U1458" s="12"/>
    </row>
    <row r="1459" ht="13.5" customHeight="1">
      <c r="A1459" s="1"/>
      <c r="B1459" s="2">
        <v>45896.0</v>
      </c>
      <c r="C1459" s="9" t="s">
        <v>250</v>
      </c>
      <c r="D1459" s="1" t="s">
        <v>2000</v>
      </c>
      <c r="E1459" s="4">
        <v>21988.5</v>
      </c>
      <c r="F1459" s="4"/>
      <c r="G1459" s="4"/>
      <c r="H1459" s="4">
        <f>'data on outstanding creditors'!$E1459-'data on outstanding creditors'!$F1459-'data on outstanding creditors'!$G1459</f>
        <v>21988.5</v>
      </c>
      <c r="I1459" s="2"/>
      <c r="J1459" s="1" t="s">
        <v>646</v>
      </c>
      <c r="K1459" s="2">
        <v>45944.0</v>
      </c>
      <c r="L1459" s="5"/>
      <c r="M1459" s="9" t="s">
        <v>22</v>
      </c>
      <c r="N1459" s="9" t="s">
        <v>23</v>
      </c>
      <c r="O1459" s="10">
        <f>'data on outstanding creditors'!$E1459*100/107</f>
        <v>20550</v>
      </c>
      <c r="P1459" s="10">
        <f>'data on outstanding creditors'!$E1459-'data on outstanding creditors'!$O1459</f>
        <v>1438.5</v>
      </c>
      <c r="Q1459" s="7">
        <f>DAY('data on outstanding creditors'!$B1459)</f>
        <v>27</v>
      </c>
      <c r="R1459" s="7">
        <f>MONTH('data on outstanding creditors'!$B1459)</f>
        <v>8</v>
      </c>
      <c r="S1459" s="7">
        <f>YEAR('data on outstanding creditors'!$B1459)</f>
        <v>2025</v>
      </c>
      <c r="T1459" s="11" t="str">
        <f>'data on outstanding creditors'!$C1459&amp;" "&amp;'data on outstanding creditors'!$D1459&amp;" "&amp;TEXT('data on outstanding creditors'!$E1459,"#,##0.00")</f>
        <v>บ.เกร๊ทเตอร์มายบาซิน #01-GM-1-2-2-2025013351 21,988.50</v>
      </c>
      <c r="U1459" s="12"/>
    </row>
    <row r="1460" ht="13.5" customHeight="1">
      <c r="A1460" s="1"/>
      <c r="B1460" s="2">
        <v>45901.0</v>
      </c>
      <c r="C1460" s="9" t="s">
        <v>767</v>
      </c>
      <c r="D1460" s="1" t="s">
        <v>2001</v>
      </c>
      <c r="E1460" s="4">
        <v>143600.0</v>
      </c>
      <c r="F1460" s="4"/>
      <c r="G1460" s="4"/>
      <c r="H1460" s="4">
        <f>'data on outstanding creditors'!$E1460-'data on outstanding creditors'!$F1460-'data on outstanding creditors'!$G1460</f>
        <v>143600</v>
      </c>
      <c r="I1460" s="2"/>
      <c r="J1460" s="1" t="s">
        <v>646</v>
      </c>
      <c r="K1460" s="2">
        <v>45954.0</v>
      </c>
      <c r="L1460" s="5"/>
      <c r="M1460" s="9" t="s">
        <v>22</v>
      </c>
      <c r="N1460" s="9" t="s">
        <v>23</v>
      </c>
      <c r="O1460" s="10">
        <f>'data on outstanding creditors'!$E1460*100/107</f>
        <v>134205.6075</v>
      </c>
      <c r="P1460" s="10">
        <f>'data on outstanding creditors'!$E1460-'data on outstanding creditors'!$O1460</f>
        <v>9394.392523</v>
      </c>
      <c r="Q1460" s="7">
        <f>DAY('data on outstanding creditors'!$B1460)</f>
        <v>1</v>
      </c>
      <c r="R1460" s="7">
        <f>MONTH('data on outstanding creditors'!$B1460)</f>
        <v>9</v>
      </c>
      <c r="S1460" s="7">
        <f>YEAR('data on outstanding creditors'!$B1460)</f>
        <v>2025</v>
      </c>
      <c r="T1460" s="11" t="str">
        <f>'data on outstanding creditors'!$C1460&amp;" "&amp;'data on outstanding creditors'!$D1460&amp;" "&amp;TEXT('data on outstanding creditors'!$E1460,"#,##0.00")</f>
        <v>บ.คอสม่า เทรดดิ้ง 310857403114 143,600.00</v>
      </c>
      <c r="U1460" s="12"/>
    </row>
    <row r="1461" ht="13.5" customHeight="1">
      <c r="A1461" s="1"/>
      <c r="B1461" s="2">
        <v>45902.0</v>
      </c>
      <c r="C1461" s="9" t="s">
        <v>1530</v>
      </c>
      <c r="D1461" s="1" t="s">
        <v>2002</v>
      </c>
      <c r="E1461" s="4">
        <v>13032.0</v>
      </c>
      <c r="F1461" s="4"/>
      <c r="G1461" s="4"/>
      <c r="H1461" s="4">
        <f>'data on outstanding creditors'!$E1461-'data on outstanding creditors'!$F1461-'data on outstanding creditors'!$G1461</f>
        <v>13032</v>
      </c>
      <c r="I1461" s="2"/>
      <c r="J1461" s="1" t="s">
        <v>757</v>
      </c>
      <c r="K1461" s="2">
        <v>45922.0</v>
      </c>
      <c r="L1461" s="5"/>
      <c r="M1461" s="9" t="s">
        <v>22</v>
      </c>
      <c r="N1461" s="9" t="s">
        <v>23</v>
      </c>
      <c r="O1461" s="10">
        <f>'data on outstanding creditors'!$E1461*100/107</f>
        <v>12179.43925</v>
      </c>
      <c r="P1461" s="10">
        <f>'data on outstanding creditors'!$E1461-'data on outstanding creditors'!$O1461</f>
        <v>852.5607477</v>
      </c>
      <c r="Q1461" s="7">
        <f>DAY('data on outstanding creditors'!$B1461)</f>
        <v>2</v>
      </c>
      <c r="R1461" s="7">
        <f>MONTH('data on outstanding creditors'!$B1461)</f>
        <v>9</v>
      </c>
      <c r="S1461" s="7">
        <f>YEAR('data on outstanding creditors'!$B1461)</f>
        <v>2025</v>
      </c>
      <c r="T1461" s="11" t="str">
        <f>'data on outstanding creditors'!$C1461&amp;" "&amp;'data on outstanding creditors'!$D1461&amp;" "&amp;TEXT('data on outstanding creditors'!$E1461,"#,##0.00")</f>
        <v>บ.แสงไทยเมดิคอล A-08-0835/68 13,032.00</v>
      </c>
      <c r="U1461" s="12"/>
    </row>
    <row r="1462" ht="13.5" customHeight="1">
      <c r="A1462" s="1"/>
      <c r="B1462" s="2">
        <v>45902.0</v>
      </c>
      <c r="C1462" s="9" t="s">
        <v>1414</v>
      </c>
      <c r="D1462" s="1" t="s">
        <v>2003</v>
      </c>
      <c r="E1462" s="4">
        <v>12500.0</v>
      </c>
      <c r="F1462" s="4"/>
      <c r="G1462" s="4"/>
      <c r="H1462" s="4">
        <f>'data on outstanding creditors'!$E1462-'data on outstanding creditors'!$F1462-'data on outstanding creditors'!$G1462</f>
        <v>12500</v>
      </c>
      <c r="I1462" s="2"/>
      <c r="J1462" s="1" t="s">
        <v>757</v>
      </c>
      <c r="K1462" s="2">
        <v>45923.0</v>
      </c>
      <c r="L1462" s="5"/>
      <c r="M1462" s="9" t="s">
        <v>22</v>
      </c>
      <c r="N1462" s="9" t="s">
        <v>23</v>
      </c>
      <c r="O1462" s="10">
        <f>'data on outstanding creditors'!$E1462*100/107</f>
        <v>11682.24299</v>
      </c>
      <c r="P1462" s="10">
        <f>'data on outstanding creditors'!$E1462-'data on outstanding creditors'!$O1462</f>
        <v>817.7570093</v>
      </c>
      <c r="Q1462" s="7">
        <f>DAY('data on outstanding creditors'!$B1462)</f>
        <v>2</v>
      </c>
      <c r="R1462" s="7">
        <f>MONTH('data on outstanding creditors'!$B1462)</f>
        <v>9</v>
      </c>
      <c r="S1462" s="7">
        <f>YEAR('data on outstanding creditors'!$B1462)</f>
        <v>2025</v>
      </c>
      <c r="T1462" s="11" t="str">
        <f>'data on outstanding creditors'!$C1462&amp;" "&amp;'data on outstanding creditors'!$D1462&amp;" "&amp;TEXT('data on outstanding creditors'!$E1462,"#,##0.00")</f>
        <v>บ.ฟาร์มีน่า 68387453 12,500.00</v>
      </c>
      <c r="U1462" s="12"/>
    </row>
    <row r="1463" ht="13.5" customHeight="1">
      <c r="A1463" s="1"/>
      <c r="B1463" s="2">
        <v>45902.0</v>
      </c>
      <c r="C1463" s="9" t="s">
        <v>1469</v>
      </c>
      <c r="D1463" s="1" t="s">
        <v>2004</v>
      </c>
      <c r="E1463" s="4">
        <v>12005.4</v>
      </c>
      <c r="F1463" s="4"/>
      <c r="G1463" s="4"/>
      <c r="H1463" s="4">
        <f>'data on outstanding creditors'!$E1463-'data on outstanding creditors'!$F1463-'data on outstanding creditors'!$G1463</f>
        <v>12005.4</v>
      </c>
      <c r="I1463" s="2"/>
      <c r="J1463" s="1" t="s">
        <v>757</v>
      </c>
      <c r="K1463" s="2">
        <v>45923.0</v>
      </c>
      <c r="L1463" s="5"/>
      <c r="M1463" s="9" t="s">
        <v>22</v>
      </c>
      <c r="N1463" s="9" t="s">
        <v>23</v>
      </c>
      <c r="O1463" s="10">
        <f>'data on outstanding creditors'!$E1463*100/107</f>
        <v>11220</v>
      </c>
      <c r="P1463" s="10">
        <f>'data on outstanding creditors'!$E1463-'data on outstanding creditors'!$O1463</f>
        <v>785.4</v>
      </c>
      <c r="Q1463" s="7">
        <f>DAY('data on outstanding creditors'!$B1463)</f>
        <v>2</v>
      </c>
      <c r="R1463" s="7">
        <f>MONTH('data on outstanding creditors'!$B1463)</f>
        <v>9</v>
      </c>
      <c r="S1463" s="7">
        <f>YEAR('data on outstanding creditors'!$B1463)</f>
        <v>2025</v>
      </c>
      <c r="T1463" s="11" t="str">
        <f>'data on outstanding creditors'!$C1463&amp;" "&amp;'data on outstanding creditors'!$D1463&amp;" "&amp;TEXT('data on outstanding creditors'!$E1463,"#,##0.00")</f>
        <v>บ.สยามฟาร์มาซูติคอล 1250812575 12,005.40</v>
      </c>
      <c r="U1463" s="12"/>
    </row>
    <row r="1464" ht="13.5" customHeight="1">
      <c r="A1464" s="1"/>
      <c r="B1464" s="2">
        <v>45902.0</v>
      </c>
      <c r="C1464" s="9" t="s">
        <v>1391</v>
      </c>
      <c r="D1464" s="1" t="s">
        <v>2005</v>
      </c>
      <c r="E1464" s="4">
        <v>5750.0</v>
      </c>
      <c r="F1464" s="4"/>
      <c r="G1464" s="4"/>
      <c r="H1464" s="4">
        <f>'data on outstanding creditors'!$E1464-'data on outstanding creditors'!$F1464-'data on outstanding creditors'!$G1464</f>
        <v>5750</v>
      </c>
      <c r="I1464" s="2"/>
      <c r="J1464" s="1" t="s">
        <v>757</v>
      </c>
      <c r="K1464" s="2">
        <v>45923.0</v>
      </c>
      <c r="L1464" s="5"/>
      <c r="M1464" s="9" t="s">
        <v>22</v>
      </c>
      <c r="N1464" s="9" t="s">
        <v>23</v>
      </c>
      <c r="O1464" s="10">
        <f>'data on outstanding creditors'!$E1464*100/107</f>
        <v>5373.831776</v>
      </c>
      <c r="P1464" s="10">
        <f>'data on outstanding creditors'!$E1464-'data on outstanding creditors'!$O1464</f>
        <v>376.1682243</v>
      </c>
      <c r="Q1464" s="7">
        <f>DAY('data on outstanding creditors'!$B1464)</f>
        <v>2</v>
      </c>
      <c r="R1464" s="7">
        <f>MONTH('data on outstanding creditors'!$B1464)</f>
        <v>9</v>
      </c>
      <c r="S1464" s="7">
        <f>YEAR('data on outstanding creditors'!$B1464)</f>
        <v>2025</v>
      </c>
      <c r="T1464" s="11" t="str">
        <f>'data on outstanding creditors'!$C1464&amp;" "&amp;'data on outstanding creditors'!$D1464&amp;" "&amp;TEXT('data on outstanding creditors'!$E1464,"#,##0.00")</f>
        <v>บ.ที.พี.ดรัก แลบบอราทอรี่ส์ VIV125082268 5,750.00</v>
      </c>
      <c r="U1464" s="12"/>
    </row>
    <row r="1465" ht="13.5" customHeight="1">
      <c r="A1465" s="1"/>
      <c r="B1465" s="2">
        <v>45902.0</v>
      </c>
      <c r="C1465" s="9" t="s">
        <v>399</v>
      </c>
      <c r="D1465" s="1" t="s">
        <v>2006</v>
      </c>
      <c r="E1465" s="4">
        <v>64200.0</v>
      </c>
      <c r="F1465" s="4"/>
      <c r="G1465" s="4"/>
      <c r="H1465" s="4">
        <f>'data on outstanding creditors'!$E1465-'data on outstanding creditors'!$F1465-'data on outstanding creditors'!$G1465</f>
        <v>64200</v>
      </c>
      <c r="I1465" s="2"/>
      <c r="J1465" s="1" t="s">
        <v>646</v>
      </c>
      <c r="K1465" s="2">
        <v>45943.0</v>
      </c>
      <c r="L1465" s="5"/>
      <c r="M1465" s="9" t="s">
        <v>22</v>
      </c>
      <c r="N1465" s="9" t="s">
        <v>23</v>
      </c>
      <c r="O1465" s="10">
        <f>'data on outstanding creditors'!$E1465*100/107</f>
        <v>60000</v>
      </c>
      <c r="P1465" s="10">
        <f>'data on outstanding creditors'!$E1465-'data on outstanding creditors'!$O1465</f>
        <v>4200</v>
      </c>
      <c r="Q1465" s="7">
        <f>DAY('data on outstanding creditors'!$B1465)</f>
        <v>2</v>
      </c>
      <c r="R1465" s="7">
        <f>MONTH('data on outstanding creditors'!$B1465)</f>
        <v>9</v>
      </c>
      <c r="S1465" s="7">
        <f>YEAR('data on outstanding creditors'!$B1465)</f>
        <v>2025</v>
      </c>
      <c r="T1465" s="11" t="str">
        <f>'data on outstanding creditors'!$C1465&amp;" "&amp;'data on outstanding creditors'!$D1465&amp;" "&amp;TEXT('data on outstanding creditors'!$E1465,"#,##0.00")</f>
        <v>บ.ดีเคเอสเอช(ประเทศไทย) 5344235035 64,200.00</v>
      </c>
      <c r="U1465" s="12"/>
    </row>
    <row r="1466" ht="13.5" customHeight="1">
      <c r="A1466" s="1"/>
      <c r="B1466" s="2">
        <v>45902.0</v>
      </c>
      <c r="C1466" s="9" t="s">
        <v>780</v>
      </c>
      <c r="D1466" s="1" t="s">
        <v>2007</v>
      </c>
      <c r="E1466" s="4">
        <v>33705.0</v>
      </c>
      <c r="F1466" s="4"/>
      <c r="G1466" s="4"/>
      <c r="H1466" s="4">
        <f>'data on outstanding creditors'!$E1466-'data on outstanding creditors'!$F1466-'data on outstanding creditors'!$G1466</f>
        <v>33705</v>
      </c>
      <c r="I1466" s="2"/>
      <c r="J1466" s="1" t="s">
        <v>646</v>
      </c>
      <c r="K1466" s="2">
        <v>45944.0</v>
      </c>
      <c r="L1466" s="5"/>
      <c r="M1466" s="9" t="s">
        <v>22</v>
      </c>
      <c r="N1466" s="9" t="s">
        <v>23</v>
      </c>
      <c r="O1466" s="10">
        <f>'data on outstanding creditors'!$E1466*100/107</f>
        <v>31500</v>
      </c>
      <c r="P1466" s="10">
        <f>'data on outstanding creditors'!$E1466-'data on outstanding creditors'!$O1466</f>
        <v>2205</v>
      </c>
      <c r="Q1466" s="7">
        <f>DAY('data on outstanding creditors'!$B1466)</f>
        <v>2</v>
      </c>
      <c r="R1466" s="7">
        <f>MONTH('data on outstanding creditors'!$B1466)</f>
        <v>9</v>
      </c>
      <c r="S1466" s="7">
        <f>YEAR('data on outstanding creditors'!$B1466)</f>
        <v>2025</v>
      </c>
      <c r="T1466" s="11" t="str">
        <f>'data on outstanding creditors'!$C1466&amp;" "&amp;'data on outstanding creditors'!$D1466&amp;" "&amp;TEXT('data on outstanding creditors'!$E1466,"#,##0.00")</f>
        <v>บ.แคสป้า ฟาร์มาซูติคอล(ประเทศไทย) C68080541 33,705.00</v>
      </c>
      <c r="U1466" s="12"/>
    </row>
    <row r="1467" ht="13.5" customHeight="1">
      <c r="A1467" s="1"/>
      <c r="B1467" s="2">
        <v>45902.0</v>
      </c>
      <c r="C1467" s="9" t="s">
        <v>1288</v>
      </c>
      <c r="D1467" s="1" t="s">
        <v>2008</v>
      </c>
      <c r="E1467" s="4">
        <v>10000.22</v>
      </c>
      <c r="F1467" s="4"/>
      <c r="G1467" s="4"/>
      <c r="H1467" s="4">
        <f>'data on outstanding creditors'!$E1467-'data on outstanding creditors'!$F1467-'data on outstanding creditors'!$G1467</f>
        <v>10000.22</v>
      </c>
      <c r="I1467" s="2"/>
      <c r="J1467" s="1" t="s">
        <v>757</v>
      </c>
      <c r="K1467" s="2">
        <v>45923.0</v>
      </c>
      <c r="L1467" s="5"/>
      <c r="M1467" s="9" t="s">
        <v>22</v>
      </c>
      <c r="N1467" s="9" t="s">
        <v>23</v>
      </c>
      <c r="O1467" s="10">
        <f>'data on outstanding creditors'!$E1467*100/107</f>
        <v>9346</v>
      </c>
      <c r="P1467" s="10">
        <f>'data on outstanding creditors'!$E1467-'data on outstanding creditors'!$O1467</f>
        <v>654.22</v>
      </c>
      <c r="Q1467" s="7">
        <f>DAY('data on outstanding creditors'!$B1467)</f>
        <v>2</v>
      </c>
      <c r="R1467" s="7">
        <f>MONTH('data on outstanding creditors'!$B1467)</f>
        <v>9</v>
      </c>
      <c r="S1467" s="7">
        <f>YEAR('data on outstanding creditors'!$B1467)</f>
        <v>2025</v>
      </c>
      <c r="T1467" s="11" t="str">
        <f>'data on outstanding creditors'!$C1467&amp;" "&amp;'data on outstanding creditors'!$D1467&amp;" "&amp;TEXT('data on outstanding creditors'!$E1467,"#,##0.00")</f>
        <v>บ.เจ เอส วิชั่น 100527586 10,000.22</v>
      </c>
      <c r="U1467" s="12"/>
    </row>
    <row r="1468" ht="13.5" customHeight="1">
      <c r="A1468" s="1"/>
      <c r="B1468" s="2">
        <v>45902.0</v>
      </c>
      <c r="C1468" s="9" t="s">
        <v>1391</v>
      </c>
      <c r="D1468" s="1" t="s">
        <v>2009</v>
      </c>
      <c r="E1468" s="4">
        <v>12600.0</v>
      </c>
      <c r="F1468" s="4"/>
      <c r="G1468" s="4"/>
      <c r="H1468" s="4">
        <f>'data on outstanding creditors'!$E1468-'data on outstanding creditors'!$F1468-'data on outstanding creditors'!$G1468</f>
        <v>12600</v>
      </c>
      <c r="I1468" s="2"/>
      <c r="J1468" s="1" t="s">
        <v>757</v>
      </c>
      <c r="K1468" s="2">
        <v>45923.0</v>
      </c>
      <c r="L1468" s="5"/>
      <c r="M1468" s="9" t="s">
        <v>22</v>
      </c>
      <c r="N1468" s="9" t="s">
        <v>23</v>
      </c>
      <c r="O1468" s="10">
        <f>'data on outstanding creditors'!$E1468*100/107</f>
        <v>11775.70093</v>
      </c>
      <c r="P1468" s="10">
        <f>'data on outstanding creditors'!$E1468-'data on outstanding creditors'!$O1468</f>
        <v>824.2990654</v>
      </c>
      <c r="Q1468" s="7">
        <f>DAY('data on outstanding creditors'!$B1468)</f>
        <v>2</v>
      </c>
      <c r="R1468" s="7">
        <f>MONTH('data on outstanding creditors'!$B1468)</f>
        <v>9</v>
      </c>
      <c r="S1468" s="7">
        <f>YEAR('data on outstanding creditors'!$B1468)</f>
        <v>2025</v>
      </c>
      <c r="T1468" s="11" t="str">
        <f>'data on outstanding creditors'!$C1468&amp;" "&amp;'data on outstanding creditors'!$D1468&amp;" "&amp;TEXT('data on outstanding creditors'!$E1468,"#,##0.00")</f>
        <v>บ.ที.พี.ดรัก แลบบอราทอรี่ส์ VIV125082604 12,600.00</v>
      </c>
      <c r="U1468" s="12"/>
    </row>
    <row r="1469" ht="13.5" customHeight="1">
      <c r="A1469" s="1"/>
      <c r="B1469" s="2">
        <v>45902.0</v>
      </c>
      <c r="C1469" s="9" t="s">
        <v>254</v>
      </c>
      <c r="D1469" s="1" t="s">
        <v>2010</v>
      </c>
      <c r="E1469" s="4">
        <v>3852.0</v>
      </c>
      <c r="F1469" s="4"/>
      <c r="G1469" s="4"/>
      <c r="H1469" s="4">
        <f>'data on outstanding creditors'!$E1469-'data on outstanding creditors'!$F1469-'data on outstanding creditors'!$G1469</f>
        <v>3852</v>
      </c>
      <c r="I1469" s="2"/>
      <c r="J1469" s="1" t="s">
        <v>757</v>
      </c>
      <c r="K1469" s="2">
        <v>45923.0</v>
      </c>
      <c r="L1469" s="5"/>
      <c r="M1469" s="9" t="s">
        <v>22</v>
      </c>
      <c r="N1469" s="9" t="s">
        <v>23</v>
      </c>
      <c r="O1469" s="10">
        <f>'data on outstanding creditors'!$E1469*100/107</f>
        <v>3600</v>
      </c>
      <c r="P1469" s="10">
        <f>'data on outstanding creditors'!$E1469-'data on outstanding creditors'!$O1469</f>
        <v>252</v>
      </c>
      <c r="Q1469" s="7">
        <f>DAY('data on outstanding creditors'!$B1469)</f>
        <v>2</v>
      </c>
      <c r="R1469" s="7">
        <f>MONTH('data on outstanding creditors'!$B1469)</f>
        <v>9</v>
      </c>
      <c r="S1469" s="7">
        <f>YEAR('data on outstanding creditors'!$B1469)</f>
        <v>2025</v>
      </c>
      <c r="T1469" s="11" t="str">
        <f>'data on outstanding creditors'!$C1469&amp;" "&amp;'data on outstanding creditors'!$D1469&amp;" "&amp;TEXT('data on outstanding creditors'!$E1469,"#,##0.00")</f>
        <v>บ.แม็กซิม อินเตอร์คอร์ปอร์เรชั่น IV25081585 3,852.00</v>
      </c>
      <c r="U1469" s="12"/>
    </row>
    <row r="1470" ht="13.5" customHeight="1">
      <c r="A1470" s="1"/>
      <c r="B1470" s="2">
        <v>45902.0</v>
      </c>
      <c r="C1470" s="9" t="s">
        <v>771</v>
      </c>
      <c r="D1470" s="1" t="s">
        <v>2011</v>
      </c>
      <c r="E1470" s="4">
        <v>8800.0</v>
      </c>
      <c r="F1470" s="4"/>
      <c r="G1470" s="4"/>
      <c r="H1470" s="4">
        <f>'data on outstanding creditors'!$E1470-'data on outstanding creditors'!$F1470-'data on outstanding creditors'!$G1470</f>
        <v>8800</v>
      </c>
      <c r="I1470" s="2"/>
      <c r="J1470" s="1" t="s">
        <v>757</v>
      </c>
      <c r="K1470" s="2">
        <v>45923.0</v>
      </c>
      <c r="L1470" s="5"/>
      <c r="M1470" s="9" t="s">
        <v>22</v>
      </c>
      <c r="N1470" s="9" t="s">
        <v>23</v>
      </c>
      <c r="O1470" s="10">
        <f>'data on outstanding creditors'!$E1470*100/107</f>
        <v>8224.299065</v>
      </c>
      <c r="P1470" s="10">
        <f>'data on outstanding creditors'!$E1470-'data on outstanding creditors'!$O1470</f>
        <v>575.7009346</v>
      </c>
      <c r="Q1470" s="7">
        <f>DAY('data on outstanding creditors'!$B1470)</f>
        <v>2</v>
      </c>
      <c r="R1470" s="7">
        <f>MONTH('data on outstanding creditors'!$B1470)</f>
        <v>9</v>
      </c>
      <c r="S1470" s="7">
        <f>YEAR('data on outstanding creditors'!$B1470)</f>
        <v>2025</v>
      </c>
      <c r="T1470" s="11" t="str">
        <f>'data on outstanding creditors'!$C1470&amp;" "&amp;'data on outstanding creditors'!$D1470&amp;" "&amp;TEXT('data on outstanding creditors'!$E1470,"#,##0.00")</f>
        <v>หจก.ภิญโญฟาร์มาซี IV6845260 8,800.00</v>
      </c>
      <c r="U1470" s="12"/>
    </row>
    <row r="1471" ht="13.5" customHeight="1">
      <c r="A1471" s="1"/>
      <c r="B1471" s="2">
        <v>45902.0</v>
      </c>
      <c r="C1471" s="9" t="s">
        <v>1245</v>
      </c>
      <c r="D1471" s="1" t="s">
        <v>2012</v>
      </c>
      <c r="E1471" s="4">
        <v>5300.0</v>
      </c>
      <c r="F1471" s="4"/>
      <c r="G1471" s="4"/>
      <c r="H1471" s="4">
        <f>'data on outstanding creditors'!$E1471-'data on outstanding creditors'!$F1471-'data on outstanding creditors'!$G1471</f>
        <v>5300</v>
      </c>
      <c r="I1471" s="2"/>
      <c r="J1471" s="1" t="s">
        <v>646</v>
      </c>
      <c r="K1471" s="2">
        <v>45952.0</v>
      </c>
      <c r="L1471" s="5"/>
      <c r="M1471" s="9" t="s">
        <v>22</v>
      </c>
      <c r="N1471" s="9" t="s">
        <v>23</v>
      </c>
      <c r="O1471" s="10">
        <f>'data on outstanding creditors'!$E1471*100/107</f>
        <v>4953.271028</v>
      </c>
      <c r="P1471" s="10">
        <f>'data on outstanding creditors'!$E1471-'data on outstanding creditors'!$O1471</f>
        <v>346.728972</v>
      </c>
      <c r="Q1471" s="7">
        <f>DAY('data on outstanding creditors'!$B1471)</f>
        <v>2</v>
      </c>
      <c r="R1471" s="7">
        <f>MONTH('data on outstanding creditors'!$B1471)</f>
        <v>9</v>
      </c>
      <c r="S1471" s="7">
        <f>YEAR('data on outstanding creditors'!$B1471)</f>
        <v>2025</v>
      </c>
      <c r="T1471" s="11" t="str">
        <f>'data on outstanding creditors'!$C1471&amp;" "&amp;'data on outstanding creditors'!$D1471&amp;" "&amp;TEXT('data on outstanding creditors'!$E1471,"#,##0.00")</f>
        <v>บ.สามัคคีเภสัช DM-251009826 5,300.00</v>
      </c>
      <c r="U1471" s="12"/>
    </row>
    <row r="1472" ht="13.5" customHeight="1">
      <c r="A1472" s="1"/>
      <c r="B1472" s="2">
        <v>45903.0</v>
      </c>
      <c r="C1472" s="9" t="s">
        <v>1243</v>
      </c>
      <c r="D1472" s="1" t="s">
        <v>2013</v>
      </c>
      <c r="E1472" s="4">
        <v>20000.0</v>
      </c>
      <c r="F1472" s="4"/>
      <c r="G1472" s="4"/>
      <c r="H1472" s="4">
        <f>'data on outstanding creditors'!$E1472-'data on outstanding creditors'!$F1472-'data on outstanding creditors'!$G1472</f>
        <v>20000</v>
      </c>
      <c r="I1472" s="2"/>
      <c r="J1472" s="1" t="s">
        <v>757</v>
      </c>
      <c r="K1472" s="2">
        <v>45939.0</v>
      </c>
      <c r="L1472" s="5"/>
      <c r="M1472" s="9" t="s">
        <v>22</v>
      </c>
      <c r="N1472" s="9" t="s">
        <v>23</v>
      </c>
      <c r="O1472" s="10">
        <f>'data on outstanding creditors'!$E1472*100/107</f>
        <v>18691.58879</v>
      </c>
      <c r="P1472" s="10">
        <f>'data on outstanding creditors'!$E1472-'data on outstanding creditors'!$O1472</f>
        <v>1308.411215</v>
      </c>
      <c r="Q1472" s="7">
        <f>DAY('data on outstanding creditors'!$B1472)</f>
        <v>3</v>
      </c>
      <c r="R1472" s="7">
        <f>MONTH('data on outstanding creditors'!$B1472)</f>
        <v>9</v>
      </c>
      <c r="S1472" s="7">
        <f>YEAR('data on outstanding creditors'!$B1472)</f>
        <v>2025</v>
      </c>
      <c r="T1472" s="11" t="str">
        <f>'data on outstanding creditors'!$C1472&amp;" "&amp;'data on outstanding creditors'!$D1472&amp;" "&amp;TEXT('data on outstanding creditors'!$E1472,"#,##0.00")</f>
        <v>บ.วี.แอนด์.วี.กรุงเทพ 8103549389 20,000.00</v>
      </c>
      <c r="U1472" s="12"/>
    </row>
    <row r="1473" ht="13.5" customHeight="1">
      <c r="A1473" s="1"/>
      <c r="B1473" s="2">
        <v>45903.0</v>
      </c>
      <c r="C1473" s="9" t="s">
        <v>767</v>
      </c>
      <c r="D1473" s="1" t="s">
        <v>2014</v>
      </c>
      <c r="E1473" s="4">
        <v>320000.0</v>
      </c>
      <c r="F1473" s="4"/>
      <c r="G1473" s="4"/>
      <c r="H1473" s="4">
        <f>'data on outstanding creditors'!$E1473-'data on outstanding creditors'!$F1473-'data on outstanding creditors'!$G1473</f>
        <v>320000</v>
      </c>
      <c r="I1473" s="2"/>
      <c r="J1473" s="1" t="s">
        <v>646</v>
      </c>
      <c r="K1473" s="2">
        <v>45954.0</v>
      </c>
      <c r="L1473" s="5"/>
      <c r="M1473" s="9" t="s">
        <v>22</v>
      </c>
      <c r="N1473" s="9" t="s">
        <v>49</v>
      </c>
      <c r="O1473" s="10">
        <f>'data on outstanding creditors'!$E1473*100/107</f>
        <v>299065.4206</v>
      </c>
      <c r="P1473" s="10">
        <f>'data on outstanding creditors'!$E1473-'data on outstanding creditors'!$O1473</f>
        <v>20934.57944</v>
      </c>
      <c r="Q1473" s="7">
        <f>DAY('data on outstanding creditors'!$B1473)</f>
        <v>3</v>
      </c>
      <c r="R1473" s="7">
        <f>MONTH('data on outstanding creditors'!$B1473)</f>
        <v>9</v>
      </c>
      <c r="S1473" s="7">
        <f>YEAR('data on outstanding creditors'!$B1473)</f>
        <v>2025</v>
      </c>
      <c r="T1473" s="11" t="str">
        <f>'data on outstanding creditors'!$C1473&amp;" "&amp;'data on outstanding creditors'!$D1473&amp;" "&amp;TEXT('data on outstanding creditors'!$E1473,"#,##0.00")</f>
        <v>บ.คอสม่า เทรดดิ้ง 310857403862 320,000.00</v>
      </c>
      <c r="U1473" s="12"/>
    </row>
    <row r="1474" ht="13.5" customHeight="1">
      <c r="A1474" s="1"/>
      <c r="B1474" s="2">
        <v>45903.0</v>
      </c>
      <c r="C1474" s="9" t="s">
        <v>263</v>
      </c>
      <c r="D1474" s="1" t="s">
        <v>2015</v>
      </c>
      <c r="E1474" s="4">
        <v>118800.0</v>
      </c>
      <c r="F1474" s="4"/>
      <c r="G1474" s="4"/>
      <c r="H1474" s="4">
        <f>'data on outstanding creditors'!$E1474-'data on outstanding creditors'!$F1474-'data on outstanding creditors'!$G1474</f>
        <v>118800</v>
      </c>
      <c r="I1474" s="2"/>
      <c r="J1474" s="1" t="s">
        <v>757</v>
      </c>
      <c r="K1474" s="2">
        <v>45938.0</v>
      </c>
      <c r="L1474" s="5"/>
      <c r="M1474" s="9" t="s">
        <v>22</v>
      </c>
      <c r="N1474" s="9" t="s">
        <v>23</v>
      </c>
      <c r="O1474" s="10">
        <f>'data on outstanding creditors'!$E1474*100/107</f>
        <v>111028.0374</v>
      </c>
      <c r="P1474" s="10">
        <f>'data on outstanding creditors'!$E1474-'data on outstanding creditors'!$O1474</f>
        <v>7771.962617</v>
      </c>
      <c r="Q1474" s="7">
        <f>DAY('data on outstanding creditors'!$B1474)</f>
        <v>3</v>
      </c>
      <c r="R1474" s="7">
        <f>MONTH('data on outstanding creditors'!$B1474)</f>
        <v>9</v>
      </c>
      <c r="S1474" s="7">
        <f>YEAR('data on outstanding creditors'!$B1474)</f>
        <v>2025</v>
      </c>
      <c r="T1474" s="11" t="str">
        <f>'data on outstanding creditors'!$C1474&amp;" "&amp;'data on outstanding creditors'!$D1474&amp;" "&amp;TEXT('data on outstanding creditors'!$E1474,"#,##0.00")</f>
        <v>บ.เอเบิ้ล เมดิคอล M2508/0705 118,800.00</v>
      </c>
      <c r="U1474" s="12"/>
    </row>
    <row r="1475" ht="13.5" customHeight="1">
      <c r="A1475" s="1"/>
      <c r="B1475" s="2">
        <v>45904.0</v>
      </c>
      <c r="C1475" s="9" t="s">
        <v>1349</v>
      </c>
      <c r="D1475" s="1" t="s">
        <v>2016</v>
      </c>
      <c r="E1475" s="4">
        <v>52200.0</v>
      </c>
      <c r="F1475" s="4"/>
      <c r="G1475" s="4"/>
      <c r="H1475" s="4">
        <f>'data on outstanding creditors'!$E1475-'data on outstanding creditors'!$F1475-'data on outstanding creditors'!$G1475</f>
        <v>52200</v>
      </c>
      <c r="I1475" s="2"/>
      <c r="J1475" s="1" t="s">
        <v>757</v>
      </c>
      <c r="K1475" s="2">
        <v>45939.0</v>
      </c>
      <c r="L1475" s="5"/>
      <c r="M1475" s="9" t="s">
        <v>22</v>
      </c>
      <c r="N1475" s="9" t="s">
        <v>23</v>
      </c>
      <c r="O1475" s="10">
        <f>'data on outstanding creditors'!$E1475*100/107</f>
        <v>48785.04673</v>
      </c>
      <c r="P1475" s="10">
        <f>'data on outstanding creditors'!$E1475-'data on outstanding creditors'!$O1475</f>
        <v>3414.953271</v>
      </c>
      <c r="Q1475" s="7">
        <f>DAY('data on outstanding creditors'!$B1475)</f>
        <v>4</v>
      </c>
      <c r="R1475" s="7">
        <f>MONTH('data on outstanding creditors'!$B1475)</f>
        <v>9</v>
      </c>
      <c r="S1475" s="7">
        <f>YEAR('data on outstanding creditors'!$B1475)</f>
        <v>2025</v>
      </c>
      <c r="T1475" s="11" t="str">
        <f>'data on outstanding creditors'!$C1475&amp;" "&amp;'data on outstanding creditors'!$D1475&amp;" "&amp;TEXT('data on outstanding creditors'!$E1475,"#,##0.00")</f>
        <v>บ.ฟาร์มาดิกา DIS250901-027 52,200.00</v>
      </c>
      <c r="U1475" s="12"/>
    </row>
    <row r="1476" ht="13.5" customHeight="1">
      <c r="A1476" s="1"/>
      <c r="B1476" s="2">
        <v>45904.0</v>
      </c>
      <c r="C1476" s="9" t="s">
        <v>399</v>
      </c>
      <c r="D1476" s="1" t="s">
        <v>2017</v>
      </c>
      <c r="E1476" s="4">
        <v>26429.0</v>
      </c>
      <c r="F1476" s="4"/>
      <c r="G1476" s="4"/>
      <c r="H1476" s="4">
        <f>'data on outstanding creditors'!$E1476-'data on outstanding creditors'!$F1476-'data on outstanding creditors'!$G1476</f>
        <v>26429</v>
      </c>
      <c r="I1476" s="2"/>
      <c r="J1476" s="1" t="s">
        <v>757</v>
      </c>
      <c r="K1476" s="2">
        <v>45939.0</v>
      </c>
      <c r="L1476" s="5"/>
      <c r="M1476" s="9" t="s">
        <v>22</v>
      </c>
      <c r="N1476" s="9" t="s">
        <v>23</v>
      </c>
      <c r="O1476" s="10">
        <f>'data on outstanding creditors'!$E1476*100/107</f>
        <v>24700</v>
      </c>
      <c r="P1476" s="10">
        <f>'data on outstanding creditors'!$E1476-'data on outstanding creditors'!$O1476</f>
        <v>1729</v>
      </c>
      <c r="Q1476" s="7">
        <f>DAY('data on outstanding creditors'!$B1476)</f>
        <v>4</v>
      </c>
      <c r="R1476" s="7">
        <f>MONTH('data on outstanding creditors'!$B1476)</f>
        <v>9</v>
      </c>
      <c r="S1476" s="7">
        <f>YEAR('data on outstanding creditors'!$B1476)</f>
        <v>2025</v>
      </c>
      <c r="T1476" s="11" t="str">
        <f>'data on outstanding creditors'!$C1476&amp;" "&amp;'data on outstanding creditors'!$D1476&amp;" "&amp;TEXT('data on outstanding creditors'!$E1476,"#,##0.00")</f>
        <v>บ.ดีเคเอสเอช(ประเทศไทย) 5344281748 26,429.00</v>
      </c>
      <c r="U1476" s="12"/>
    </row>
    <row r="1477" ht="13.5" customHeight="1">
      <c r="A1477" s="1"/>
      <c r="B1477" s="2">
        <v>45904.0</v>
      </c>
      <c r="C1477" s="9" t="s">
        <v>256</v>
      </c>
      <c r="D1477" s="1" t="s">
        <v>2018</v>
      </c>
      <c r="E1477" s="4">
        <v>10140.0</v>
      </c>
      <c r="F1477" s="4"/>
      <c r="G1477" s="4"/>
      <c r="H1477" s="4">
        <f>'data on outstanding creditors'!$E1477-'data on outstanding creditors'!$F1477-'data on outstanding creditors'!$G1477</f>
        <v>10140</v>
      </c>
      <c r="I1477" s="2"/>
      <c r="J1477" s="1" t="s">
        <v>757</v>
      </c>
      <c r="K1477" s="2">
        <v>45939.0</v>
      </c>
      <c r="L1477" s="5"/>
      <c r="M1477" s="9" t="s">
        <v>22</v>
      </c>
      <c r="N1477" s="9" t="s">
        <v>23</v>
      </c>
      <c r="O1477" s="10">
        <f>'data on outstanding creditors'!$E1477*100/107</f>
        <v>9476.635514</v>
      </c>
      <c r="P1477" s="10">
        <f>'data on outstanding creditors'!$E1477-'data on outstanding creditors'!$O1477</f>
        <v>663.364486</v>
      </c>
      <c r="Q1477" s="7">
        <f>DAY('data on outstanding creditors'!$B1477)</f>
        <v>4</v>
      </c>
      <c r="R1477" s="7">
        <f>MONTH('data on outstanding creditors'!$B1477)</f>
        <v>9</v>
      </c>
      <c r="S1477" s="7">
        <f>YEAR('data on outstanding creditors'!$B1477)</f>
        <v>2025</v>
      </c>
      <c r="T1477" s="11" t="str">
        <f>'data on outstanding creditors'!$C1477&amp;" "&amp;'data on outstanding creditors'!$D1477&amp;" "&amp;TEXT('data on outstanding creditors'!$E1477,"#,##0.00")</f>
        <v>บ.พาตาร์แลบ(2517) INV125083061 10,140.00</v>
      </c>
      <c r="U1477" s="12"/>
    </row>
    <row r="1478" ht="13.5" customHeight="1">
      <c r="A1478" s="1"/>
      <c r="B1478" s="2">
        <v>45905.0</v>
      </c>
      <c r="C1478" s="9" t="s">
        <v>520</v>
      </c>
      <c r="D1478" s="1" t="s">
        <v>2019</v>
      </c>
      <c r="E1478" s="4">
        <v>242676.0</v>
      </c>
      <c r="F1478" s="4"/>
      <c r="G1478" s="4"/>
      <c r="H1478" s="4">
        <f>'data on outstanding creditors'!$E1478-'data on outstanding creditors'!$F1478-'data on outstanding creditors'!$G1478</f>
        <v>242676</v>
      </c>
      <c r="I1478" s="2"/>
      <c r="J1478" s="1" t="s">
        <v>757</v>
      </c>
      <c r="K1478" s="2">
        <v>45938.0</v>
      </c>
      <c r="L1478" s="5"/>
      <c r="M1478" s="9" t="s">
        <v>22</v>
      </c>
      <c r="N1478" s="9" t="s">
        <v>23</v>
      </c>
      <c r="O1478" s="10">
        <f>'data on outstanding creditors'!$E1478*100/107</f>
        <v>226800</v>
      </c>
      <c r="P1478" s="10">
        <f>'data on outstanding creditors'!$E1478-'data on outstanding creditors'!$O1478</f>
        <v>15876</v>
      </c>
      <c r="Q1478" s="7">
        <f>DAY('data on outstanding creditors'!$B1478)</f>
        <v>5</v>
      </c>
      <c r="R1478" s="7">
        <f>MONTH('data on outstanding creditors'!$B1478)</f>
        <v>9</v>
      </c>
      <c r="S1478" s="7">
        <f>YEAR('data on outstanding creditors'!$B1478)</f>
        <v>2025</v>
      </c>
      <c r="T1478" s="11" t="str">
        <f>'data on outstanding creditors'!$C1478&amp;" "&amp;'data on outstanding creditors'!$D1478&amp;" "&amp;TEXT('data on outstanding creditors'!$E1478,"#,##0.00")</f>
        <v>บ.ซิลลิคฟาร์มา 1318073791 242,676.00</v>
      </c>
      <c r="U1478" s="12"/>
    </row>
    <row r="1479" ht="13.5" customHeight="1">
      <c r="A1479" s="1"/>
      <c r="B1479" s="2">
        <v>45905.0</v>
      </c>
      <c r="C1479" s="9" t="s">
        <v>399</v>
      </c>
      <c r="D1479" s="1" t="s">
        <v>2020</v>
      </c>
      <c r="E1479" s="4">
        <v>35952.0</v>
      </c>
      <c r="F1479" s="4"/>
      <c r="G1479" s="4"/>
      <c r="H1479" s="4">
        <f>'data on outstanding creditors'!$E1479-'data on outstanding creditors'!$F1479-'data on outstanding creditors'!$G1479</f>
        <v>35952</v>
      </c>
      <c r="I1479" s="2"/>
      <c r="J1479" s="1" t="s">
        <v>757</v>
      </c>
      <c r="K1479" s="2">
        <v>45939.0</v>
      </c>
      <c r="L1479" s="5"/>
      <c r="M1479" s="9" t="s">
        <v>22</v>
      </c>
      <c r="N1479" s="9" t="s">
        <v>23</v>
      </c>
      <c r="O1479" s="10">
        <f>'data on outstanding creditors'!$E1479*100/107</f>
        <v>33600</v>
      </c>
      <c r="P1479" s="10">
        <f>'data on outstanding creditors'!$E1479-'data on outstanding creditors'!$O1479</f>
        <v>2352</v>
      </c>
      <c r="Q1479" s="7">
        <f>DAY('data on outstanding creditors'!$B1479)</f>
        <v>5</v>
      </c>
      <c r="R1479" s="7">
        <f>MONTH('data on outstanding creditors'!$B1479)</f>
        <v>9</v>
      </c>
      <c r="S1479" s="7">
        <f>YEAR('data on outstanding creditors'!$B1479)</f>
        <v>2025</v>
      </c>
      <c r="T1479" s="11" t="str">
        <f>'data on outstanding creditors'!$C1479&amp;" "&amp;'data on outstanding creditors'!$D1479&amp;" "&amp;TEXT('data on outstanding creditors'!$E1479,"#,##0.00")</f>
        <v>บ.ดีเคเอสเอช(ประเทศไทย) 5344290740 35,952.00</v>
      </c>
      <c r="U1479" s="12"/>
    </row>
    <row r="1480" ht="13.5" customHeight="1">
      <c r="A1480" s="1"/>
      <c r="B1480" s="2">
        <v>45905.0</v>
      </c>
      <c r="C1480" s="9" t="s">
        <v>1232</v>
      </c>
      <c r="D1480" s="1" t="s">
        <v>2021</v>
      </c>
      <c r="E1480" s="4">
        <v>22600.0</v>
      </c>
      <c r="F1480" s="4"/>
      <c r="G1480" s="4"/>
      <c r="H1480" s="4">
        <f>'data on outstanding creditors'!$E1480-'data on outstanding creditors'!$F1480-'data on outstanding creditors'!$G1480</f>
        <v>22600</v>
      </c>
      <c r="I1480" s="2"/>
      <c r="J1480" s="1" t="s">
        <v>757</v>
      </c>
      <c r="K1480" s="2">
        <v>45939.0</v>
      </c>
      <c r="L1480" s="5"/>
      <c r="M1480" s="9" t="s">
        <v>22</v>
      </c>
      <c r="N1480" s="9" t="s">
        <v>23</v>
      </c>
      <c r="O1480" s="10">
        <f>'data on outstanding creditors'!$E1480*100/107</f>
        <v>21121.49533</v>
      </c>
      <c r="P1480" s="10">
        <f>'data on outstanding creditors'!$E1480-'data on outstanding creditors'!$O1480</f>
        <v>1478.504673</v>
      </c>
      <c r="Q1480" s="7">
        <f>DAY('data on outstanding creditors'!$B1480)</f>
        <v>5</v>
      </c>
      <c r="R1480" s="7">
        <f>MONTH('data on outstanding creditors'!$B1480)</f>
        <v>9</v>
      </c>
      <c r="S1480" s="7">
        <f>YEAR('data on outstanding creditors'!$B1480)</f>
        <v>2025</v>
      </c>
      <c r="T1480" s="11" t="str">
        <f>'data on outstanding creditors'!$C1480&amp;" "&amp;'data on outstanding creditors'!$D1480&amp;" "&amp;TEXT('data on outstanding creditors'!$E1480,"#,##0.00")</f>
        <v>บ.มาสุ 262418 22,600.00</v>
      </c>
      <c r="U1480" s="12"/>
    </row>
    <row r="1481" ht="13.5" customHeight="1">
      <c r="A1481" s="1"/>
      <c r="B1481" s="2">
        <v>45905.0</v>
      </c>
      <c r="C1481" s="9" t="s">
        <v>520</v>
      </c>
      <c r="D1481" s="1" t="s">
        <v>2022</v>
      </c>
      <c r="E1481" s="4">
        <v>56710.0</v>
      </c>
      <c r="F1481" s="4"/>
      <c r="G1481" s="4"/>
      <c r="H1481" s="4">
        <f>'data on outstanding creditors'!$E1481-'data on outstanding creditors'!$F1481-'data on outstanding creditors'!$G1481</f>
        <v>56710</v>
      </c>
      <c r="I1481" s="2"/>
      <c r="J1481" s="1" t="s">
        <v>757</v>
      </c>
      <c r="K1481" s="2">
        <v>45940.0</v>
      </c>
      <c r="L1481" s="5"/>
      <c r="M1481" s="9" t="s">
        <v>22</v>
      </c>
      <c r="N1481" s="9" t="s">
        <v>23</v>
      </c>
      <c r="O1481" s="10">
        <f>'data on outstanding creditors'!$E1481*100/107</f>
        <v>53000</v>
      </c>
      <c r="P1481" s="10">
        <f>'data on outstanding creditors'!$E1481-'data on outstanding creditors'!$O1481</f>
        <v>3710</v>
      </c>
      <c r="Q1481" s="7">
        <f>DAY('data on outstanding creditors'!$B1481)</f>
        <v>5</v>
      </c>
      <c r="R1481" s="7">
        <f>MONTH('data on outstanding creditors'!$B1481)</f>
        <v>9</v>
      </c>
      <c r="S1481" s="7">
        <f>YEAR('data on outstanding creditors'!$B1481)</f>
        <v>2025</v>
      </c>
      <c r="T1481" s="11" t="str">
        <f>'data on outstanding creditors'!$C1481&amp;" "&amp;'data on outstanding creditors'!$D1481&amp;" "&amp;TEXT('data on outstanding creditors'!$E1481,"#,##0.00")</f>
        <v>บ.ซิลลิคฟาร์มา 1318076473 56,710.00</v>
      </c>
      <c r="U1481" s="12"/>
    </row>
    <row r="1482" ht="13.5" customHeight="1">
      <c r="A1482" s="1"/>
      <c r="B1482" s="2">
        <v>45905.0</v>
      </c>
      <c r="C1482" s="9" t="s">
        <v>520</v>
      </c>
      <c r="D1482" s="1" t="s">
        <v>2023</v>
      </c>
      <c r="E1482" s="4">
        <v>24610.0</v>
      </c>
      <c r="F1482" s="4"/>
      <c r="G1482" s="4"/>
      <c r="H1482" s="4">
        <f>'data on outstanding creditors'!$E1482-'data on outstanding creditors'!$F1482-'data on outstanding creditors'!$G1482</f>
        <v>24610</v>
      </c>
      <c r="I1482" s="2"/>
      <c r="J1482" s="1" t="s">
        <v>757</v>
      </c>
      <c r="K1482" s="2">
        <v>45939.0</v>
      </c>
      <c r="L1482" s="5"/>
      <c r="M1482" s="9" t="s">
        <v>22</v>
      </c>
      <c r="N1482" s="9" t="s">
        <v>23</v>
      </c>
      <c r="O1482" s="10">
        <f>'data on outstanding creditors'!$E1482*100/107</f>
        <v>23000</v>
      </c>
      <c r="P1482" s="10">
        <f>'data on outstanding creditors'!$E1482-'data on outstanding creditors'!$O1482</f>
        <v>1610</v>
      </c>
      <c r="Q1482" s="7">
        <f>DAY('data on outstanding creditors'!$B1482)</f>
        <v>5</v>
      </c>
      <c r="R1482" s="7">
        <f>MONTH('data on outstanding creditors'!$B1482)</f>
        <v>9</v>
      </c>
      <c r="S1482" s="7">
        <f>YEAR('data on outstanding creditors'!$B1482)</f>
        <v>2025</v>
      </c>
      <c r="T1482" s="11" t="str">
        <f>'data on outstanding creditors'!$C1482&amp;" "&amp;'data on outstanding creditors'!$D1482&amp;" "&amp;TEXT('data on outstanding creditors'!$E1482,"#,##0.00")</f>
        <v>บ.ซิลลิคฟาร์มา 1318101947 24,610.00</v>
      </c>
      <c r="U1482" s="12"/>
    </row>
    <row r="1483" ht="13.5" customHeight="1">
      <c r="A1483" s="1"/>
      <c r="B1483" s="2">
        <v>45909.0</v>
      </c>
      <c r="C1483" s="9" t="s">
        <v>771</v>
      </c>
      <c r="D1483" s="1" t="s">
        <v>2024</v>
      </c>
      <c r="E1483" s="4">
        <v>81000.0</v>
      </c>
      <c r="F1483" s="4"/>
      <c r="G1483" s="4"/>
      <c r="H1483" s="4">
        <f>'data on outstanding creditors'!$E1483-'data on outstanding creditors'!$F1483-'data on outstanding creditors'!$G1483</f>
        <v>81000</v>
      </c>
      <c r="I1483" s="2"/>
      <c r="J1483" s="1" t="s">
        <v>757</v>
      </c>
      <c r="K1483" s="2">
        <v>45938.0</v>
      </c>
      <c r="L1483" s="5"/>
      <c r="M1483" s="9" t="s">
        <v>22</v>
      </c>
      <c r="N1483" s="9" t="s">
        <v>23</v>
      </c>
      <c r="O1483" s="10">
        <f>'data on outstanding creditors'!$E1483*100/107</f>
        <v>75700.93458</v>
      </c>
      <c r="P1483" s="10">
        <f>'data on outstanding creditors'!$E1483-'data on outstanding creditors'!$O1483</f>
        <v>5299.065421</v>
      </c>
      <c r="Q1483" s="7">
        <f>DAY('data on outstanding creditors'!$B1483)</f>
        <v>9</v>
      </c>
      <c r="R1483" s="7">
        <f>MONTH('data on outstanding creditors'!$B1483)</f>
        <v>9</v>
      </c>
      <c r="S1483" s="7">
        <f>YEAR('data on outstanding creditors'!$B1483)</f>
        <v>2025</v>
      </c>
      <c r="T1483" s="11" t="str">
        <f>'data on outstanding creditors'!$C1483&amp;" "&amp;'data on outstanding creditors'!$D1483&amp;" "&amp;TEXT('data on outstanding creditors'!$E1483,"#,##0.00")</f>
        <v>หจก.ภิญโญฟาร์มาซี IV6846618 81,000.00</v>
      </c>
      <c r="U1483" s="12"/>
    </row>
    <row r="1484" ht="13.5" customHeight="1">
      <c r="A1484" s="1"/>
      <c r="B1484" s="2">
        <v>45909.0</v>
      </c>
      <c r="C1484" s="9" t="s">
        <v>520</v>
      </c>
      <c r="D1484" s="1" t="s">
        <v>2025</v>
      </c>
      <c r="E1484" s="4">
        <v>79180.0</v>
      </c>
      <c r="F1484" s="4"/>
      <c r="G1484" s="4"/>
      <c r="H1484" s="4">
        <f>'data on outstanding creditors'!$E1484-'data on outstanding creditors'!$F1484-'data on outstanding creditors'!$G1484</f>
        <v>79180</v>
      </c>
      <c r="I1484" s="2"/>
      <c r="J1484" s="1" t="s">
        <v>757</v>
      </c>
      <c r="K1484" s="2">
        <v>45938.0</v>
      </c>
      <c r="L1484" s="5"/>
      <c r="M1484" s="9" t="s">
        <v>22</v>
      </c>
      <c r="N1484" s="9" t="s">
        <v>23</v>
      </c>
      <c r="O1484" s="10">
        <f>'data on outstanding creditors'!$E1484*100/107</f>
        <v>74000</v>
      </c>
      <c r="P1484" s="10">
        <f>'data on outstanding creditors'!$E1484-'data on outstanding creditors'!$O1484</f>
        <v>5180</v>
      </c>
      <c r="Q1484" s="7">
        <f>DAY('data on outstanding creditors'!$B1484)</f>
        <v>9</v>
      </c>
      <c r="R1484" s="7">
        <f>MONTH('data on outstanding creditors'!$B1484)</f>
        <v>9</v>
      </c>
      <c r="S1484" s="7">
        <f>YEAR('data on outstanding creditors'!$B1484)</f>
        <v>2025</v>
      </c>
      <c r="T1484" s="11" t="str">
        <f>'data on outstanding creditors'!$C1484&amp;" "&amp;'data on outstanding creditors'!$D1484&amp;" "&amp;TEXT('data on outstanding creditors'!$E1484,"#,##0.00")</f>
        <v>บ.ซิลลิคฟาร์มา 1318097402 79,180.00</v>
      </c>
      <c r="U1484" s="12"/>
    </row>
    <row r="1485" ht="13.5" customHeight="1">
      <c r="A1485" s="1"/>
      <c r="B1485" s="2">
        <v>45909.0</v>
      </c>
      <c r="C1485" s="9" t="s">
        <v>1650</v>
      </c>
      <c r="D1485" s="1" t="s">
        <v>2026</v>
      </c>
      <c r="E1485" s="4">
        <v>92448.0</v>
      </c>
      <c r="F1485" s="4"/>
      <c r="G1485" s="4"/>
      <c r="H1485" s="4">
        <f>'data on outstanding creditors'!$E1485-'data on outstanding creditors'!$F1485-'data on outstanding creditors'!$G1485</f>
        <v>92448</v>
      </c>
      <c r="I1485" s="2"/>
      <c r="J1485" s="1" t="s">
        <v>757</v>
      </c>
      <c r="K1485" s="2">
        <v>45938.0</v>
      </c>
      <c r="L1485" s="5"/>
      <c r="M1485" s="9" t="s">
        <v>22</v>
      </c>
      <c r="N1485" s="9" t="s">
        <v>23</v>
      </c>
      <c r="O1485" s="10">
        <f>'data on outstanding creditors'!$E1485*100/107</f>
        <v>86400</v>
      </c>
      <c r="P1485" s="10">
        <f>'data on outstanding creditors'!$E1485-'data on outstanding creditors'!$O1485</f>
        <v>6048</v>
      </c>
      <c r="Q1485" s="7">
        <f>DAY('data on outstanding creditors'!$B1485)</f>
        <v>9</v>
      </c>
      <c r="R1485" s="7">
        <f>MONTH('data on outstanding creditors'!$B1485)</f>
        <v>9</v>
      </c>
      <c r="S1485" s="7">
        <f>YEAR('data on outstanding creditors'!$B1485)</f>
        <v>2025</v>
      </c>
      <c r="T1485" s="11" t="str">
        <f>'data on outstanding creditors'!$C1485&amp;" "&amp;'data on outstanding creditors'!$D1485&amp;" "&amp;TEXT('data on outstanding creditors'!$E1485,"#,##0.00")</f>
        <v>บ.พีทูพีเฮลธ์แคร์ 7401210919 92,448.00</v>
      </c>
      <c r="U1485" s="12"/>
    </row>
    <row r="1486" ht="13.5" customHeight="1">
      <c r="A1486" s="1"/>
      <c r="B1486" s="2">
        <v>45909.0</v>
      </c>
      <c r="C1486" s="9" t="s">
        <v>520</v>
      </c>
      <c r="D1486" s="1" t="s">
        <v>2027</v>
      </c>
      <c r="E1486" s="4">
        <v>3877.68</v>
      </c>
      <c r="F1486" s="4"/>
      <c r="G1486" s="4"/>
      <c r="H1486" s="4">
        <f>'data on outstanding creditors'!$E1486-'data on outstanding creditors'!$F1486-'data on outstanding creditors'!$G1486</f>
        <v>3877.68</v>
      </c>
      <c r="I1486" s="2"/>
      <c r="J1486" s="1" t="s">
        <v>757</v>
      </c>
      <c r="K1486" s="2">
        <v>45940.0</v>
      </c>
      <c r="L1486" s="5"/>
      <c r="M1486" s="9" t="s">
        <v>22</v>
      </c>
      <c r="N1486" s="9" t="s">
        <v>23</v>
      </c>
      <c r="O1486" s="10">
        <f>'data on outstanding creditors'!$E1486*100/107</f>
        <v>3624</v>
      </c>
      <c r="P1486" s="10">
        <f>'data on outstanding creditors'!$E1486-'data on outstanding creditors'!$O1486</f>
        <v>253.68</v>
      </c>
      <c r="Q1486" s="7">
        <f>DAY('data on outstanding creditors'!$B1486)</f>
        <v>9</v>
      </c>
      <c r="R1486" s="7">
        <f>MONTH('data on outstanding creditors'!$B1486)</f>
        <v>9</v>
      </c>
      <c r="S1486" s="7">
        <f>YEAR('data on outstanding creditors'!$B1486)</f>
        <v>2025</v>
      </c>
      <c r="T1486" s="11" t="str">
        <f>'data on outstanding creditors'!$C1486&amp;" "&amp;'data on outstanding creditors'!$D1486&amp;" "&amp;TEXT('data on outstanding creditors'!$E1486,"#,##0.00")</f>
        <v>บ.ซิลลิคฟาร์มา 1318093930 3,877.68</v>
      </c>
      <c r="U1486" s="12"/>
    </row>
    <row r="1487" ht="13.5" customHeight="1">
      <c r="A1487" s="1"/>
      <c r="B1487" s="2">
        <v>45909.0</v>
      </c>
      <c r="C1487" s="9" t="s">
        <v>520</v>
      </c>
      <c r="D1487" s="1" t="s">
        <v>2028</v>
      </c>
      <c r="E1487" s="4">
        <v>47080.0</v>
      </c>
      <c r="F1487" s="4"/>
      <c r="G1487" s="4"/>
      <c r="H1487" s="4">
        <f>'data on outstanding creditors'!$E1487-'data on outstanding creditors'!$F1487-'data on outstanding creditors'!$G1487</f>
        <v>47080</v>
      </c>
      <c r="I1487" s="2"/>
      <c r="J1487" s="1" t="s">
        <v>757</v>
      </c>
      <c r="K1487" s="2">
        <v>45940.0</v>
      </c>
      <c r="L1487" s="5"/>
      <c r="M1487" s="9" t="s">
        <v>22</v>
      </c>
      <c r="N1487" s="9" t="s">
        <v>23</v>
      </c>
      <c r="O1487" s="10">
        <f>'data on outstanding creditors'!$E1487*100/107</f>
        <v>44000</v>
      </c>
      <c r="P1487" s="10">
        <f>'data on outstanding creditors'!$E1487-'data on outstanding creditors'!$O1487</f>
        <v>3080</v>
      </c>
      <c r="Q1487" s="7">
        <f>DAY('data on outstanding creditors'!$B1487)</f>
        <v>9</v>
      </c>
      <c r="R1487" s="7">
        <f>MONTH('data on outstanding creditors'!$B1487)</f>
        <v>9</v>
      </c>
      <c r="S1487" s="7">
        <f>YEAR('data on outstanding creditors'!$B1487)</f>
        <v>2025</v>
      </c>
      <c r="T1487" s="11" t="str">
        <f>'data on outstanding creditors'!$C1487&amp;" "&amp;'data on outstanding creditors'!$D1487&amp;" "&amp;TEXT('data on outstanding creditors'!$E1487,"#,##0.00")</f>
        <v>บ.ซิลลิคฟาร์มา 1318094940 47,080.00</v>
      </c>
      <c r="U1487" s="12"/>
    </row>
    <row r="1488" ht="13.5" customHeight="1">
      <c r="A1488" s="1"/>
      <c r="B1488" s="2">
        <v>45909.0</v>
      </c>
      <c r="C1488" s="9" t="s">
        <v>520</v>
      </c>
      <c r="D1488" s="1" t="s">
        <v>2029</v>
      </c>
      <c r="E1488" s="4">
        <v>10914.0</v>
      </c>
      <c r="F1488" s="4"/>
      <c r="G1488" s="4"/>
      <c r="H1488" s="4">
        <f>'data on outstanding creditors'!$E1488-'data on outstanding creditors'!$F1488-'data on outstanding creditors'!$G1488</f>
        <v>10914</v>
      </c>
      <c r="I1488" s="2"/>
      <c r="J1488" s="1" t="s">
        <v>757</v>
      </c>
      <c r="K1488" s="2">
        <v>45940.0</v>
      </c>
      <c r="L1488" s="5"/>
      <c r="M1488" s="9" t="s">
        <v>22</v>
      </c>
      <c r="N1488" s="9" t="s">
        <v>23</v>
      </c>
      <c r="O1488" s="10">
        <f>'data on outstanding creditors'!$E1488*100/107</f>
        <v>10200</v>
      </c>
      <c r="P1488" s="10">
        <f>'data on outstanding creditors'!$E1488-'data on outstanding creditors'!$O1488</f>
        <v>714</v>
      </c>
      <c r="Q1488" s="7">
        <f>DAY('data on outstanding creditors'!$B1488)</f>
        <v>9</v>
      </c>
      <c r="R1488" s="7">
        <f>MONTH('data on outstanding creditors'!$B1488)</f>
        <v>9</v>
      </c>
      <c r="S1488" s="7">
        <f>YEAR('data on outstanding creditors'!$B1488)</f>
        <v>2025</v>
      </c>
      <c r="T1488" s="11" t="str">
        <f>'data on outstanding creditors'!$C1488&amp;" "&amp;'data on outstanding creditors'!$D1488&amp;" "&amp;TEXT('data on outstanding creditors'!$E1488,"#,##0.00")</f>
        <v>บ.ซิลลิคฟาร์มา 1318074708 10,914.00</v>
      </c>
      <c r="U1488" s="12"/>
    </row>
    <row r="1489" ht="13.5" customHeight="1">
      <c r="A1489" s="1"/>
      <c r="B1489" s="2">
        <v>45909.0</v>
      </c>
      <c r="C1489" s="9" t="s">
        <v>520</v>
      </c>
      <c r="D1489" s="1" t="s">
        <v>2030</v>
      </c>
      <c r="E1489" s="4">
        <v>29960.0</v>
      </c>
      <c r="F1489" s="4"/>
      <c r="G1489" s="4"/>
      <c r="H1489" s="4">
        <f>'data on outstanding creditors'!$E1489-'data on outstanding creditors'!$F1489-'data on outstanding creditors'!$G1489</f>
        <v>29960</v>
      </c>
      <c r="I1489" s="2"/>
      <c r="J1489" s="1" t="s">
        <v>757</v>
      </c>
      <c r="K1489" s="2">
        <v>45940.0</v>
      </c>
      <c r="L1489" s="5"/>
      <c r="M1489" s="9" t="s">
        <v>22</v>
      </c>
      <c r="N1489" s="9" t="s">
        <v>23</v>
      </c>
      <c r="O1489" s="10">
        <f>'data on outstanding creditors'!$E1489*100/107</f>
        <v>28000</v>
      </c>
      <c r="P1489" s="10">
        <f>'data on outstanding creditors'!$E1489-'data on outstanding creditors'!$O1489</f>
        <v>1960</v>
      </c>
      <c r="Q1489" s="7">
        <f>DAY('data on outstanding creditors'!$B1489)</f>
        <v>9</v>
      </c>
      <c r="R1489" s="7">
        <f>MONTH('data on outstanding creditors'!$B1489)</f>
        <v>9</v>
      </c>
      <c r="S1489" s="7">
        <f>YEAR('data on outstanding creditors'!$B1489)</f>
        <v>2025</v>
      </c>
      <c r="T1489" s="11" t="str">
        <f>'data on outstanding creditors'!$C1489&amp;" "&amp;'data on outstanding creditors'!$D1489&amp;" "&amp;TEXT('data on outstanding creditors'!$E1489,"#,##0.00")</f>
        <v>บ.ซิลลิคฟาร์มา 1318085029 29,960.00</v>
      </c>
      <c r="U1489" s="12"/>
    </row>
    <row r="1490" ht="13.5" customHeight="1">
      <c r="A1490" s="1"/>
      <c r="B1490" s="2">
        <v>45909.0</v>
      </c>
      <c r="C1490" s="9" t="s">
        <v>520</v>
      </c>
      <c r="D1490" s="1" t="s">
        <v>2031</v>
      </c>
      <c r="E1490" s="4">
        <v>4670.55</v>
      </c>
      <c r="F1490" s="4"/>
      <c r="G1490" s="4"/>
      <c r="H1490" s="4">
        <f>'data on outstanding creditors'!$E1490-'data on outstanding creditors'!$F1490-'data on outstanding creditors'!$G1490</f>
        <v>4670.55</v>
      </c>
      <c r="I1490" s="2"/>
      <c r="J1490" s="1" t="s">
        <v>757</v>
      </c>
      <c r="K1490" s="2">
        <v>45950.0</v>
      </c>
      <c r="L1490" s="5"/>
      <c r="M1490" s="9" t="s">
        <v>22</v>
      </c>
      <c r="N1490" s="9" t="s">
        <v>23</v>
      </c>
      <c r="O1490" s="10">
        <f>'data on outstanding creditors'!$E1490*100/107</f>
        <v>4365</v>
      </c>
      <c r="P1490" s="10">
        <f>'data on outstanding creditors'!$E1490-'data on outstanding creditors'!$O1490</f>
        <v>305.55</v>
      </c>
      <c r="Q1490" s="7">
        <f>DAY('data on outstanding creditors'!$B1490)</f>
        <v>9</v>
      </c>
      <c r="R1490" s="7">
        <f>MONTH('data on outstanding creditors'!$B1490)</f>
        <v>9</v>
      </c>
      <c r="S1490" s="7">
        <f>YEAR('data on outstanding creditors'!$B1490)</f>
        <v>2025</v>
      </c>
      <c r="T1490" s="11" t="str">
        <f>'data on outstanding creditors'!$C1490&amp;" "&amp;'data on outstanding creditors'!$D1490&amp;" "&amp;TEXT('data on outstanding creditors'!$E1490,"#,##0.00")</f>
        <v>บ.ซิลลิคฟาร์มา 1318085068 4,670.55</v>
      </c>
      <c r="U1490" s="12"/>
    </row>
    <row r="1491" ht="13.5" customHeight="1">
      <c r="A1491" s="1"/>
      <c r="B1491" s="2">
        <v>45909.0</v>
      </c>
      <c r="C1491" s="9" t="s">
        <v>263</v>
      </c>
      <c r="D1491" s="1" t="s">
        <v>2032</v>
      </c>
      <c r="E1491" s="4">
        <v>19800.0</v>
      </c>
      <c r="F1491" s="4"/>
      <c r="G1491" s="4"/>
      <c r="H1491" s="4">
        <f>'data on outstanding creditors'!$E1491-'data on outstanding creditors'!$F1491-'data on outstanding creditors'!$G1491</f>
        <v>19800</v>
      </c>
      <c r="I1491" s="2"/>
      <c r="J1491" s="1" t="s">
        <v>757</v>
      </c>
      <c r="K1491" s="2">
        <v>45939.0</v>
      </c>
      <c r="L1491" s="5"/>
      <c r="M1491" s="9" t="s">
        <v>22</v>
      </c>
      <c r="N1491" s="9" t="s">
        <v>23</v>
      </c>
      <c r="O1491" s="10">
        <f>'data on outstanding creditors'!$E1491*100/107</f>
        <v>18504.6729</v>
      </c>
      <c r="P1491" s="10">
        <f>'data on outstanding creditors'!$E1491-'data on outstanding creditors'!$O1491</f>
        <v>1295.327103</v>
      </c>
      <c r="Q1491" s="7">
        <f>DAY('data on outstanding creditors'!$B1491)</f>
        <v>9</v>
      </c>
      <c r="R1491" s="7">
        <f>MONTH('data on outstanding creditors'!$B1491)</f>
        <v>9</v>
      </c>
      <c r="S1491" s="7">
        <f>YEAR('data on outstanding creditors'!$B1491)</f>
        <v>2025</v>
      </c>
      <c r="T1491" s="11" t="str">
        <f>'data on outstanding creditors'!$C1491&amp;" "&amp;'data on outstanding creditors'!$D1491&amp;" "&amp;TEXT('data on outstanding creditors'!$E1491,"#,##0.00")</f>
        <v>บ.เอเบิ้ล เมดิคอล M2509/0094 19,800.00</v>
      </c>
      <c r="U1491" s="12"/>
    </row>
    <row r="1492" ht="13.5" customHeight="1">
      <c r="A1492" s="1"/>
      <c r="B1492" s="2">
        <v>45909.0</v>
      </c>
      <c r="C1492" s="9" t="s">
        <v>1247</v>
      </c>
      <c r="D1492" s="1" t="s">
        <v>2033</v>
      </c>
      <c r="E1492" s="4">
        <v>30000.0</v>
      </c>
      <c r="F1492" s="4"/>
      <c r="G1492" s="4"/>
      <c r="H1492" s="4">
        <f>'data on outstanding creditors'!$E1492-'data on outstanding creditors'!$F1492-'data on outstanding creditors'!$G1492</f>
        <v>30000</v>
      </c>
      <c r="I1492" s="2"/>
      <c r="J1492" s="1" t="s">
        <v>646</v>
      </c>
      <c r="K1492" s="2">
        <v>45954.0</v>
      </c>
      <c r="L1492" s="5"/>
      <c r="M1492" s="9" t="s">
        <v>22</v>
      </c>
      <c r="N1492" s="9" t="s">
        <v>23</v>
      </c>
      <c r="O1492" s="10">
        <f>'data on outstanding creditors'!$E1492*100/107</f>
        <v>28037.38318</v>
      </c>
      <c r="P1492" s="10">
        <f>'data on outstanding creditors'!$E1492-'data on outstanding creditors'!$O1492</f>
        <v>1962.616822</v>
      </c>
      <c r="Q1492" s="7">
        <f>DAY('data on outstanding creditors'!$B1492)</f>
        <v>9</v>
      </c>
      <c r="R1492" s="7">
        <f>MONTH('data on outstanding creditors'!$B1492)</f>
        <v>9</v>
      </c>
      <c r="S1492" s="7">
        <f>YEAR('data on outstanding creditors'!$B1492)</f>
        <v>2025</v>
      </c>
      <c r="T1492" s="11" t="str">
        <f>'data on outstanding creditors'!$C1492&amp;" "&amp;'data on outstanding creditors'!$D1492&amp;" "&amp;TEXT('data on outstanding creditors'!$E1492,"#,##0.00")</f>
        <v>บ.เอ.เอ็น.บี.ลาบอรอตอรี่ 8370926900 30,000.00</v>
      </c>
      <c r="U1492" s="12"/>
    </row>
    <row r="1493" ht="13.5" customHeight="1">
      <c r="A1493" s="1"/>
      <c r="B1493" s="2">
        <v>45909.0</v>
      </c>
      <c r="C1493" s="9" t="s">
        <v>780</v>
      </c>
      <c r="D1493" s="1" t="s">
        <v>2034</v>
      </c>
      <c r="E1493" s="4">
        <v>5136.0</v>
      </c>
      <c r="F1493" s="4"/>
      <c r="G1493" s="4"/>
      <c r="H1493" s="4">
        <f>'data on outstanding creditors'!$E1493-'data on outstanding creditors'!$F1493-'data on outstanding creditors'!$G1493</f>
        <v>5136</v>
      </c>
      <c r="I1493" s="2"/>
      <c r="J1493" s="1" t="s">
        <v>646</v>
      </c>
      <c r="K1493" s="2">
        <v>45944.0</v>
      </c>
      <c r="L1493" s="5"/>
      <c r="M1493" s="9" t="s">
        <v>22</v>
      </c>
      <c r="N1493" s="9" t="s">
        <v>23</v>
      </c>
      <c r="O1493" s="10">
        <f>'data on outstanding creditors'!$E1493*100/107</f>
        <v>4800</v>
      </c>
      <c r="P1493" s="10">
        <f>'data on outstanding creditors'!$E1493-'data on outstanding creditors'!$O1493</f>
        <v>336</v>
      </c>
      <c r="Q1493" s="7">
        <f>DAY('data on outstanding creditors'!$B1493)</f>
        <v>9</v>
      </c>
      <c r="R1493" s="7">
        <f>MONTH('data on outstanding creditors'!$B1493)</f>
        <v>9</v>
      </c>
      <c r="S1493" s="7">
        <f>YEAR('data on outstanding creditors'!$B1493)</f>
        <v>2025</v>
      </c>
      <c r="T1493" s="11" t="str">
        <f>'data on outstanding creditors'!$C1493&amp;" "&amp;'data on outstanding creditors'!$D1493&amp;" "&amp;TEXT('data on outstanding creditors'!$E1493,"#,##0.00")</f>
        <v>บ.แคสป้า ฟาร์มาซูติคอล(ประเทศไทย) C68090047 5,136.00</v>
      </c>
      <c r="U1493" s="12"/>
    </row>
    <row r="1494" ht="13.5" customHeight="1">
      <c r="A1494" s="1"/>
      <c r="B1494" s="2">
        <v>45909.0</v>
      </c>
      <c r="C1494" s="9" t="s">
        <v>1391</v>
      </c>
      <c r="D1494" s="1" t="s">
        <v>2035</v>
      </c>
      <c r="E1494" s="4">
        <v>19000.0</v>
      </c>
      <c r="F1494" s="4"/>
      <c r="G1494" s="4"/>
      <c r="H1494" s="4">
        <f>'data on outstanding creditors'!$E1494-'data on outstanding creditors'!$F1494-'data on outstanding creditors'!$G1494</f>
        <v>19000</v>
      </c>
      <c r="I1494" s="2"/>
      <c r="J1494" s="1" t="s">
        <v>757</v>
      </c>
      <c r="K1494" s="2">
        <v>45939.0</v>
      </c>
      <c r="L1494" s="5"/>
      <c r="M1494" s="9" t="s">
        <v>22</v>
      </c>
      <c r="N1494" s="9" t="s">
        <v>23</v>
      </c>
      <c r="O1494" s="10">
        <f>'data on outstanding creditors'!$E1494*100/107</f>
        <v>17757.00935</v>
      </c>
      <c r="P1494" s="10">
        <f>'data on outstanding creditors'!$E1494-'data on outstanding creditors'!$O1494</f>
        <v>1242.990654</v>
      </c>
      <c r="Q1494" s="7">
        <f>DAY('data on outstanding creditors'!$B1494)</f>
        <v>9</v>
      </c>
      <c r="R1494" s="7">
        <f>MONTH('data on outstanding creditors'!$B1494)</f>
        <v>9</v>
      </c>
      <c r="S1494" s="7">
        <f>YEAR('data on outstanding creditors'!$B1494)</f>
        <v>2025</v>
      </c>
      <c r="T1494" s="11" t="str">
        <f>'data on outstanding creditors'!$C1494&amp;" "&amp;'data on outstanding creditors'!$D1494&amp;" "&amp;TEXT('data on outstanding creditors'!$E1494,"#,##0.00")</f>
        <v>บ.ที.พี.ดรัก แลบบอราทอรี่ส์ VIV125090230 19,000.00</v>
      </c>
      <c r="U1494" s="12"/>
    </row>
    <row r="1495" ht="13.5" customHeight="1">
      <c r="A1495" s="1"/>
      <c r="B1495" s="2">
        <v>45909.0</v>
      </c>
      <c r="C1495" s="9" t="s">
        <v>259</v>
      </c>
      <c r="D1495" s="1" t="s">
        <v>2036</v>
      </c>
      <c r="E1495" s="4">
        <v>9000.0</v>
      </c>
      <c r="F1495" s="4"/>
      <c r="G1495" s="4"/>
      <c r="H1495" s="4">
        <f>'data on outstanding creditors'!$E1495-'data on outstanding creditors'!$F1495-'data on outstanding creditors'!$G1495</f>
        <v>9000</v>
      </c>
      <c r="I1495" s="2"/>
      <c r="J1495" s="1" t="s">
        <v>757</v>
      </c>
      <c r="K1495" s="2">
        <v>45939.0</v>
      </c>
      <c r="L1495" s="5"/>
      <c r="M1495" s="9" t="s">
        <v>22</v>
      </c>
      <c r="N1495" s="9" t="s">
        <v>23</v>
      </c>
      <c r="O1495" s="10">
        <f>'data on outstanding creditors'!$E1495*100/107</f>
        <v>8411.214953</v>
      </c>
      <c r="P1495" s="10">
        <f>'data on outstanding creditors'!$E1495-'data on outstanding creditors'!$O1495</f>
        <v>588.7850467</v>
      </c>
      <c r="Q1495" s="7">
        <f>DAY('data on outstanding creditors'!$B1495)</f>
        <v>9</v>
      </c>
      <c r="R1495" s="7">
        <f>MONTH('data on outstanding creditors'!$B1495)</f>
        <v>9</v>
      </c>
      <c r="S1495" s="7">
        <f>YEAR('data on outstanding creditors'!$B1495)</f>
        <v>2025</v>
      </c>
      <c r="T1495" s="11" t="str">
        <f>'data on outstanding creditors'!$C1495&amp;" "&amp;'data on outstanding creditors'!$D1495&amp;" "&amp;TEXT('data on outstanding creditors'!$E1495,"#,##0.00")</f>
        <v>บ.ที.โอ.เคมีคอลส์(1979) T6809/10405 9,000.00</v>
      </c>
      <c r="U1495" s="12"/>
    </row>
    <row r="1496" ht="13.5" customHeight="1">
      <c r="A1496" s="1"/>
      <c r="B1496" s="2">
        <v>45909.0</v>
      </c>
      <c r="C1496" s="9" t="s">
        <v>520</v>
      </c>
      <c r="D1496" s="1" t="s">
        <v>2037</v>
      </c>
      <c r="E1496" s="4">
        <v>42746.5</v>
      </c>
      <c r="F1496" s="4"/>
      <c r="G1496" s="4"/>
      <c r="H1496" s="4">
        <f>'data on outstanding creditors'!$E1496-'data on outstanding creditors'!$F1496-'data on outstanding creditors'!$G1496</f>
        <v>42746.5</v>
      </c>
      <c r="I1496" s="2"/>
      <c r="J1496" s="1" t="s">
        <v>757</v>
      </c>
      <c r="K1496" s="2">
        <v>45939.0</v>
      </c>
      <c r="L1496" s="5"/>
      <c r="M1496" s="9" t="s">
        <v>22</v>
      </c>
      <c r="N1496" s="9" t="s">
        <v>23</v>
      </c>
      <c r="O1496" s="10">
        <f>'data on outstanding creditors'!$E1496*100/107</f>
        <v>39950</v>
      </c>
      <c r="P1496" s="10">
        <f>'data on outstanding creditors'!$E1496-'data on outstanding creditors'!$O1496</f>
        <v>2796.5</v>
      </c>
      <c r="Q1496" s="7">
        <f>DAY('data on outstanding creditors'!$B1496)</f>
        <v>9</v>
      </c>
      <c r="R1496" s="7">
        <f>MONTH('data on outstanding creditors'!$B1496)</f>
        <v>9</v>
      </c>
      <c r="S1496" s="7">
        <f>YEAR('data on outstanding creditors'!$B1496)</f>
        <v>2025</v>
      </c>
      <c r="T1496" s="11" t="str">
        <f>'data on outstanding creditors'!$C1496&amp;" "&amp;'data on outstanding creditors'!$D1496&amp;" "&amp;TEXT('data on outstanding creditors'!$E1496,"#,##0.00")</f>
        <v>บ.ซิลลิคฟาร์มา 1318109183 42,746.50</v>
      </c>
      <c r="U1496" s="12"/>
    </row>
    <row r="1497" ht="13.5" customHeight="1">
      <c r="A1497" s="1"/>
      <c r="B1497" s="2">
        <v>45909.0</v>
      </c>
      <c r="C1497" s="9" t="s">
        <v>263</v>
      </c>
      <c r="D1497" s="1" t="s">
        <v>2038</v>
      </c>
      <c r="E1497" s="4">
        <v>25000.0</v>
      </c>
      <c r="F1497" s="4"/>
      <c r="G1497" s="4"/>
      <c r="H1497" s="4">
        <f>'data on outstanding creditors'!$E1497-'data on outstanding creditors'!$F1497-'data on outstanding creditors'!$G1497</f>
        <v>25000</v>
      </c>
      <c r="I1497" s="2"/>
      <c r="J1497" s="1" t="s">
        <v>757</v>
      </c>
      <c r="K1497" s="2">
        <v>45939.0</v>
      </c>
      <c r="L1497" s="5"/>
      <c r="M1497" s="9" t="s">
        <v>22</v>
      </c>
      <c r="N1497" s="9" t="s">
        <v>23</v>
      </c>
      <c r="O1497" s="10">
        <f>'data on outstanding creditors'!$E1497*100/107</f>
        <v>23364.48598</v>
      </c>
      <c r="P1497" s="10">
        <f>'data on outstanding creditors'!$E1497-'data on outstanding creditors'!$O1497</f>
        <v>1635.514019</v>
      </c>
      <c r="Q1497" s="7">
        <f>DAY('data on outstanding creditors'!$B1497)</f>
        <v>9</v>
      </c>
      <c r="R1497" s="7">
        <f>MONTH('data on outstanding creditors'!$B1497)</f>
        <v>9</v>
      </c>
      <c r="S1497" s="7">
        <f>YEAR('data on outstanding creditors'!$B1497)</f>
        <v>2025</v>
      </c>
      <c r="T1497" s="11" t="str">
        <f>'data on outstanding creditors'!$C1497&amp;" "&amp;'data on outstanding creditors'!$D1497&amp;" "&amp;TEXT('data on outstanding creditors'!$E1497,"#,##0.00")</f>
        <v>บ.เอเบิ้ล เมดิคอล B2509/0112 25,000.00</v>
      </c>
      <c r="U1497" s="12"/>
    </row>
    <row r="1498" ht="13.5" customHeight="1">
      <c r="A1498" s="1"/>
      <c r="B1498" s="2">
        <v>45910.0</v>
      </c>
      <c r="C1498" s="9" t="s">
        <v>520</v>
      </c>
      <c r="D1498" s="1" t="s">
        <v>2039</v>
      </c>
      <c r="E1498" s="4">
        <v>31490.1</v>
      </c>
      <c r="F1498" s="4"/>
      <c r="G1498" s="4"/>
      <c r="H1498" s="4">
        <f>'data on outstanding creditors'!$E1498-'data on outstanding creditors'!$F1498-'data on outstanding creditors'!$G1498</f>
        <v>31490.1</v>
      </c>
      <c r="I1498" s="2"/>
      <c r="J1498" s="1" t="s">
        <v>757</v>
      </c>
      <c r="K1498" s="2">
        <v>45950.0</v>
      </c>
      <c r="L1498" s="5"/>
      <c r="M1498" s="9" t="s">
        <v>22</v>
      </c>
      <c r="N1498" s="9" t="s">
        <v>23</v>
      </c>
      <c r="O1498" s="10">
        <f>'data on outstanding creditors'!$E1498*100/107</f>
        <v>29430</v>
      </c>
      <c r="P1498" s="10">
        <f>'data on outstanding creditors'!$E1498-'data on outstanding creditors'!$O1498</f>
        <v>2060.1</v>
      </c>
      <c r="Q1498" s="7">
        <f>DAY('data on outstanding creditors'!$B1498)</f>
        <v>10</v>
      </c>
      <c r="R1498" s="7">
        <f>MONTH('data on outstanding creditors'!$B1498)</f>
        <v>9</v>
      </c>
      <c r="S1498" s="7">
        <f>YEAR('data on outstanding creditors'!$B1498)</f>
        <v>2025</v>
      </c>
      <c r="T1498" s="11" t="str">
        <f>'data on outstanding creditors'!$C1498&amp;" "&amp;'data on outstanding creditors'!$D1498&amp;" "&amp;TEXT('data on outstanding creditors'!$E1498,"#,##0.00")</f>
        <v>บ.ซิลลิคฟาร์มา 1318104388 31,490.10</v>
      </c>
      <c r="U1498" s="12"/>
    </row>
    <row r="1499" ht="13.5" customHeight="1">
      <c r="A1499" s="1"/>
      <c r="B1499" s="2">
        <v>45910.0</v>
      </c>
      <c r="C1499" s="9" t="s">
        <v>24</v>
      </c>
      <c r="D1499" s="1" t="s">
        <v>2040</v>
      </c>
      <c r="E1499" s="4">
        <v>28000.0</v>
      </c>
      <c r="F1499" s="4"/>
      <c r="G1499" s="4"/>
      <c r="H1499" s="4">
        <f>'data on outstanding creditors'!$E1499-'data on outstanding creditors'!$F1499-'data on outstanding creditors'!$G1499</f>
        <v>28000</v>
      </c>
      <c r="I1499" s="2"/>
      <c r="J1499" s="1" t="s">
        <v>757</v>
      </c>
      <c r="K1499" s="2">
        <v>45939.0</v>
      </c>
      <c r="L1499" s="5"/>
      <c r="M1499" s="9" t="s">
        <v>22</v>
      </c>
      <c r="N1499" s="9" t="s">
        <v>23</v>
      </c>
      <c r="O1499" s="10">
        <f>'data on outstanding creditors'!$E1499*100/107</f>
        <v>26168.2243</v>
      </c>
      <c r="P1499" s="10">
        <f>'data on outstanding creditors'!$E1499-'data on outstanding creditors'!$O1499</f>
        <v>1831.775701</v>
      </c>
      <c r="Q1499" s="7">
        <f>DAY('data on outstanding creditors'!$B1499)</f>
        <v>10</v>
      </c>
      <c r="R1499" s="7">
        <f>MONTH('data on outstanding creditors'!$B1499)</f>
        <v>9</v>
      </c>
      <c r="S1499" s="7">
        <f>YEAR('data on outstanding creditors'!$B1499)</f>
        <v>2025</v>
      </c>
      <c r="T1499" s="11" t="str">
        <f>'data on outstanding creditors'!$C1499&amp;" "&amp;'data on outstanding creditors'!$D1499&amp;" "&amp;TEXT('data on outstanding creditors'!$E1499,"#,##0.00")</f>
        <v>บ.เซ็นทรัลโพลีเทรดดิ้ง 31i25049867 28,000.00</v>
      </c>
      <c r="U1499" s="12"/>
    </row>
    <row r="1500" ht="13.5" customHeight="1">
      <c r="A1500" s="1"/>
      <c r="B1500" s="2">
        <v>45910.0</v>
      </c>
      <c r="C1500" s="9" t="s">
        <v>813</v>
      </c>
      <c r="D1500" s="1" t="s">
        <v>2041</v>
      </c>
      <c r="E1500" s="4">
        <v>23600.0</v>
      </c>
      <c r="F1500" s="4"/>
      <c r="G1500" s="4"/>
      <c r="H1500" s="4">
        <f>'data on outstanding creditors'!$E1500-'data on outstanding creditors'!$F1500-'data on outstanding creditors'!$G1500</f>
        <v>23600</v>
      </c>
      <c r="I1500" s="2"/>
      <c r="J1500" s="1" t="s">
        <v>757</v>
      </c>
      <c r="K1500" s="2">
        <v>45950.0</v>
      </c>
      <c r="L1500" s="5"/>
      <c r="M1500" s="9" t="s">
        <v>22</v>
      </c>
      <c r="N1500" s="9" t="s">
        <v>23</v>
      </c>
      <c r="O1500" s="10">
        <f>'data on outstanding creditors'!$E1500*100/107</f>
        <v>22056.07477</v>
      </c>
      <c r="P1500" s="10">
        <f>'data on outstanding creditors'!$E1500-'data on outstanding creditors'!$O1500</f>
        <v>1543.925234</v>
      </c>
      <c r="Q1500" s="7">
        <f>DAY('data on outstanding creditors'!$B1500)</f>
        <v>10</v>
      </c>
      <c r="R1500" s="7">
        <f>MONTH('data on outstanding creditors'!$B1500)</f>
        <v>9</v>
      </c>
      <c r="S1500" s="7">
        <f>YEAR('data on outstanding creditors'!$B1500)</f>
        <v>2025</v>
      </c>
      <c r="T1500" s="11" t="str">
        <f>'data on outstanding creditors'!$C1500&amp;" "&amp;'data on outstanding creditors'!$D1500&amp;" "&amp;TEXT('data on outstanding creditors'!$E1500,"#,##0.00")</f>
        <v>บ.ที.แมน ฟาร์มาซูติคอล IST250138691 23,600.00</v>
      </c>
      <c r="U1500" s="12"/>
    </row>
    <row r="1501" ht="13.5" customHeight="1">
      <c r="A1501" s="1"/>
      <c r="B1501" s="2">
        <v>45910.0</v>
      </c>
      <c r="C1501" s="9" t="s">
        <v>256</v>
      </c>
      <c r="D1501" s="1" t="s">
        <v>2042</v>
      </c>
      <c r="E1501" s="4">
        <v>8000.0</v>
      </c>
      <c r="F1501" s="4"/>
      <c r="G1501" s="4"/>
      <c r="H1501" s="4">
        <f>'data on outstanding creditors'!$E1501-'data on outstanding creditors'!$F1501-'data on outstanding creditors'!$G1501</f>
        <v>8000</v>
      </c>
      <c r="I1501" s="2"/>
      <c r="J1501" s="1" t="s">
        <v>757</v>
      </c>
      <c r="K1501" s="2">
        <v>45939.0</v>
      </c>
      <c r="L1501" s="5"/>
      <c r="M1501" s="9" t="s">
        <v>22</v>
      </c>
      <c r="N1501" s="9" t="s">
        <v>23</v>
      </c>
      <c r="O1501" s="10">
        <f>'data on outstanding creditors'!$E1501*100/107</f>
        <v>7476.635514</v>
      </c>
      <c r="P1501" s="10">
        <f>'data on outstanding creditors'!$E1501-'data on outstanding creditors'!$O1501</f>
        <v>523.364486</v>
      </c>
      <c r="Q1501" s="7">
        <f>DAY('data on outstanding creditors'!$B1501)</f>
        <v>10</v>
      </c>
      <c r="R1501" s="7">
        <f>MONTH('data on outstanding creditors'!$B1501)</f>
        <v>9</v>
      </c>
      <c r="S1501" s="7">
        <f>YEAR('data on outstanding creditors'!$B1501)</f>
        <v>2025</v>
      </c>
      <c r="T1501" s="11" t="str">
        <f>'data on outstanding creditors'!$C1501&amp;" "&amp;'data on outstanding creditors'!$D1501&amp;" "&amp;TEXT('data on outstanding creditors'!$E1501,"#,##0.00")</f>
        <v>บ.พาตาร์แลบ(2517) INV125090426 8,000.00</v>
      </c>
      <c r="U1501" s="12"/>
    </row>
    <row r="1502" ht="13.5" customHeight="1">
      <c r="A1502" s="1"/>
      <c r="B1502" s="2">
        <v>45910.0</v>
      </c>
      <c r="C1502" s="9" t="s">
        <v>1705</v>
      </c>
      <c r="D1502" s="1" t="s">
        <v>2043</v>
      </c>
      <c r="E1502" s="4">
        <v>15579.2</v>
      </c>
      <c r="F1502" s="4"/>
      <c r="G1502" s="4"/>
      <c r="H1502" s="4">
        <f>'data on outstanding creditors'!$E1502-'data on outstanding creditors'!$F1502-'data on outstanding creditors'!$G1502</f>
        <v>15579.2</v>
      </c>
      <c r="I1502" s="2"/>
      <c r="J1502" s="1" t="s">
        <v>757</v>
      </c>
      <c r="K1502" s="2">
        <v>45939.0</v>
      </c>
      <c r="L1502" s="5"/>
      <c r="M1502" s="9" t="s">
        <v>22</v>
      </c>
      <c r="N1502" s="9" t="s">
        <v>23</v>
      </c>
      <c r="O1502" s="10">
        <f>'data on outstanding creditors'!$E1502*100/107</f>
        <v>14560</v>
      </c>
      <c r="P1502" s="10">
        <f>'data on outstanding creditors'!$E1502-'data on outstanding creditors'!$O1502</f>
        <v>1019.2</v>
      </c>
      <c r="Q1502" s="7">
        <f>DAY('data on outstanding creditors'!$B1502)</f>
        <v>10</v>
      </c>
      <c r="R1502" s="7">
        <f>MONTH('data on outstanding creditors'!$B1502)</f>
        <v>9</v>
      </c>
      <c r="S1502" s="7">
        <f>YEAR('data on outstanding creditors'!$B1502)</f>
        <v>2025</v>
      </c>
      <c r="T1502" s="11" t="str">
        <f>'data on outstanding creditors'!$C1502&amp;" "&amp;'data on outstanding creditors'!$D1502&amp;" "&amp;TEXT('data on outstanding creditors'!$E1502,"#,##0.00")</f>
        <v>บ.เมดไลน์ 109000006506 15,579.20</v>
      </c>
      <c r="U1502" s="12"/>
    </row>
    <row r="1503" ht="13.5" customHeight="1">
      <c r="A1503" s="1"/>
      <c r="B1503" s="2">
        <v>45910.0</v>
      </c>
      <c r="C1503" s="9" t="s">
        <v>1497</v>
      </c>
      <c r="D1503" s="1" t="s">
        <v>2044</v>
      </c>
      <c r="E1503" s="4">
        <v>9309.0</v>
      </c>
      <c r="F1503" s="4"/>
      <c r="G1503" s="4"/>
      <c r="H1503" s="4">
        <f>'data on outstanding creditors'!$E1503-'data on outstanding creditors'!$F1503-'data on outstanding creditors'!$G1503</f>
        <v>9309</v>
      </c>
      <c r="I1503" s="2"/>
      <c r="J1503" s="1" t="s">
        <v>757</v>
      </c>
      <c r="K1503" s="2">
        <v>45939.0</v>
      </c>
      <c r="L1503" s="5"/>
      <c r="M1503" s="9" t="s">
        <v>22</v>
      </c>
      <c r="N1503" s="9" t="s">
        <v>23</v>
      </c>
      <c r="O1503" s="10">
        <f>'data on outstanding creditors'!$E1503*100/107</f>
        <v>8700</v>
      </c>
      <c r="P1503" s="10">
        <f>'data on outstanding creditors'!$E1503-'data on outstanding creditors'!$O1503</f>
        <v>609</v>
      </c>
      <c r="Q1503" s="7">
        <f>DAY('data on outstanding creditors'!$B1503)</f>
        <v>10</v>
      </c>
      <c r="R1503" s="7">
        <f>MONTH('data on outstanding creditors'!$B1503)</f>
        <v>9</v>
      </c>
      <c r="S1503" s="7">
        <f>YEAR('data on outstanding creditors'!$B1503)</f>
        <v>2025</v>
      </c>
      <c r="T1503" s="11" t="str">
        <f>'data on outstanding creditors'!$C1503&amp;" "&amp;'data on outstanding creditors'!$D1503&amp;" "&amp;TEXT('data on outstanding creditors'!$E1503,"#,##0.00")</f>
        <v>บ.อินโดไชน่า เฮลท์ แคร์ SIN2509-00101 9,309.00</v>
      </c>
      <c r="U1503" s="12"/>
    </row>
    <row r="1504" ht="13.5" customHeight="1">
      <c r="A1504" s="1"/>
      <c r="B1504" s="2">
        <v>45910.0</v>
      </c>
      <c r="C1504" s="9" t="s">
        <v>1228</v>
      </c>
      <c r="D1504" s="1" t="s">
        <v>2045</v>
      </c>
      <c r="E1504" s="4">
        <v>11940.0</v>
      </c>
      <c r="F1504" s="4"/>
      <c r="G1504" s="4"/>
      <c r="H1504" s="4">
        <f>'data on outstanding creditors'!$E1504-'data on outstanding creditors'!$F1504-'data on outstanding creditors'!$G1504</f>
        <v>11940</v>
      </c>
      <c r="I1504" s="2"/>
      <c r="J1504" s="1" t="s">
        <v>757</v>
      </c>
      <c r="K1504" s="2">
        <v>45939.0</v>
      </c>
      <c r="L1504" s="5"/>
      <c r="M1504" s="9" t="s">
        <v>22</v>
      </c>
      <c r="N1504" s="9" t="s">
        <v>23</v>
      </c>
      <c r="O1504" s="10">
        <f>'data on outstanding creditors'!$E1504*100/107</f>
        <v>11158.8785</v>
      </c>
      <c r="P1504" s="10">
        <f>'data on outstanding creditors'!$E1504-'data on outstanding creditors'!$O1504</f>
        <v>781.1214953</v>
      </c>
      <c r="Q1504" s="7">
        <f>DAY('data on outstanding creditors'!$B1504)</f>
        <v>10</v>
      </c>
      <c r="R1504" s="7">
        <f>MONTH('data on outstanding creditors'!$B1504)</f>
        <v>9</v>
      </c>
      <c r="S1504" s="7">
        <f>YEAR('data on outstanding creditors'!$B1504)</f>
        <v>2025</v>
      </c>
      <c r="T1504" s="11" t="str">
        <f>'data on outstanding creditors'!$C1504&amp;" "&amp;'data on outstanding creditors'!$D1504&amp;" "&amp;TEXT('data on outstanding creditors'!$E1504,"#,##0.00")</f>
        <v>บ.2เอ็ม(เมด-เมเกอร์) Z0097672 11,940.00</v>
      </c>
      <c r="U1504" s="12"/>
    </row>
    <row r="1505" ht="13.5" customHeight="1">
      <c r="A1505" s="1"/>
      <c r="B1505" s="2">
        <v>45910.0</v>
      </c>
      <c r="C1505" s="9" t="s">
        <v>1371</v>
      </c>
      <c r="D1505" s="1" t="s">
        <v>2046</v>
      </c>
      <c r="E1505" s="4">
        <v>30400.0</v>
      </c>
      <c r="F1505" s="4"/>
      <c r="G1505" s="4"/>
      <c r="H1505" s="4">
        <f>'data on outstanding creditors'!$E1505-'data on outstanding creditors'!$F1505-'data on outstanding creditors'!$G1505</f>
        <v>30400</v>
      </c>
      <c r="I1505" s="2"/>
      <c r="J1505" s="1" t="s">
        <v>757</v>
      </c>
      <c r="K1505" s="2">
        <v>45939.0</v>
      </c>
      <c r="L1505" s="5"/>
      <c r="M1505" s="9" t="s">
        <v>22</v>
      </c>
      <c r="N1505" s="9" t="s">
        <v>23</v>
      </c>
      <c r="O1505" s="10">
        <f>'data on outstanding creditors'!$E1505*100/107</f>
        <v>28411.21495</v>
      </c>
      <c r="P1505" s="10">
        <f>'data on outstanding creditors'!$E1505-'data on outstanding creditors'!$O1505</f>
        <v>1988.785047</v>
      </c>
      <c r="Q1505" s="7">
        <f>DAY('data on outstanding creditors'!$B1505)</f>
        <v>10</v>
      </c>
      <c r="R1505" s="7">
        <f>MONTH('data on outstanding creditors'!$B1505)</f>
        <v>9</v>
      </c>
      <c r="S1505" s="7">
        <f>YEAR('data on outstanding creditors'!$B1505)</f>
        <v>2025</v>
      </c>
      <c r="T1505" s="11" t="str">
        <f>'data on outstanding creditors'!$C1505&amp;" "&amp;'data on outstanding creditors'!$D1505&amp;" "&amp;TEXT('data on outstanding creditors'!$E1505,"#,##0.00")</f>
        <v>บ.แอตแลนต้า เมดดิคแคร์ BI/225090128 30,400.00</v>
      </c>
      <c r="U1505" s="12"/>
    </row>
    <row r="1506" ht="13.5" customHeight="1">
      <c r="A1506" s="1"/>
      <c r="B1506" s="2">
        <v>45910.0</v>
      </c>
      <c r="C1506" s="9" t="s">
        <v>396</v>
      </c>
      <c r="D1506" s="1" t="s">
        <v>2047</v>
      </c>
      <c r="E1506" s="4">
        <v>6400.0</v>
      </c>
      <c r="F1506" s="4"/>
      <c r="G1506" s="4"/>
      <c r="H1506" s="4">
        <f>'data on outstanding creditors'!$E1506-'data on outstanding creditors'!$F1506-'data on outstanding creditors'!$G1506</f>
        <v>6400</v>
      </c>
      <c r="I1506" s="2"/>
      <c r="J1506" s="1" t="s">
        <v>757</v>
      </c>
      <c r="K1506" s="2">
        <v>45939.0</v>
      </c>
      <c r="L1506" s="5"/>
      <c r="M1506" s="9" t="s">
        <v>22</v>
      </c>
      <c r="N1506" s="9" t="s">
        <v>23</v>
      </c>
      <c r="O1506" s="10">
        <f>'data on outstanding creditors'!$E1506*100/107</f>
        <v>5981.308411</v>
      </c>
      <c r="P1506" s="10">
        <f>'data on outstanding creditors'!$E1506-'data on outstanding creditors'!$O1506</f>
        <v>418.6915888</v>
      </c>
      <c r="Q1506" s="7">
        <f>DAY('data on outstanding creditors'!$B1506)</f>
        <v>10</v>
      </c>
      <c r="R1506" s="7">
        <f>MONTH('data on outstanding creditors'!$B1506)</f>
        <v>9</v>
      </c>
      <c r="S1506" s="7">
        <f>YEAR('data on outstanding creditors'!$B1506)</f>
        <v>2025</v>
      </c>
      <c r="T1506" s="11" t="str">
        <f>'data on outstanding creditors'!$C1506&amp;" "&amp;'data on outstanding creditors'!$D1506&amp;" "&amp;TEXT('data on outstanding creditors'!$E1506,"#,##0.00")</f>
        <v>บ.เยเนอรัล ฮอสปิตัล โปรดัคส์ 25IN08090773 6,400.00</v>
      </c>
      <c r="U1506" s="12"/>
    </row>
    <row r="1507" ht="13.5" customHeight="1">
      <c r="A1507" s="1"/>
      <c r="B1507" s="2">
        <v>45910.0</v>
      </c>
      <c r="C1507" s="9" t="s">
        <v>922</v>
      </c>
      <c r="D1507" s="1" t="s">
        <v>2048</v>
      </c>
      <c r="E1507" s="4">
        <v>17850.0</v>
      </c>
      <c r="F1507" s="4"/>
      <c r="G1507" s="4"/>
      <c r="H1507" s="4">
        <f>'data on outstanding creditors'!$E1507-'data on outstanding creditors'!$F1507-'data on outstanding creditors'!$G1507</f>
        <v>17850</v>
      </c>
      <c r="I1507" s="2"/>
      <c r="J1507" s="1" t="s">
        <v>757</v>
      </c>
      <c r="K1507" s="2">
        <v>45939.0</v>
      </c>
      <c r="L1507" s="5"/>
      <c r="M1507" s="9" t="s">
        <v>22</v>
      </c>
      <c r="N1507" s="9" t="s">
        <v>23</v>
      </c>
      <c r="O1507" s="10">
        <f>'data on outstanding creditors'!$E1507*100/107</f>
        <v>16682.24299</v>
      </c>
      <c r="P1507" s="10">
        <f>'data on outstanding creditors'!$E1507-'data on outstanding creditors'!$O1507</f>
        <v>1167.757009</v>
      </c>
      <c r="Q1507" s="7">
        <f>DAY('data on outstanding creditors'!$B1507)</f>
        <v>10</v>
      </c>
      <c r="R1507" s="7">
        <f>MONTH('data on outstanding creditors'!$B1507)</f>
        <v>9</v>
      </c>
      <c r="S1507" s="7">
        <f>YEAR('data on outstanding creditors'!$B1507)</f>
        <v>2025</v>
      </c>
      <c r="T1507" s="11" t="str">
        <f>'data on outstanding creditors'!$C1507&amp;" "&amp;'data on outstanding creditors'!$D1507&amp;" "&amp;TEXT('data on outstanding creditors'!$E1507,"#,##0.00")</f>
        <v>บ.เบอร์ลินฟาร์มาซูติคอลอินดัสตรี้ 6810902101 17,850.00</v>
      </c>
      <c r="U1507" s="12"/>
    </row>
    <row r="1508" ht="13.5" customHeight="1">
      <c r="A1508" s="1"/>
      <c r="B1508" s="2">
        <v>45910.0</v>
      </c>
      <c r="C1508" s="9" t="s">
        <v>1539</v>
      </c>
      <c r="D1508" s="1" t="s">
        <v>2049</v>
      </c>
      <c r="E1508" s="4">
        <v>15600.0</v>
      </c>
      <c r="F1508" s="4"/>
      <c r="G1508" s="4"/>
      <c r="H1508" s="4">
        <f>'data on outstanding creditors'!$E1508-'data on outstanding creditors'!$F1508-'data on outstanding creditors'!$G1508</f>
        <v>15600</v>
      </c>
      <c r="I1508" s="2"/>
      <c r="J1508" s="1" t="s">
        <v>757</v>
      </c>
      <c r="K1508" s="2">
        <v>45939.0</v>
      </c>
      <c r="L1508" s="5"/>
      <c r="M1508" s="9" t="s">
        <v>22</v>
      </c>
      <c r="N1508" s="9" t="s">
        <v>23</v>
      </c>
      <c r="O1508" s="10">
        <f>'data on outstanding creditors'!$E1508*100/107</f>
        <v>14579.43925</v>
      </c>
      <c r="P1508" s="10">
        <f>'data on outstanding creditors'!$E1508-'data on outstanding creditors'!$O1508</f>
        <v>1020.560748</v>
      </c>
      <c r="Q1508" s="7">
        <f>DAY('data on outstanding creditors'!$B1508)</f>
        <v>10</v>
      </c>
      <c r="R1508" s="7">
        <f>MONTH('data on outstanding creditors'!$B1508)</f>
        <v>9</v>
      </c>
      <c r="S1508" s="7">
        <f>YEAR('data on outstanding creditors'!$B1508)</f>
        <v>2025</v>
      </c>
      <c r="T1508" s="11" t="str">
        <f>'data on outstanding creditors'!$C1508&amp;" "&amp;'data on outstanding creditors'!$D1508&amp;" "&amp;TEXT('data on outstanding creditors'!$E1508,"#,##0.00")</f>
        <v>บ.นิวฟาร์มา (ประเทศไทย) N683822 15,600.00</v>
      </c>
      <c r="U1508" s="12"/>
    </row>
    <row r="1509" ht="13.5" customHeight="1">
      <c r="A1509" s="1"/>
      <c r="B1509" s="2">
        <v>45910.0</v>
      </c>
      <c r="C1509" s="9" t="s">
        <v>1245</v>
      </c>
      <c r="D1509" s="1" t="s">
        <v>2050</v>
      </c>
      <c r="E1509" s="4">
        <v>4400.0</v>
      </c>
      <c r="F1509" s="4"/>
      <c r="G1509" s="4"/>
      <c r="H1509" s="4">
        <f>'data on outstanding creditors'!$E1509-'data on outstanding creditors'!$F1509-'data on outstanding creditors'!$G1509</f>
        <v>4400</v>
      </c>
      <c r="I1509" s="2"/>
      <c r="J1509" s="1" t="s">
        <v>646</v>
      </c>
      <c r="K1509" s="2">
        <v>45952.0</v>
      </c>
      <c r="L1509" s="5"/>
      <c r="M1509" s="9" t="s">
        <v>22</v>
      </c>
      <c r="N1509" s="9" t="s">
        <v>23</v>
      </c>
      <c r="O1509" s="10">
        <f>'data on outstanding creditors'!$E1509*100/107</f>
        <v>4112.149533</v>
      </c>
      <c r="P1509" s="10">
        <f>'data on outstanding creditors'!$E1509-'data on outstanding creditors'!$O1509</f>
        <v>287.8504673</v>
      </c>
      <c r="Q1509" s="7">
        <f>DAY('data on outstanding creditors'!$B1509)</f>
        <v>10</v>
      </c>
      <c r="R1509" s="7">
        <f>MONTH('data on outstanding creditors'!$B1509)</f>
        <v>9</v>
      </c>
      <c r="S1509" s="7">
        <f>YEAR('data on outstanding creditors'!$B1509)</f>
        <v>2025</v>
      </c>
      <c r="T1509" s="11" t="str">
        <f>'data on outstanding creditors'!$C1509&amp;" "&amp;'data on outstanding creditors'!$D1509&amp;" "&amp;TEXT('data on outstanding creditors'!$E1509,"#,##0.00")</f>
        <v>บ.สามัคคีเภสัช DM-251010163 4,400.00</v>
      </c>
      <c r="U1509" s="12"/>
    </row>
    <row r="1510" ht="13.5" customHeight="1">
      <c r="A1510" s="1"/>
      <c r="B1510" s="2">
        <v>45910.0</v>
      </c>
      <c r="C1510" s="9" t="s">
        <v>2051</v>
      </c>
      <c r="D1510" s="1" t="s">
        <v>2052</v>
      </c>
      <c r="E1510" s="4">
        <v>3745.0</v>
      </c>
      <c r="F1510" s="4"/>
      <c r="G1510" s="4"/>
      <c r="H1510" s="4">
        <f>'data on outstanding creditors'!$E1510-'data on outstanding creditors'!$F1510-'data on outstanding creditors'!$G1510</f>
        <v>3745</v>
      </c>
      <c r="I1510" s="2"/>
      <c r="J1510" s="1" t="s">
        <v>757</v>
      </c>
      <c r="K1510" s="2">
        <v>45950.0</v>
      </c>
      <c r="L1510" s="5"/>
      <c r="M1510" s="9" t="s">
        <v>22</v>
      </c>
      <c r="N1510" s="9" t="s">
        <v>23</v>
      </c>
      <c r="O1510" s="10">
        <f>'data on outstanding creditors'!$E1510*100/107</f>
        <v>3500</v>
      </c>
      <c r="P1510" s="10">
        <f>'data on outstanding creditors'!$E1510-'data on outstanding creditors'!$O1510</f>
        <v>245</v>
      </c>
      <c r="Q1510" s="7">
        <f>DAY('data on outstanding creditors'!$B1510)</f>
        <v>10</v>
      </c>
      <c r="R1510" s="7">
        <f>MONTH('data on outstanding creditors'!$B1510)</f>
        <v>9</v>
      </c>
      <c r="S1510" s="7">
        <f>YEAR('data on outstanding creditors'!$B1510)</f>
        <v>2025</v>
      </c>
      <c r="T1510" s="11" t="str">
        <f>'data on outstanding creditors'!$C1510&amp;" "&amp;'data on outstanding creditors'!$D1510&amp;" "&amp;TEXT('data on outstanding creditors'!$E1510,"#,##0.00")</f>
        <v>บ.นูฟาร์ม่า แอนด์ เฮลท์แคร์ IV6802247 3,745.00</v>
      </c>
      <c r="U1510" s="12"/>
    </row>
    <row r="1511" ht="13.5" customHeight="1">
      <c r="A1511" s="1"/>
      <c r="B1511" s="2">
        <v>45910.0</v>
      </c>
      <c r="C1511" s="9" t="s">
        <v>767</v>
      </c>
      <c r="D1511" s="1" t="s">
        <v>2053</v>
      </c>
      <c r="E1511" s="4">
        <v>143600.0</v>
      </c>
      <c r="F1511" s="4"/>
      <c r="G1511" s="4"/>
      <c r="H1511" s="4">
        <f>'data on outstanding creditors'!$E1511-'data on outstanding creditors'!$F1511-'data on outstanding creditors'!$G1511</f>
        <v>143600</v>
      </c>
      <c r="I1511" s="2"/>
      <c r="J1511" s="1" t="s">
        <v>646</v>
      </c>
      <c r="K1511" s="2">
        <v>45954.0</v>
      </c>
      <c r="L1511" s="5"/>
      <c r="M1511" s="9" t="s">
        <v>22</v>
      </c>
      <c r="N1511" s="9" t="s">
        <v>23</v>
      </c>
      <c r="O1511" s="10">
        <f>'data on outstanding creditors'!$E1511*100/107</f>
        <v>134205.6075</v>
      </c>
      <c r="P1511" s="10">
        <f>'data on outstanding creditors'!$E1511-'data on outstanding creditors'!$O1511</f>
        <v>9394.392523</v>
      </c>
      <c r="Q1511" s="7">
        <f>DAY('data on outstanding creditors'!$B1511)</f>
        <v>10</v>
      </c>
      <c r="R1511" s="7">
        <f>MONTH('data on outstanding creditors'!$B1511)</f>
        <v>9</v>
      </c>
      <c r="S1511" s="7">
        <f>YEAR('data on outstanding creditors'!$B1511)</f>
        <v>2025</v>
      </c>
      <c r="T1511" s="11" t="str">
        <f>'data on outstanding creditors'!$C1511&amp;" "&amp;'data on outstanding creditors'!$D1511&amp;" "&amp;TEXT('data on outstanding creditors'!$E1511,"#,##0.00")</f>
        <v>บ.คอสม่า เทรดดิ้ง 310957400669 143,600.00</v>
      </c>
      <c r="U1511" s="12"/>
    </row>
    <row r="1512" ht="13.5" customHeight="1">
      <c r="A1512" s="1"/>
      <c r="B1512" s="2">
        <v>45910.0</v>
      </c>
      <c r="C1512" s="9" t="s">
        <v>771</v>
      </c>
      <c r="D1512" s="1" t="s">
        <v>2054</v>
      </c>
      <c r="E1512" s="4">
        <v>90800.0</v>
      </c>
      <c r="F1512" s="4"/>
      <c r="G1512" s="4"/>
      <c r="H1512" s="4">
        <f>'data on outstanding creditors'!$E1512-'data on outstanding creditors'!$F1512-'data on outstanding creditors'!$G1512</f>
        <v>90800</v>
      </c>
      <c r="I1512" s="2"/>
      <c r="J1512" s="1" t="s">
        <v>757</v>
      </c>
      <c r="K1512" s="2">
        <v>45910.0</v>
      </c>
      <c r="L1512" s="5"/>
      <c r="M1512" s="9" t="s">
        <v>22</v>
      </c>
      <c r="N1512" s="9" t="s">
        <v>23</v>
      </c>
      <c r="O1512" s="10">
        <f>'data on outstanding creditors'!$E1512*100/107</f>
        <v>84859.81308</v>
      </c>
      <c r="P1512" s="10">
        <f>'data on outstanding creditors'!$E1512-'data on outstanding creditors'!$O1512</f>
        <v>5940.186916</v>
      </c>
      <c r="Q1512" s="7">
        <f>DAY('data on outstanding creditors'!$B1512)</f>
        <v>10</v>
      </c>
      <c r="R1512" s="7">
        <f>MONTH('data on outstanding creditors'!$B1512)</f>
        <v>9</v>
      </c>
      <c r="S1512" s="7">
        <f>YEAR('data on outstanding creditors'!$B1512)</f>
        <v>2025</v>
      </c>
      <c r="T1512" s="11" t="str">
        <f>'data on outstanding creditors'!$C1512&amp;" "&amp;'data on outstanding creditors'!$D1512&amp;" "&amp;TEXT('data on outstanding creditors'!$E1512,"#,##0.00")</f>
        <v>หจก.ภิญโญฟาร์มาซี IV6847167 90,800.00</v>
      </c>
      <c r="U1512" s="12"/>
    </row>
    <row r="1513" ht="13.5" customHeight="1">
      <c r="A1513" s="1"/>
      <c r="B1513" s="2">
        <v>45911.0</v>
      </c>
      <c r="C1513" s="9" t="s">
        <v>520</v>
      </c>
      <c r="D1513" s="1" t="s">
        <v>2055</v>
      </c>
      <c r="E1513" s="4">
        <v>19944.8</v>
      </c>
      <c r="F1513" s="4"/>
      <c r="G1513" s="4"/>
      <c r="H1513" s="4">
        <f>'data on outstanding creditors'!$E1513-'data on outstanding creditors'!$F1513-'data on outstanding creditors'!$G1513</f>
        <v>19944.8</v>
      </c>
      <c r="I1513" s="2"/>
      <c r="J1513" s="1" t="s">
        <v>757</v>
      </c>
      <c r="K1513" s="2">
        <v>45950.0</v>
      </c>
      <c r="L1513" s="5"/>
      <c r="M1513" s="9" t="s">
        <v>22</v>
      </c>
      <c r="N1513" s="9" t="s">
        <v>23</v>
      </c>
      <c r="O1513" s="10">
        <f>'data on outstanding creditors'!$E1513*100/107</f>
        <v>18640</v>
      </c>
      <c r="P1513" s="10">
        <f>'data on outstanding creditors'!$E1513-'data on outstanding creditors'!$O1513</f>
        <v>1304.8</v>
      </c>
      <c r="Q1513" s="7">
        <f>DAY('data on outstanding creditors'!$B1513)</f>
        <v>11</v>
      </c>
      <c r="R1513" s="7">
        <f>MONTH('data on outstanding creditors'!$B1513)</f>
        <v>9</v>
      </c>
      <c r="S1513" s="7">
        <f>YEAR('data on outstanding creditors'!$B1513)</f>
        <v>2025</v>
      </c>
      <c r="T1513" s="11" t="str">
        <f>'data on outstanding creditors'!$C1513&amp;" "&amp;'data on outstanding creditors'!$D1513&amp;" "&amp;TEXT('data on outstanding creditors'!$E1513,"#,##0.00")</f>
        <v>บ.ซิลลิคฟาร์มา 1318133931 19,944.80</v>
      </c>
      <c r="U1513" s="12"/>
    </row>
    <row r="1514" ht="13.5" customHeight="1">
      <c r="A1514" s="1"/>
      <c r="B1514" s="2">
        <v>45911.0</v>
      </c>
      <c r="C1514" s="9" t="s">
        <v>1330</v>
      </c>
      <c r="D1514" s="1" t="s">
        <v>2056</v>
      </c>
      <c r="E1514" s="4">
        <v>9000.0</v>
      </c>
      <c r="F1514" s="4"/>
      <c r="G1514" s="4"/>
      <c r="H1514" s="4">
        <f>'data on outstanding creditors'!$E1514-'data on outstanding creditors'!$F1514-'data on outstanding creditors'!$G1514</f>
        <v>9000</v>
      </c>
      <c r="I1514" s="2"/>
      <c r="J1514" s="1" t="s">
        <v>757</v>
      </c>
      <c r="K1514" s="2">
        <v>45950.0</v>
      </c>
      <c r="L1514" s="5"/>
      <c r="M1514" s="9" t="s">
        <v>22</v>
      </c>
      <c r="N1514" s="9" t="s">
        <v>23</v>
      </c>
      <c r="O1514" s="10">
        <f>'data on outstanding creditors'!$E1514*100/107</f>
        <v>8411.214953</v>
      </c>
      <c r="P1514" s="10">
        <f>'data on outstanding creditors'!$E1514-'data on outstanding creditors'!$O1514</f>
        <v>588.7850467</v>
      </c>
      <c r="Q1514" s="7">
        <f>DAY('data on outstanding creditors'!$B1514)</f>
        <v>11</v>
      </c>
      <c r="R1514" s="7">
        <f>MONTH('data on outstanding creditors'!$B1514)</f>
        <v>9</v>
      </c>
      <c r="S1514" s="7">
        <f>YEAR('data on outstanding creditors'!$B1514)</f>
        <v>2025</v>
      </c>
      <c r="T1514" s="11" t="str">
        <f>'data on outstanding creditors'!$C1514&amp;" "&amp;'data on outstanding creditors'!$D1514&amp;" "&amp;TEXT('data on outstanding creditors'!$E1514,"#,##0.00")</f>
        <v>บ.ชุมชนเภสัชกรรม IV680900639 9,000.00</v>
      </c>
      <c r="U1514" s="12"/>
    </row>
    <row r="1515" ht="13.5" customHeight="1">
      <c r="A1515" s="1"/>
      <c r="B1515" s="2">
        <v>45911.0</v>
      </c>
      <c r="C1515" s="9" t="s">
        <v>399</v>
      </c>
      <c r="D1515" s="1" t="s">
        <v>2057</v>
      </c>
      <c r="E1515" s="4">
        <v>4391.28</v>
      </c>
      <c r="F1515" s="4"/>
      <c r="G1515" s="4"/>
      <c r="H1515" s="4">
        <f>'data on outstanding creditors'!$E1515-'data on outstanding creditors'!$F1515-'data on outstanding creditors'!$G1515</f>
        <v>4391.28</v>
      </c>
      <c r="I1515" s="2"/>
      <c r="J1515" s="1" t="s">
        <v>757</v>
      </c>
      <c r="K1515" s="2">
        <v>45950.0</v>
      </c>
      <c r="L1515" s="5"/>
      <c r="M1515" s="9" t="s">
        <v>22</v>
      </c>
      <c r="N1515" s="9" t="s">
        <v>23</v>
      </c>
      <c r="O1515" s="10">
        <f>'data on outstanding creditors'!$E1515*100/107</f>
        <v>4104</v>
      </c>
      <c r="P1515" s="10">
        <f>'data on outstanding creditors'!$E1515-'data on outstanding creditors'!$O1515</f>
        <v>287.28</v>
      </c>
      <c r="Q1515" s="7">
        <f>DAY('data on outstanding creditors'!$B1515)</f>
        <v>11</v>
      </c>
      <c r="R1515" s="7">
        <f>MONTH('data on outstanding creditors'!$B1515)</f>
        <v>9</v>
      </c>
      <c r="S1515" s="7">
        <f>YEAR('data on outstanding creditors'!$B1515)</f>
        <v>2025</v>
      </c>
      <c r="T1515" s="11" t="str">
        <f>'data on outstanding creditors'!$C1515&amp;" "&amp;'data on outstanding creditors'!$D1515&amp;" "&amp;TEXT('data on outstanding creditors'!$E1515,"#,##0.00")</f>
        <v>บ.ดีเคเอสเอช(ประเทศไทย) 5344311686 4,391.28</v>
      </c>
      <c r="U1515" s="12"/>
    </row>
    <row r="1516" ht="13.5" customHeight="1">
      <c r="A1516" s="1"/>
      <c r="B1516" s="2">
        <v>45911.0</v>
      </c>
      <c r="C1516" s="9" t="s">
        <v>399</v>
      </c>
      <c r="D1516" s="1" t="s">
        <v>2058</v>
      </c>
      <c r="E1516" s="4">
        <v>48150.0</v>
      </c>
      <c r="F1516" s="4"/>
      <c r="G1516" s="4"/>
      <c r="H1516" s="4">
        <f>'data on outstanding creditors'!$E1516-'data on outstanding creditors'!$F1516-'data on outstanding creditors'!$G1516</f>
        <v>48150</v>
      </c>
      <c r="I1516" s="2"/>
      <c r="J1516" s="1" t="s">
        <v>757</v>
      </c>
      <c r="K1516" s="2">
        <v>45950.0</v>
      </c>
      <c r="L1516" s="5"/>
      <c r="M1516" s="9" t="s">
        <v>22</v>
      </c>
      <c r="N1516" s="9" t="s">
        <v>23</v>
      </c>
      <c r="O1516" s="10">
        <f>'data on outstanding creditors'!$E1516*100/107</f>
        <v>45000</v>
      </c>
      <c r="P1516" s="10">
        <f>'data on outstanding creditors'!$E1516-'data on outstanding creditors'!$O1516</f>
        <v>3150</v>
      </c>
      <c r="Q1516" s="7">
        <f>DAY('data on outstanding creditors'!$B1516)</f>
        <v>11</v>
      </c>
      <c r="R1516" s="7">
        <f>MONTH('data on outstanding creditors'!$B1516)</f>
        <v>9</v>
      </c>
      <c r="S1516" s="7">
        <f>YEAR('data on outstanding creditors'!$B1516)</f>
        <v>2025</v>
      </c>
      <c r="T1516" s="11" t="str">
        <f>'data on outstanding creditors'!$C1516&amp;" "&amp;'data on outstanding creditors'!$D1516&amp;" "&amp;TEXT('data on outstanding creditors'!$E1516,"#,##0.00")</f>
        <v>บ.ดีเคเอสเอช(ประเทศไทย) 5344309036 48,150.00</v>
      </c>
      <c r="U1516" s="12"/>
    </row>
    <row r="1517" ht="13.5" customHeight="1">
      <c r="A1517" s="1"/>
      <c r="B1517" s="2">
        <v>45911.0</v>
      </c>
      <c r="C1517" s="9" t="s">
        <v>1232</v>
      </c>
      <c r="D1517" s="1" t="s">
        <v>2059</v>
      </c>
      <c r="E1517" s="4">
        <v>24000.0</v>
      </c>
      <c r="F1517" s="4"/>
      <c r="G1517" s="4"/>
      <c r="H1517" s="4">
        <f>'data on outstanding creditors'!$E1517-'data on outstanding creditors'!$F1517-'data on outstanding creditors'!$G1517</f>
        <v>24000</v>
      </c>
      <c r="I1517" s="2"/>
      <c r="J1517" s="1" t="s">
        <v>757</v>
      </c>
      <c r="K1517" s="2">
        <v>45935.0</v>
      </c>
      <c r="L1517" s="5"/>
      <c r="M1517" s="9" t="s">
        <v>22</v>
      </c>
      <c r="N1517" s="9" t="s">
        <v>23</v>
      </c>
      <c r="O1517" s="10">
        <f>'data on outstanding creditors'!$E1517*100/107</f>
        <v>22429.90654</v>
      </c>
      <c r="P1517" s="10">
        <f>'data on outstanding creditors'!$E1517-'data on outstanding creditors'!$O1517</f>
        <v>1570.093458</v>
      </c>
      <c r="Q1517" s="7">
        <f>DAY('data on outstanding creditors'!$B1517)</f>
        <v>11</v>
      </c>
      <c r="R1517" s="7">
        <f>MONTH('data on outstanding creditors'!$B1517)</f>
        <v>9</v>
      </c>
      <c r="S1517" s="7">
        <f>YEAR('data on outstanding creditors'!$B1517)</f>
        <v>2025</v>
      </c>
      <c r="T1517" s="11" t="str">
        <f>'data on outstanding creditors'!$C1517&amp;" "&amp;'data on outstanding creditors'!$D1517&amp;" "&amp;TEXT('data on outstanding creditors'!$E1517,"#,##0.00")</f>
        <v>บ.มาสุ 262452 24,000.00</v>
      </c>
      <c r="U1517" s="12"/>
    </row>
    <row r="1518" ht="13.5" customHeight="1">
      <c r="A1518" s="1"/>
      <c r="B1518" s="2">
        <v>45911.0</v>
      </c>
      <c r="C1518" s="9" t="s">
        <v>541</v>
      </c>
      <c r="D1518" s="1" t="s">
        <v>2060</v>
      </c>
      <c r="E1518" s="4">
        <v>9469.5</v>
      </c>
      <c r="F1518" s="4"/>
      <c r="G1518" s="4"/>
      <c r="H1518" s="4">
        <f>'data on outstanding creditors'!$E1518-'data on outstanding creditors'!$F1518-'data on outstanding creditors'!$G1518</f>
        <v>9469.5</v>
      </c>
      <c r="I1518" s="2"/>
      <c r="J1518" s="1" t="s">
        <v>757</v>
      </c>
      <c r="K1518" s="2">
        <v>45935.0</v>
      </c>
      <c r="L1518" s="5"/>
      <c r="M1518" s="9" t="s">
        <v>22</v>
      </c>
      <c r="N1518" s="9" t="s">
        <v>23</v>
      </c>
      <c r="O1518" s="10">
        <f>'data on outstanding creditors'!$E1518*100/107</f>
        <v>8850</v>
      </c>
      <c r="P1518" s="10">
        <f>'data on outstanding creditors'!$E1518-'data on outstanding creditors'!$O1518</f>
        <v>619.5</v>
      </c>
      <c r="Q1518" s="7">
        <f>DAY('data on outstanding creditors'!$B1518)</f>
        <v>11</v>
      </c>
      <c r="R1518" s="7">
        <f>MONTH('data on outstanding creditors'!$B1518)</f>
        <v>9</v>
      </c>
      <c r="S1518" s="7">
        <f>YEAR('data on outstanding creditors'!$B1518)</f>
        <v>2025</v>
      </c>
      <c r="T1518" s="11" t="str">
        <f>'data on outstanding creditors'!$C1518&amp;" "&amp;'data on outstanding creditors'!$D1518&amp;" "&amp;TEXT('data on outstanding creditors'!$E1518,"#,##0.00")</f>
        <v>บ.ดีทแฮล์ม เคลเลอร์ โลจิสติกส์ 5449301124 9,469.50</v>
      </c>
      <c r="U1518" s="12"/>
    </row>
    <row r="1519" ht="13.5" customHeight="1">
      <c r="A1519" s="1"/>
      <c r="B1519" s="2">
        <v>45911.0</v>
      </c>
      <c r="C1519" s="9" t="s">
        <v>256</v>
      </c>
      <c r="D1519" s="1" t="s">
        <v>2061</v>
      </c>
      <c r="E1519" s="4">
        <v>4940.0</v>
      </c>
      <c r="F1519" s="4"/>
      <c r="G1519" s="4"/>
      <c r="H1519" s="4">
        <f>'data on outstanding creditors'!$E1519-'data on outstanding creditors'!$F1519-'data on outstanding creditors'!$G1519</f>
        <v>4940</v>
      </c>
      <c r="I1519" s="2"/>
      <c r="J1519" s="1" t="s">
        <v>757</v>
      </c>
      <c r="K1519" s="2">
        <v>45950.0</v>
      </c>
      <c r="L1519" s="5"/>
      <c r="M1519" s="9" t="s">
        <v>22</v>
      </c>
      <c r="N1519" s="9" t="s">
        <v>23</v>
      </c>
      <c r="O1519" s="10">
        <f>'data on outstanding creditors'!$E1519*100/107</f>
        <v>4616.82243</v>
      </c>
      <c r="P1519" s="10">
        <f>'data on outstanding creditors'!$E1519-'data on outstanding creditors'!$O1519</f>
        <v>323.1775701</v>
      </c>
      <c r="Q1519" s="7">
        <f>DAY('data on outstanding creditors'!$B1519)</f>
        <v>11</v>
      </c>
      <c r="R1519" s="7">
        <f>MONTH('data on outstanding creditors'!$B1519)</f>
        <v>9</v>
      </c>
      <c r="S1519" s="7">
        <f>YEAR('data on outstanding creditors'!$B1519)</f>
        <v>2025</v>
      </c>
      <c r="T1519" s="11" t="str">
        <f>'data on outstanding creditors'!$C1519&amp;" "&amp;'data on outstanding creditors'!$D1519&amp;" "&amp;TEXT('data on outstanding creditors'!$E1519,"#,##0.00")</f>
        <v>บ.พาตาร์แลบ(2517) INV125090673 4,940.00</v>
      </c>
      <c r="U1519" s="12"/>
    </row>
    <row r="1520" ht="13.5" customHeight="1">
      <c r="A1520" s="1"/>
      <c r="B1520" s="2">
        <v>45911.0</v>
      </c>
      <c r="C1520" s="9" t="s">
        <v>541</v>
      </c>
      <c r="D1520" s="1" t="s">
        <v>2062</v>
      </c>
      <c r="E1520" s="4">
        <v>59920.0</v>
      </c>
      <c r="F1520" s="4"/>
      <c r="G1520" s="4"/>
      <c r="H1520" s="4">
        <f>'data on outstanding creditors'!$E1520-'data on outstanding creditors'!$F1520-'data on outstanding creditors'!$G1520</f>
        <v>59920</v>
      </c>
      <c r="I1520" s="2"/>
      <c r="J1520" s="1" t="s">
        <v>757</v>
      </c>
      <c r="K1520" s="2">
        <v>45950.0</v>
      </c>
      <c r="L1520" s="5"/>
      <c r="M1520" s="9" t="s">
        <v>22</v>
      </c>
      <c r="N1520" s="9" t="s">
        <v>23</v>
      </c>
      <c r="O1520" s="10">
        <f>'data on outstanding creditors'!$E1520*100/107</f>
        <v>56000</v>
      </c>
      <c r="P1520" s="10">
        <f>'data on outstanding creditors'!$E1520-'data on outstanding creditors'!$O1520</f>
        <v>3920</v>
      </c>
      <c r="Q1520" s="7">
        <f>DAY('data on outstanding creditors'!$B1520)</f>
        <v>11</v>
      </c>
      <c r="R1520" s="7">
        <f>MONTH('data on outstanding creditors'!$B1520)</f>
        <v>9</v>
      </c>
      <c r="S1520" s="7">
        <f>YEAR('data on outstanding creditors'!$B1520)</f>
        <v>2025</v>
      </c>
      <c r="T1520" s="11" t="str">
        <f>'data on outstanding creditors'!$C1520&amp;" "&amp;'data on outstanding creditors'!$D1520&amp;" "&amp;TEXT('data on outstanding creditors'!$E1520,"#,##0.00")</f>
        <v>บ.ดีทแฮล์ม เคลเลอร์ โลจิสติกส์ 5449303212 59,920.00</v>
      </c>
      <c r="U1520" s="12"/>
    </row>
    <row r="1521" ht="13.5" customHeight="1">
      <c r="A1521" s="1"/>
      <c r="B1521" s="2">
        <v>45911.0</v>
      </c>
      <c r="C1521" s="9" t="s">
        <v>1234</v>
      </c>
      <c r="D1521" s="1" t="s">
        <v>2063</v>
      </c>
      <c r="E1521" s="4">
        <v>5500.0</v>
      </c>
      <c r="F1521" s="4"/>
      <c r="G1521" s="4"/>
      <c r="H1521" s="4">
        <f>'data on outstanding creditors'!$E1521-'data on outstanding creditors'!$F1521-'data on outstanding creditors'!$G1521</f>
        <v>5500</v>
      </c>
      <c r="I1521" s="2"/>
      <c r="J1521" s="1" t="s">
        <v>757</v>
      </c>
      <c r="K1521" s="2">
        <v>45950.0</v>
      </c>
      <c r="L1521" s="5"/>
      <c r="M1521" s="9" t="s">
        <v>22</v>
      </c>
      <c r="N1521" s="9" t="s">
        <v>23</v>
      </c>
      <c r="O1521" s="10">
        <f>'data on outstanding creditors'!$E1521*100/107</f>
        <v>5140.186916</v>
      </c>
      <c r="P1521" s="10">
        <f>'data on outstanding creditors'!$E1521-'data on outstanding creditors'!$O1521</f>
        <v>359.8130841</v>
      </c>
      <c r="Q1521" s="7">
        <f>DAY('data on outstanding creditors'!$B1521)</f>
        <v>11</v>
      </c>
      <c r="R1521" s="7">
        <f>MONTH('data on outstanding creditors'!$B1521)</f>
        <v>9</v>
      </c>
      <c r="S1521" s="7">
        <f>YEAR('data on outstanding creditors'!$B1521)</f>
        <v>2025</v>
      </c>
      <c r="T1521" s="11" t="str">
        <f>'data on outstanding creditors'!$C1521&amp;" "&amp;'data on outstanding creditors'!$D1521&amp;" "&amp;TEXT('data on outstanding creditors'!$E1521,"#,##0.00")</f>
        <v>บ.คอนติเนนเติล-ฟาร์ม 250900303 5,500.00</v>
      </c>
      <c r="U1521" s="12"/>
    </row>
    <row r="1522" ht="13.5" customHeight="1">
      <c r="A1522" s="1"/>
      <c r="B1522" s="2">
        <v>45911.0</v>
      </c>
      <c r="C1522" s="9" t="s">
        <v>520</v>
      </c>
      <c r="D1522" s="1" t="s">
        <v>2064</v>
      </c>
      <c r="E1522" s="4">
        <v>100580.0</v>
      </c>
      <c r="F1522" s="4"/>
      <c r="G1522" s="4"/>
      <c r="H1522" s="4">
        <f>'data on outstanding creditors'!$E1522-'data on outstanding creditors'!$F1522-'data on outstanding creditors'!$G1522</f>
        <v>100580</v>
      </c>
      <c r="I1522" s="2"/>
      <c r="J1522" s="1" t="s">
        <v>757</v>
      </c>
      <c r="K1522" s="2">
        <v>45910.0</v>
      </c>
      <c r="L1522" s="5"/>
      <c r="M1522" s="9" t="s">
        <v>22</v>
      </c>
      <c r="N1522" s="9" t="s">
        <v>23</v>
      </c>
      <c r="O1522" s="10">
        <f>'data on outstanding creditors'!$E1522*100/107</f>
        <v>94000</v>
      </c>
      <c r="P1522" s="10">
        <f>'data on outstanding creditors'!$E1522-'data on outstanding creditors'!$O1522</f>
        <v>6580</v>
      </c>
      <c r="Q1522" s="7">
        <f>DAY('data on outstanding creditors'!$B1522)</f>
        <v>11</v>
      </c>
      <c r="R1522" s="7">
        <f>MONTH('data on outstanding creditors'!$B1522)</f>
        <v>9</v>
      </c>
      <c r="S1522" s="7">
        <f>YEAR('data on outstanding creditors'!$B1522)</f>
        <v>2025</v>
      </c>
      <c r="T1522" s="11" t="str">
        <f>'data on outstanding creditors'!$C1522&amp;" "&amp;'data on outstanding creditors'!$D1522&amp;" "&amp;TEXT('data on outstanding creditors'!$E1522,"#,##0.00")</f>
        <v>บ.ซิลลิคฟาร์มา 1318133921 100,580.00</v>
      </c>
      <c r="U1522" s="12"/>
    </row>
    <row r="1523" ht="13.5" customHeight="1">
      <c r="A1523" s="1"/>
      <c r="B1523" s="2">
        <v>45911.0</v>
      </c>
      <c r="C1523" s="9" t="s">
        <v>761</v>
      </c>
      <c r="D1523" s="1" t="s">
        <v>2065</v>
      </c>
      <c r="E1523" s="4">
        <v>96900.0</v>
      </c>
      <c r="F1523" s="4"/>
      <c r="G1523" s="4"/>
      <c r="H1523" s="4">
        <f>'data on outstanding creditors'!$E1523-'data on outstanding creditors'!$F1523-'data on outstanding creditors'!$G1523</f>
        <v>96900</v>
      </c>
      <c r="I1523" s="2"/>
      <c r="J1523" s="1" t="s">
        <v>757</v>
      </c>
      <c r="K1523" s="2">
        <v>45910.0</v>
      </c>
      <c r="L1523" s="5"/>
      <c r="M1523" s="9" t="s">
        <v>22</v>
      </c>
      <c r="N1523" s="9" t="s">
        <v>23</v>
      </c>
      <c r="O1523" s="10">
        <f>'data on outstanding creditors'!$E1523*100/107</f>
        <v>90560.74766</v>
      </c>
      <c r="P1523" s="10">
        <f>'data on outstanding creditors'!$E1523-'data on outstanding creditors'!$O1523</f>
        <v>6339.252336</v>
      </c>
      <c r="Q1523" s="7">
        <f>DAY('data on outstanding creditors'!$B1523)</f>
        <v>11</v>
      </c>
      <c r="R1523" s="7">
        <f>MONTH('data on outstanding creditors'!$B1523)</f>
        <v>9</v>
      </c>
      <c r="S1523" s="7">
        <f>YEAR('data on outstanding creditors'!$B1523)</f>
        <v>2025</v>
      </c>
      <c r="T1523" s="11" t="str">
        <f>'data on outstanding creditors'!$C1523&amp;" "&amp;'data on outstanding creditors'!$D1523&amp;" "&amp;TEXT('data on outstanding creditors'!$E1523,"#,##0.00")</f>
        <v>บ.แมคโครฟาร์แลบ ML25091371 96,900.00</v>
      </c>
      <c r="U1523" s="12"/>
    </row>
    <row r="1524" ht="13.5" customHeight="1">
      <c r="A1524" s="1"/>
      <c r="B1524" s="2">
        <v>45911.0</v>
      </c>
      <c r="C1524" s="9" t="s">
        <v>520</v>
      </c>
      <c r="D1524" s="1" t="s">
        <v>2066</v>
      </c>
      <c r="E1524" s="4">
        <v>119925.6</v>
      </c>
      <c r="F1524" s="4"/>
      <c r="G1524" s="4"/>
      <c r="H1524" s="4">
        <f>'data on outstanding creditors'!$E1524-'data on outstanding creditors'!$F1524-'data on outstanding creditors'!$G1524</f>
        <v>119925.6</v>
      </c>
      <c r="I1524" s="2"/>
      <c r="J1524" s="1" t="s">
        <v>757</v>
      </c>
      <c r="K1524" s="2">
        <v>45910.0</v>
      </c>
      <c r="L1524" s="5"/>
      <c r="M1524" s="9" t="s">
        <v>22</v>
      </c>
      <c r="N1524" s="9" t="s">
        <v>23</v>
      </c>
      <c r="O1524" s="10">
        <f>'data on outstanding creditors'!$E1524*100/107</f>
        <v>112080</v>
      </c>
      <c r="P1524" s="10">
        <f>'data on outstanding creditors'!$E1524-'data on outstanding creditors'!$O1524</f>
        <v>7845.6</v>
      </c>
      <c r="Q1524" s="7">
        <f>DAY('data on outstanding creditors'!$B1524)</f>
        <v>11</v>
      </c>
      <c r="R1524" s="7">
        <f>MONTH('data on outstanding creditors'!$B1524)</f>
        <v>9</v>
      </c>
      <c r="S1524" s="7">
        <f>YEAR('data on outstanding creditors'!$B1524)</f>
        <v>2025</v>
      </c>
      <c r="T1524" s="11" t="str">
        <f>'data on outstanding creditors'!$C1524&amp;" "&amp;'data on outstanding creditors'!$D1524&amp;" "&amp;TEXT('data on outstanding creditors'!$E1524,"#,##0.00")</f>
        <v>บ.ซิลลิคฟาร์มา 1318124405 119,925.60</v>
      </c>
      <c r="U1524" s="12"/>
    </row>
    <row r="1525" ht="13.5" customHeight="1">
      <c r="A1525" s="1"/>
      <c r="B1525" s="2">
        <v>45912.0</v>
      </c>
      <c r="C1525" s="9" t="s">
        <v>1230</v>
      </c>
      <c r="D1525" s="1" t="s">
        <v>2067</v>
      </c>
      <c r="E1525" s="4">
        <v>102000.0</v>
      </c>
      <c r="F1525" s="4"/>
      <c r="G1525" s="4"/>
      <c r="H1525" s="4">
        <f>'data on outstanding creditors'!$E1525-'data on outstanding creditors'!$F1525-'data on outstanding creditors'!$G1525</f>
        <v>102000</v>
      </c>
      <c r="I1525" s="2"/>
      <c r="J1525" s="1" t="s">
        <v>757</v>
      </c>
      <c r="K1525" s="2">
        <v>45910.0</v>
      </c>
      <c r="L1525" s="5"/>
      <c r="M1525" s="9" t="s">
        <v>22</v>
      </c>
      <c r="N1525" s="9" t="s">
        <v>23</v>
      </c>
      <c r="O1525" s="10">
        <f>'data on outstanding creditors'!$E1525*100/107</f>
        <v>95327.1028</v>
      </c>
      <c r="P1525" s="10">
        <f>'data on outstanding creditors'!$E1525-'data on outstanding creditors'!$O1525</f>
        <v>6672.897196</v>
      </c>
      <c r="Q1525" s="7">
        <f>DAY('data on outstanding creditors'!$B1525)</f>
        <v>12</v>
      </c>
      <c r="R1525" s="7">
        <f>MONTH('data on outstanding creditors'!$B1525)</f>
        <v>9</v>
      </c>
      <c r="S1525" s="7">
        <f>YEAR('data on outstanding creditors'!$B1525)</f>
        <v>2025</v>
      </c>
      <c r="T1525" s="11" t="str">
        <f>'data on outstanding creditors'!$C1525&amp;" "&amp;'data on outstanding creditors'!$D1525&amp;" "&amp;TEXT('data on outstanding creditors'!$E1525,"#,##0.00")</f>
        <v>บ.พรอส ฟาร์มา INV-L-IM\2025091476 102,000.00</v>
      </c>
      <c r="U1525" s="12"/>
    </row>
    <row r="1526" ht="13.5" customHeight="1">
      <c r="A1526" s="1"/>
      <c r="B1526" s="2">
        <v>45912.0</v>
      </c>
      <c r="C1526" s="9" t="s">
        <v>520</v>
      </c>
      <c r="D1526" s="1" t="s">
        <v>2068</v>
      </c>
      <c r="E1526" s="4">
        <v>166406.4</v>
      </c>
      <c r="F1526" s="4"/>
      <c r="G1526" s="4"/>
      <c r="H1526" s="4">
        <f>'data on outstanding creditors'!$E1526-'data on outstanding creditors'!$F1526-'data on outstanding creditors'!$G1526</f>
        <v>166406.4</v>
      </c>
      <c r="I1526" s="2"/>
      <c r="J1526" s="1" t="s">
        <v>757</v>
      </c>
      <c r="K1526" s="2">
        <v>45910.0</v>
      </c>
      <c r="L1526" s="5"/>
      <c r="M1526" s="9" t="s">
        <v>22</v>
      </c>
      <c r="N1526" s="9" t="s">
        <v>23</v>
      </c>
      <c r="O1526" s="10">
        <f>'data on outstanding creditors'!$E1526*100/107</f>
        <v>155520</v>
      </c>
      <c r="P1526" s="10">
        <f>'data on outstanding creditors'!$E1526-'data on outstanding creditors'!$O1526</f>
        <v>10886.4</v>
      </c>
      <c r="Q1526" s="7">
        <f>DAY('data on outstanding creditors'!$B1526)</f>
        <v>12</v>
      </c>
      <c r="R1526" s="7">
        <f>MONTH('data on outstanding creditors'!$B1526)</f>
        <v>9</v>
      </c>
      <c r="S1526" s="7">
        <f>YEAR('data on outstanding creditors'!$B1526)</f>
        <v>2025</v>
      </c>
      <c r="T1526" s="11" t="str">
        <f>'data on outstanding creditors'!$C1526&amp;" "&amp;'data on outstanding creditors'!$D1526&amp;" "&amp;TEXT('data on outstanding creditors'!$E1526,"#,##0.00")</f>
        <v>บ.ซิลลิคฟาร์มา 1318141473 166,406.40</v>
      </c>
      <c r="U1526" s="12"/>
    </row>
    <row r="1527" ht="13.5" customHeight="1">
      <c r="A1527" s="1"/>
      <c r="B1527" s="2">
        <v>45912.0</v>
      </c>
      <c r="C1527" s="9" t="s">
        <v>813</v>
      </c>
      <c r="D1527" s="1" t="s">
        <v>2069</v>
      </c>
      <c r="E1527" s="4">
        <v>18500.0</v>
      </c>
      <c r="F1527" s="4"/>
      <c r="G1527" s="4"/>
      <c r="H1527" s="4">
        <f>'data on outstanding creditors'!$E1527-'data on outstanding creditors'!$F1527-'data on outstanding creditors'!$G1527</f>
        <v>18500</v>
      </c>
      <c r="I1527" s="2"/>
      <c r="J1527" s="1" t="s">
        <v>757</v>
      </c>
      <c r="K1527" s="2">
        <v>45940.0</v>
      </c>
      <c r="L1527" s="5"/>
      <c r="M1527" s="9" t="s">
        <v>22</v>
      </c>
      <c r="N1527" s="9" t="s">
        <v>23</v>
      </c>
      <c r="O1527" s="10">
        <f>'data on outstanding creditors'!$E1527*100/107</f>
        <v>17289.71963</v>
      </c>
      <c r="P1527" s="10">
        <f>'data on outstanding creditors'!$E1527-'data on outstanding creditors'!$O1527</f>
        <v>1210.280374</v>
      </c>
      <c r="Q1527" s="7">
        <f>DAY('data on outstanding creditors'!$B1527)</f>
        <v>12</v>
      </c>
      <c r="R1527" s="7">
        <f>MONTH('data on outstanding creditors'!$B1527)</f>
        <v>9</v>
      </c>
      <c r="S1527" s="7">
        <f>YEAR('data on outstanding creditors'!$B1527)</f>
        <v>2025</v>
      </c>
      <c r="T1527" s="11" t="str">
        <f>'data on outstanding creditors'!$C1527&amp;" "&amp;'data on outstanding creditors'!$D1527&amp;" "&amp;TEXT('data on outstanding creditors'!$E1527,"#,##0.00")</f>
        <v>บ.ที.แมน ฟาร์มาซูติคอล IST250141569 18,500.00</v>
      </c>
      <c r="U1527" s="12"/>
    </row>
    <row r="1528" ht="13.5" customHeight="1">
      <c r="A1528" s="1"/>
      <c r="B1528" s="2">
        <v>45915.0</v>
      </c>
      <c r="C1528" s="9" t="s">
        <v>1230</v>
      </c>
      <c r="D1528" s="1" t="s">
        <v>2070</v>
      </c>
      <c r="E1528" s="4">
        <v>30000.0</v>
      </c>
      <c r="F1528" s="4"/>
      <c r="G1528" s="4"/>
      <c r="H1528" s="4">
        <f>'data on outstanding creditors'!$E1528-'data on outstanding creditors'!$F1528-'data on outstanding creditors'!$G1528</f>
        <v>30000</v>
      </c>
      <c r="I1528" s="2"/>
      <c r="J1528" s="1" t="s">
        <v>757</v>
      </c>
      <c r="K1528" s="2">
        <v>45950.0</v>
      </c>
      <c r="L1528" s="5"/>
      <c r="M1528" s="9" t="s">
        <v>22</v>
      </c>
      <c r="N1528" s="9" t="s">
        <v>23</v>
      </c>
      <c r="O1528" s="10">
        <f>'data on outstanding creditors'!$E1528*100/107</f>
        <v>28037.38318</v>
      </c>
      <c r="P1528" s="10">
        <f>'data on outstanding creditors'!$E1528-'data on outstanding creditors'!$O1528</f>
        <v>1962.616822</v>
      </c>
      <c r="Q1528" s="7">
        <f>DAY('data on outstanding creditors'!$B1528)</f>
        <v>15</v>
      </c>
      <c r="R1528" s="7">
        <f>MONTH('data on outstanding creditors'!$B1528)</f>
        <v>9</v>
      </c>
      <c r="S1528" s="7">
        <f>YEAR('data on outstanding creditors'!$B1528)</f>
        <v>2025</v>
      </c>
      <c r="T1528" s="11" t="str">
        <f>'data on outstanding creditors'!$C1528&amp;" "&amp;'data on outstanding creditors'!$D1528&amp;" "&amp;TEXT('data on outstanding creditors'!$E1528,"#,##0.00")</f>
        <v>บ.พรอส ฟาร์มา INV-L-IM\2025091483 30,000.00</v>
      </c>
      <c r="U1528" s="12"/>
    </row>
    <row r="1529" ht="13.5" customHeight="1">
      <c r="A1529" s="1"/>
      <c r="B1529" s="2">
        <v>45916.0</v>
      </c>
      <c r="C1529" s="9" t="s">
        <v>771</v>
      </c>
      <c r="D1529" s="1" t="s">
        <v>2071</v>
      </c>
      <c r="E1529" s="4">
        <v>16500.0</v>
      </c>
      <c r="F1529" s="4"/>
      <c r="G1529" s="4"/>
      <c r="H1529" s="4">
        <f>'data on outstanding creditors'!$E1529-'data on outstanding creditors'!$F1529-'data on outstanding creditors'!$G1529</f>
        <v>16500</v>
      </c>
      <c r="I1529" s="2"/>
      <c r="J1529" s="1"/>
      <c r="K1529" s="2"/>
      <c r="L1529" s="5"/>
      <c r="M1529" s="9" t="s">
        <v>22</v>
      </c>
      <c r="N1529" s="9" t="s">
        <v>23</v>
      </c>
      <c r="O1529" s="10">
        <f>'data on outstanding creditors'!$E1529*100/107</f>
        <v>15420.56075</v>
      </c>
      <c r="P1529" s="10">
        <f>'data on outstanding creditors'!$E1529-'data on outstanding creditors'!$O1529</f>
        <v>1079.439252</v>
      </c>
      <c r="Q1529" s="7">
        <f>DAY('data on outstanding creditors'!$B1529)</f>
        <v>16</v>
      </c>
      <c r="R1529" s="7">
        <f>MONTH('data on outstanding creditors'!$B1529)</f>
        <v>9</v>
      </c>
      <c r="S1529" s="7">
        <f>YEAR('data on outstanding creditors'!$B1529)</f>
        <v>2025</v>
      </c>
      <c r="T1529" s="11" t="str">
        <f>'data on outstanding creditors'!$C1529&amp;" "&amp;'data on outstanding creditors'!$D1529&amp;" "&amp;TEXT('data on outstanding creditors'!$E1529,"#,##0.00")</f>
        <v>หจก.ภิญโญฟาร์มาซี IV6846634 16,500.00</v>
      </c>
      <c r="U1529" s="12"/>
    </row>
    <row r="1530" ht="13.5" customHeight="1">
      <c r="A1530" s="1"/>
      <c r="B1530" s="2">
        <v>45916.0</v>
      </c>
      <c r="C1530" s="9" t="s">
        <v>1469</v>
      </c>
      <c r="D1530" s="1" t="s">
        <v>2072</v>
      </c>
      <c r="E1530" s="4">
        <v>24610.0</v>
      </c>
      <c r="F1530" s="4"/>
      <c r="G1530" s="4"/>
      <c r="H1530" s="4">
        <f>'data on outstanding creditors'!$E1530-'data on outstanding creditors'!$F1530-'data on outstanding creditors'!$G1530</f>
        <v>24610</v>
      </c>
      <c r="I1530" s="2"/>
      <c r="J1530" s="1"/>
      <c r="K1530" s="2"/>
      <c r="L1530" s="5"/>
      <c r="M1530" s="9" t="s">
        <v>22</v>
      </c>
      <c r="N1530" s="9" t="s">
        <v>23</v>
      </c>
      <c r="O1530" s="10">
        <f>'data on outstanding creditors'!$E1530*100/107</f>
        <v>23000</v>
      </c>
      <c r="P1530" s="10">
        <f>'data on outstanding creditors'!$E1530-'data on outstanding creditors'!$O1530</f>
        <v>1610</v>
      </c>
      <c r="Q1530" s="7">
        <f>DAY('data on outstanding creditors'!$B1530)</f>
        <v>16</v>
      </c>
      <c r="R1530" s="7">
        <f>MONTH('data on outstanding creditors'!$B1530)</f>
        <v>9</v>
      </c>
      <c r="S1530" s="7">
        <f>YEAR('data on outstanding creditors'!$B1530)</f>
        <v>2025</v>
      </c>
      <c r="T1530" s="11" t="str">
        <f>'data on outstanding creditors'!$C1530&amp;" "&amp;'data on outstanding creditors'!$D1530&amp;" "&amp;TEXT('data on outstanding creditors'!$E1530,"#,##0.00")</f>
        <v>บ.สยามฟาร์มาซูติคอล 1250904993 24,610.00</v>
      </c>
      <c r="U1530" s="12"/>
    </row>
    <row r="1531" ht="13.5" customHeight="1">
      <c r="A1531" s="1"/>
      <c r="B1531" s="2">
        <v>45916.0</v>
      </c>
      <c r="C1531" s="9" t="s">
        <v>1766</v>
      </c>
      <c r="D1531" s="1" t="s">
        <v>2073</v>
      </c>
      <c r="E1531" s="4">
        <v>52500.0</v>
      </c>
      <c r="F1531" s="4"/>
      <c r="G1531" s="4"/>
      <c r="H1531" s="4">
        <f>'data on outstanding creditors'!$E1531-'data on outstanding creditors'!$F1531-'data on outstanding creditors'!$G1531</f>
        <v>52500</v>
      </c>
      <c r="I1531" s="2"/>
      <c r="J1531" s="1"/>
      <c r="K1531" s="2"/>
      <c r="L1531" s="5"/>
      <c r="M1531" s="9" t="s">
        <v>22</v>
      </c>
      <c r="N1531" s="9" t="s">
        <v>23</v>
      </c>
      <c r="O1531" s="10">
        <f>'data on outstanding creditors'!$E1531*100/107</f>
        <v>49065.42056</v>
      </c>
      <c r="P1531" s="10">
        <f>'data on outstanding creditors'!$E1531-'data on outstanding creditors'!$O1531</f>
        <v>3434.579439</v>
      </c>
      <c r="Q1531" s="7">
        <f>DAY('data on outstanding creditors'!$B1531)</f>
        <v>16</v>
      </c>
      <c r="R1531" s="7">
        <f>MONTH('data on outstanding creditors'!$B1531)</f>
        <v>9</v>
      </c>
      <c r="S1531" s="7">
        <f>YEAR('data on outstanding creditors'!$B1531)</f>
        <v>2025</v>
      </c>
      <c r="T1531" s="11" t="str">
        <f>'data on outstanding creditors'!$C1531&amp;" "&amp;'data on outstanding creditors'!$D1531&amp;" "&amp;TEXT('data on outstanding creditors'!$E1531,"#,##0.00")</f>
        <v>สำนักงานคณะกรรมการอาหารและยา ช.68/20688 52,500.00</v>
      </c>
      <c r="U1531" s="12"/>
    </row>
    <row r="1532" ht="13.5" customHeight="1">
      <c r="A1532" s="1"/>
      <c r="B1532" s="2">
        <v>45916.0</v>
      </c>
      <c r="C1532" s="9" t="s">
        <v>520</v>
      </c>
      <c r="D1532" s="1" t="s">
        <v>2074</v>
      </c>
      <c r="E1532" s="4">
        <v>14926.5</v>
      </c>
      <c r="F1532" s="4"/>
      <c r="G1532" s="4"/>
      <c r="H1532" s="4">
        <f>'data on outstanding creditors'!$E1532-'data on outstanding creditors'!$F1532-'data on outstanding creditors'!$G1532</f>
        <v>14926.5</v>
      </c>
      <c r="I1532" s="2"/>
      <c r="J1532" s="1"/>
      <c r="K1532" s="2"/>
      <c r="L1532" s="5"/>
      <c r="M1532" s="9" t="s">
        <v>22</v>
      </c>
      <c r="N1532" s="9" t="s">
        <v>23</v>
      </c>
      <c r="O1532" s="10">
        <f>'data on outstanding creditors'!$E1532*100/107</f>
        <v>13950</v>
      </c>
      <c r="P1532" s="10">
        <f>'data on outstanding creditors'!$E1532-'data on outstanding creditors'!$O1532</f>
        <v>976.5</v>
      </c>
      <c r="Q1532" s="7">
        <f>DAY('data on outstanding creditors'!$B1532)</f>
        <v>16</v>
      </c>
      <c r="R1532" s="7">
        <f>MONTH('data on outstanding creditors'!$B1532)</f>
        <v>9</v>
      </c>
      <c r="S1532" s="7">
        <f>YEAR('data on outstanding creditors'!$B1532)</f>
        <v>2025</v>
      </c>
      <c r="T1532" s="11" t="str">
        <f>'data on outstanding creditors'!$C1532&amp;" "&amp;'data on outstanding creditors'!$D1532&amp;" "&amp;TEXT('data on outstanding creditors'!$E1532,"#,##0.00")</f>
        <v>บ.ซิลลิคฟาร์มา 1318160205 14,926.50</v>
      </c>
      <c r="U1532" s="12"/>
    </row>
    <row r="1533" ht="13.5" customHeight="1">
      <c r="A1533" s="1"/>
      <c r="B1533" s="2">
        <v>45916.0</v>
      </c>
      <c r="C1533" s="9" t="s">
        <v>1391</v>
      </c>
      <c r="D1533" s="1" t="s">
        <v>2075</v>
      </c>
      <c r="E1533" s="4">
        <v>17400.0</v>
      </c>
      <c r="F1533" s="4"/>
      <c r="G1533" s="4"/>
      <c r="H1533" s="4">
        <f>'data on outstanding creditors'!$E1533-'data on outstanding creditors'!$F1533-'data on outstanding creditors'!$G1533</f>
        <v>17400</v>
      </c>
      <c r="I1533" s="2"/>
      <c r="J1533" s="1"/>
      <c r="K1533" s="2"/>
      <c r="L1533" s="5"/>
      <c r="M1533" s="9" t="s">
        <v>22</v>
      </c>
      <c r="N1533" s="9" t="s">
        <v>23</v>
      </c>
      <c r="O1533" s="10">
        <f>'data on outstanding creditors'!$E1533*100/107</f>
        <v>16261.68224</v>
      </c>
      <c r="P1533" s="10">
        <f>'data on outstanding creditors'!$E1533-'data on outstanding creditors'!$O1533</f>
        <v>1138.317757</v>
      </c>
      <c r="Q1533" s="7">
        <f>DAY('data on outstanding creditors'!$B1533)</f>
        <v>16</v>
      </c>
      <c r="R1533" s="7">
        <f>MONTH('data on outstanding creditors'!$B1533)</f>
        <v>9</v>
      </c>
      <c r="S1533" s="7">
        <f>YEAR('data on outstanding creditors'!$B1533)</f>
        <v>2025</v>
      </c>
      <c r="T1533" s="11" t="str">
        <f>'data on outstanding creditors'!$C1533&amp;" "&amp;'data on outstanding creditors'!$D1533&amp;" "&amp;TEXT('data on outstanding creditors'!$E1533,"#,##0.00")</f>
        <v>บ.ที.พี.ดรัก แลบบอราทอรี่ส์ VIV125090835 17,400.00</v>
      </c>
      <c r="U1533" s="12"/>
    </row>
    <row r="1534" ht="13.5" customHeight="1">
      <c r="A1534" s="1"/>
      <c r="B1534" s="2">
        <v>45916.0</v>
      </c>
      <c r="C1534" s="9" t="s">
        <v>922</v>
      </c>
      <c r="D1534" s="1" t="s">
        <v>2076</v>
      </c>
      <c r="E1534" s="4">
        <v>57000.0</v>
      </c>
      <c r="F1534" s="4"/>
      <c r="G1534" s="4"/>
      <c r="H1534" s="4">
        <f>'data on outstanding creditors'!$E1534-'data on outstanding creditors'!$F1534-'data on outstanding creditors'!$G1534</f>
        <v>57000</v>
      </c>
      <c r="I1534" s="2"/>
      <c r="J1534" s="1" t="s">
        <v>757</v>
      </c>
      <c r="K1534" s="2">
        <v>45950.0</v>
      </c>
      <c r="L1534" s="5"/>
      <c r="M1534" s="9" t="s">
        <v>22</v>
      </c>
      <c r="N1534" s="9" t="s">
        <v>23</v>
      </c>
      <c r="O1534" s="10">
        <f>'data on outstanding creditors'!$E1534*100/107</f>
        <v>53271.02804</v>
      </c>
      <c r="P1534" s="10">
        <f>'data on outstanding creditors'!$E1534-'data on outstanding creditors'!$O1534</f>
        <v>3728.971963</v>
      </c>
      <c r="Q1534" s="7">
        <f>DAY('data on outstanding creditors'!$B1534)</f>
        <v>16</v>
      </c>
      <c r="R1534" s="7">
        <f>MONTH('data on outstanding creditors'!$B1534)</f>
        <v>9</v>
      </c>
      <c r="S1534" s="7">
        <f>YEAR('data on outstanding creditors'!$B1534)</f>
        <v>2025</v>
      </c>
      <c r="T1534" s="11" t="str">
        <f>'data on outstanding creditors'!$C1534&amp;" "&amp;'data on outstanding creditors'!$D1534&amp;" "&amp;TEXT('data on outstanding creditors'!$E1534,"#,##0.00")</f>
        <v>บ.เบอร์ลินฟาร์มาซูติคอลอินดัสตรี้ 6810904990 57,000.00</v>
      </c>
      <c r="U1534" s="12"/>
    </row>
    <row r="1535" ht="13.5" customHeight="1">
      <c r="A1535" s="1"/>
      <c r="B1535" s="2">
        <v>45916.0</v>
      </c>
      <c r="C1535" s="9" t="s">
        <v>520</v>
      </c>
      <c r="D1535" s="1" t="s">
        <v>2077</v>
      </c>
      <c r="E1535" s="4">
        <v>19548.9</v>
      </c>
      <c r="F1535" s="4"/>
      <c r="G1535" s="4"/>
      <c r="H1535" s="4">
        <f>'data on outstanding creditors'!$E1535-'data on outstanding creditors'!$F1535-'data on outstanding creditors'!$G1535</f>
        <v>19548.9</v>
      </c>
      <c r="I1535" s="2"/>
      <c r="J1535" s="1" t="s">
        <v>757</v>
      </c>
      <c r="K1535" s="2">
        <v>45950.0</v>
      </c>
      <c r="L1535" s="5"/>
      <c r="M1535" s="9" t="s">
        <v>22</v>
      </c>
      <c r="N1535" s="9" t="s">
        <v>23</v>
      </c>
      <c r="O1535" s="10">
        <f>'data on outstanding creditors'!$E1535*100/107</f>
        <v>18270</v>
      </c>
      <c r="P1535" s="10">
        <f>'data on outstanding creditors'!$E1535-'data on outstanding creditors'!$O1535</f>
        <v>1278.9</v>
      </c>
      <c r="Q1535" s="7">
        <f>DAY('data on outstanding creditors'!$B1535)</f>
        <v>16</v>
      </c>
      <c r="R1535" s="7">
        <f>MONTH('data on outstanding creditors'!$B1535)</f>
        <v>9</v>
      </c>
      <c r="S1535" s="7">
        <f>YEAR('data on outstanding creditors'!$B1535)</f>
        <v>2025</v>
      </c>
      <c r="T1535" s="11" t="str">
        <f>'data on outstanding creditors'!$C1535&amp;" "&amp;'data on outstanding creditors'!$D1535&amp;" "&amp;TEXT('data on outstanding creditors'!$E1535,"#,##0.00")</f>
        <v>บ.ซิลลิคฟาร์มา 1318160957 19,548.90</v>
      </c>
      <c r="U1535" s="12"/>
    </row>
    <row r="1536" ht="13.5" customHeight="1">
      <c r="A1536" s="1"/>
      <c r="B1536" s="2">
        <v>45916.0</v>
      </c>
      <c r="C1536" s="9" t="s">
        <v>1402</v>
      </c>
      <c r="D1536" s="1" t="s">
        <v>2078</v>
      </c>
      <c r="E1536" s="4">
        <v>18720.0</v>
      </c>
      <c r="F1536" s="4"/>
      <c r="G1536" s="4"/>
      <c r="H1536" s="4">
        <f>'data on outstanding creditors'!$E1536-'data on outstanding creditors'!$F1536-'data on outstanding creditors'!$G1536</f>
        <v>18720</v>
      </c>
      <c r="I1536" s="2"/>
      <c r="J1536" s="1" t="s">
        <v>757</v>
      </c>
      <c r="K1536" s="2">
        <v>45951.0</v>
      </c>
      <c r="L1536" s="5"/>
      <c r="M1536" s="9" t="s">
        <v>22</v>
      </c>
      <c r="N1536" s="9" t="s">
        <v>23</v>
      </c>
      <c r="O1536" s="10">
        <f>'data on outstanding creditors'!$E1536*100/107</f>
        <v>17495.3271</v>
      </c>
      <c r="P1536" s="10">
        <f>'data on outstanding creditors'!$E1536-'data on outstanding creditors'!$O1536</f>
        <v>1224.672897</v>
      </c>
      <c r="Q1536" s="7">
        <f>DAY('data on outstanding creditors'!$B1536)</f>
        <v>16</v>
      </c>
      <c r="R1536" s="7">
        <f>MONTH('data on outstanding creditors'!$B1536)</f>
        <v>9</v>
      </c>
      <c r="S1536" s="7">
        <f>YEAR('data on outstanding creditors'!$B1536)</f>
        <v>2025</v>
      </c>
      <c r="T1536" s="11" t="str">
        <f>'data on outstanding creditors'!$C1536&amp;" "&amp;'data on outstanding creditors'!$D1536&amp;" "&amp;TEXT('data on outstanding creditors'!$E1536,"#,##0.00")</f>
        <v>บ.โรงงานเภสัชกรรมแหลมทองการแพทย์ IV6809/0245 18,720.00</v>
      </c>
      <c r="U1536" s="12"/>
    </row>
    <row r="1537" ht="13.5" customHeight="1">
      <c r="A1537" s="1"/>
      <c r="B1537" s="2">
        <v>45916.0</v>
      </c>
      <c r="C1537" s="9" t="s">
        <v>780</v>
      </c>
      <c r="D1537" s="1" t="s">
        <v>2079</v>
      </c>
      <c r="E1537" s="4">
        <v>6420.0</v>
      </c>
      <c r="F1537" s="4"/>
      <c r="G1537" s="4"/>
      <c r="H1537" s="4">
        <f>'data on outstanding creditors'!$E1537-'data on outstanding creditors'!$F1537-'data on outstanding creditors'!$G1537</f>
        <v>6420</v>
      </c>
      <c r="I1537" s="2"/>
      <c r="J1537" s="1"/>
      <c r="K1537" s="2"/>
      <c r="L1537" s="5"/>
      <c r="M1537" s="9" t="s">
        <v>22</v>
      </c>
      <c r="N1537" s="9" t="s">
        <v>23</v>
      </c>
      <c r="O1537" s="10">
        <f>'data on outstanding creditors'!$E1537*100/107</f>
        <v>6000</v>
      </c>
      <c r="P1537" s="10">
        <f>'data on outstanding creditors'!$E1537-'data on outstanding creditors'!$O1537</f>
        <v>420</v>
      </c>
      <c r="Q1537" s="7">
        <f>DAY('data on outstanding creditors'!$B1537)</f>
        <v>16</v>
      </c>
      <c r="R1537" s="7">
        <f>MONTH('data on outstanding creditors'!$B1537)</f>
        <v>9</v>
      </c>
      <c r="S1537" s="7">
        <f>YEAR('data on outstanding creditors'!$B1537)</f>
        <v>2025</v>
      </c>
      <c r="T1537" s="11" t="str">
        <f>'data on outstanding creditors'!$C1537&amp;" "&amp;'data on outstanding creditors'!$D1537&amp;" "&amp;TEXT('data on outstanding creditors'!$E1537,"#,##0.00")</f>
        <v>บ.แคสป้า ฟาร์มาซูติคอล(ประเทศไทย) C68090249 6,420.00</v>
      </c>
      <c r="U1537" s="12"/>
    </row>
    <row r="1538" ht="13.5" customHeight="1">
      <c r="A1538" s="1"/>
      <c r="B1538" s="2">
        <v>45916.0</v>
      </c>
      <c r="C1538" s="9" t="s">
        <v>24</v>
      </c>
      <c r="D1538" s="1" t="s">
        <v>2080</v>
      </c>
      <c r="E1538" s="4">
        <v>43200.0</v>
      </c>
      <c r="F1538" s="4"/>
      <c r="G1538" s="4"/>
      <c r="H1538" s="4">
        <f>'data on outstanding creditors'!$E1538-'data on outstanding creditors'!$F1538-'data on outstanding creditors'!$G1538</f>
        <v>43200</v>
      </c>
      <c r="I1538" s="2"/>
      <c r="J1538" s="1"/>
      <c r="K1538" s="2"/>
      <c r="L1538" s="5"/>
      <c r="M1538" s="9" t="s">
        <v>22</v>
      </c>
      <c r="N1538" s="9" t="s">
        <v>23</v>
      </c>
      <c r="O1538" s="10">
        <f>'data on outstanding creditors'!$E1538*100/107</f>
        <v>40373.83178</v>
      </c>
      <c r="P1538" s="10">
        <f>'data on outstanding creditors'!$E1538-'data on outstanding creditors'!$O1538</f>
        <v>2826.168224</v>
      </c>
      <c r="Q1538" s="7">
        <f>DAY('data on outstanding creditors'!$B1538)</f>
        <v>16</v>
      </c>
      <c r="R1538" s="7">
        <f>MONTH('data on outstanding creditors'!$B1538)</f>
        <v>9</v>
      </c>
      <c r="S1538" s="7">
        <f>YEAR('data on outstanding creditors'!$B1538)</f>
        <v>2025</v>
      </c>
      <c r="T1538" s="11" t="str">
        <f>'data on outstanding creditors'!$C1538&amp;" "&amp;'data on outstanding creditors'!$D1538&amp;" "&amp;TEXT('data on outstanding creditors'!$E1538,"#,##0.00")</f>
        <v>บ.เซ็นทรัลโพลีเทรดดิ้ง 31i25051539 43,200.00</v>
      </c>
      <c r="U1538" s="12"/>
    </row>
    <row r="1539" ht="13.5" customHeight="1">
      <c r="A1539" s="1"/>
      <c r="B1539" s="2">
        <v>45916.0</v>
      </c>
      <c r="C1539" s="9" t="s">
        <v>1314</v>
      </c>
      <c r="D1539" s="1" t="s">
        <v>2081</v>
      </c>
      <c r="E1539" s="4">
        <v>24000.0</v>
      </c>
      <c r="F1539" s="4"/>
      <c r="G1539" s="4"/>
      <c r="H1539" s="4">
        <f>'data on outstanding creditors'!$E1539-'data on outstanding creditors'!$F1539-'data on outstanding creditors'!$G1539</f>
        <v>24000</v>
      </c>
      <c r="I1539" s="2"/>
      <c r="J1539" s="1"/>
      <c r="K1539" s="2"/>
      <c r="L1539" s="5"/>
      <c r="M1539" s="9" t="s">
        <v>22</v>
      </c>
      <c r="N1539" s="9" t="s">
        <v>23</v>
      </c>
      <c r="O1539" s="10">
        <f>'data on outstanding creditors'!$E1539*100/107</f>
        <v>22429.90654</v>
      </c>
      <c r="P1539" s="10">
        <f>'data on outstanding creditors'!$E1539-'data on outstanding creditors'!$O1539</f>
        <v>1570.093458</v>
      </c>
      <c r="Q1539" s="7">
        <f>DAY('data on outstanding creditors'!$B1539)</f>
        <v>16</v>
      </c>
      <c r="R1539" s="7">
        <f>MONTH('data on outstanding creditors'!$B1539)</f>
        <v>9</v>
      </c>
      <c r="S1539" s="7">
        <f>YEAR('data on outstanding creditors'!$B1539)</f>
        <v>2025</v>
      </c>
      <c r="T1539" s="11" t="str">
        <f>'data on outstanding creditors'!$C1539&amp;" "&amp;'data on outstanding creditors'!$D1539&amp;" "&amp;TEXT('data on outstanding creditors'!$E1539,"#,##0.00")</f>
        <v>บ.บูรพา ฟาร์มา DSP6802036 24,000.00</v>
      </c>
      <c r="U1539" s="12"/>
    </row>
    <row r="1540" ht="13.5" customHeight="1">
      <c r="A1540" s="1"/>
      <c r="B1540" s="2">
        <v>45916.0</v>
      </c>
      <c r="C1540" s="9" t="s">
        <v>1627</v>
      </c>
      <c r="D1540" s="1" t="s">
        <v>2082</v>
      </c>
      <c r="E1540" s="4">
        <v>37800.0</v>
      </c>
      <c r="F1540" s="4"/>
      <c r="G1540" s="4"/>
      <c r="H1540" s="4">
        <f>'data on outstanding creditors'!$E1540-'data on outstanding creditors'!$F1540-'data on outstanding creditors'!$G1540</f>
        <v>37800</v>
      </c>
      <c r="I1540" s="2"/>
      <c r="J1540" s="1"/>
      <c r="K1540" s="2"/>
      <c r="L1540" s="5"/>
      <c r="M1540" s="9" t="s">
        <v>22</v>
      </c>
      <c r="N1540" s="9" t="s">
        <v>23</v>
      </c>
      <c r="O1540" s="10">
        <f>'data on outstanding creditors'!$E1540*100/107</f>
        <v>35327.1028</v>
      </c>
      <c r="P1540" s="10">
        <f>'data on outstanding creditors'!$E1540-'data on outstanding creditors'!$O1540</f>
        <v>2472.897196</v>
      </c>
      <c r="Q1540" s="7">
        <f>DAY('data on outstanding creditors'!$B1540)</f>
        <v>16</v>
      </c>
      <c r="R1540" s="7">
        <f>MONTH('data on outstanding creditors'!$B1540)</f>
        <v>9</v>
      </c>
      <c r="S1540" s="7">
        <f>YEAR('data on outstanding creditors'!$B1540)</f>
        <v>2025</v>
      </c>
      <c r="T1540" s="11" t="str">
        <f>'data on outstanding creditors'!$C1540&amp;" "&amp;'data on outstanding creditors'!$D1540&amp;" "&amp;TEXT('data on outstanding creditors'!$E1540,"#,##0.00")</f>
        <v>มูลนิธิโรงพยาบาลเจ้าพระยาอภัยภูเบศร ORV68090118 37,800.00</v>
      </c>
      <c r="U1540" s="12"/>
    </row>
    <row r="1541" ht="13.5" customHeight="1">
      <c r="A1541" s="1"/>
      <c r="B1541" s="2">
        <v>45917.0</v>
      </c>
      <c r="C1541" s="9" t="s">
        <v>541</v>
      </c>
      <c r="D1541" s="1" t="s">
        <v>2083</v>
      </c>
      <c r="E1541" s="4">
        <v>4280.0</v>
      </c>
      <c r="F1541" s="4"/>
      <c r="G1541" s="4"/>
      <c r="H1541" s="4">
        <f>'data on outstanding creditors'!$E1541-'data on outstanding creditors'!$F1541-'data on outstanding creditors'!$G1541</f>
        <v>4280</v>
      </c>
      <c r="I1541" s="2"/>
      <c r="J1541" s="1" t="s">
        <v>757</v>
      </c>
      <c r="K1541" s="2">
        <v>45950.0</v>
      </c>
      <c r="L1541" s="5"/>
      <c r="M1541" s="9" t="s">
        <v>22</v>
      </c>
      <c r="N1541" s="9" t="s">
        <v>23</v>
      </c>
      <c r="O1541" s="10">
        <f>'data on outstanding creditors'!$E1541*100/107</f>
        <v>4000</v>
      </c>
      <c r="P1541" s="10">
        <f>'data on outstanding creditors'!$E1541-'data on outstanding creditors'!$O1541</f>
        <v>280</v>
      </c>
      <c r="Q1541" s="7">
        <f>DAY('data on outstanding creditors'!$B1541)</f>
        <v>17</v>
      </c>
      <c r="R1541" s="7">
        <f>MONTH('data on outstanding creditors'!$B1541)</f>
        <v>9</v>
      </c>
      <c r="S1541" s="7">
        <f>YEAR('data on outstanding creditors'!$B1541)</f>
        <v>2025</v>
      </c>
      <c r="T1541" s="11" t="str">
        <f>'data on outstanding creditors'!$C1541&amp;" "&amp;'data on outstanding creditors'!$D1541&amp;" "&amp;TEXT('data on outstanding creditors'!$E1541,"#,##0.00")</f>
        <v>บ.ดีทแฮล์ม เคลเลอร์ โลจิสติกส์ 5449307880 4,280.00</v>
      </c>
      <c r="U1541" s="12"/>
    </row>
    <row r="1542" ht="13.5" customHeight="1">
      <c r="A1542" s="1"/>
      <c r="B1542" s="2">
        <v>45917.0</v>
      </c>
      <c r="C1542" s="9" t="s">
        <v>520</v>
      </c>
      <c r="D1542" s="1" t="s">
        <v>2084</v>
      </c>
      <c r="E1542" s="4">
        <v>12775.8</v>
      </c>
      <c r="F1542" s="4"/>
      <c r="G1542" s="4"/>
      <c r="H1542" s="4">
        <f>'data on outstanding creditors'!$E1542-'data on outstanding creditors'!$F1542-'data on outstanding creditors'!$G1542</f>
        <v>12775.8</v>
      </c>
      <c r="I1542" s="2"/>
      <c r="J1542" s="1" t="s">
        <v>757</v>
      </c>
      <c r="K1542" s="2">
        <v>45950.0</v>
      </c>
      <c r="L1542" s="5"/>
      <c r="M1542" s="9" t="s">
        <v>22</v>
      </c>
      <c r="N1542" s="9" t="s">
        <v>23</v>
      </c>
      <c r="O1542" s="10">
        <f>'data on outstanding creditors'!$E1542*100/107</f>
        <v>11940</v>
      </c>
      <c r="P1542" s="10">
        <f>'data on outstanding creditors'!$E1542-'data on outstanding creditors'!$O1542</f>
        <v>835.8</v>
      </c>
      <c r="Q1542" s="7">
        <f>DAY('data on outstanding creditors'!$B1542)</f>
        <v>17</v>
      </c>
      <c r="R1542" s="7">
        <f>MONTH('data on outstanding creditors'!$B1542)</f>
        <v>9</v>
      </c>
      <c r="S1542" s="7">
        <f>YEAR('data on outstanding creditors'!$B1542)</f>
        <v>2025</v>
      </c>
      <c r="T1542" s="11" t="str">
        <f>'data on outstanding creditors'!$C1542&amp;" "&amp;'data on outstanding creditors'!$D1542&amp;" "&amp;TEXT('data on outstanding creditors'!$E1542,"#,##0.00")</f>
        <v>บ.ซิลลิคฟาร์มา 1318177099 12,775.80</v>
      </c>
      <c r="U1542" s="12"/>
    </row>
    <row r="1543" ht="13.5" customHeight="1">
      <c r="A1543" s="1"/>
      <c r="B1543" s="2">
        <v>45917.0</v>
      </c>
      <c r="C1543" s="9" t="s">
        <v>520</v>
      </c>
      <c r="D1543" s="1" t="s">
        <v>2085</v>
      </c>
      <c r="E1543" s="4">
        <v>16200.0</v>
      </c>
      <c r="F1543" s="4"/>
      <c r="G1543" s="4"/>
      <c r="H1543" s="4">
        <f>'data on outstanding creditors'!$E1543-'data on outstanding creditors'!$F1543-'data on outstanding creditors'!$G1543</f>
        <v>16200</v>
      </c>
      <c r="I1543" s="2"/>
      <c r="J1543" s="1" t="s">
        <v>757</v>
      </c>
      <c r="K1543" s="2">
        <v>45950.0</v>
      </c>
      <c r="L1543" s="5"/>
      <c r="M1543" s="9" t="s">
        <v>22</v>
      </c>
      <c r="N1543" s="9" t="s">
        <v>23</v>
      </c>
      <c r="O1543" s="10">
        <f>'data on outstanding creditors'!$E1543*100/107</f>
        <v>15140.18692</v>
      </c>
      <c r="P1543" s="10">
        <f>'data on outstanding creditors'!$E1543-'data on outstanding creditors'!$O1543</f>
        <v>1059.813084</v>
      </c>
      <c r="Q1543" s="7">
        <f>DAY('data on outstanding creditors'!$B1543)</f>
        <v>17</v>
      </c>
      <c r="R1543" s="7">
        <f>MONTH('data on outstanding creditors'!$B1543)</f>
        <v>9</v>
      </c>
      <c r="S1543" s="7">
        <f>YEAR('data on outstanding creditors'!$B1543)</f>
        <v>2025</v>
      </c>
      <c r="T1543" s="11" t="str">
        <f>'data on outstanding creditors'!$C1543&amp;" "&amp;'data on outstanding creditors'!$D1543&amp;" "&amp;TEXT('data on outstanding creditors'!$E1543,"#,##0.00")</f>
        <v>บ.ซิลลิคฟาร์มา 1318155001 16,200.00</v>
      </c>
      <c r="U1543" s="12"/>
    </row>
    <row r="1544" ht="13.5" customHeight="1">
      <c r="A1544" s="1"/>
      <c r="B1544" s="2">
        <v>45917.0</v>
      </c>
      <c r="C1544" s="9" t="s">
        <v>520</v>
      </c>
      <c r="D1544" s="1" t="s">
        <v>2086</v>
      </c>
      <c r="E1544" s="4">
        <v>32367.5</v>
      </c>
      <c r="F1544" s="4"/>
      <c r="G1544" s="4"/>
      <c r="H1544" s="4">
        <f>'data on outstanding creditors'!$E1544-'data on outstanding creditors'!$F1544-'data on outstanding creditors'!$G1544</f>
        <v>32367.5</v>
      </c>
      <c r="I1544" s="2"/>
      <c r="J1544" s="1" t="s">
        <v>757</v>
      </c>
      <c r="K1544" s="2">
        <v>45951.0</v>
      </c>
      <c r="L1544" s="5"/>
      <c r="M1544" s="9" t="s">
        <v>22</v>
      </c>
      <c r="N1544" s="9" t="s">
        <v>23</v>
      </c>
      <c r="O1544" s="10">
        <f>'data on outstanding creditors'!$E1544*100/107</f>
        <v>30250</v>
      </c>
      <c r="P1544" s="10">
        <f>'data on outstanding creditors'!$E1544-'data on outstanding creditors'!$O1544</f>
        <v>2117.5</v>
      </c>
      <c r="Q1544" s="7">
        <f>DAY('data on outstanding creditors'!$B1544)</f>
        <v>17</v>
      </c>
      <c r="R1544" s="7">
        <f>MONTH('data on outstanding creditors'!$B1544)</f>
        <v>9</v>
      </c>
      <c r="S1544" s="7">
        <f>YEAR('data on outstanding creditors'!$B1544)</f>
        <v>2025</v>
      </c>
      <c r="T1544" s="11" t="str">
        <f>'data on outstanding creditors'!$C1544&amp;" "&amp;'data on outstanding creditors'!$D1544&amp;" "&amp;TEXT('data on outstanding creditors'!$E1544,"#,##0.00")</f>
        <v>บ.ซิลลิคฟาร์มา 1318184559 32,367.50</v>
      </c>
      <c r="U1544" s="12"/>
    </row>
    <row r="1545" ht="13.5" customHeight="1">
      <c r="A1545" s="1"/>
      <c r="B1545" s="2">
        <v>45917.0</v>
      </c>
      <c r="C1545" s="9" t="s">
        <v>263</v>
      </c>
      <c r="D1545" s="1" t="s">
        <v>2087</v>
      </c>
      <c r="E1545" s="4">
        <v>50000.0</v>
      </c>
      <c r="F1545" s="4"/>
      <c r="G1545" s="4"/>
      <c r="H1545" s="4">
        <f>'data on outstanding creditors'!$E1545-'data on outstanding creditors'!$F1545-'data on outstanding creditors'!$G1545</f>
        <v>50000</v>
      </c>
      <c r="I1545" s="2"/>
      <c r="J1545" s="1" t="s">
        <v>757</v>
      </c>
      <c r="K1545" s="2">
        <v>45951.0</v>
      </c>
      <c r="L1545" s="5"/>
      <c r="M1545" s="9" t="s">
        <v>22</v>
      </c>
      <c r="N1545" s="9" t="s">
        <v>23</v>
      </c>
      <c r="O1545" s="10">
        <f>'data on outstanding creditors'!$E1545*100/107</f>
        <v>46728.97196</v>
      </c>
      <c r="P1545" s="10">
        <f>'data on outstanding creditors'!$E1545-'data on outstanding creditors'!$O1545</f>
        <v>3271.028037</v>
      </c>
      <c r="Q1545" s="7">
        <f>DAY('data on outstanding creditors'!$B1545)</f>
        <v>17</v>
      </c>
      <c r="R1545" s="7">
        <f>MONTH('data on outstanding creditors'!$B1545)</f>
        <v>9</v>
      </c>
      <c r="S1545" s="7">
        <f>YEAR('data on outstanding creditors'!$B1545)</f>
        <v>2025</v>
      </c>
      <c r="T1545" s="11" t="str">
        <f>'data on outstanding creditors'!$C1545&amp;" "&amp;'data on outstanding creditors'!$D1545&amp;" "&amp;TEXT('data on outstanding creditors'!$E1545,"#,##0.00")</f>
        <v>บ.เอเบิ้ล เมดิคอล M2509/0259 50,000.00</v>
      </c>
      <c r="U1545" s="12"/>
    </row>
    <row r="1546" ht="13.5" customHeight="1">
      <c r="A1546" s="1"/>
      <c r="B1546" s="2">
        <v>45917.0</v>
      </c>
      <c r="C1546" s="9" t="s">
        <v>1230</v>
      </c>
      <c r="D1546" s="1" t="s">
        <v>2088</v>
      </c>
      <c r="E1546" s="4">
        <v>17000.0</v>
      </c>
      <c r="F1546" s="4"/>
      <c r="G1546" s="4"/>
      <c r="H1546" s="4">
        <f>'data on outstanding creditors'!$E1546-'data on outstanding creditors'!$F1546-'data on outstanding creditors'!$G1546</f>
        <v>17000</v>
      </c>
      <c r="I1546" s="2"/>
      <c r="J1546" s="1" t="s">
        <v>757</v>
      </c>
      <c r="K1546" s="2">
        <v>45951.0</v>
      </c>
      <c r="L1546" s="5"/>
      <c r="M1546" s="9" t="s">
        <v>22</v>
      </c>
      <c r="N1546" s="9" t="s">
        <v>23</v>
      </c>
      <c r="O1546" s="10">
        <f>'data on outstanding creditors'!$E1546*100/107</f>
        <v>15887.85047</v>
      </c>
      <c r="P1546" s="10">
        <f>'data on outstanding creditors'!$E1546-'data on outstanding creditors'!$O1546</f>
        <v>1112.149533</v>
      </c>
      <c r="Q1546" s="7">
        <f>DAY('data on outstanding creditors'!$B1546)</f>
        <v>17</v>
      </c>
      <c r="R1546" s="7">
        <f>MONTH('data on outstanding creditors'!$B1546)</f>
        <v>9</v>
      </c>
      <c r="S1546" s="7">
        <f>YEAR('data on outstanding creditors'!$B1546)</f>
        <v>2025</v>
      </c>
      <c r="T1546" s="11" t="str">
        <f>'data on outstanding creditors'!$C1546&amp;" "&amp;'data on outstanding creditors'!$D1546&amp;" "&amp;TEXT('data on outstanding creditors'!$E1546,"#,##0.00")</f>
        <v>บ.พรอส ฟาร์มา INV-L-IM\2025092459 17,000.00</v>
      </c>
      <c r="U1546" s="12"/>
    </row>
    <row r="1547" ht="13.5" customHeight="1">
      <c r="A1547" s="1"/>
      <c r="B1547" s="2">
        <v>45917.0</v>
      </c>
      <c r="C1547" s="9" t="s">
        <v>24</v>
      </c>
      <c r="D1547" s="1" t="s">
        <v>2089</v>
      </c>
      <c r="E1547" s="4">
        <v>55000.0</v>
      </c>
      <c r="F1547" s="4"/>
      <c r="G1547" s="4"/>
      <c r="H1547" s="4">
        <f>'data on outstanding creditors'!$E1547-'data on outstanding creditors'!$F1547-'data on outstanding creditors'!$G1547</f>
        <v>55000</v>
      </c>
      <c r="I1547" s="2"/>
      <c r="J1547" s="1" t="s">
        <v>757</v>
      </c>
      <c r="K1547" s="2">
        <v>45951.0</v>
      </c>
      <c r="L1547" s="5"/>
      <c r="M1547" s="9" t="s">
        <v>22</v>
      </c>
      <c r="N1547" s="9" t="s">
        <v>23</v>
      </c>
      <c r="O1547" s="10">
        <f>'data on outstanding creditors'!$E1547*100/107</f>
        <v>51401.86916</v>
      </c>
      <c r="P1547" s="10">
        <f>'data on outstanding creditors'!$E1547-'data on outstanding creditors'!$O1547</f>
        <v>3598.130841</v>
      </c>
      <c r="Q1547" s="7">
        <f>DAY('data on outstanding creditors'!$B1547)</f>
        <v>17</v>
      </c>
      <c r="R1547" s="7">
        <f>MONTH('data on outstanding creditors'!$B1547)</f>
        <v>9</v>
      </c>
      <c r="S1547" s="7">
        <f>YEAR('data on outstanding creditors'!$B1547)</f>
        <v>2025</v>
      </c>
      <c r="T1547" s="11" t="str">
        <f>'data on outstanding creditors'!$C1547&amp;" "&amp;'data on outstanding creditors'!$D1547&amp;" "&amp;TEXT('data on outstanding creditors'!$E1547,"#,##0.00")</f>
        <v>บ.เซ็นทรัลโพลีเทรดดิ้ง 31i25051540 55,000.00</v>
      </c>
      <c r="U1547" s="12"/>
    </row>
    <row r="1548" ht="13.5" customHeight="1">
      <c r="A1548" s="1"/>
      <c r="B1548" s="2">
        <v>45917.0</v>
      </c>
      <c r="C1548" s="9" t="s">
        <v>1381</v>
      </c>
      <c r="D1548" s="1" t="s">
        <v>2090</v>
      </c>
      <c r="E1548" s="4">
        <v>54000.0</v>
      </c>
      <c r="F1548" s="4"/>
      <c r="G1548" s="4"/>
      <c r="H1548" s="4">
        <f>'data on outstanding creditors'!$E1548-'data on outstanding creditors'!$F1548-'data on outstanding creditors'!$G1548</f>
        <v>54000</v>
      </c>
      <c r="I1548" s="2"/>
      <c r="J1548" s="1" t="s">
        <v>757</v>
      </c>
      <c r="K1548" s="2">
        <v>45951.0</v>
      </c>
      <c r="L1548" s="5"/>
      <c r="M1548" s="9" t="s">
        <v>22</v>
      </c>
      <c r="N1548" s="9" t="s">
        <v>23</v>
      </c>
      <c r="O1548" s="10">
        <f>'data on outstanding creditors'!$E1548*100/107</f>
        <v>50467.28972</v>
      </c>
      <c r="P1548" s="10">
        <f>'data on outstanding creditors'!$E1548-'data on outstanding creditors'!$O1548</f>
        <v>3532.71028</v>
      </c>
      <c r="Q1548" s="7">
        <f>DAY('data on outstanding creditors'!$B1548)</f>
        <v>17</v>
      </c>
      <c r="R1548" s="7">
        <f>MONTH('data on outstanding creditors'!$B1548)</f>
        <v>9</v>
      </c>
      <c r="S1548" s="7">
        <f>YEAR('data on outstanding creditors'!$B1548)</f>
        <v>2025</v>
      </c>
      <c r="T1548" s="11" t="str">
        <f>'data on outstanding creditors'!$C1548&amp;" "&amp;'data on outstanding creditors'!$D1548&amp;" "&amp;TEXT('data on outstanding creditors'!$E1548,"#,##0.00")</f>
        <v>บ.ที เอ็น พี เฮลท์แคร์ 8103572301 54,000.00</v>
      </c>
      <c r="U1548" s="12"/>
    </row>
    <row r="1549" ht="13.5" customHeight="1">
      <c r="A1549" s="1"/>
      <c r="B1549" s="2">
        <v>45917.0</v>
      </c>
      <c r="C1549" s="9" t="s">
        <v>24</v>
      </c>
      <c r="D1549" s="1" t="s">
        <v>2091</v>
      </c>
      <c r="E1549" s="4">
        <v>20100.0</v>
      </c>
      <c r="F1549" s="4"/>
      <c r="G1549" s="4"/>
      <c r="H1549" s="4">
        <f>'data on outstanding creditors'!$E1549-'data on outstanding creditors'!$F1549-'data on outstanding creditors'!$G1549</f>
        <v>20100</v>
      </c>
      <c r="I1549" s="2"/>
      <c r="J1549" s="1" t="s">
        <v>757</v>
      </c>
      <c r="K1549" s="2">
        <v>45951.0</v>
      </c>
      <c r="L1549" s="5"/>
      <c r="M1549" s="9" t="s">
        <v>22</v>
      </c>
      <c r="N1549" s="9" t="s">
        <v>23</v>
      </c>
      <c r="O1549" s="10">
        <f>'data on outstanding creditors'!$E1549*100/107</f>
        <v>18785.04673</v>
      </c>
      <c r="P1549" s="10">
        <f>'data on outstanding creditors'!$E1549-'data on outstanding creditors'!$O1549</f>
        <v>1314.953271</v>
      </c>
      <c r="Q1549" s="7">
        <f>DAY('data on outstanding creditors'!$B1549)</f>
        <v>17</v>
      </c>
      <c r="R1549" s="7">
        <f>MONTH('data on outstanding creditors'!$B1549)</f>
        <v>9</v>
      </c>
      <c r="S1549" s="7">
        <f>YEAR('data on outstanding creditors'!$B1549)</f>
        <v>2025</v>
      </c>
      <c r="T1549" s="11" t="str">
        <f>'data on outstanding creditors'!$C1549&amp;" "&amp;'data on outstanding creditors'!$D1549&amp;" "&amp;TEXT('data on outstanding creditors'!$E1549,"#,##0.00")</f>
        <v>บ.เซ็นทรัลโพลีเทรดดิ้ง 31i25051541 20,100.00</v>
      </c>
      <c r="U1549" s="12"/>
    </row>
    <row r="1550" ht="13.5" customHeight="1">
      <c r="A1550" s="1"/>
      <c r="B1550" s="2">
        <v>45917.0</v>
      </c>
      <c r="C1550" s="9" t="s">
        <v>922</v>
      </c>
      <c r="D1550" s="1" t="s">
        <v>2092</v>
      </c>
      <c r="E1550" s="4">
        <v>56000.0</v>
      </c>
      <c r="F1550" s="4"/>
      <c r="G1550" s="4"/>
      <c r="H1550" s="4">
        <f>'data on outstanding creditors'!$E1550-'data on outstanding creditors'!$F1550-'data on outstanding creditors'!$G1550</f>
        <v>56000</v>
      </c>
      <c r="I1550" s="2"/>
      <c r="J1550" s="1" t="s">
        <v>757</v>
      </c>
      <c r="K1550" s="2">
        <v>45951.0</v>
      </c>
      <c r="L1550" s="5"/>
      <c r="M1550" s="9" t="s">
        <v>22</v>
      </c>
      <c r="N1550" s="9" t="s">
        <v>23</v>
      </c>
      <c r="O1550" s="10">
        <f>'data on outstanding creditors'!$E1550*100/107</f>
        <v>52336.4486</v>
      </c>
      <c r="P1550" s="10">
        <f>'data on outstanding creditors'!$E1550-'data on outstanding creditors'!$O1550</f>
        <v>3663.551402</v>
      </c>
      <c r="Q1550" s="7">
        <f>DAY('data on outstanding creditors'!$B1550)</f>
        <v>17</v>
      </c>
      <c r="R1550" s="7">
        <f>MONTH('data on outstanding creditors'!$B1550)</f>
        <v>9</v>
      </c>
      <c r="S1550" s="7">
        <f>YEAR('data on outstanding creditors'!$B1550)</f>
        <v>2025</v>
      </c>
      <c r="T1550" s="11" t="str">
        <f>'data on outstanding creditors'!$C1550&amp;" "&amp;'data on outstanding creditors'!$D1550&amp;" "&amp;TEXT('data on outstanding creditors'!$E1550,"#,##0.00")</f>
        <v>บ.เบอร์ลินฟาร์มาซูติคอลอินดัสตรี้ 6810905398 56,000.00</v>
      </c>
      <c r="U1550" s="12"/>
    </row>
    <row r="1551" ht="13.5" customHeight="1">
      <c r="A1551" s="1"/>
      <c r="B1551" s="2">
        <v>45917.0</v>
      </c>
      <c r="C1551" s="9" t="s">
        <v>520</v>
      </c>
      <c r="D1551" s="1" t="s">
        <v>2093</v>
      </c>
      <c r="E1551" s="4">
        <v>17334.0</v>
      </c>
      <c r="F1551" s="4"/>
      <c r="G1551" s="4"/>
      <c r="H1551" s="4">
        <f>'data on outstanding creditors'!$E1551-'data on outstanding creditors'!$F1551-'data on outstanding creditors'!$G1551</f>
        <v>17334</v>
      </c>
      <c r="I1551" s="2"/>
      <c r="J1551" s="1" t="s">
        <v>757</v>
      </c>
      <c r="K1551" s="2">
        <v>45951.0</v>
      </c>
      <c r="L1551" s="5"/>
      <c r="M1551" s="9" t="s">
        <v>22</v>
      </c>
      <c r="N1551" s="9" t="s">
        <v>23</v>
      </c>
      <c r="O1551" s="10">
        <f>'data on outstanding creditors'!$E1551*100/107</f>
        <v>16200</v>
      </c>
      <c r="P1551" s="10">
        <f>'data on outstanding creditors'!$E1551-'data on outstanding creditors'!$O1551</f>
        <v>1134</v>
      </c>
      <c r="Q1551" s="7">
        <f>DAY('data on outstanding creditors'!$B1551)</f>
        <v>17</v>
      </c>
      <c r="R1551" s="7">
        <f>MONTH('data on outstanding creditors'!$B1551)</f>
        <v>9</v>
      </c>
      <c r="S1551" s="7">
        <f>YEAR('data on outstanding creditors'!$B1551)</f>
        <v>2025</v>
      </c>
      <c r="T1551" s="11" t="str">
        <f>'data on outstanding creditors'!$C1551&amp;" "&amp;'data on outstanding creditors'!$D1551&amp;" "&amp;TEXT('data on outstanding creditors'!$E1551,"#,##0.00")</f>
        <v>บ.ซิลลิคฟาร์มา 1318197379 17,334.00</v>
      </c>
      <c r="U1551" s="12"/>
    </row>
    <row r="1552" ht="13.5" customHeight="1">
      <c r="A1552" s="1"/>
      <c r="B1552" s="2">
        <v>45917.0</v>
      </c>
      <c r="C1552" s="9" t="s">
        <v>396</v>
      </c>
      <c r="D1552" s="1" t="s">
        <v>2094</v>
      </c>
      <c r="E1552" s="4">
        <v>43600.0</v>
      </c>
      <c r="F1552" s="4"/>
      <c r="G1552" s="4"/>
      <c r="H1552" s="4">
        <f>'data on outstanding creditors'!$E1552-'data on outstanding creditors'!$F1552-'data on outstanding creditors'!$G1552</f>
        <v>43600</v>
      </c>
      <c r="I1552" s="2"/>
      <c r="J1552" s="1" t="s">
        <v>757</v>
      </c>
      <c r="K1552" s="2">
        <v>45951.0</v>
      </c>
      <c r="L1552" s="5"/>
      <c r="M1552" s="9" t="s">
        <v>22</v>
      </c>
      <c r="N1552" s="9" t="s">
        <v>23</v>
      </c>
      <c r="O1552" s="10">
        <f>'data on outstanding creditors'!$E1552*100/107</f>
        <v>40747.66355</v>
      </c>
      <c r="P1552" s="10">
        <f>'data on outstanding creditors'!$E1552-'data on outstanding creditors'!$O1552</f>
        <v>2852.336449</v>
      </c>
      <c r="Q1552" s="7">
        <f>DAY('data on outstanding creditors'!$B1552)</f>
        <v>17</v>
      </c>
      <c r="R1552" s="7">
        <f>MONTH('data on outstanding creditors'!$B1552)</f>
        <v>9</v>
      </c>
      <c r="S1552" s="7">
        <f>YEAR('data on outstanding creditors'!$B1552)</f>
        <v>2025</v>
      </c>
      <c r="T1552" s="11" t="str">
        <f>'data on outstanding creditors'!$C1552&amp;" "&amp;'data on outstanding creditors'!$D1552&amp;" "&amp;TEXT('data on outstanding creditors'!$E1552,"#,##0.00")</f>
        <v>บ.เยเนอรัล ฮอสปิตัล โปรดัคส์ 25IN08092490 43,600.00</v>
      </c>
      <c r="U1552" s="12"/>
    </row>
    <row r="1553" ht="13.5" customHeight="1">
      <c r="A1553" s="1"/>
      <c r="B1553" s="2">
        <v>45917.0</v>
      </c>
      <c r="C1553" s="9" t="s">
        <v>520</v>
      </c>
      <c r="D1553" s="1" t="s">
        <v>2095</v>
      </c>
      <c r="E1553" s="4">
        <v>17227.0</v>
      </c>
      <c r="F1553" s="4"/>
      <c r="G1553" s="4"/>
      <c r="H1553" s="4">
        <f>'data on outstanding creditors'!$E1553-'data on outstanding creditors'!$F1553-'data on outstanding creditors'!$G1553</f>
        <v>17227</v>
      </c>
      <c r="I1553" s="2"/>
      <c r="J1553" s="1" t="s">
        <v>757</v>
      </c>
      <c r="K1553" s="2">
        <v>45951.0</v>
      </c>
      <c r="L1553" s="5"/>
      <c r="M1553" s="9" t="s">
        <v>22</v>
      </c>
      <c r="N1553" s="9" t="s">
        <v>23</v>
      </c>
      <c r="O1553" s="10">
        <f>'data on outstanding creditors'!$E1553*100/107</f>
        <v>16100</v>
      </c>
      <c r="P1553" s="10">
        <f>'data on outstanding creditors'!$E1553-'data on outstanding creditors'!$O1553</f>
        <v>1127</v>
      </c>
      <c r="Q1553" s="7">
        <f>DAY('data on outstanding creditors'!$B1553)</f>
        <v>17</v>
      </c>
      <c r="R1553" s="7">
        <f>MONTH('data on outstanding creditors'!$B1553)</f>
        <v>9</v>
      </c>
      <c r="S1553" s="7">
        <f>YEAR('data on outstanding creditors'!$B1553)</f>
        <v>2025</v>
      </c>
      <c r="T1553" s="11" t="str">
        <f>'data on outstanding creditors'!$C1553&amp;" "&amp;'data on outstanding creditors'!$D1553&amp;" "&amp;TEXT('data on outstanding creditors'!$E1553,"#,##0.00")</f>
        <v>บ.ซิลลิคฟาร์มา 1318200881 17,227.00</v>
      </c>
      <c r="U1553" s="12"/>
    </row>
    <row r="1554" ht="13.5" customHeight="1">
      <c r="A1554" s="1"/>
      <c r="B1554" s="2">
        <v>45917.0</v>
      </c>
      <c r="C1554" s="9" t="s">
        <v>520</v>
      </c>
      <c r="D1554" s="1" t="s">
        <v>2096</v>
      </c>
      <c r="E1554" s="4">
        <v>242676.0</v>
      </c>
      <c r="F1554" s="4"/>
      <c r="G1554" s="4"/>
      <c r="H1554" s="4">
        <f>'data on outstanding creditors'!$E1554-'data on outstanding creditors'!$F1554-'data on outstanding creditors'!$G1554</f>
        <v>242676</v>
      </c>
      <c r="I1554" s="2"/>
      <c r="J1554" s="1" t="s">
        <v>757</v>
      </c>
      <c r="K1554" s="2">
        <v>45910.0</v>
      </c>
      <c r="L1554" s="5"/>
      <c r="M1554" s="9" t="s">
        <v>22</v>
      </c>
      <c r="N1554" s="9" t="s">
        <v>23</v>
      </c>
      <c r="O1554" s="10">
        <f>'data on outstanding creditors'!$E1554*100/107</f>
        <v>226800</v>
      </c>
      <c r="P1554" s="10">
        <f>'data on outstanding creditors'!$E1554-'data on outstanding creditors'!$O1554</f>
        <v>15876</v>
      </c>
      <c r="Q1554" s="7">
        <f>DAY('data on outstanding creditors'!$B1554)</f>
        <v>17</v>
      </c>
      <c r="R1554" s="7">
        <f>MONTH('data on outstanding creditors'!$B1554)</f>
        <v>9</v>
      </c>
      <c r="S1554" s="7">
        <f>YEAR('data on outstanding creditors'!$B1554)</f>
        <v>2025</v>
      </c>
      <c r="T1554" s="11" t="str">
        <f>'data on outstanding creditors'!$C1554&amp;" "&amp;'data on outstanding creditors'!$D1554&amp;" "&amp;TEXT('data on outstanding creditors'!$E1554,"#,##0.00")</f>
        <v>บ.ซิลลิคฟาร์มา 1318184544 242,676.00</v>
      </c>
      <c r="U1554" s="12"/>
    </row>
    <row r="1555" ht="13.5" customHeight="1">
      <c r="A1555" s="1"/>
      <c r="B1555" s="2">
        <v>45919.0</v>
      </c>
      <c r="C1555" s="9" t="s">
        <v>20</v>
      </c>
      <c r="D1555" s="1" t="s">
        <v>2097</v>
      </c>
      <c r="E1555" s="4">
        <v>22500.0</v>
      </c>
      <c r="F1555" s="4"/>
      <c r="G1555" s="4"/>
      <c r="H1555" s="4">
        <f>'data on outstanding creditors'!$E1555-'data on outstanding creditors'!$F1555-'data on outstanding creditors'!$G1555</f>
        <v>22500</v>
      </c>
      <c r="I1555" s="2"/>
      <c r="J1555" s="1"/>
      <c r="K1555" s="2"/>
      <c r="L1555" s="5"/>
      <c r="M1555" s="9" t="s">
        <v>22</v>
      </c>
      <c r="N1555" s="9" t="s">
        <v>23</v>
      </c>
      <c r="O1555" s="10">
        <f>'data on outstanding creditors'!$E1555*100/107</f>
        <v>21028.03738</v>
      </c>
      <c r="P1555" s="10">
        <f>'data on outstanding creditors'!$E1555-'data on outstanding creditors'!$O1555</f>
        <v>1471.962617</v>
      </c>
      <c r="Q1555" s="7">
        <f>DAY('data on outstanding creditors'!$B1555)</f>
        <v>19</v>
      </c>
      <c r="R1555" s="7">
        <f>MONTH('data on outstanding creditors'!$B1555)</f>
        <v>9</v>
      </c>
      <c r="S1555" s="7">
        <f>YEAR('data on outstanding creditors'!$B1555)</f>
        <v>2025</v>
      </c>
      <c r="T1555" s="11" t="str">
        <f>'data on outstanding creditors'!$C1555&amp;" "&amp;'data on outstanding creditors'!$D1555&amp;" "&amp;TEXT('data on outstanding creditors'!$E1555,"#,##0.00")</f>
        <v>บ.พีเอ็มแอล ฟาร์มาซูติคอลส์ SIS250916-087 22,500.00</v>
      </c>
      <c r="U1555" s="12"/>
    </row>
    <row r="1556" ht="13.5" customHeight="1">
      <c r="A1556" s="1"/>
      <c r="B1556" s="2">
        <v>45919.0</v>
      </c>
      <c r="C1556" s="9" t="s">
        <v>520</v>
      </c>
      <c r="D1556" s="1" t="s">
        <v>2098</v>
      </c>
      <c r="E1556" s="4">
        <v>9341.1</v>
      </c>
      <c r="F1556" s="4"/>
      <c r="G1556" s="4"/>
      <c r="H1556" s="4">
        <f>'data on outstanding creditors'!$E1556-'data on outstanding creditors'!$F1556-'data on outstanding creditors'!$G1556</f>
        <v>9341.1</v>
      </c>
      <c r="I1556" s="2"/>
      <c r="J1556" s="1"/>
      <c r="K1556" s="2"/>
      <c r="L1556" s="5"/>
      <c r="M1556" s="9" t="s">
        <v>22</v>
      </c>
      <c r="N1556" s="9" t="s">
        <v>23</v>
      </c>
      <c r="O1556" s="10">
        <f>'data on outstanding creditors'!$E1556*100/107</f>
        <v>8730</v>
      </c>
      <c r="P1556" s="10">
        <f>'data on outstanding creditors'!$E1556-'data on outstanding creditors'!$O1556</f>
        <v>611.1</v>
      </c>
      <c r="Q1556" s="7">
        <f>DAY('data on outstanding creditors'!$B1556)</f>
        <v>19</v>
      </c>
      <c r="R1556" s="7">
        <f>MONTH('data on outstanding creditors'!$B1556)</f>
        <v>9</v>
      </c>
      <c r="S1556" s="7">
        <f>YEAR('data on outstanding creditors'!$B1556)</f>
        <v>2025</v>
      </c>
      <c r="T1556" s="11" t="str">
        <f>'data on outstanding creditors'!$C1556&amp;" "&amp;'data on outstanding creditors'!$D1556&amp;" "&amp;TEXT('data on outstanding creditors'!$E1556,"#,##0.00")</f>
        <v>บ.ซิลลิคฟาร์มา 1318210111 9,341.10</v>
      </c>
      <c r="U1556" s="12"/>
    </row>
    <row r="1557" ht="13.5" customHeight="1">
      <c r="A1557" s="1"/>
      <c r="B1557" s="2">
        <v>45919.0</v>
      </c>
      <c r="C1557" s="9" t="s">
        <v>1414</v>
      </c>
      <c r="D1557" s="1" t="s">
        <v>2099</v>
      </c>
      <c r="E1557" s="4">
        <v>46000.0</v>
      </c>
      <c r="F1557" s="4"/>
      <c r="G1557" s="4"/>
      <c r="H1557" s="4">
        <f>'data on outstanding creditors'!$E1557-'data on outstanding creditors'!$F1557-'data on outstanding creditors'!$G1557</f>
        <v>46000</v>
      </c>
      <c r="I1557" s="2"/>
      <c r="J1557" s="1"/>
      <c r="K1557" s="2"/>
      <c r="L1557" s="5"/>
      <c r="M1557" s="9" t="s">
        <v>22</v>
      </c>
      <c r="N1557" s="9" t="s">
        <v>23</v>
      </c>
      <c r="O1557" s="10">
        <f>'data on outstanding creditors'!$E1557*100/107</f>
        <v>42990.65421</v>
      </c>
      <c r="P1557" s="10">
        <f>'data on outstanding creditors'!$E1557-'data on outstanding creditors'!$O1557</f>
        <v>3009.345794</v>
      </c>
      <c r="Q1557" s="7">
        <f>DAY('data on outstanding creditors'!$B1557)</f>
        <v>19</v>
      </c>
      <c r="R1557" s="7">
        <f>MONTH('data on outstanding creditors'!$B1557)</f>
        <v>9</v>
      </c>
      <c r="S1557" s="7">
        <f>YEAR('data on outstanding creditors'!$B1557)</f>
        <v>2025</v>
      </c>
      <c r="T1557" s="11" t="str">
        <f>'data on outstanding creditors'!$C1557&amp;" "&amp;'data on outstanding creditors'!$D1557&amp;" "&amp;TEXT('data on outstanding creditors'!$E1557,"#,##0.00")</f>
        <v>บ.ฟาร์มีน่า 68388129 46,000.00</v>
      </c>
      <c r="U1557" s="12"/>
    </row>
    <row r="1558" ht="13.5" customHeight="1">
      <c r="A1558" s="1"/>
      <c r="B1558" s="2">
        <v>45923.0</v>
      </c>
      <c r="C1558" s="9" t="s">
        <v>1824</v>
      </c>
      <c r="D1558" s="1" t="s">
        <v>2100</v>
      </c>
      <c r="E1558" s="4">
        <v>56000.0</v>
      </c>
      <c r="F1558" s="4"/>
      <c r="G1558" s="4"/>
      <c r="H1558" s="4">
        <f>'data on outstanding creditors'!$E1558-'data on outstanding creditors'!$F1558-'data on outstanding creditors'!$G1558</f>
        <v>56000</v>
      </c>
      <c r="I1558" s="2"/>
      <c r="J1558" s="1"/>
      <c r="K1558" s="2"/>
      <c r="L1558" s="5"/>
      <c r="M1558" s="9" t="s">
        <v>22</v>
      </c>
      <c r="N1558" s="9" t="s">
        <v>23</v>
      </c>
      <c r="O1558" s="10">
        <f>'data on outstanding creditors'!$E1558*100/107</f>
        <v>52336.4486</v>
      </c>
      <c r="P1558" s="10">
        <f>'data on outstanding creditors'!$E1558-'data on outstanding creditors'!$O1558</f>
        <v>3663.551402</v>
      </c>
      <c r="Q1558" s="7">
        <f>DAY('data on outstanding creditors'!$B1558)</f>
        <v>23</v>
      </c>
      <c r="R1558" s="7">
        <f>MONTH('data on outstanding creditors'!$B1558)</f>
        <v>9</v>
      </c>
      <c r="S1558" s="7">
        <f>YEAR('data on outstanding creditors'!$B1558)</f>
        <v>2025</v>
      </c>
      <c r="T1558" s="11" t="str">
        <f>'data on outstanding creditors'!$C1558&amp;" "&amp;'data on outstanding creditors'!$D1558&amp;" "&amp;TEXT('data on outstanding creditors'!$E1558,"#,##0.00")</f>
        <v>สถานเสาวภา สภากาชาดไทย 9362/468080 56,000.00</v>
      </c>
      <c r="U1558" s="12"/>
    </row>
    <row r="1559" ht="13.5" customHeight="1">
      <c r="A1559" s="1"/>
      <c r="B1559" s="2">
        <v>45923.0</v>
      </c>
      <c r="C1559" s="9" t="s">
        <v>2101</v>
      </c>
      <c r="D1559" s="1" t="s">
        <v>2102</v>
      </c>
      <c r="E1559" s="4">
        <v>5400.0</v>
      </c>
      <c r="F1559" s="4"/>
      <c r="G1559" s="4"/>
      <c r="H1559" s="4">
        <f>'data on outstanding creditors'!$E1559-'data on outstanding creditors'!$F1559-'data on outstanding creditors'!$G1559</f>
        <v>5400</v>
      </c>
      <c r="I1559" s="2"/>
      <c r="J1559" s="1"/>
      <c r="K1559" s="2"/>
      <c r="L1559" s="5"/>
      <c r="M1559" s="9" t="s">
        <v>22</v>
      </c>
      <c r="N1559" s="9" t="s">
        <v>23</v>
      </c>
      <c r="O1559" s="10">
        <f>'data on outstanding creditors'!$E1559*100/107</f>
        <v>5046.728972</v>
      </c>
      <c r="P1559" s="10">
        <f>'data on outstanding creditors'!$E1559-'data on outstanding creditors'!$O1559</f>
        <v>353.271028</v>
      </c>
      <c r="Q1559" s="7">
        <f>DAY('data on outstanding creditors'!$B1559)</f>
        <v>23</v>
      </c>
      <c r="R1559" s="7">
        <f>MONTH('data on outstanding creditors'!$B1559)</f>
        <v>9</v>
      </c>
      <c r="S1559" s="7">
        <f>YEAR('data on outstanding creditors'!$B1559)</f>
        <v>2025</v>
      </c>
      <c r="T1559" s="11" t="str">
        <f>'data on outstanding creditors'!$C1559&amp;" "&amp;'data on outstanding creditors'!$D1559&amp;" "&amp;TEXT('data on outstanding creditors'!$E1559,"#,##0.00")</f>
        <v>โรงงานเภสัชกรรมทหาร IV68/03104 5,400.00</v>
      </c>
      <c r="U1559" s="12"/>
    </row>
    <row r="1560" ht="13.5" customHeight="1">
      <c r="A1560" s="1"/>
      <c r="B1560" s="2">
        <v>45923.0</v>
      </c>
      <c r="C1560" s="9" t="s">
        <v>1391</v>
      </c>
      <c r="D1560" s="1" t="s">
        <v>2103</v>
      </c>
      <c r="E1560" s="4">
        <v>19200.0</v>
      </c>
      <c r="F1560" s="4"/>
      <c r="G1560" s="4"/>
      <c r="H1560" s="4">
        <f>'data on outstanding creditors'!$E1560-'data on outstanding creditors'!$F1560-'data on outstanding creditors'!$G1560</f>
        <v>19200</v>
      </c>
      <c r="I1560" s="2"/>
      <c r="J1560" s="1"/>
      <c r="K1560" s="2"/>
      <c r="L1560" s="5"/>
      <c r="M1560" s="9" t="s">
        <v>22</v>
      </c>
      <c r="N1560" s="9" t="s">
        <v>23</v>
      </c>
      <c r="O1560" s="10">
        <f>'data on outstanding creditors'!$E1560*100/107</f>
        <v>17943.92523</v>
      </c>
      <c r="P1560" s="10">
        <f>'data on outstanding creditors'!$E1560-'data on outstanding creditors'!$O1560</f>
        <v>1256.074766</v>
      </c>
      <c r="Q1560" s="7">
        <f>DAY('data on outstanding creditors'!$B1560)</f>
        <v>23</v>
      </c>
      <c r="R1560" s="7">
        <f>MONTH('data on outstanding creditors'!$B1560)</f>
        <v>9</v>
      </c>
      <c r="S1560" s="7">
        <f>YEAR('data on outstanding creditors'!$B1560)</f>
        <v>2025</v>
      </c>
      <c r="T1560" s="11" t="str">
        <f>'data on outstanding creditors'!$C1560&amp;" "&amp;'data on outstanding creditors'!$D1560&amp;" "&amp;TEXT('data on outstanding creditors'!$E1560,"#,##0.00")</f>
        <v>บ.ที.พี.ดรัก แลบบอราทอรี่ส์ VIV125091460 19,200.00</v>
      </c>
      <c r="U1560" s="12"/>
    </row>
    <row r="1561" ht="13.5" customHeight="1">
      <c r="A1561" s="1"/>
      <c r="B1561" s="2">
        <v>45923.0</v>
      </c>
      <c r="C1561" s="9" t="s">
        <v>399</v>
      </c>
      <c r="D1561" s="1" t="s">
        <v>2104</v>
      </c>
      <c r="E1561" s="4">
        <v>42714.4</v>
      </c>
      <c r="F1561" s="4"/>
      <c r="G1561" s="4"/>
      <c r="H1561" s="4">
        <f>'data on outstanding creditors'!$E1561-'data on outstanding creditors'!$F1561-'data on outstanding creditors'!$G1561</f>
        <v>42714.4</v>
      </c>
      <c r="I1561" s="2"/>
      <c r="J1561" s="1"/>
      <c r="K1561" s="2"/>
      <c r="L1561" s="5"/>
      <c r="M1561" s="9" t="s">
        <v>22</v>
      </c>
      <c r="N1561" s="9" t="s">
        <v>23</v>
      </c>
      <c r="O1561" s="10">
        <f>'data on outstanding creditors'!$E1561*100/107</f>
        <v>39920</v>
      </c>
      <c r="P1561" s="10">
        <f>'data on outstanding creditors'!$E1561-'data on outstanding creditors'!$O1561</f>
        <v>2794.4</v>
      </c>
      <c r="Q1561" s="7">
        <f>DAY('data on outstanding creditors'!$B1561)</f>
        <v>23</v>
      </c>
      <c r="R1561" s="7">
        <f>MONTH('data on outstanding creditors'!$B1561)</f>
        <v>9</v>
      </c>
      <c r="S1561" s="7">
        <f>YEAR('data on outstanding creditors'!$B1561)</f>
        <v>2025</v>
      </c>
      <c r="T1561" s="11" t="str">
        <f>'data on outstanding creditors'!$C1561&amp;" "&amp;'data on outstanding creditors'!$D1561&amp;" "&amp;TEXT('data on outstanding creditors'!$E1561,"#,##0.00")</f>
        <v>บ.ดีเคเอสเอช(ประเทศไทย) 5344398903 42,714.40</v>
      </c>
      <c r="U1561" s="12"/>
    </row>
    <row r="1562" ht="13.5" customHeight="1">
      <c r="A1562" s="1"/>
      <c r="B1562" s="2">
        <v>45924.0</v>
      </c>
      <c r="C1562" s="9" t="s">
        <v>813</v>
      </c>
      <c r="D1562" s="1" t="s">
        <v>2105</v>
      </c>
      <c r="E1562" s="4">
        <v>3250.0</v>
      </c>
      <c r="F1562" s="4"/>
      <c r="G1562" s="4"/>
      <c r="H1562" s="4">
        <f>'data on outstanding creditors'!$E1562-'data on outstanding creditors'!$F1562-'data on outstanding creditors'!$G1562</f>
        <v>3250</v>
      </c>
      <c r="I1562" s="2"/>
      <c r="J1562" s="1"/>
      <c r="K1562" s="2"/>
      <c r="L1562" s="5"/>
      <c r="M1562" s="9" t="s">
        <v>22</v>
      </c>
      <c r="N1562" s="9" t="s">
        <v>23</v>
      </c>
      <c r="O1562" s="10">
        <f>'data on outstanding creditors'!$E1562*100/107</f>
        <v>3037.383178</v>
      </c>
      <c r="P1562" s="10">
        <f>'data on outstanding creditors'!$E1562-'data on outstanding creditors'!$O1562</f>
        <v>212.6168224</v>
      </c>
      <c r="Q1562" s="7">
        <f>DAY('data on outstanding creditors'!$B1562)</f>
        <v>24</v>
      </c>
      <c r="R1562" s="7">
        <f>MONTH('data on outstanding creditors'!$B1562)</f>
        <v>9</v>
      </c>
      <c r="S1562" s="7">
        <f>YEAR('data on outstanding creditors'!$B1562)</f>
        <v>2025</v>
      </c>
      <c r="T1562" s="11" t="str">
        <f>'data on outstanding creditors'!$C1562&amp;" "&amp;'data on outstanding creditors'!$D1562&amp;" "&amp;TEXT('data on outstanding creditors'!$E1562,"#,##0.00")</f>
        <v>บ.ที.แมน ฟาร์มาซูติคอล IST250121734 3,250.00</v>
      </c>
      <c r="U1562" s="12"/>
    </row>
    <row r="1563" ht="13.5" customHeight="1">
      <c r="A1563" s="1"/>
      <c r="B1563" s="2">
        <v>45924.0</v>
      </c>
      <c r="C1563" s="9" t="s">
        <v>813</v>
      </c>
      <c r="D1563" s="1" t="s">
        <v>2106</v>
      </c>
      <c r="E1563" s="4">
        <v>4200.0</v>
      </c>
      <c r="F1563" s="4"/>
      <c r="G1563" s="4"/>
      <c r="H1563" s="4">
        <f>'data on outstanding creditors'!$E1563-'data on outstanding creditors'!$F1563-'data on outstanding creditors'!$G1563</f>
        <v>4200</v>
      </c>
      <c r="I1563" s="2"/>
      <c r="J1563" s="1"/>
      <c r="K1563" s="2"/>
      <c r="L1563" s="5"/>
      <c r="M1563" s="9" t="s">
        <v>22</v>
      </c>
      <c r="N1563" s="9" t="s">
        <v>23</v>
      </c>
      <c r="O1563" s="10">
        <f>'data on outstanding creditors'!$E1563*100/107</f>
        <v>3925.233645</v>
      </c>
      <c r="P1563" s="10">
        <f>'data on outstanding creditors'!$E1563-'data on outstanding creditors'!$O1563</f>
        <v>274.7663551</v>
      </c>
      <c r="Q1563" s="7">
        <f>DAY('data on outstanding creditors'!$B1563)</f>
        <v>24</v>
      </c>
      <c r="R1563" s="7">
        <f>MONTH('data on outstanding creditors'!$B1563)</f>
        <v>9</v>
      </c>
      <c r="S1563" s="7">
        <f>YEAR('data on outstanding creditors'!$B1563)</f>
        <v>2025</v>
      </c>
      <c r="T1563" s="11" t="str">
        <f>'data on outstanding creditors'!$C1563&amp;" "&amp;'data on outstanding creditors'!$D1563&amp;" "&amp;TEXT('data on outstanding creditors'!$E1563,"#,##0.00")</f>
        <v>บ.ที.แมน ฟาร์มาซูติคอล IST250148458 4,200.00</v>
      </c>
      <c r="U1563" s="12"/>
    </row>
    <row r="1564" ht="13.5" customHeight="1">
      <c r="A1564" s="1"/>
      <c r="B1564" s="2">
        <v>45924.0</v>
      </c>
      <c r="C1564" s="9" t="s">
        <v>1432</v>
      </c>
      <c r="D1564" s="1" t="s">
        <v>2107</v>
      </c>
      <c r="E1564" s="4">
        <v>2200.0</v>
      </c>
      <c r="F1564" s="4"/>
      <c r="G1564" s="4"/>
      <c r="H1564" s="4">
        <f>'data on outstanding creditors'!$E1564-'data on outstanding creditors'!$F1564-'data on outstanding creditors'!$G1564</f>
        <v>2200</v>
      </c>
      <c r="I1564" s="2"/>
      <c r="J1564" s="1"/>
      <c r="K1564" s="2"/>
      <c r="L1564" s="5"/>
      <c r="M1564" s="9" t="s">
        <v>22</v>
      </c>
      <c r="N1564" s="9" t="s">
        <v>23</v>
      </c>
      <c r="O1564" s="10">
        <f>'data on outstanding creditors'!$E1564*100/107</f>
        <v>2056.074766</v>
      </c>
      <c r="P1564" s="10">
        <f>'data on outstanding creditors'!$E1564-'data on outstanding creditors'!$O1564</f>
        <v>143.9252336</v>
      </c>
      <c r="Q1564" s="7">
        <f>DAY('data on outstanding creditors'!$B1564)</f>
        <v>24</v>
      </c>
      <c r="R1564" s="7">
        <f>MONTH('data on outstanding creditors'!$B1564)</f>
        <v>9</v>
      </c>
      <c r="S1564" s="7">
        <f>YEAR('data on outstanding creditors'!$B1564)</f>
        <v>2025</v>
      </c>
      <c r="T1564" s="11" t="str">
        <f>'data on outstanding creditors'!$C1564&amp;" "&amp;'data on outstanding creditors'!$D1564&amp;" "&amp;TEXT('data on outstanding creditors'!$E1564,"#,##0.00")</f>
        <v>บ.ยูโทเปี้ยน PB6809343 2,200.00</v>
      </c>
      <c r="U1564" s="12"/>
    </row>
    <row r="1565" ht="13.5" customHeight="1">
      <c r="A1565" s="1"/>
      <c r="B1565" s="2">
        <v>45924.0</v>
      </c>
      <c r="C1565" s="9" t="s">
        <v>1432</v>
      </c>
      <c r="D1565" s="1" t="s">
        <v>2108</v>
      </c>
      <c r="E1565" s="4">
        <v>4000.0</v>
      </c>
      <c r="F1565" s="4"/>
      <c r="G1565" s="4"/>
      <c r="H1565" s="4">
        <f>'data on outstanding creditors'!$E1565-'data on outstanding creditors'!$F1565-'data on outstanding creditors'!$G1565</f>
        <v>4000</v>
      </c>
      <c r="I1565" s="2"/>
      <c r="J1565" s="1"/>
      <c r="K1565" s="2"/>
      <c r="L1565" s="5"/>
      <c r="M1565" s="9" t="s">
        <v>22</v>
      </c>
      <c r="N1565" s="9" t="s">
        <v>23</v>
      </c>
      <c r="O1565" s="10">
        <f>'data on outstanding creditors'!$E1565*100/107</f>
        <v>3738.317757</v>
      </c>
      <c r="P1565" s="10">
        <f>'data on outstanding creditors'!$E1565-'data on outstanding creditors'!$O1565</f>
        <v>261.682243</v>
      </c>
      <c r="Q1565" s="7">
        <f>DAY('data on outstanding creditors'!$B1565)</f>
        <v>24</v>
      </c>
      <c r="R1565" s="7">
        <f>MONTH('data on outstanding creditors'!$B1565)</f>
        <v>9</v>
      </c>
      <c r="S1565" s="7">
        <f>YEAR('data on outstanding creditors'!$B1565)</f>
        <v>2025</v>
      </c>
      <c r="T1565" s="11" t="str">
        <f>'data on outstanding creditors'!$C1565&amp;" "&amp;'data on outstanding creditors'!$D1565&amp;" "&amp;TEXT('data on outstanding creditors'!$E1565,"#,##0.00")</f>
        <v>บ.ยูโทเปี้ยน IV2509487 4,000.00</v>
      </c>
      <c r="U1565" s="12"/>
    </row>
    <row r="1566" ht="13.5" customHeight="1">
      <c r="A1566" s="1"/>
      <c r="B1566" s="2">
        <v>45924.0</v>
      </c>
      <c r="C1566" s="9" t="s">
        <v>1234</v>
      </c>
      <c r="D1566" s="1" t="s">
        <v>2109</v>
      </c>
      <c r="E1566" s="4">
        <v>3300.0</v>
      </c>
      <c r="F1566" s="4"/>
      <c r="G1566" s="4"/>
      <c r="H1566" s="4">
        <f>'data on outstanding creditors'!$E1566-'data on outstanding creditors'!$F1566-'data on outstanding creditors'!$G1566</f>
        <v>3300</v>
      </c>
      <c r="I1566" s="2"/>
      <c r="J1566" s="1"/>
      <c r="K1566" s="2"/>
      <c r="L1566" s="5"/>
      <c r="M1566" s="9" t="s">
        <v>22</v>
      </c>
      <c r="N1566" s="9" t="s">
        <v>23</v>
      </c>
      <c r="O1566" s="10">
        <f>'data on outstanding creditors'!$E1566*100/107</f>
        <v>3084.11215</v>
      </c>
      <c r="P1566" s="10">
        <f>'data on outstanding creditors'!$E1566-'data on outstanding creditors'!$O1566</f>
        <v>215.8878505</v>
      </c>
      <c r="Q1566" s="7">
        <f>DAY('data on outstanding creditors'!$B1566)</f>
        <v>24</v>
      </c>
      <c r="R1566" s="7">
        <f>MONTH('data on outstanding creditors'!$B1566)</f>
        <v>9</v>
      </c>
      <c r="S1566" s="7">
        <f>YEAR('data on outstanding creditors'!$B1566)</f>
        <v>2025</v>
      </c>
      <c r="T1566" s="11" t="str">
        <f>'data on outstanding creditors'!$C1566&amp;" "&amp;'data on outstanding creditors'!$D1566&amp;" "&amp;TEXT('data on outstanding creditors'!$E1566,"#,##0.00")</f>
        <v>บ.คอนติเนนเติล-ฟาร์ม 250900794 3,300.00</v>
      </c>
      <c r="U1566" s="12"/>
    </row>
    <row r="1567" ht="13.5" customHeight="1">
      <c r="A1567" s="1"/>
      <c r="B1567" s="2">
        <v>45924.0</v>
      </c>
      <c r="C1567" s="9" t="s">
        <v>396</v>
      </c>
      <c r="D1567" s="1" t="s">
        <v>2110</v>
      </c>
      <c r="E1567" s="4">
        <v>44000.0</v>
      </c>
      <c r="F1567" s="4"/>
      <c r="G1567" s="4"/>
      <c r="H1567" s="4">
        <f>'data on outstanding creditors'!$E1567-'data on outstanding creditors'!$F1567-'data on outstanding creditors'!$G1567</f>
        <v>44000</v>
      </c>
      <c r="I1567" s="2"/>
      <c r="J1567" s="1"/>
      <c r="K1567" s="2"/>
      <c r="L1567" s="5"/>
      <c r="M1567" s="9" t="s">
        <v>22</v>
      </c>
      <c r="N1567" s="9" t="s">
        <v>23</v>
      </c>
      <c r="O1567" s="10">
        <f>'data on outstanding creditors'!$E1567*100/107</f>
        <v>41121.49533</v>
      </c>
      <c r="P1567" s="10">
        <f>'data on outstanding creditors'!$E1567-'data on outstanding creditors'!$O1567</f>
        <v>2878.504673</v>
      </c>
      <c r="Q1567" s="7">
        <f>DAY('data on outstanding creditors'!$B1567)</f>
        <v>24</v>
      </c>
      <c r="R1567" s="7">
        <f>MONTH('data on outstanding creditors'!$B1567)</f>
        <v>9</v>
      </c>
      <c r="S1567" s="7">
        <f>YEAR('data on outstanding creditors'!$B1567)</f>
        <v>2025</v>
      </c>
      <c r="T1567" s="11" t="str">
        <f>'data on outstanding creditors'!$C1567&amp;" "&amp;'data on outstanding creditors'!$D1567&amp;" "&amp;TEXT('data on outstanding creditors'!$E1567,"#,##0.00")</f>
        <v>บ.เยเนอรัล ฮอสปิตัล โปรดัคส์ 25IN08093709 44,000.00</v>
      </c>
      <c r="U1567" s="12"/>
    </row>
    <row r="1568" ht="13.5" customHeight="1">
      <c r="A1568" s="1"/>
      <c r="B1568" s="2">
        <v>45924.0</v>
      </c>
      <c r="C1568" s="9" t="s">
        <v>520</v>
      </c>
      <c r="D1568" s="1" t="s">
        <v>2111</v>
      </c>
      <c r="E1568" s="4">
        <v>23352.75</v>
      </c>
      <c r="F1568" s="4"/>
      <c r="G1568" s="4"/>
      <c r="H1568" s="4">
        <f>'data on outstanding creditors'!$E1568-'data on outstanding creditors'!$F1568-'data on outstanding creditors'!$G1568</f>
        <v>23352.75</v>
      </c>
      <c r="I1568" s="2"/>
      <c r="J1568" s="1"/>
      <c r="K1568" s="2"/>
      <c r="L1568" s="5"/>
      <c r="M1568" s="9" t="s">
        <v>22</v>
      </c>
      <c r="N1568" s="9" t="s">
        <v>44</v>
      </c>
      <c r="O1568" s="10">
        <f>'data on outstanding creditors'!$E1568*100/107</f>
        <v>21825</v>
      </c>
      <c r="P1568" s="10">
        <f>'data on outstanding creditors'!$E1568-'data on outstanding creditors'!$O1568</f>
        <v>1527.75</v>
      </c>
      <c r="Q1568" s="7">
        <f>DAY('data on outstanding creditors'!$B1568)</f>
        <v>24</v>
      </c>
      <c r="R1568" s="7">
        <f>MONTH('data on outstanding creditors'!$B1568)</f>
        <v>9</v>
      </c>
      <c r="S1568" s="7">
        <f>YEAR('data on outstanding creditors'!$B1568)</f>
        <v>2025</v>
      </c>
      <c r="T1568" s="11" t="str">
        <f>'data on outstanding creditors'!$C1568&amp;" "&amp;'data on outstanding creditors'!$D1568&amp;" "&amp;TEXT('data on outstanding creditors'!$E1568,"#,##0.00")</f>
        <v>บ.ซิลลิคฟาร์มา 1318243711 23,352.75</v>
      </c>
      <c r="U1568" s="12"/>
    </row>
    <row r="1569" ht="13.5" customHeight="1">
      <c r="A1569" s="1"/>
      <c r="B1569" s="2">
        <v>45924.0</v>
      </c>
      <c r="C1569" s="9" t="s">
        <v>520</v>
      </c>
      <c r="D1569" s="1" t="s">
        <v>2112</v>
      </c>
      <c r="E1569" s="4">
        <v>5029.0</v>
      </c>
      <c r="F1569" s="4"/>
      <c r="G1569" s="4"/>
      <c r="H1569" s="4">
        <f>'data on outstanding creditors'!$E1569-'data on outstanding creditors'!$F1569-'data on outstanding creditors'!$G1569</f>
        <v>5029</v>
      </c>
      <c r="I1569" s="2"/>
      <c r="J1569" s="1"/>
      <c r="K1569" s="2"/>
      <c r="L1569" s="5"/>
      <c r="M1569" s="9" t="s">
        <v>22</v>
      </c>
      <c r="N1569" s="9" t="s">
        <v>23</v>
      </c>
      <c r="O1569" s="10">
        <f>'data on outstanding creditors'!$E1569*100/107</f>
        <v>4700</v>
      </c>
      <c r="P1569" s="10">
        <f>'data on outstanding creditors'!$E1569-'data on outstanding creditors'!$O1569</f>
        <v>329</v>
      </c>
      <c r="Q1569" s="7">
        <f>DAY('data on outstanding creditors'!$B1569)</f>
        <v>24</v>
      </c>
      <c r="R1569" s="7">
        <f>MONTH('data on outstanding creditors'!$B1569)</f>
        <v>9</v>
      </c>
      <c r="S1569" s="7">
        <f>YEAR('data on outstanding creditors'!$B1569)</f>
        <v>2025</v>
      </c>
      <c r="T1569" s="11" t="str">
        <f>'data on outstanding creditors'!$C1569&amp;" "&amp;'data on outstanding creditors'!$D1569&amp;" "&amp;TEXT('data on outstanding creditors'!$E1569,"#,##0.00")</f>
        <v>บ.ซิลลิคฟาร์มา 1318231041 5,029.00</v>
      </c>
      <c r="U1569" s="12"/>
    </row>
    <row r="1570" ht="13.5" customHeight="1">
      <c r="A1570" s="1"/>
      <c r="B1570" s="2">
        <v>45924.0</v>
      </c>
      <c r="C1570" s="9" t="s">
        <v>520</v>
      </c>
      <c r="D1570" s="1" t="s">
        <v>2113</v>
      </c>
      <c r="E1570" s="4">
        <v>31993.0</v>
      </c>
      <c r="F1570" s="4"/>
      <c r="G1570" s="4"/>
      <c r="H1570" s="4">
        <f>'data on outstanding creditors'!$E1570-'data on outstanding creditors'!$F1570-'data on outstanding creditors'!$G1570</f>
        <v>31993</v>
      </c>
      <c r="I1570" s="2"/>
      <c r="J1570" s="1"/>
      <c r="K1570" s="2"/>
      <c r="L1570" s="5"/>
      <c r="M1570" s="9" t="s">
        <v>22</v>
      </c>
      <c r="N1570" s="9" t="s">
        <v>23</v>
      </c>
      <c r="O1570" s="10">
        <f>'data on outstanding creditors'!$E1570*100/107</f>
        <v>29900</v>
      </c>
      <c r="P1570" s="10">
        <f>'data on outstanding creditors'!$E1570-'data on outstanding creditors'!$O1570</f>
        <v>2093</v>
      </c>
      <c r="Q1570" s="7">
        <f>DAY('data on outstanding creditors'!$B1570)</f>
        <v>24</v>
      </c>
      <c r="R1570" s="7">
        <f>MONTH('data on outstanding creditors'!$B1570)</f>
        <v>9</v>
      </c>
      <c r="S1570" s="7">
        <f>YEAR('data on outstanding creditors'!$B1570)</f>
        <v>2025</v>
      </c>
      <c r="T1570" s="11" t="str">
        <f>'data on outstanding creditors'!$C1570&amp;" "&amp;'data on outstanding creditors'!$D1570&amp;" "&amp;TEXT('data on outstanding creditors'!$E1570,"#,##0.00")</f>
        <v>บ.ซิลลิคฟาร์มา 1318244177 31,993.00</v>
      </c>
      <c r="U1570" s="12"/>
    </row>
    <row r="1571" ht="13.5" customHeight="1">
      <c r="A1571" s="1"/>
      <c r="B1571" s="2">
        <v>45924.0</v>
      </c>
      <c r="C1571" s="9" t="s">
        <v>1454</v>
      </c>
      <c r="D1571" s="1" t="s">
        <v>2114</v>
      </c>
      <c r="E1571" s="4">
        <v>72000.0</v>
      </c>
      <c r="F1571" s="4"/>
      <c r="G1571" s="4"/>
      <c r="H1571" s="4">
        <f>'data on outstanding creditors'!$E1571-'data on outstanding creditors'!$F1571-'data on outstanding creditors'!$G1571</f>
        <v>72000</v>
      </c>
      <c r="I1571" s="2"/>
      <c r="J1571" s="1" t="s">
        <v>757</v>
      </c>
      <c r="K1571" s="2">
        <v>45937.0</v>
      </c>
      <c r="L1571" s="5"/>
      <c r="M1571" s="9" t="s">
        <v>22</v>
      </c>
      <c r="N1571" s="9" t="s">
        <v>23</v>
      </c>
      <c r="O1571" s="10">
        <f>'data on outstanding creditors'!$E1571*100/107</f>
        <v>67289.71963</v>
      </c>
      <c r="P1571" s="10">
        <f>'data on outstanding creditors'!$E1571-'data on outstanding creditors'!$O1571</f>
        <v>4710.280374</v>
      </c>
      <c r="Q1571" s="7">
        <f>DAY('data on outstanding creditors'!$B1571)</f>
        <v>24</v>
      </c>
      <c r="R1571" s="7">
        <f>MONTH('data on outstanding creditors'!$B1571)</f>
        <v>9</v>
      </c>
      <c r="S1571" s="7">
        <f>YEAR('data on outstanding creditors'!$B1571)</f>
        <v>2025</v>
      </c>
      <c r="T1571" s="11" t="str">
        <f>'data on outstanding creditors'!$C1571&amp;" "&amp;'data on outstanding creditors'!$D1571&amp;" "&amp;TEXT('data on outstanding creditors'!$E1571,"#,##0.00")</f>
        <v>บ.พรีเมด ฟาร์มา พลัส PL680900460 72,000.00</v>
      </c>
      <c r="U1571" s="12"/>
    </row>
    <row r="1572" ht="13.5" customHeight="1">
      <c r="A1572" s="1"/>
      <c r="B1572" s="2">
        <v>45924.0</v>
      </c>
      <c r="C1572" s="9" t="s">
        <v>24</v>
      </c>
      <c r="D1572" s="1" t="s">
        <v>2115</v>
      </c>
      <c r="E1572" s="4">
        <v>42000.0</v>
      </c>
      <c r="F1572" s="4"/>
      <c r="G1572" s="4"/>
      <c r="H1572" s="4">
        <f>'data on outstanding creditors'!$E1572-'data on outstanding creditors'!$F1572-'data on outstanding creditors'!$G1572</f>
        <v>42000</v>
      </c>
      <c r="I1572" s="2"/>
      <c r="J1572" s="1" t="s">
        <v>757</v>
      </c>
      <c r="K1572" s="2">
        <v>45937.0</v>
      </c>
      <c r="L1572" s="5"/>
      <c r="M1572" s="9" t="s">
        <v>22</v>
      </c>
      <c r="N1572" s="9" t="s">
        <v>23</v>
      </c>
      <c r="O1572" s="10">
        <f>'data on outstanding creditors'!$E1572*100/107</f>
        <v>39252.33645</v>
      </c>
      <c r="P1572" s="10">
        <f>'data on outstanding creditors'!$E1572-'data on outstanding creditors'!$O1572</f>
        <v>2747.663551</v>
      </c>
      <c r="Q1572" s="7">
        <f>DAY('data on outstanding creditors'!$B1572)</f>
        <v>24</v>
      </c>
      <c r="R1572" s="7">
        <f>MONTH('data on outstanding creditors'!$B1572)</f>
        <v>9</v>
      </c>
      <c r="S1572" s="7">
        <f>YEAR('data on outstanding creditors'!$B1572)</f>
        <v>2025</v>
      </c>
      <c r="T1572" s="11" t="str">
        <f>'data on outstanding creditors'!$C1572&amp;" "&amp;'data on outstanding creditors'!$D1572&amp;" "&amp;TEXT('data on outstanding creditors'!$E1572,"#,##0.00")</f>
        <v>บ.เซ็นทรัลโพลีเทรดดิ้ง 31i25052405 42,000.00</v>
      </c>
      <c r="U1572" s="12"/>
    </row>
    <row r="1573" ht="13.5" customHeight="1">
      <c r="A1573" s="1"/>
      <c r="B1573" s="2">
        <v>45924.0</v>
      </c>
      <c r="C1573" s="9" t="s">
        <v>771</v>
      </c>
      <c r="D1573" s="1" t="s">
        <v>2116</v>
      </c>
      <c r="E1573" s="4">
        <v>118000.0</v>
      </c>
      <c r="F1573" s="4"/>
      <c r="G1573" s="4"/>
      <c r="H1573" s="4">
        <f>'data on outstanding creditors'!$E1573-'data on outstanding creditors'!$F1573-'data on outstanding creditors'!$G1573</f>
        <v>118000</v>
      </c>
      <c r="I1573" s="2"/>
      <c r="J1573" s="1" t="s">
        <v>757</v>
      </c>
      <c r="K1573" s="2">
        <v>45937.0</v>
      </c>
      <c r="L1573" s="5"/>
      <c r="M1573" s="9" t="s">
        <v>22</v>
      </c>
      <c r="N1573" s="9" t="s">
        <v>23</v>
      </c>
      <c r="O1573" s="10">
        <f>'data on outstanding creditors'!$E1573*100/107</f>
        <v>110280.3738</v>
      </c>
      <c r="P1573" s="10">
        <f>'data on outstanding creditors'!$E1573-'data on outstanding creditors'!$O1573</f>
        <v>7719.626168</v>
      </c>
      <c r="Q1573" s="7">
        <f>DAY('data on outstanding creditors'!$B1573)</f>
        <v>24</v>
      </c>
      <c r="R1573" s="7">
        <f>MONTH('data on outstanding creditors'!$B1573)</f>
        <v>9</v>
      </c>
      <c r="S1573" s="7">
        <f>YEAR('data on outstanding creditors'!$B1573)</f>
        <v>2025</v>
      </c>
      <c r="T1573" s="11" t="str">
        <f>'data on outstanding creditors'!$C1573&amp;" "&amp;'data on outstanding creditors'!$D1573&amp;" "&amp;TEXT('data on outstanding creditors'!$E1573,"#,##0.00")</f>
        <v>หจก.ภิญโญฟาร์มาซี IV6849688 118,000.00</v>
      </c>
      <c r="U1573" s="12"/>
    </row>
    <row r="1574" ht="13.5" customHeight="1">
      <c r="A1574" s="1"/>
      <c r="B1574" s="2">
        <v>45924.0</v>
      </c>
      <c r="C1574" s="9" t="s">
        <v>520</v>
      </c>
      <c r="D1574" s="1" t="s">
        <v>2117</v>
      </c>
      <c r="E1574" s="4">
        <v>61792.5</v>
      </c>
      <c r="F1574" s="4"/>
      <c r="G1574" s="4"/>
      <c r="H1574" s="4">
        <f>'data on outstanding creditors'!$E1574-'data on outstanding creditors'!$F1574-'data on outstanding creditors'!$G1574</f>
        <v>61792.5</v>
      </c>
      <c r="I1574" s="2"/>
      <c r="J1574" s="1" t="s">
        <v>757</v>
      </c>
      <c r="K1574" s="2">
        <v>45937.0</v>
      </c>
      <c r="L1574" s="5"/>
      <c r="M1574" s="9" t="s">
        <v>22</v>
      </c>
      <c r="N1574" s="9" t="s">
        <v>23</v>
      </c>
      <c r="O1574" s="10">
        <f>'data on outstanding creditors'!$E1574*100/107</f>
        <v>57750</v>
      </c>
      <c r="P1574" s="10">
        <f>'data on outstanding creditors'!$E1574-'data on outstanding creditors'!$O1574</f>
        <v>4042.5</v>
      </c>
      <c r="Q1574" s="7">
        <f>DAY('data on outstanding creditors'!$B1574)</f>
        <v>24</v>
      </c>
      <c r="R1574" s="7">
        <f>MONTH('data on outstanding creditors'!$B1574)</f>
        <v>9</v>
      </c>
      <c r="S1574" s="7">
        <f>YEAR('data on outstanding creditors'!$B1574)</f>
        <v>2025</v>
      </c>
      <c r="T1574" s="11" t="str">
        <f>'data on outstanding creditors'!$C1574&amp;" "&amp;'data on outstanding creditors'!$D1574&amp;" "&amp;TEXT('data on outstanding creditors'!$E1574,"#,##0.00")</f>
        <v>บ.ซิลลิคฟาร์มา 1318240815 61,792.50</v>
      </c>
      <c r="U1574" s="12"/>
    </row>
    <row r="1575" ht="13.5" customHeight="1">
      <c r="A1575" s="1"/>
      <c r="B1575" s="2">
        <v>45925.0</v>
      </c>
      <c r="C1575" s="9" t="s">
        <v>1265</v>
      </c>
      <c r="D1575" s="1" t="s">
        <v>2118</v>
      </c>
      <c r="E1575" s="4">
        <v>9500.0</v>
      </c>
      <c r="F1575" s="4"/>
      <c r="G1575" s="4"/>
      <c r="H1575" s="4">
        <f>'data on outstanding creditors'!$E1575-'data on outstanding creditors'!$F1575-'data on outstanding creditors'!$G1575</f>
        <v>9500</v>
      </c>
      <c r="I1575" s="2"/>
      <c r="J1575" s="1"/>
      <c r="K1575" s="2"/>
      <c r="L1575" s="5"/>
      <c r="M1575" s="9" t="s">
        <v>22</v>
      </c>
      <c r="N1575" s="9" t="s">
        <v>23</v>
      </c>
      <c r="O1575" s="10">
        <f>'data on outstanding creditors'!$E1575*100/107</f>
        <v>8878.504673</v>
      </c>
      <c r="P1575" s="10">
        <f>'data on outstanding creditors'!$E1575-'data on outstanding creditors'!$O1575</f>
        <v>621.4953271</v>
      </c>
      <c r="Q1575" s="7">
        <f>DAY('data on outstanding creditors'!$B1575)</f>
        <v>25</v>
      </c>
      <c r="R1575" s="7">
        <f>MONTH('data on outstanding creditors'!$B1575)</f>
        <v>9</v>
      </c>
      <c r="S1575" s="7">
        <f>YEAR('data on outstanding creditors'!$B1575)</f>
        <v>2025</v>
      </c>
      <c r="T1575" s="11" t="str">
        <f>'data on outstanding creditors'!$C1575&amp;" "&amp;'data on outstanding creditors'!$D1575&amp;" "&amp;TEXT('data on outstanding creditors'!$E1575,"#,##0.00")</f>
        <v>บ.แอล.บี.เอส.แลบบอเรตอรี่ 884174 9,500.00</v>
      </c>
      <c r="U1575" s="12"/>
    </row>
    <row r="1576" ht="13.5" customHeight="1">
      <c r="A1576" s="1"/>
      <c r="B1576" s="2">
        <v>45925.0</v>
      </c>
      <c r="C1576" s="9" t="s">
        <v>399</v>
      </c>
      <c r="D1576" s="1" t="s">
        <v>2119</v>
      </c>
      <c r="E1576" s="4">
        <v>33600.0</v>
      </c>
      <c r="F1576" s="4"/>
      <c r="G1576" s="4"/>
      <c r="H1576" s="4">
        <f>'data on outstanding creditors'!$E1576-'data on outstanding creditors'!$F1576-'data on outstanding creditors'!$G1576</f>
        <v>33600</v>
      </c>
      <c r="I1576" s="2"/>
      <c r="J1576" s="1"/>
      <c r="K1576" s="2"/>
      <c r="L1576" s="5"/>
      <c r="M1576" s="9" t="s">
        <v>22</v>
      </c>
      <c r="N1576" s="9" t="s">
        <v>23</v>
      </c>
      <c r="O1576" s="10">
        <f>'data on outstanding creditors'!$E1576*100/107</f>
        <v>31401.86916</v>
      </c>
      <c r="P1576" s="10">
        <f>'data on outstanding creditors'!$E1576-'data on outstanding creditors'!$O1576</f>
        <v>2198.130841</v>
      </c>
      <c r="Q1576" s="7">
        <f>DAY('data on outstanding creditors'!$B1576)</f>
        <v>25</v>
      </c>
      <c r="R1576" s="7">
        <f>MONTH('data on outstanding creditors'!$B1576)</f>
        <v>9</v>
      </c>
      <c r="S1576" s="7">
        <f>YEAR('data on outstanding creditors'!$B1576)</f>
        <v>2025</v>
      </c>
      <c r="T1576" s="11" t="str">
        <f>'data on outstanding creditors'!$C1576&amp;" "&amp;'data on outstanding creditors'!$D1576&amp;" "&amp;TEXT('data on outstanding creditors'!$E1576,"#,##0.00")</f>
        <v>บ.ดีเคเอสเอช(ประเทศไทย) 5344414501 33,600.00</v>
      </c>
      <c r="U1576" s="12"/>
    </row>
    <row r="1577" ht="13.5" customHeight="1">
      <c r="A1577" s="1"/>
      <c r="B1577" s="2">
        <v>45925.0</v>
      </c>
      <c r="C1577" s="9" t="s">
        <v>920</v>
      </c>
      <c r="D1577" s="1" t="s">
        <v>2120</v>
      </c>
      <c r="E1577" s="4">
        <v>4560.0</v>
      </c>
      <c r="F1577" s="4"/>
      <c r="G1577" s="4"/>
      <c r="H1577" s="4">
        <f>'data on outstanding creditors'!$E1577-'data on outstanding creditors'!$F1577-'data on outstanding creditors'!$G1577</f>
        <v>4560</v>
      </c>
      <c r="I1577" s="2"/>
      <c r="J1577" s="1"/>
      <c r="K1577" s="2"/>
      <c r="L1577" s="5"/>
      <c r="M1577" s="9" t="s">
        <v>22</v>
      </c>
      <c r="N1577" s="9" t="s">
        <v>23</v>
      </c>
      <c r="O1577" s="10">
        <f>'data on outstanding creditors'!$E1577*100/107</f>
        <v>4261.682243</v>
      </c>
      <c r="P1577" s="10">
        <f>'data on outstanding creditors'!$E1577-'data on outstanding creditors'!$O1577</f>
        <v>298.317757</v>
      </c>
      <c r="Q1577" s="7">
        <f>DAY('data on outstanding creditors'!$B1577)</f>
        <v>25</v>
      </c>
      <c r="R1577" s="7">
        <f>MONTH('data on outstanding creditors'!$B1577)</f>
        <v>9</v>
      </c>
      <c r="S1577" s="7">
        <f>YEAR('data on outstanding creditors'!$B1577)</f>
        <v>2025</v>
      </c>
      <c r="T1577" s="11" t="str">
        <f>'data on outstanding creditors'!$C1577&amp;" "&amp;'data on outstanding creditors'!$D1577&amp;" "&amp;TEXT('data on outstanding creditors'!$E1577,"#,##0.00")</f>
        <v>บ.โปลิฟาร์ม IVU-68041452 4,560.00</v>
      </c>
      <c r="U1577" s="12"/>
    </row>
    <row r="1578" ht="13.5" customHeight="1">
      <c r="A1578" s="1"/>
      <c r="B1578" s="2">
        <v>45926.0</v>
      </c>
      <c r="C1578" s="9" t="s">
        <v>1766</v>
      </c>
      <c r="D1578" s="1" t="s">
        <v>2121</v>
      </c>
      <c r="E1578" s="4">
        <v>20000.0</v>
      </c>
      <c r="F1578" s="4"/>
      <c r="G1578" s="4"/>
      <c r="H1578" s="4">
        <f>'data on outstanding creditors'!$E1578-'data on outstanding creditors'!$F1578-'data on outstanding creditors'!$G1578</f>
        <v>20000</v>
      </c>
      <c r="I1578" s="2"/>
      <c r="J1578" s="1"/>
      <c r="K1578" s="2"/>
      <c r="L1578" s="5"/>
      <c r="M1578" s="9" t="s">
        <v>22</v>
      </c>
      <c r="N1578" s="9" t="s">
        <v>23</v>
      </c>
      <c r="O1578" s="10">
        <f>'data on outstanding creditors'!$E1578*100/107</f>
        <v>18691.58879</v>
      </c>
      <c r="P1578" s="10">
        <f>'data on outstanding creditors'!$E1578-'data on outstanding creditors'!$O1578</f>
        <v>1308.411215</v>
      </c>
      <c r="Q1578" s="7">
        <f>DAY('data on outstanding creditors'!$B1578)</f>
        <v>26</v>
      </c>
      <c r="R1578" s="7">
        <f>MONTH('data on outstanding creditors'!$B1578)</f>
        <v>9</v>
      </c>
      <c r="S1578" s="7">
        <f>YEAR('data on outstanding creditors'!$B1578)</f>
        <v>2025</v>
      </c>
      <c r="T1578" s="11" t="str">
        <f>'data on outstanding creditors'!$C1578&amp;" "&amp;'data on outstanding creditors'!$D1578&amp;" "&amp;TEXT('data on outstanding creditors'!$E1578,"#,##0.00")</f>
        <v>สำนักงานคณะกรรมการอาหารและยา ช.68/20902 20,000.00</v>
      </c>
      <c r="U1578" s="12"/>
    </row>
    <row r="1579" ht="13.5" customHeight="1">
      <c r="A1579" s="1"/>
      <c r="B1579" s="2">
        <v>45926.0</v>
      </c>
      <c r="C1579" s="9" t="s">
        <v>520</v>
      </c>
      <c r="D1579" s="1" t="s">
        <v>2122</v>
      </c>
      <c r="E1579" s="4">
        <v>26878.4</v>
      </c>
      <c r="F1579" s="4"/>
      <c r="G1579" s="4"/>
      <c r="H1579" s="4">
        <f>'data on outstanding creditors'!$E1579-'data on outstanding creditors'!$F1579-'data on outstanding creditors'!$G1579</f>
        <v>26878.4</v>
      </c>
      <c r="I1579" s="2"/>
      <c r="J1579" s="1"/>
      <c r="K1579" s="2"/>
      <c r="L1579" s="5"/>
      <c r="M1579" s="9" t="s">
        <v>22</v>
      </c>
      <c r="N1579" s="9" t="s">
        <v>23</v>
      </c>
      <c r="O1579" s="10">
        <f>'data on outstanding creditors'!$E1579*100/107</f>
        <v>25120</v>
      </c>
      <c r="P1579" s="10">
        <f>'data on outstanding creditors'!$E1579-'data on outstanding creditors'!$O1579</f>
        <v>1758.4</v>
      </c>
      <c r="Q1579" s="7">
        <f>DAY('data on outstanding creditors'!$B1579)</f>
        <v>26</v>
      </c>
      <c r="R1579" s="7">
        <f>MONTH('data on outstanding creditors'!$B1579)</f>
        <v>9</v>
      </c>
      <c r="S1579" s="7">
        <f>YEAR('data on outstanding creditors'!$B1579)</f>
        <v>2025</v>
      </c>
      <c r="T1579" s="11" t="str">
        <f>'data on outstanding creditors'!$C1579&amp;" "&amp;'data on outstanding creditors'!$D1579&amp;" "&amp;TEXT('data on outstanding creditors'!$E1579,"#,##0.00")</f>
        <v>บ.ซิลลิคฟาร์มา 1318256057 26,878.40</v>
      </c>
      <c r="U1579" s="12"/>
    </row>
    <row r="1580" ht="13.5" customHeight="1">
      <c r="A1580" s="1"/>
      <c r="B1580" s="2">
        <v>45926.0</v>
      </c>
      <c r="C1580" s="9" t="s">
        <v>520</v>
      </c>
      <c r="D1580" s="1" t="s">
        <v>2123</v>
      </c>
      <c r="E1580" s="4">
        <v>8560.0</v>
      </c>
      <c r="F1580" s="4"/>
      <c r="G1580" s="4"/>
      <c r="H1580" s="4">
        <f>'data on outstanding creditors'!$E1580-'data on outstanding creditors'!$F1580-'data on outstanding creditors'!$G1580</f>
        <v>8560</v>
      </c>
      <c r="I1580" s="2"/>
      <c r="J1580" s="1"/>
      <c r="K1580" s="2"/>
      <c r="L1580" s="5"/>
      <c r="M1580" s="9" t="s">
        <v>22</v>
      </c>
      <c r="N1580" s="9" t="s">
        <v>23</v>
      </c>
      <c r="O1580" s="10">
        <f>'data on outstanding creditors'!$E1580*100/107</f>
        <v>8000</v>
      </c>
      <c r="P1580" s="10">
        <f>'data on outstanding creditors'!$E1580-'data on outstanding creditors'!$O1580</f>
        <v>560</v>
      </c>
      <c r="Q1580" s="7">
        <f>DAY('data on outstanding creditors'!$B1580)</f>
        <v>26</v>
      </c>
      <c r="R1580" s="7">
        <f>MONTH('data on outstanding creditors'!$B1580)</f>
        <v>9</v>
      </c>
      <c r="S1580" s="7">
        <f>YEAR('data on outstanding creditors'!$B1580)</f>
        <v>2025</v>
      </c>
      <c r="T1580" s="11" t="str">
        <f>'data on outstanding creditors'!$C1580&amp;" "&amp;'data on outstanding creditors'!$D1580&amp;" "&amp;TEXT('data on outstanding creditors'!$E1580,"#,##0.00")</f>
        <v>บ.ซิลลิคฟาร์มา 1318157335 8,560.00</v>
      </c>
      <c r="U1580" s="12"/>
    </row>
    <row r="1581" ht="13.5" customHeight="1">
      <c r="A1581" s="1"/>
      <c r="B1581" s="2">
        <v>45926.0</v>
      </c>
      <c r="C1581" s="9" t="s">
        <v>520</v>
      </c>
      <c r="D1581" s="1" t="s">
        <v>2124</v>
      </c>
      <c r="E1581" s="4">
        <v>8731.2</v>
      </c>
      <c r="F1581" s="4"/>
      <c r="G1581" s="4"/>
      <c r="H1581" s="4">
        <f>'data on outstanding creditors'!$E1581-'data on outstanding creditors'!$F1581-'data on outstanding creditors'!$G1581</f>
        <v>8731.2</v>
      </c>
      <c r="I1581" s="2"/>
      <c r="J1581" s="1"/>
      <c r="K1581" s="2"/>
      <c r="L1581" s="5"/>
      <c r="M1581" s="9" t="s">
        <v>22</v>
      </c>
      <c r="N1581" s="9" t="s">
        <v>23</v>
      </c>
      <c r="O1581" s="10">
        <f>'data on outstanding creditors'!$E1581*100/107</f>
        <v>8160</v>
      </c>
      <c r="P1581" s="10">
        <f>'data on outstanding creditors'!$E1581-'data on outstanding creditors'!$O1581</f>
        <v>571.2</v>
      </c>
      <c r="Q1581" s="7">
        <f>DAY('data on outstanding creditors'!$B1581)</f>
        <v>26</v>
      </c>
      <c r="R1581" s="7">
        <f>MONTH('data on outstanding creditors'!$B1581)</f>
        <v>9</v>
      </c>
      <c r="S1581" s="7">
        <f>YEAR('data on outstanding creditors'!$B1581)</f>
        <v>2025</v>
      </c>
      <c r="T1581" s="11" t="str">
        <f>'data on outstanding creditors'!$C1581&amp;" "&amp;'data on outstanding creditors'!$D1581&amp;" "&amp;TEXT('data on outstanding creditors'!$E1581,"#,##0.00")</f>
        <v>บ.ซิลลิคฟาร์มา 1318278045 8,731.20</v>
      </c>
      <c r="U1581" s="12"/>
    </row>
    <row r="1582" ht="13.5" customHeight="1">
      <c r="A1582" s="1"/>
      <c r="B1582" s="2">
        <v>45926.0</v>
      </c>
      <c r="C1582" s="9" t="s">
        <v>1265</v>
      </c>
      <c r="D1582" s="1" t="s">
        <v>2125</v>
      </c>
      <c r="E1582" s="4">
        <v>5800.0</v>
      </c>
      <c r="F1582" s="4"/>
      <c r="G1582" s="4"/>
      <c r="H1582" s="4">
        <f>'data on outstanding creditors'!$E1582-'data on outstanding creditors'!$F1582-'data on outstanding creditors'!$G1582</f>
        <v>5800</v>
      </c>
      <c r="I1582" s="2"/>
      <c r="J1582" s="1"/>
      <c r="K1582" s="2"/>
      <c r="L1582" s="5"/>
      <c r="M1582" s="9" t="s">
        <v>22</v>
      </c>
      <c r="N1582" s="9" t="s">
        <v>23</v>
      </c>
      <c r="O1582" s="10">
        <f>'data on outstanding creditors'!$E1582*100/107</f>
        <v>5420.560748</v>
      </c>
      <c r="P1582" s="10">
        <f>'data on outstanding creditors'!$E1582-'data on outstanding creditors'!$O1582</f>
        <v>379.4392523</v>
      </c>
      <c r="Q1582" s="7">
        <f>DAY('data on outstanding creditors'!$B1582)</f>
        <v>26</v>
      </c>
      <c r="R1582" s="7">
        <f>MONTH('data on outstanding creditors'!$B1582)</f>
        <v>9</v>
      </c>
      <c r="S1582" s="7">
        <f>YEAR('data on outstanding creditors'!$B1582)</f>
        <v>2025</v>
      </c>
      <c r="T1582" s="11" t="str">
        <f>'data on outstanding creditors'!$C1582&amp;" "&amp;'data on outstanding creditors'!$D1582&amp;" "&amp;TEXT('data on outstanding creditors'!$E1582,"#,##0.00")</f>
        <v>บ.แอล.บี.เอส.แลบบอเรตอรี่ 8867723 5,800.00</v>
      </c>
      <c r="U1582" s="12"/>
    </row>
    <row r="1583" ht="13.5" customHeight="1">
      <c r="A1583" s="1"/>
      <c r="B1583" s="2">
        <v>45929.0</v>
      </c>
      <c r="C1583" s="9" t="s">
        <v>520</v>
      </c>
      <c r="D1583" s="1" t="s">
        <v>2126</v>
      </c>
      <c r="E1583" s="4">
        <v>5029.0</v>
      </c>
      <c r="F1583" s="4"/>
      <c r="G1583" s="4"/>
      <c r="H1583" s="4">
        <f>'data on outstanding creditors'!$E1583-'data on outstanding creditors'!$F1583-'data on outstanding creditors'!$G1583</f>
        <v>5029</v>
      </c>
      <c r="I1583" s="2"/>
      <c r="J1583" s="1"/>
      <c r="K1583" s="2"/>
      <c r="L1583" s="5"/>
      <c r="M1583" s="9" t="s">
        <v>22</v>
      </c>
      <c r="N1583" s="9" t="s">
        <v>23</v>
      </c>
      <c r="O1583" s="10">
        <f>'data on outstanding creditors'!$E1583*100/107</f>
        <v>4700</v>
      </c>
      <c r="P1583" s="10">
        <f>'data on outstanding creditors'!$E1583-'data on outstanding creditors'!$O1583</f>
        <v>329</v>
      </c>
      <c r="Q1583" s="7">
        <f>DAY('data on outstanding creditors'!$B1583)</f>
        <v>29</v>
      </c>
      <c r="R1583" s="7">
        <f>MONTH('data on outstanding creditors'!$B1583)</f>
        <v>9</v>
      </c>
      <c r="S1583" s="7">
        <f>YEAR('data on outstanding creditors'!$B1583)</f>
        <v>2025</v>
      </c>
      <c r="T1583" s="11" t="str">
        <f>'data on outstanding creditors'!$C1583&amp;" "&amp;'data on outstanding creditors'!$D1583&amp;" "&amp;TEXT('data on outstanding creditors'!$E1583,"#,##0.00")</f>
        <v>บ.ซิลลิคฟาร์มา 1318278407 5,029.00</v>
      </c>
      <c r="U1583" s="12"/>
    </row>
    <row r="1584" ht="13.5" customHeight="1">
      <c r="A1584" s="1"/>
      <c r="B1584" s="2">
        <v>45929.0</v>
      </c>
      <c r="C1584" s="9" t="s">
        <v>1288</v>
      </c>
      <c r="D1584" s="1" t="s">
        <v>2127</v>
      </c>
      <c r="E1584" s="4">
        <v>37445.7</v>
      </c>
      <c r="F1584" s="4"/>
      <c r="G1584" s="4"/>
      <c r="H1584" s="4">
        <f>'data on outstanding creditors'!$E1584-'data on outstanding creditors'!$F1584-'data on outstanding creditors'!$G1584</f>
        <v>37445.7</v>
      </c>
      <c r="I1584" s="2"/>
      <c r="J1584" s="1"/>
      <c r="K1584" s="2"/>
      <c r="L1584" s="5"/>
      <c r="M1584" s="9" t="s">
        <v>22</v>
      </c>
      <c r="N1584" s="9" t="s">
        <v>23</v>
      </c>
      <c r="O1584" s="10">
        <f>'data on outstanding creditors'!$E1584*100/107</f>
        <v>34995.98131</v>
      </c>
      <c r="P1584" s="10">
        <f>'data on outstanding creditors'!$E1584-'data on outstanding creditors'!$O1584</f>
        <v>2449.718692</v>
      </c>
      <c r="Q1584" s="7">
        <f>DAY('data on outstanding creditors'!$B1584)</f>
        <v>29</v>
      </c>
      <c r="R1584" s="7">
        <f>MONTH('data on outstanding creditors'!$B1584)</f>
        <v>9</v>
      </c>
      <c r="S1584" s="7">
        <f>YEAR('data on outstanding creditors'!$B1584)</f>
        <v>2025</v>
      </c>
      <c r="T1584" s="11" t="str">
        <f>'data on outstanding creditors'!$C1584&amp;" "&amp;'data on outstanding creditors'!$D1584&amp;" "&amp;TEXT('data on outstanding creditors'!$E1584,"#,##0.00")</f>
        <v>บ.เจ เอส วิชั่น 100531344 37,445.70</v>
      </c>
      <c r="U1584" s="12"/>
    </row>
    <row r="1585" ht="13.5" customHeight="1">
      <c r="A1585" s="1"/>
      <c r="B1585" s="2">
        <v>45929.0</v>
      </c>
      <c r="C1585" s="9" t="s">
        <v>1303</v>
      </c>
      <c r="D1585" s="1" t="s">
        <v>2128</v>
      </c>
      <c r="E1585" s="4">
        <v>25680.0</v>
      </c>
      <c r="F1585" s="4"/>
      <c r="G1585" s="4"/>
      <c r="H1585" s="4">
        <f>'data on outstanding creditors'!$E1585-'data on outstanding creditors'!$F1585-'data on outstanding creditors'!$G1585</f>
        <v>25680</v>
      </c>
      <c r="I1585" s="2"/>
      <c r="J1585" s="1"/>
      <c r="K1585" s="2"/>
      <c r="L1585" s="5"/>
      <c r="M1585" s="9" t="s">
        <v>22</v>
      </c>
      <c r="N1585" s="9" t="s">
        <v>23</v>
      </c>
      <c r="O1585" s="10">
        <f>'data on outstanding creditors'!$E1585*100/107</f>
        <v>24000</v>
      </c>
      <c r="P1585" s="10">
        <f>'data on outstanding creditors'!$E1585-'data on outstanding creditors'!$O1585</f>
        <v>1680</v>
      </c>
      <c r="Q1585" s="7">
        <f>DAY('data on outstanding creditors'!$B1585)</f>
        <v>29</v>
      </c>
      <c r="R1585" s="7">
        <f>MONTH('data on outstanding creditors'!$B1585)</f>
        <v>9</v>
      </c>
      <c r="S1585" s="7">
        <f>YEAR('data on outstanding creditors'!$B1585)</f>
        <v>2025</v>
      </c>
      <c r="T1585" s="11" t="str">
        <f>'data on outstanding creditors'!$C1585&amp;" "&amp;'data on outstanding creditors'!$D1585&amp;" "&amp;TEXT('data on outstanding creditors'!$E1585,"#,##0.00")</f>
        <v>บ.บี.เอ็ล.เอช.เทร็ดดิ้ง 1068023754 25,680.00</v>
      </c>
      <c r="U1585" s="12"/>
    </row>
    <row r="1586" ht="13.5" customHeight="1">
      <c r="A1586" s="1"/>
      <c r="B1586" s="2">
        <v>45929.0</v>
      </c>
      <c r="C1586" s="9" t="s">
        <v>920</v>
      </c>
      <c r="D1586" s="1" t="s">
        <v>2129</v>
      </c>
      <c r="E1586" s="4">
        <v>27000.0</v>
      </c>
      <c r="F1586" s="4"/>
      <c r="G1586" s="4"/>
      <c r="H1586" s="4">
        <f>'data on outstanding creditors'!$E1586-'data on outstanding creditors'!$F1586-'data on outstanding creditors'!$G1586</f>
        <v>27000</v>
      </c>
      <c r="I1586" s="2"/>
      <c r="J1586" s="1"/>
      <c r="K1586" s="2"/>
      <c r="L1586" s="5"/>
      <c r="M1586" s="9" t="s">
        <v>22</v>
      </c>
      <c r="N1586" s="9" t="s">
        <v>23</v>
      </c>
      <c r="O1586" s="10">
        <f>'data on outstanding creditors'!$E1586*100/107</f>
        <v>25233.64486</v>
      </c>
      <c r="P1586" s="10">
        <f>'data on outstanding creditors'!$E1586-'data on outstanding creditors'!$O1586</f>
        <v>1766.35514</v>
      </c>
      <c r="Q1586" s="7">
        <f>DAY('data on outstanding creditors'!$B1586)</f>
        <v>29</v>
      </c>
      <c r="R1586" s="7">
        <f>MONTH('data on outstanding creditors'!$B1586)</f>
        <v>9</v>
      </c>
      <c r="S1586" s="7">
        <f>YEAR('data on outstanding creditors'!$B1586)</f>
        <v>2025</v>
      </c>
      <c r="T1586" s="11" t="str">
        <f>'data on outstanding creditors'!$C1586&amp;" "&amp;'data on outstanding creditors'!$D1586&amp;" "&amp;TEXT('data on outstanding creditors'!$E1586,"#,##0.00")</f>
        <v>บ.โปลิฟาร์ม IVU-68041768 27,000.00</v>
      </c>
      <c r="U1586" s="12"/>
    </row>
    <row r="1587" ht="13.5" customHeight="1">
      <c r="A1587" s="1"/>
      <c r="B1587" s="2">
        <v>45929.0</v>
      </c>
      <c r="C1587" s="9" t="s">
        <v>250</v>
      </c>
      <c r="D1587" s="1" t="s">
        <v>2130</v>
      </c>
      <c r="E1587" s="4">
        <v>14659.0</v>
      </c>
      <c r="F1587" s="4"/>
      <c r="G1587" s="4"/>
      <c r="H1587" s="4">
        <f>'data on outstanding creditors'!$E1587-'data on outstanding creditors'!$F1587-'data on outstanding creditors'!$G1587</f>
        <v>14659</v>
      </c>
      <c r="I1587" s="2"/>
      <c r="J1587" s="1"/>
      <c r="K1587" s="2"/>
      <c r="L1587" s="5"/>
      <c r="M1587" s="9" t="s">
        <v>22</v>
      </c>
      <c r="N1587" s="9" t="s">
        <v>23</v>
      </c>
      <c r="O1587" s="10">
        <f>'data on outstanding creditors'!$E1587*100/107</f>
        <v>13700</v>
      </c>
      <c r="P1587" s="10">
        <f>'data on outstanding creditors'!$E1587-'data on outstanding creditors'!$O1587</f>
        <v>959</v>
      </c>
      <c r="Q1587" s="7">
        <f>DAY('data on outstanding creditors'!$B1587)</f>
        <v>29</v>
      </c>
      <c r="R1587" s="7">
        <f>MONTH('data on outstanding creditors'!$B1587)</f>
        <v>9</v>
      </c>
      <c r="S1587" s="7">
        <f>YEAR('data on outstanding creditors'!$B1587)</f>
        <v>2025</v>
      </c>
      <c r="T1587" s="11" t="str">
        <f>'data on outstanding creditors'!$C1587&amp;" "&amp;'data on outstanding creditors'!$D1587&amp;" "&amp;TEXT('data on outstanding creditors'!$E1587,"#,##0.00")</f>
        <v>บ.เกร๊ทเตอร์มายบาซิน #01-GM-1-2-2-2025015130 14,659.00</v>
      </c>
      <c r="U1587" s="12"/>
    </row>
    <row r="1588" ht="13.5" customHeight="1">
      <c r="A1588" s="1"/>
      <c r="B1588" s="2">
        <v>45929.0</v>
      </c>
      <c r="C1588" s="9" t="s">
        <v>884</v>
      </c>
      <c r="D1588" s="1" t="s">
        <v>2131</v>
      </c>
      <c r="E1588" s="4">
        <v>23700.0</v>
      </c>
      <c r="F1588" s="4"/>
      <c r="G1588" s="4"/>
      <c r="H1588" s="4">
        <f>'data on outstanding creditors'!$E1588-'data on outstanding creditors'!$F1588-'data on outstanding creditors'!$G1588</f>
        <v>23700</v>
      </c>
      <c r="I1588" s="2"/>
      <c r="J1588" s="1"/>
      <c r="K1588" s="2"/>
      <c r="L1588" s="5"/>
      <c r="M1588" s="9" t="s">
        <v>22</v>
      </c>
      <c r="N1588" s="9" t="s">
        <v>23</v>
      </c>
      <c r="O1588" s="10">
        <f>'data on outstanding creditors'!$E1588*100/107</f>
        <v>22149.53271</v>
      </c>
      <c r="P1588" s="10">
        <f>'data on outstanding creditors'!$E1588-'data on outstanding creditors'!$O1588</f>
        <v>1550.46729</v>
      </c>
      <c r="Q1588" s="7">
        <f>DAY('data on outstanding creditors'!$B1588)</f>
        <v>29</v>
      </c>
      <c r="R1588" s="7">
        <f>MONTH('data on outstanding creditors'!$B1588)</f>
        <v>9</v>
      </c>
      <c r="S1588" s="7">
        <f>YEAR('data on outstanding creditors'!$B1588)</f>
        <v>2025</v>
      </c>
      <c r="T1588" s="11" t="str">
        <f>'data on outstanding creditors'!$C1588&amp;" "&amp;'data on outstanding creditors'!$D1588&amp;" "&amp;TEXT('data on outstanding creditors'!$E1588,"#,##0.00")</f>
        <v>บ.เอสพีเอส เมดิคอล 112509005192 23,700.00</v>
      </c>
      <c r="U1588" s="12"/>
    </row>
    <row r="1589" ht="13.5" customHeight="1">
      <c r="A1589" s="1"/>
      <c r="B1589" s="2">
        <v>45929.0</v>
      </c>
      <c r="C1589" s="9" t="s">
        <v>922</v>
      </c>
      <c r="D1589" s="1" t="s">
        <v>2132</v>
      </c>
      <c r="E1589" s="4">
        <v>15050.0</v>
      </c>
      <c r="F1589" s="4"/>
      <c r="G1589" s="4"/>
      <c r="H1589" s="4">
        <f>'data on outstanding creditors'!$E1589-'data on outstanding creditors'!$F1589-'data on outstanding creditors'!$G1589</f>
        <v>15050</v>
      </c>
      <c r="I1589" s="2"/>
      <c r="J1589" s="1"/>
      <c r="K1589" s="2"/>
      <c r="L1589" s="5"/>
      <c r="M1589" s="9" t="s">
        <v>22</v>
      </c>
      <c r="N1589" s="9" t="s">
        <v>23</v>
      </c>
      <c r="O1589" s="10">
        <f>'data on outstanding creditors'!$E1589*100/107</f>
        <v>14065.42056</v>
      </c>
      <c r="P1589" s="10">
        <f>'data on outstanding creditors'!$E1589-'data on outstanding creditors'!$O1589</f>
        <v>984.5794393</v>
      </c>
      <c r="Q1589" s="7">
        <f>DAY('data on outstanding creditors'!$B1589)</f>
        <v>29</v>
      </c>
      <c r="R1589" s="7">
        <f>MONTH('data on outstanding creditors'!$B1589)</f>
        <v>9</v>
      </c>
      <c r="S1589" s="7">
        <f>YEAR('data on outstanding creditors'!$B1589)</f>
        <v>2025</v>
      </c>
      <c r="T1589" s="11" t="str">
        <f>'data on outstanding creditors'!$C1589&amp;" "&amp;'data on outstanding creditors'!$D1589&amp;" "&amp;TEXT('data on outstanding creditors'!$E1589,"#,##0.00")</f>
        <v>บ.เบอร์ลินฟาร์มาซูติคอลอินดัสตรี้ 6810909864 15,050.00</v>
      </c>
      <c r="U1589" s="12"/>
    </row>
    <row r="1590" ht="13.5" customHeight="1">
      <c r="A1590" s="1"/>
      <c r="B1590" s="2">
        <v>45929.0</v>
      </c>
      <c r="C1590" s="9" t="s">
        <v>520</v>
      </c>
      <c r="D1590" s="1" t="s">
        <v>2133</v>
      </c>
      <c r="E1590" s="4">
        <v>32016.54</v>
      </c>
      <c r="F1590" s="4"/>
      <c r="G1590" s="4"/>
      <c r="H1590" s="4">
        <f>'data on outstanding creditors'!$E1590-'data on outstanding creditors'!$F1590-'data on outstanding creditors'!$G1590</f>
        <v>32016.54</v>
      </c>
      <c r="I1590" s="2"/>
      <c r="J1590" s="1"/>
      <c r="K1590" s="2"/>
      <c r="L1590" s="5"/>
      <c r="M1590" s="9" t="s">
        <v>22</v>
      </c>
      <c r="N1590" s="9" t="s">
        <v>23</v>
      </c>
      <c r="O1590" s="10">
        <f>'data on outstanding creditors'!$E1590*100/107</f>
        <v>29922</v>
      </c>
      <c r="P1590" s="10">
        <f>'data on outstanding creditors'!$E1590-'data on outstanding creditors'!$O1590</f>
        <v>2094.54</v>
      </c>
      <c r="Q1590" s="7">
        <f>DAY('data on outstanding creditors'!$B1590)</f>
        <v>29</v>
      </c>
      <c r="R1590" s="7">
        <f>MONTH('data on outstanding creditors'!$B1590)</f>
        <v>9</v>
      </c>
      <c r="S1590" s="7">
        <f>YEAR('data on outstanding creditors'!$B1590)</f>
        <v>2025</v>
      </c>
      <c r="T1590" s="11" t="str">
        <f>'data on outstanding creditors'!$C1590&amp;" "&amp;'data on outstanding creditors'!$D1590&amp;" "&amp;TEXT('data on outstanding creditors'!$E1590,"#,##0.00")</f>
        <v>บ.ซิลลิคฟาร์มา 1318287854 32,016.54</v>
      </c>
      <c r="U1590" s="12"/>
    </row>
    <row r="1591" ht="13.5" customHeight="1">
      <c r="A1591" s="1"/>
      <c r="B1591" s="2">
        <v>45929.0</v>
      </c>
      <c r="C1591" s="9" t="s">
        <v>1349</v>
      </c>
      <c r="D1591" s="1" t="s">
        <v>2134</v>
      </c>
      <c r="E1591" s="4">
        <v>31800.0</v>
      </c>
      <c r="F1591" s="4"/>
      <c r="G1591" s="4"/>
      <c r="H1591" s="4">
        <f>'data on outstanding creditors'!$E1591-'data on outstanding creditors'!$F1591-'data on outstanding creditors'!$G1591</f>
        <v>31800</v>
      </c>
      <c r="I1591" s="2"/>
      <c r="J1591" s="1"/>
      <c r="K1591" s="2"/>
      <c r="L1591" s="5"/>
      <c r="M1591" s="9" t="s">
        <v>22</v>
      </c>
      <c r="N1591" s="9" t="s">
        <v>23</v>
      </c>
      <c r="O1591" s="10">
        <f>'data on outstanding creditors'!$E1591*100/107</f>
        <v>29719.62617</v>
      </c>
      <c r="P1591" s="10">
        <f>'data on outstanding creditors'!$E1591-'data on outstanding creditors'!$O1591</f>
        <v>2080.373832</v>
      </c>
      <c r="Q1591" s="7">
        <f>DAY('data on outstanding creditors'!$B1591)</f>
        <v>29</v>
      </c>
      <c r="R1591" s="7">
        <f>MONTH('data on outstanding creditors'!$B1591)</f>
        <v>9</v>
      </c>
      <c r="S1591" s="7">
        <f>YEAR('data on outstanding creditors'!$B1591)</f>
        <v>2025</v>
      </c>
      <c r="T1591" s="11" t="str">
        <f>'data on outstanding creditors'!$C1591&amp;" "&amp;'data on outstanding creditors'!$D1591&amp;" "&amp;TEXT('data on outstanding creditors'!$E1591,"#,##0.00")</f>
        <v>บ.ฟาร์มาดิกา DIS250925-030 31,800.00</v>
      </c>
      <c r="U1591" s="12"/>
    </row>
    <row r="1592" ht="13.5" customHeight="1">
      <c r="A1592" s="1"/>
      <c r="B1592" s="2">
        <v>45929.0</v>
      </c>
      <c r="C1592" s="9" t="s">
        <v>1414</v>
      </c>
      <c r="D1592" s="1" t="s">
        <v>2135</v>
      </c>
      <c r="E1592" s="4">
        <v>15000.0</v>
      </c>
      <c r="F1592" s="4"/>
      <c r="G1592" s="4"/>
      <c r="H1592" s="4">
        <f>'data on outstanding creditors'!$E1592-'data on outstanding creditors'!$F1592-'data on outstanding creditors'!$G1592</f>
        <v>15000</v>
      </c>
      <c r="I1592" s="2"/>
      <c r="J1592" s="1"/>
      <c r="K1592" s="2"/>
      <c r="L1592" s="5"/>
      <c r="M1592" s="9" t="s">
        <v>22</v>
      </c>
      <c r="N1592" s="9" t="s">
        <v>23</v>
      </c>
      <c r="O1592" s="10">
        <f>'data on outstanding creditors'!$E1592*100/107</f>
        <v>14018.69159</v>
      </c>
      <c r="P1592" s="10">
        <f>'data on outstanding creditors'!$E1592-'data on outstanding creditors'!$O1592</f>
        <v>981.3084112</v>
      </c>
      <c r="Q1592" s="7">
        <f>DAY('data on outstanding creditors'!$B1592)</f>
        <v>29</v>
      </c>
      <c r="R1592" s="7">
        <f>MONTH('data on outstanding creditors'!$B1592)</f>
        <v>9</v>
      </c>
      <c r="S1592" s="7">
        <f>YEAR('data on outstanding creditors'!$B1592)</f>
        <v>2025</v>
      </c>
      <c r="T1592" s="11" t="str">
        <f>'data on outstanding creditors'!$C1592&amp;" "&amp;'data on outstanding creditors'!$D1592&amp;" "&amp;TEXT('data on outstanding creditors'!$E1592,"#,##0.00")</f>
        <v>บ.ฟาร์มีน่า 68388373 15,000.00</v>
      </c>
      <c r="U1592" s="12"/>
    </row>
    <row r="1593" ht="13.5" customHeight="1">
      <c r="A1593" s="1"/>
      <c r="B1593" s="2">
        <v>45929.0</v>
      </c>
      <c r="C1593" s="9" t="s">
        <v>771</v>
      </c>
      <c r="D1593" s="1" t="s">
        <v>2136</v>
      </c>
      <c r="E1593" s="4">
        <v>5400.0</v>
      </c>
      <c r="F1593" s="4"/>
      <c r="G1593" s="4"/>
      <c r="H1593" s="4">
        <f>'data on outstanding creditors'!$E1593-'data on outstanding creditors'!$F1593-'data on outstanding creditors'!$G1593</f>
        <v>5400</v>
      </c>
      <c r="I1593" s="2"/>
      <c r="J1593" s="1"/>
      <c r="K1593" s="2"/>
      <c r="L1593" s="5"/>
      <c r="M1593" s="9" t="s">
        <v>22</v>
      </c>
      <c r="N1593" s="9" t="s">
        <v>23</v>
      </c>
      <c r="O1593" s="10">
        <f>'data on outstanding creditors'!$E1593*100/107</f>
        <v>5046.728972</v>
      </c>
      <c r="P1593" s="10">
        <f>'data on outstanding creditors'!$E1593-'data on outstanding creditors'!$O1593</f>
        <v>353.271028</v>
      </c>
      <c r="Q1593" s="7">
        <f>DAY('data on outstanding creditors'!$B1593)</f>
        <v>29</v>
      </c>
      <c r="R1593" s="7">
        <f>MONTH('data on outstanding creditors'!$B1593)</f>
        <v>9</v>
      </c>
      <c r="S1593" s="7">
        <f>YEAR('data on outstanding creditors'!$B1593)</f>
        <v>2025</v>
      </c>
      <c r="T1593" s="11" t="str">
        <f>'data on outstanding creditors'!$C1593&amp;" "&amp;'data on outstanding creditors'!$D1593&amp;" "&amp;TEXT('data on outstanding creditors'!$E1593,"#,##0.00")</f>
        <v>หจก.ภิญโญฟาร์มาซี IV6850681 5,400.00</v>
      </c>
      <c r="U1593" s="12"/>
    </row>
    <row r="1594" ht="13.5" customHeight="1">
      <c r="A1594" s="1"/>
      <c r="B1594" s="2">
        <v>45929.0</v>
      </c>
      <c r="C1594" s="9" t="s">
        <v>763</v>
      </c>
      <c r="D1594" s="1" t="s">
        <v>2137</v>
      </c>
      <c r="E1594" s="4">
        <v>19900.0</v>
      </c>
      <c r="F1594" s="4"/>
      <c r="G1594" s="4"/>
      <c r="H1594" s="4">
        <f>'data on outstanding creditors'!$E1594-'data on outstanding creditors'!$F1594-'data on outstanding creditors'!$G1594</f>
        <v>19900</v>
      </c>
      <c r="I1594" s="2"/>
      <c r="J1594" s="1"/>
      <c r="K1594" s="2"/>
      <c r="L1594" s="5"/>
      <c r="M1594" s="9" t="s">
        <v>22</v>
      </c>
      <c r="N1594" s="9" t="s">
        <v>23</v>
      </c>
      <c r="O1594" s="10">
        <f>'data on outstanding creditors'!$E1594*100/107</f>
        <v>18598.13084</v>
      </c>
      <c r="P1594" s="10">
        <f>'data on outstanding creditors'!$E1594-'data on outstanding creditors'!$O1594</f>
        <v>1301.869159</v>
      </c>
      <c r="Q1594" s="7">
        <f>DAY('data on outstanding creditors'!$B1594)</f>
        <v>29</v>
      </c>
      <c r="R1594" s="7">
        <f>MONTH('data on outstanding creditors'!$B1594)</f>
        <v>9</v>
      </c>
      <c r="S1594" s="7">
        <f>YEAR('data on outstanding creditors'!$B1594)</f>
        <v>2025</v>
      </c>
      <c r="T1594" s="11" t="str">
        <f>'data on outstanding creditors'!$C1594&amp;" "&amp;'data on outstanding creditors'!$D1594&amp;" "&amp;TEXT('data on outstanding creditors'!$E1594,"#,##0.00")</f>
        <v>บ.อัลลายแอนซ์ ฟาร์มา B26809242 19,900.00</v>
      </c>
      <c r="U1594" s="12"/>
    </row>
    <row r="1595" ht="13.5" customHeight="1">
      <c r="A1595" s="1"/>
      <c r="B1595" s="2">
        <v>45929.0</v>
      </c>
      <c r="C1595" s="9" t="s">
        <v>1705</v>
      </c>
      <c r="D1595" s="1" t="s">
        <v>2138</v>
      </c>
      <c r="E1595" s="4">
        <v>15579.2</v>
      </c>
      <c r="F1595" s="4"/>
      <c r="G1595" s="4"/>
      <c r="H1595" s="4">
        <f>'data on outstanding creditors'!$E1595-'data on outstanding creditors'!$F1595-'data on outstanding creditors'!$G1595</f>
        <v>15579.2</v>
      </c>
      <c r="I1595" s="2"/>
      <c r="J1595" s="1"/>
      <c r="K1595" s="2"/>
      <c r="L1595" s="5"/>
      <c r="M1595" s="9" t="s">
        <v>22</v>
      </c>
      <c r="N1595" s="9" t="s">
        <v>23</v>
      </c>
      <c r="O1595" s="10">
        <f>'data on outstanding creditors'!$E1595*100/107</f>
        <v>14560</v>
      </c>
      <c r="P1595" s="10">
        <f>'data on outstanding creditors'!$E1595-'data on outstanding creditors'!$O1595</f>
        <v>1019.2</v>
      </c>
      <c r="Q1595" s="7">
        <f>DAY('data on outstanding creditors'!$B1595)</f>
        <v>29</v>
      </c>
      <c r="R1595" s="7">
        <f>MONTH('data on outstanding creditors'!$B1595)</f>
        <v>9</v>
      </c>
      <c r="S1595" s="7">
        <f>YEAR('data on outstanding creditors'!$B1595)</f>
        <v>2025</v>
      </c>
      <c r="T1595" s="11" t="str">
        <f>'data on outstanding creditors'!$C1595&amp;" "&amp;'data on outstanding creditors'!$D1595&amp;" "&amp;TEXT('data on outstanding creditors'!$E1595,"#,##0.00")</f>
        <v>บ.เมดไลน์ 109000010842 15,579.20</v>
      </c>
      <c r="U1595" s="12"/>
    </row>
    <row r="1596" ht="13.5" customHeight="1">
      <c r="A1596" s="1"/>
      <c r="B1596" s="2">
        <v>45929.0</v>
      </c>
      <c r="C1596" s="9" t="s">
        <v>520</v>
      </c>
      <c r="D1596" s="1" t="s">
        <v>2139</v>
      </c>
      <c r="E1596" s="4">
        <v>47080.0</v>
      </c>
      <c r="F1596" s="4"/>
      <c r="G1596" s="4"/>
      <c r="H1596" s="4">
        <f>'data on outstanding creditors'!$E1596-'data on outstanding creditors'!$F1596-'data on outstanding creditors'!$G1596</f>
        <v>47080</v>
      </c>
      <c r="I1596" s="2"/>
      <c r="J1596" s="1"/>
      <c r="K1596" s="2"/>
      <c r="L1596" s="5"/>
      <c r="M1596" s="9" t="s">
        <v>22</v>
      </c>
      <c r="N1596" s="9" t="s">
        <v>23</v>
      </c>
      <c r="O1596" s="10">
        <f>'data on outstanding creditors'!$E1596*100/107</f>
        <v>44000</v>
      </c>
      <c r="P1596" s="10">
        <f>'data on outstanding creditors'!$E1596-'data on outstanding creditors'!$O1596</f>
        <v>3080</v>
      </c>
      <c r="Q1596" s="7">
        <f>DAY('data on outstanding creditors'!$B1596)</f>
        <v>29</v>
      </c>
      <c r="R1596" s="7">
        <f>MONTH('data on outstanding creditors'!$B1596)</f>
        <v>9</v>
      </c>
      <c r="S1596" s="7">
        <f>YEAR('data on outstanding creditors'!$B1596)</f>
        <v>2025</v>
      </c>
      <c r="T1596" s="11" t="str">
        <f>'data on outstanding creditors'!$C1596&amp;" "&amp;'data on outstanding creditors'!$D1596&amp;" "&amp;TEXT('data on outstanding creditors'!$E1596,"#,##0.00")</f>
        <v>บ.ซิลลิคฟาร์มา 1318284908 47,080.00</v>
      </c>
      <c r="U1596" s="12"/>
    </row>
    <row r="1597" ht="13.5" customHeight="1">
      <c r="A1597" s="1"/>
      <c r="B1597" s="2">
        <v>45929.0</v>
      </c>
      <c r="C1597" s="9" t="s">
        <v>520</v>
      </c>
      <c r="D1597" s="1" t="s">
        <v>2140</v>
      </c>
      <c r="E1597" s="4">
        <v>37450.0</v>
      </c>
      <c r="F1597" s="4"/>
      <c r="G1597" s="4"/>
      <c r="H1597" s="4">
        <f>'data on outstanding creditors'!$E1597-'data on outstanding creditors'!$F1597-'data on outstanding creditors'!$G1597</f>
        <v>37450</v>
      </c>
      <c r="I1597" s="2"/>
      <c r="J1597" s="1"/>
      <c r="K1597" s="2"/>
      <c r="L1597" s="5"/>
      <c r="M1597" s="9" t="s">
        <v>22</v>
      </c>
      <c r="N1597" s="9" t="s">
        <v>23</v>
      </c>
      <c r="O1597" s="10">
        <f>'data on outstanding creditors'!$E1597*100/107</f>
        <v>35000</v>
      </c>
      <c r="P1597" s="10">
        <f>'data on outstanding creditors'!$E1597-'data on outstanding creditors'!$O1597</f>
        <v>2450</v>
      </c>
      <c r="Q1597" s="7">
        <f>DAY('data on outstanding creditors'!$B1597)</f>
        <v>29</v>
      </c>
      <c r="R1597" s="7">
        <f>MONTH('data on outstanding creditors'!$B1597)</f>
        <v>9</v>
      </c>
      <c r="S1597" s="7">
        <f>YEAR('data on outstanding creditors'!$B1597)</f>
        <v>2025</v>
      </c>
      <c r="T1597" s="11" t="str">
        <f>'data on outstanding creditors'!$C1597&amp;" "&amp;'data on outstanding creditors'!$D1597&amp;" "&amp;TEXT('data on outstanding creditors'!$E1597,"#,##0.00")</f>
        <v>บ.ซิลลิคฟาร์มา 1318279913 37,450.00</v>
      </c>
      <c r="U1597" s="12"/>
    </row>
    <row r="1598" ht="13.5" customHeight="1">
      <c r="A1598" s="1"/>
      <c r="B1598" s="2">
        <v>45929.0</v>
      </c>
      <c r="C1598" s="9" t="s">
        <v>520</v>
      </c>
      <c r="D1598" s="1" t="s">
        <v>2141</v>
      </c>
      <c r="E1598" s="4">
        <v>32100.0</v>
      </c>
      <c r="F1598" s="4"/>
      <c r="G1598" s="4"/>
      <c r="H1598" s="4">
        <f>'data on outstanding creditors'!$E1598-'data on outstanding creditors'!$F1598-'data on outstanding creditors'!$G1598</f>
        <v>32100</v>
      </c>
      <c r="I1598" s="2"/>
      <c r="J1598" s="1"/>
      <c r="K1598" s="2"/>
      <c r="L1598" s="5"/>
      <c r="M1598" s="9" t="s">
        <v>22</v>
      </c>
      <c r="N1598" s="9" t="s">
        <v>23</v>
      </c>
      <c r="O1598" s="10">
        <f>'data on outstanding creditors'!$E1598*100/107</f>
        <v>30000</v>
      </c>
      <c r="P1598" s="10">
        <f>'data on outstanding creditors'!$E1598-'data on outstanding creditors'!$O1598</f>
        <v>2100</v>
      </c>
      <c r="Q1598" s="7">
        <f>DAY('data on outstanding creditors'!$B1598)</f>
        <v>29</v>
      </c>
      <c r="R1598" s="7">
        <f>MONTH('data on outstanding creditors'!$B1598)</f>
        <v>9</v>
      </c>
      <c r="S1598" s="7">
        <f>YEAR('data on outstanding creditors'!$B1598)</f>
        <v>2025</v>
      </c>
      <c r="T1598" s="11" t="str">
        <f>'data on outstanding creditors'!$C1598&amp;" "&amp;'data on outstanding creditors'!$D1598&amp;" "&amp;TEXT('data on outstanding creditors'!$E1598,"#,##0.00")</f>
        <v>บ.ซิลลิคฟาร์มา 1318278037 32,100.00</v>
      </c>
      <c r="U1598" s="12"/>
    </row>
    <row r="1599" ht="13.5" customHeight="1">
      <c r="A1599" s="1"/>
      <c r="B1599" s="2">
        <v>45929.0</v>
      </c>
      <c r="C1599" s="9" t="s">
        <v>1243</v>
      </c>
      <c r="D1599" s="1" t="s">
        <v>2142</v>
      </c>
      <c r="E1599" s="4">
        <v>25000.0</v>
      </c>
      <c r="F1599" s="4"/>
      <c r="G1599" s="4"/>
      <c r="H1599" s="4">
        <f>'data on outstanding creditors'!$E1599-'data on outstanding creditors'!$F1599-'data on outstanding creditors'!$G1599</f>
        <v>25000</v>
      </c>
      <c r="I1599" s="2"/>
      <c r="J1599" s="1"/>
      <c r="K1599" s="2"/>
      <c r="L1599" s="5"/>
      <c r="M1599" s="9" t="s">
        <v>22</v>
      </c>
      <c r="N1599" s="9" t="s">
        <v>23</v>
      </c>
      <c r="O1599" s="10">
        <f>'data on outstanding creditors'!$E1599*100/107</f>
        <v>23364.48598</v>
      </c>
      <c r="P1599" s="10">
        <f>'data on outstanding creditors'!$E1599-'data on outstanding creditors'!$O1599</f>
        <v>1635.514019</v>
      </c>
      <c r="Q1599" s="7">
        <f>DAY('data on outstanding creditors'!$B1599)</f>
        <v>29</v>
      </c>
      <c r="R1599" s="7">
        <f>MONTH('data on outstanding creditors'!$B1599)</f>
        <v>9</v>
      </c>
      <c r="S1599" s="7">
        <f>YEAR('data on outstanding creditors'!$B1599)</f>
        <v>2025</v>
      </c>
      <c r="T1599" s="11" t="str">
        <f>'data on outstanding creditors'!$C1599&amp;" "&amp;'data on outstanding creditors'!$D1599&amp;" "&amp;TEXT('data on outstanding creditors'!$E1599,"#,##0.00")</f>
        <v>บ.วี.แอนด์.วี.กรุงเทพ 8103601448 25,000.00</v>
      </c>
      <c r="U1599" s="12"/>
    </row>
    <row r="1600" ht="13.5" customHeight="1">
      <c r="A1600" s="1"/>
      <c r="B1600" s="2">
        <v>45929.0</v>
      </c>
      <c r="C1600" s="9" t="s">
        <v>1530</v>
      </c>
      <c r="D1600" s="1" t="s">
        <v>2143</v>
      </c>
      <c r="E1600" s="4">
        <v>14400.0</v>
      </c>
      <c r="F1600" s="4"/>
      <c r="G1600" s="4"/>
      <c r="H1600" s="4">
        <f>'data on outstanding creditors'!$E1600-'data on outstanding creditors'!$F1600-'data on outstanding creditors'!$G1600</f>
        <v>14400</v>
      </c>
      <c r="I1600" s="2"/>
      <c r="J1600" s="1"/>
      <c r="K1600" s="2"/>
      <c r="L1600" s="5"/>
      <c r="M1600" s="9" t="s">
        <v>22</v>
      </c>
      <c r="N1600" s="9" t="s">
        <v>23</v>
      </c>
      <c r="O1600" s="10">
        <f>'data on outstanding creditors'!$E1600*100/107</f>
        <v>13457.94393</v>
      </c>
      <c r="P1600" s="10">
        <f>'data on outstanding creditors'!$E1600-'data on outstanding creditors'!$O1600</f>
        <v>942.0560748</v>
      </c>
      <c r="Q1600" s="7">
        <f>DAY('data on outstanding creditors'!$B1600)</f>
        <v>29</v>
      </c>
      <c r="R1600" s="7">
        <f>MONTH('data on outstanding creditors'!$B1600)</f>
        <v>9</v>
      </c>
      <c r="S1600" s="7">
        <f>YEAR('data on outstanding creditors'!$B1600)</f>
        <v>2025</v>
      </c>
      <c r="T1600" s="11" t="str">
        <f>'data on outstanding creditors'!$C1600&amp;" "&amp;'data on outstanding creditors'!$D1600&amp;" "&amp;TEXT('data on outstanding creditors'!$E1600,"#,##0.00")</f>
        <v>บ.แสงไทยเมดิคอล S-09-0778/68 14,400.00</v>
      </c>
      <c r="U1600" s="12"/>
    </row>
    <row r="1601" ht="13.5" customHeight="1">
      <c r="A1601" s="1"/>
      <c r="B1601" s="2">
        <v>45929.0</v>
      </c>
      <c r="C1601" s="9" t="s">
        <v>1422</v>
      </c>
      <c r="D1601" s="1" t="s">
        <v>2144</v>
      </c>
      <c r="E1601" s="4">
        <v>27000.0</v>
      </c>
      <c r="F1601" s="4"/>
      <c r="G1601" s="4"/>
      <c r="H1601" s="4">
        <f>'data on outstanding creditors'!$E1601-'data on outstanding creditors'!$F1601-'data on outstanding creditors'!$G1601</f>
        <v>27000</v>
      </c>
      <c r="I1601" s="2"/>
      <c r="J1601" s="1"/>
      <c r="K1601" s="2"/>
      <c r="L1601" s="5"/>
      <c r="M1601" s="9" t="s">
        <v>22</v>
      </c>
      <c r="N1601" s="9" t="s">
        <v>23</v>
      </c>
      <c r="O1601" s="10">
        <f>'data on outstanding creditors'!$E1601*100/107</f>
        <v>25233.64486</v>
      </c>
      <c r="P1601" s="10">
        <f>'data on outstanding creditors'!$E1601-'data on outstanding creditors'!$O1601</f>
        <v>1766.35514</v>
      </c>
      <c r="Q1601" s="7">
        <f>DAY('data on outstanding creditors'!$B1601)</f>
        <v>29</v>
      </c>
      <c r="R1601" s="7">
        <f>MONTH('data on outstanding creditors'!$B1601)</f>
        <v>9</v>
      </c>
      <c r="S1601" s="7">
        <f>YEAR('data on outstanding creditors'!$B1601)</f>
        <v>2025</v>
      </c>
      <c r="T1601" s="11" t="str">
        <f>'data on outstanding creditors'!$C1601&amp;" "&amp;'data on outstanding creditors'!$D1601&amp;" "&amp;TEXT('data on outstanding creditors'!$E1601,"#,##0.00")</f>
        <v>บ.ดีซีเอช ออดิกา (ปรเทศไทย) UG94681102 27,000.00</v>
      </c>
      <c r="U1601" s="12"/>
    </row>
    <row r="1602" ht="13.5" customHeight="1">
      <c r="A1602" s="1"/>
      <c r="B1602" s="2">
        <v>45929.0</v>
      </c>
      <c r="C1602" s="9" t="s">
        <v>541</v>
      </c>
      <c r="D1602" s="1" t="s">
        <v>2145</v>
      </c>
      <c r="E1602" s="4">
        <v>10700.0</v>
      </c>
      <c r="F1602" s="4"/>
      <c r="G1602" s="4"/>
      <c r="H1602" s="4">
        <f>'data on outstanding creditors'!$E1602-'data on outstanding creditors'!$F1602-'data on outstanding creditors'!$G1602</f>
        <v>10700</v>
      </c>
      <c r="I1602" s="2"/>
      <c r="J1602" s="1"/>
      <c r="K1602" s="2"/>
      <c r="L1602" s="5"/>
      <c r="M1602" s="9" t="s">
        <v>22</v>
      </c>
      <c r="N1602" s="9" t="s">
        <v>23</v>
      </c>
      <c r="O1602" s="10">
        <f>'data on outstanding creditors'!$E1602*100/107</f>
        <v>10000</v>
      </c>
      <c r="P1602" s="10">
        <f>'data on outstanding creditors'!$E1602-'data on outstanding creditors'!$O1602</f>
        <v>700</v>
      </c>
      <c r="Q1602" s="7">
        <f>DAY('data on outstanding creditors'!$B1602)</f>
        <v>29</v>
      </c>
      <c r="R1602" s="7">
        <f>MONTH('data on outstanding creditors'!$B1602)</f>
        <v>9</v>
      </c>
      <c r="S1602" s="7">
        <f>YEAR('data on outstanding creditors'!$B1602)</f>
        <v>2025</v>
      </c>
      <c r="T1602" s="11" t="str">
        <f>'data on outstanding creditors'!$C1602&amp;" "&amp;'data on outstanding creditors'!$D1602&amp;" "&amp;TEXT('data on outstanding creditors'!$E1602,"#,##0.00")</f>
        <v>บ.ดีทแฮล์ม เคลเลอร์ โลจิสติกส์ 5449316788 10,700.00</v>
      </c>
      <c r="U1602" s="12"/>
    </row>
    <row r="1603" ht="13.5" customHeight="1">
      <c r="A1603" s="1"/>
      <c r="B1603" s="2">
        <v>45929.0</v>
      </c>
      <c r="C1603" s="9" t="s">
        <v>520</v>
      </c>
      <c r="D1603" s="1" t="s">
        <v>2146</v>
      </c>
      <c r="E1603" s="4">
        <v>2869.74</v>
      </c>
      <c r="F1603" s="4"/>
      <c r="G1603" s="4"/>
      <c r="H1603" s="4">
        <f>'data on outstanding creditors'!$E1603-'data on outstanding creditors'!$F1603-'data on outstanding creditors'!$G1603</f>
        <v>2869.74</v>
      </c>
      <c r="I1603" s="2"/>
      <c r="J1603" s="1"/>
      <c r="K1603" s="2"/>
      <c r="L1603" s="5"/>
      <c r="M1603" s="9" t="s">
        <v>22</v>
      </c>
      <c r="N1603" s="9" t="s">
        <v>23</v>
      </c>
      <c r="O1603" s="10">
        <f>'data on outstanding creditors'!$E1603*100/107</f>
        <v>2682</v>
      </c>
      <c r="P1603" s="10">
        <f>'data on outstanding creditors'!$E1603-'data on outstanding creditors'!$O1603</f>
        <v>187.74</v>
      </c>
      <c r="Q1603" s="7">
        <f>DAY('data on outstanding creditors'!$B1603)</f>
        <v>29</v>
      </c>
      <c r="R1603" s="7">
        <f>MONTH('data on outstanding creditors'!$B1603)</f>
        <v>9</v>
      </c>
      <c r="S1603" s="7">
        <f>YEAR('data on outstanding creditors'!$B1603)</f>
        <v>2025</v>
      </c>
      <c r="T1603" s="11" t="str">
        <f>'data on outstanding creditors'!$C1603&amp;" "&amp;'data on outstanding creditors'!$D1603&amp;" "&amp;TEXT('data on outstanding creditors'!$E1603,"#,##0.00")</f>
        <v>บ.ซิลลิคฟาร์มา 1318280108 2,869.74</v>
      </c>
      <c r="U1603" s="12"/>
    </row>
    <row r="1604" ht="13.5" customHeight="1">
      <c r="A1604" s="1"/>
      <c r="B1604" s="2">
        <v>45929.0</v>
      </c>
      <c r="C1604" s="9" t="s">
        <v>1469</v>
      </c>
      <c r="D1604" s="1" t="s">
        <v>2147</v>
      </c>
      <c r="E1604" s="4">
        <v>4280.0</v>
      </c>
      <c r="F1604" s="4"/>
      <c r="G1604" s="4"/>
      <c r="H1604" s="4">
        <f>'data on outstanding creditors'!$E1604-'data on outstanding creditors'!$F1604-'data on outstanding creditors'!$G1604</f>
        <v>4280</v>
      </c>
      <c r="I1604" s="2"/>
      <c r="J1604" s="1"/>
      <c r="K1604" s="2"/>
      <c r="L1604" s="5"/>
      <c r="M1604" s="9" t="s">
        <v>22</v>
      </c>
      <c r="N1604" s="9" t="s">
        <v>23</v>
      </c>
      <c r="O1604" s="10">
        <f>'data on outstanding creditors'!$E1604*100/107</f>
        <v>4000</v>
      </c>
      <c r="P1604" s="10">
        <f>'data on outstanding creditors'!$E1604-'data on outstanding creditors'!$O1604</f>
        <v>280</v>
      </c>
      <c r="Q1604" s="7">
        <f>DAY('data on outstanding creditors'!$B1604)</f>
        <v>29</v>
      </c>
      <c r="R1604" s="7">
        <f>MONTH('data on outstanding creditors'!$B1604)</f>
        <v>9</v>
      </c>
      <c r="S1604" s="7">
        <f>YEAR('data on outstanding creditors'!$B1604)</f>
        <v>2025</v>
      </c>
      <c r="T1604" s="11" t="str">
        <f>'data on outstanding creditors'!$C1604&amp;" "&amp;'data on outstanding creditors'!$D1604&amp;" "&amp;TEXT('data on outstanding creditors'!$E1604,"#,##0.00")</f>
        <v>บ.สยามฟาร์มาซูติคอล 1250912572 4,280.00</v>
      </c>
      <c r="U1604" s="12"/>
    </row>
    <row r="1605" ht="13.5" customHeight="1">
      <c r="A1605" s="1"/>
      <c r="B1605" s="2">
        <v>45929.0</v>
      </c>
      <c r="C1605" s="9" t="s">
        <v>520</v>
      </c>
      <c r="D1605" s="1" t="s">
        <v>2148</v>
      </c>
      <c r="E1605" s="4">
        <v>54955.2</v>
      </c>
      <c r="F1605" s="4"/>
      <c r="G1605" s="4"/>
      <c r="H1605" s="4">
        <f>'data on outstanding creditors'!$E1605-'data on outstanding creditors'!$F1605-'data on outstanding creditors'!$G1605</f>
        <v>54955.2</v>
      </c>
      <c r="I1605" s="2"/>
      <c r="J1605" s="1"/>
      <c r="K1605" s="2"/>
      <c r="L1605" s="5"/>
      <c r="M1605" s="9" t="s">
        <v>22</v>
      </c>
      <c r="N1605" s="9" t="s">
        <v>23</v>
      </c>
      <c r="O1605" s="10">
        <f>'data on outstanding creditors'!$E1605*100/107</f>
        <v>51360</v>
      </c>
      <c r="P1605" s="10">
        <f>'data on outstanding creditors'!$E1605-'data on outstanding creditors'!$O1605</f>
        <v>3595.2</v>
      </c>
      <c r="Q1605" s="7">
        <f>DAY('data on outstanding creditors'!$B1605)</f>
        <v>29</v>
      </c>
      <c r="R1605" s="7">
        <f>MONTH('data on outstanding creditors'!$B1605)</f>
        <v>9</v>
      </c>
      <c r="S1605" s="7">
        <f>YEAR('data on outstanding creditors'!$B1605)</f>
        <v>2025</v>
      </c>
      <c r="T1605" s="11" t="str">
        <f>'data on outstanding creditors'!$C1605&amp;" "&amp;'data on outstanding creditors'!$D1605&amp;" "&amp;TEXT('data on outstanding creditors'!$E1605,"#,##0.00")</f>
        <v>บ.ซิลลิคฟาร์มา 1318296833 54,955.20</v>
      </c>
      <c r="U1605" s="12"/>
    </row>
    <row r="1606" ht="13.5" customHeight="1">
      <c r="A1606" s="1"/>
      <c r="B1606" s="2">
        <v>45929.0</v>
      </c>
      <c r="C1606" s="9" t="s">
        <v>922</v>
      </c>
      <c r="D1606" s="1" t="s">
        <v>2149</v>
      </c>
      <c r="E1606" s="4">
        <v>37280.0</v>
      </c>
      <c r="F1606" s="4"/>
      <c r="G1606" s="4"/>
      <c r="H1606" s="4">
        <f>'data on outstanding creditors'!$E1606-'data on outstanding creditors'!$F1606-'data on outstanding creditors'!$G1606</f>
        <v>37280</v>
      </c>
      <c r="I1606" s="2"/>
      <c r="J1606" s="1"/>
      <c r="K1606" s="2"/>
      <c r="L1606" s="5"/>
      <c r="M1606" s="9" t="s">
        <v>22</v>
      </c>
      <c r="N1606" s="9" t="s">
        <v>23</v>
      </c>
      <c r="O1606" s="10">
        <f>'data on outstanding creditors'!$E1606*100/107</f>
        <v>34841.1215</v>
      </c>
      <c r="P1606" s="10">
        <f>'data on outstanding creditors'!$E1606-'data on outstanding creditors'!$O1606</f>
        <v>2438.878505</v>
      </c>
      <c r="Q1606" s="7">
        <f>DAY('data on outstanding creditors'!$B1606)</f>
        <v>29</v>
      </c>
      <c r="R1606" s="7">
        <f>MONTH('data on outstanding creditors'!$B1606)</f>
        <v>9</v>
      </c>
      <c r="S1606" s="7">
        <f>YEAR('data on outstanding creditors'!$B1606)</f>
        <v>2025</v>
      </c>
      <c r="T1606" s="11" t="str">
        <f>'data on outstanding creditors'!$C1606&amp;" "&amp;'data on outstanding creditors'!$D1606&amp;" "&amp;TEXT('data on outstanding creditors'!$E1606,"#,##0.00")</f>
        <v>บ.เบอร์ลินฟาร์มาซูติคอลอินดัสตรี้ 6810909675 37,280.00</v>
      </c>
      <c r="U1606" s="12"/>
    </row>
    <row r="1607" ht="13.5" customHeight="1">
      <c r="A1607" s="1"/>
      <c r="B1607" s="2">
        <v>45929.0</v>
      </c>
      <c r="C1607" s="9" t="s">
        <v>765</v>
      </c>
      <c r="D1607" s="1" t="s">
        <v>2150</v>
      </c>
      <c r="E1607" s="4">
        <v>107760.0</v>
      </c>
      <c r="F1607" s="4"/>
      <c r="G1607" s="4"/>
      <c r="H1607" s="4">
        <f>'data on outstanding creditors'!$E1607-'data on outstanding creditors'!$F1607-'data on outstanding creditors'!$G1607</f>
        <v>107760</v>
      </c>
      <c r="I1607" s="2"/>
      <c r="J1607" s="1"/>
      <c r="K1607" s="2"/>
      <c r="L1607" s="5"/>
      <c r="M1607" s="9" t="s">
        <v>22</v>
      </c>
      <c r="N1607" s="9" t="s">
        <v>23</v>
      </c>
      <c r="O1607" s="10">
        <f>'data on outstanding creditors'!$E1607*100/107</f>
        <v>100710.2804</v>
      </c>
      <c r="P1607" s="10">
        <f>'data on outstanding creditors'!$E1607-'data on outstanding creditors'!$O1607</f>
        <v>7049.719626</v>
      </c>
      <c r="Q1607" s="7">
        <f>DAY('data on outstanding creditors'!$B1607)</f>
        <v>29</v>
      </c>
      <c r="R1607" s="7">
        <f>MONTH('data on outstanding creditors'!$B1607)</f>
        <v>9</v>
      </c>
      <c r="S1607" s="7">
        <f>YEAR('data on outstanding creditors'!$B1607)</f>
        <v>2025</v>
      </c>
      <c r="T1607" s="11" t="str">
        <f>'data on outstanding creditors'!$C1607&amp;" "&amp;'data on outstanding creditors'!$D1607&amp;" "&amp;TEXT('data on outstanding creditors'!$E1607,"#,##0.00")</f>
        <v>บ.ไบโอ ลีดเตอร์ IV2501697 107,760.00</v>
      </c>
      <c r="U1607" s="12"/>
    </row>
    <row r="1608" ht="13.5" customHeight="1">
      <c r="A1608" s="1"/>
      <c r="B1608" s="2">
        <v>45929.0</v>
      </c>
      <c r="C1608" s="9" t="s">
        <v>1230</v>
      </c>
      <c r="D1608" s="1" t="s">
        <v>2151</v>
      </c>
      <c r="E1608" s="4">
        <v>28400.0</v>
      </c>
      <c r="F1608" s="4"/>
      <c r="G1608" s="4"/>
      <c r="H1608" s="4">
        <f>'data on outstanding creditors'!$E1608-'data on outstanding creditors'!$F1608-'data on outstanding creditors'!$G1608</f>
        <v>28400</v>
      </c>
      <c r="I1608" s="2"/>
      <c r="J1608" s="1"/>
      <c r="K1608" s="2"/>
      <c r="L1608" s="5"/>
      <c r="M1608" s="9" t="s">
        <v>22</v>
      </c>
      <c r="N1608" s="9" t="s">
        <v>23</v>
      </c>
      <c r="O1608" s="10">
        <f>'data on outstanding creditors'!$E1608*100/107</f>
        <v>26542.05607</v>
      </c>
      <c r="P1608" s="10">
        <f>'data on outstanding creditors'!$E1608-'data on outstanding creditors'!$O1608</f>
        <v>1857.943925</v>
      </c>
      <c r="Q1608" s="7">
        <f>DAY('data on outstanding creditors'!$B1608)</f>
        <v>29</v>
      </c>
      <c r="R1608" s="7">
        <f>MONTH('data on outstanding creditors'!$B1608)</f>
        <v>9</v>
      </c>
      <c r="S1608" s="7">
        <f>YEAR('data on outstanding creditors'!$B1608)</f>
        <v>2025</v>
      </c>
      <c r="T1608" s="11" t="str">
        <f>'data on outstanding creditors'!$C1608&amp;" "&amp;'data on outstanding creditors'!$D1608&amp;" "&amp;TEXT('data on outstanding creditors'!$E1608,"#,##0.00")</f>
        <v>บ.พรอส ฟาร์มา INV-L-IM\2025093918 28,400.00</v>
      </c>
      <c r="U1608" s="12"/>
    </row>
    <row r="1609" ht="13.5" customHeight="1">
      <c r="A1609" s="1"/>
      <c r="B1609" s="2">
        <v>45929.0</v>
      </c>
      <c r="C1609" s="9" t="s">
        <v>520</v>
      </c>
      <c r="D1609" s="1" t="s">
        <v>2152</v>
      </c>
      <c r="E1609" s="4">
        <v>79180.0</v>
      </c>
      <c r="F1609" s="4"/>
      <c r="G1609" s="4"/>
      <c r="H1609" s="4">
        <f>'data on outstanding creditors'!$E1609-'data on outstanding creditors'!$F1609-'data on outstanding creditors'!$G1609</f>
        <v>79180</v>
      </c>
      <c r="I1609" s="2"/>
      <c r="J1609" s="1"/>
      <c r="K1609" s="2"/>
      <c r="L1609" s="5"/>
      <c r="M1609" s="9" t="s">
        <v>22</v>
      </c>
      <c r="N1609" s="9" t="s">
        <v>23</v>
      </c>
      <c r="O1609" s="10">
        <f>'data on outstanding creditors'!$E1609*100/107</f>
        <v>74000</v>
      </c>
      <c r="P1609" s="10">
        <f>'data on outstanding creditors'!$E1609-'data on outstanding creditors'!$O1609</f>
        <v>5180</v>
      </c>
      <c r="Q1609" s="7">
        <f>DAY('data on outstanding creditors'!$B1609)</f>
        <v>29</v>
      </c>
      <c r="R1609" s="7">
        <f>MONTH('data on outstanding creditors'!$B1609)</f>
        <v>9</v>
      </c>
      <c r="S1609" s="7">
        <f>YEAR('data on outstanding creditors'!$B1609)</f>
        <v>2025</v>
      </c>
      <c r="T1609" s="11" t="str">
        <f>'data on outstanding creditors'!$C1609&amp;" "&amp;'data on outstanding creditors'!$D1609&amp;" "&amp;TEXT('data on outstanding creditors'!$E1609,"#,##0.00")</f>
        <v>บ.ซิลลิคฟาร์มา 1318280087 79,180.00</v>
      </c>
      <c r="U1609" s="12"/>
    </row>
    <row r="1610" ht="13.5" customHeight="1">
      <c r="A1610" s="1"/>
      <c r="B1610" s="2">
        <v>45929.0</v>
      </c>
      <c r="C1610" s="9" t="s">
        <v>263</v>
      </c>
      <c r="D1610" s="1" t="s">
        <v>2153</v>
      </c>
      <c r="E1610" s="4">
        <v>118800.0</v>
      </c>
      <c r="F1610" s="4"/>
      <c r="G1610" s="4"/>
      <c r="H1610" s="4">
        <f>'data on outstanding creditors'!$E1610-'data on outstanding creditors'!$F1610-'data on outstanding creditors'!$G1610</f>
        <v>118800</v>
      </c>
      <c r="I1610" s="2"/>
      <c r="J1610" s="1"/>
      <c r="K1610" s="2"/>
      <c r="L1610" s="5"/>
      <c r="M1610" s="9" t="s">
        <v>22</v>
      </c>
      <c r="N1610" s="9" t="s">
        <v>23</v>
      </c>
      <c r="O1610" s="10">
        <f>'data on outstanding creditors'!$E1610*100/107</f>
        <v>111028.0374</v>
      </c>
      <c r="P1610" s="10">
        <f>'data on outstanding creditors'!$E1610-'data on outstanding creditors'!$O1610</f>
        <v>7771.962617</v>
      </c>
      <c r="Q1610" s="7">
        <f>DAY('data on outstanding creditors'!$B1610)</f>
        <v>29</v>
      </c>
      <c r="R1610" s="7">
        <f>MONTH('data on outstanding creditors'!$B1610)</f>
        <v>9</v>
      </c>
      <c r="S1610" s="7">
        <f>YEAR('data on outstanding creditors'!$B1610)</f>
        <v>2025</v>
      </c>
      <c r="T1610" s="11" t="str">
        <f>'data on outstanding creditors'!$C1610&amp;" "&amp;'data on outstanding creditors'!$D1610&amp;" "&amp;TEXT('data on outstanding creditors'!$E1610,"#,##0.00")</f>
        <v>บ.เอเบิ้ล เมดิคอล M2509/0508 118,800.00</v>
      </c>
      <c r="U1610" s="12"/>
    </row>
    <row r="1611" ht="13.5" customHeight="1">
      <c r="A1611" s="1"/>
      <c r="B1611" s="2">
        <v>45929.0</v>
      </c>
      <c r="C1611" s="9" t="s">
        <v>1422</v>
      </c>
      <c r="D1611" s="1" t="s">
        <v>2154</v>
      </c>
      <c r="E1611" s="4">
        <v>118770.0</v>
      </c>
      <c r="F1611" s="4"/>
      <c r="G1611" s="4"/>
      <c r="H1611" s="4">
        <f>'data on outstanding creditors'!$E1611-'data on outstanding creditors'!$F1611-'data on outstanding creditors'!$G1611</f>
        <v>118770</v>
      </c>
      <c r="I1611" s="2"/>
      <c r="J1611" s="1"/>
      <c r="K1611" s="2"/>
      <c r="L1611" s="5"/>
      <c r="M1611" s="9" t="s">
        <v>22</v>
      </c>
      <c r="N1611" s="9" t="s">
        <v>23</v>
      </c>
      <c r="O1611" s="10">
        <f>'data on outstanding creditors'!$E1611*100/107</f>
        <v>111000</v>
      </c>
      <c r="P1611" s="10">
        <f>'data on outstanding creditors'!$E1611-'data on outstanding creditors'!$O1611</f>
        <v>7770</v>
      </c>
      <c r="Q1611" s="7">
        <f>DAY('data on outstanding creditors'!$B1611)</f>
        <v>29</v>
      </c>
      <c r="R1611" s="7">
        <f>MONTH('data on outstanding creditors'!$B1611)</f>
        <v>9</v>
      </c>
      <c r="S1611" s="7">
        <f>YEAR('data on outstanding creditors'!$B1611)</f>
        <v>2025</v>
      </c>
      <c r="T1611" s="11" t="str">
        <f>'data on outstanding creditors'!$C1611&amp;" "&amp;'data on outstanding creditors'!$D1611&amp;" "&amp;TEXT('data on outstanding creditors'!$E1611,"#,##0.00")</f>
        <v>บ.ดีซีเอช ออดิกา (ปรเทศไทย) UG94681107 118,770.00</v>
      </c>
      <c r="U1611" s="12"/>
    </row>
    <row r="1612" ht="13.5" customHeight="1">
      <c r="A1612" s="1"/>
      <c r="B1612" s="2">
        <v>45930.0</v>
      </c>
      <c r="C1612" s="9" t="s">
        <v>520</v>
      </c>
      <c r="D1612" s="1" t="s">
        <v>2155</v>
      </c>
      <c r="E1612" s="4">
        <v>18404.0</v>
      </c>
      <c r="F1612" s="4"/>
      <c r="G1612" s="4"/>
      <c r="H1612" s="4">
        <f>'data on outstanding creditors'!$E1612-'data on outstanding creditors'!$F1612-'data on outstanding creditors'!$G1612</f>
        <v>18404</v>
      </c>
      <c r="I1612" s="2"/>
      <c r="J1612" s="1"/>
      <c r="K1612" s="2"/>
      <c r="L1612" s="5"/>
      <c r="M1612" s="9" t="s">
        <v>22</v>
      </c>
      <c r="N1612" s="9" t="s">
        <v>23</v>
      </c>
      <c r="O1612" s="10">
        <f>'data on outstanding creditors'!$E1612*100/107</f>
        <v>17200</v>
      </c>
      <c r="P1612" s="10">
        <f>'data on outstanding creditors'!$E1612-'data on outstanding creditors'!$O1612</f>
        <v>1204</v>
      </c>
      <c r="Q1612" s="7">
        <f>DAY('data on outstanding creditors'!$B1612)</f>
        <v>30</v>
      </c>
      <c r="R1612" s="7">
        <f>MONTH('data on outstanding creditors'!$B1612)</f>
        <v>9</v>
      </c>
      <c r="S1612" s="7">
        <f>YEAR('data on outstanding creditors'!$B1612)</f>
        <v>2025</v>
      </c>
      <c r="T1612" s="11" t="str">
        <f>'data on outstanding creditors'!$C1612&amp;" "&amp;'data on outstanding creditors'!$D1612&amp;" "&amp;TEXT('data on outstanding creditors'!$E1612,"#,##0.00")</f>
        <v>บ.ซิลลิคฟาร์มา 1318318084 18,404.00</v>
      </c>
      <c r="U1612" s="12"/>
    </row>
    <row r="1613" ht="13.5" customHeight="1">
      <c r="A1613" s="1"/>
      <c r="B1613" s="2">
        <v>45930.0</v>
      </c>
      <c r="C1613" s="9" t="s">
        <v>771</v>
      </c>
      <c r="D1613" s="1" t="s">
        <v>2156</v>
      </c>
      <c r="E1613" s="4">
        <v>82320.0</v>
      </c>
      <c r="F1613" s="4"/>
      <c r="G1613" s="4"/>
      <c r="H1613" s="4">
        <f>'data on outstanding creditors'!$E1613-'data on outstanding creditors'!$F1613-'data on outstanding creditors'!$G1613</f>
        <v>82320</v>
      </c>
      <c r="I1613" s="2"/>
      <c r="J1613" s="1"/>
      <c r="K1613" s="2"/>
      <c r="L1613" s="5"/>
      <c r="M1613" s="9" t="s">
        <v>22</v>
      </c>
      <c r="N1613" s="9" t="s">
        <v>23</v>
      </c>
      <c r="O1613" s="10">
        <f>'data on outstanding creditors'!$E1613*100/107</f>
        <v>76934.57944</v>
      </c>
      <c r="P1613" s="10">
        <f>'data on outstanding creditors'!$E1613-'data on outstanding creditors'!$O1613</f>
        <v>5385.420561</v>
      </c>
      <c r="Q1613" s="7">
        <f>DAY('data on outstanding creditors'!$B1613)</f>
        <v>30</v>
      </c>
      <c r="R1613" s="7">
        <f>MONTH('data on outstanding creditors'!$B1613)</f>
        <v>9</v>
      </c>
      <c r="S1613" s="7">
        <f>YEAR('data on outstanding creditors'!$B1613)</f>
        <v>2025</v>
      </c>
      <c r="T1613" s="11" t="str">
        <f>'data on outstanding creditors'!$C1613&amp;" "&amp;'data on outstanding creditors'!$D1613&amp;" "&amp;TEXT('data on outstanding creditors'!$E1613,"#,##0.00")</f>
        <v>หจก.ภิญโญฟาร์มาซี IV6851505 82,320.00</v>
      </c>
      <c r="U1613" s="12"/>
    </row>
    <row r="1614" ht="13.5" customHeight="1">
      <c r="A1614" s="1"/>
      <c r="B1614" s="2">
        <v>45930.0</v>
      </c>
      <c r="C1614" s="9" t="s">
        <v>520</v>
      </c>
      <c r="D1614" s="1" t="s">
        <v>2157</v>
      </c>
      <c r="E1614" s="4">
        <v>10635.8</v>
      </c>
      <c r="F1614" s="4"/>
      <c r="G1614" s="4"/>
      <c r="H1614" s="4">
        <f>'data on outstanding creditors'!$E1614-'data on outstanding creditors'!$F1614-'data on outstanding creditors'!$G1614</f>
        <v>10635.8</v>
      </c>
      <c r="I1614" s="2"/>
      <c r="J1614" s="1"/>
      <c r="K1614" s="2"/>
      <c r="L1614" s="5"/>
      <c r="M1614" s="9" t="s">
        <v>22</v>
      </c>
      <c r="N1614" s="9" t="s">
        <v>23</v>
      </c>
      <c r="O1614" s="10">
        <f>'data on outstanding creditors'!$E1614*100/107</f>
        <v>9940</v>
      </c>
      <c r="P1614" s="10">
        <f>'data on outstanding creditors'!$E1614-'data on outstanding creditors'!$O1614</f>
        <v>695.8</v>
      </c>
      <c r="Q1614" s="7">
        <f>DAY('data on outstanding creditors'!$B1614)</f>
        <v>30</v>
      </c>
      <c r="R1614" s="7">
        <f>MONTH('data on outstanding creditors'!$B1614)</f>
        <v>9</v>
      </c>
      <c r="S1614" s="7">
        <f>YEAR('data on outstanding creditors'!$B1614)</f>
        <v>2025</v>
      </c>
      <c r="T1614" s="11" t="str">
        <f>'data on outstanding creditors'!$C1614&amp;" "&amp;'data on outstanding creditors'!$D1614&amp;" "&amp;TEXT('data on outstanding creditors'!$E1614,"#,##0.00")</f>
        <v>บ.ซิลลิคฟาร์มา 1318318085 10,635.80</v>
      </c>
      <c r="U1614" s="12"/>
    </row>
    <row r="1615" ht="13.5" customHeight="1">
      <c r="A1615" s="1"/>
      <c r="B1615" s="2">
        <v>45930.0</v>
      </c>
      <c r="C1615" s="9" t="s">
        <v>1637</v>
      </c>
      <c r="D1615" s="1" t="s">
        <v>2158</v>
      </c>
      <c r="E1615" s="4">
        <v>64200.0</v>
      </c>
      <c r="F1615" s="4"/>
      <c r="G1615" s="4"/>
      <c r="H1615" s="4">
        <f>'data on outstanding creditors'!$E1615-'data on outstanding creditors'!$F1615-'data on outstanding creditors'!$G1615</f>
        <v>64200</v>
      </c>
      <c r="I1615" s="2"/>
      <c r="J1615" s="1"/>
      <c r="K1615" s="2"/>
      <c r="L1615" s="5"/>
      <c r="M1615" s="9" t="s">
        <v>22</v>
      </c>
      <c r="N1615" s="9" t="s">
        <v>23</v>
      </c>
      <c r="O1615" s="10">
        <f>'data on outstanding creditors'!$E1615*100/107</f>
        <v>60000</v>
      </c>
      <c r="P1615" s="10">
        <f>'data on outstanding creditors'!$E1615-'data on outstanding creditors'!$O1615</f>
        <v>4200</v>
      </c>
      <c r="Q1615" s="7">
        <f>DAY('data on outstanding creditors'!$B1615)</f>
        <v>30</v>
      </c>
      <c r="R1615" s="7">
        <f>MONTH('data on outstanding creditors'!$B1615)</f>
        <v>9</v>
      </c>
      <c r="S1615" s="7">
        <f>YEAR('data on outstanding creditors'!$B1615)</f>
        <v>2025</v>
      </c>
      <c r="T1615" s="11" t="str">
        <f>'data on outstanding creditors'!$C1615&amp;" "&amp;'data on outstanding creditors'!$D1615&amp;" "&amp;TEXT('data on outstanding creditors'!$E1615,"#,##0.00")</f>
        <v>บ.บีเจเอช เมดิคอล 310957401297 64,200.00</v>
      </c>
      <c r="U1615" s="12"/>
    </row>
    <row r="1616" ht="13.5" customHeight="1">
      <c r="A1616" s="1"/>
      <c r="B1616" s="2">
        <v>45936.0</v>
      </c>
      <c r="C1616" s="9" t="s">
        <v>520</v>
      </c>
      <c r="D1616" s="1" t="s">
        <v>2159</v>
      </c>
      <c r="E1616" s="4">
        <v>98440.0</v>
      </c>
      <c r="F1616" s="4"/>
      <c r="G1616" s="4"/>
      <c r="H1616" s="4">
        <f>'data on outstanding creditors'!$E1616-'data on outstanding creditors'!$F1616-'data on outstanding creditors'!$G1616</f>
        <v>98440</v>
      </c>
      <c r="I1616" s="2"/>
      <c r="J1616" s="1"/>
      <c r="K1616" s="2"/>
      <c r="L1616" s="5"/>
      <c r="M1616" s="9" t="s">
        <v>22</v>
      </c>
      <c r="N1616" s="9" t="s">
        <v>23</v>
      </c>
      <c r="O1616" s="10">
        <f>'data on outstanding creditors'!$E1616*100/107</f>
        <v>92000</v>
      </c>
      <c r="P1616" s="10">
        <f>'data on outstanding creditors'!$E1616-'data on outstanding creditors'!$O1616</f>
        <v>6440</v>
      </c>
      <c r="Q1616" s="7">
        <f>DAY('data on outstanding creditors'!$B1616)</f>
        <v>6</v>
      </c>
      <c r="R1616" s="7">
        <f>MONTH('data on outstanding creditors'!$B1616)</f>
        <v>10</v>
      </c>
      <c r="S1616" s="7">
        <f>YEAR('data on outstanding creditors'!$B1616)</f>
        <v>2025</v>
      </c>
      <c r="T1616" s="11" t="str">
        <f>'data on outstanding creditors'!$C1616&amp;" "&amp;'data on outstanding creditors'!$D1616&amp;" "&amp;TEXT('data on outstanding creditors'!$E1616,"#,##0.00")</f>
        <v>บ.ซิลลิคฟาร์มา 1318367419 98,440.00</v>
      </c>
      <c r="U1616" s="12"/>
    </row>
    <row r="1617" ht="13.5" customHeight="1">
      <c r="A1617" s="1"/>
      <c r="B1617" s="2">
        <v>45937.0</v>
      </c>
      <c r="C1617" s="9" t="s">
        <v>520</v>
      </c>
      <c r="D1617" s="1" t="s">
        <v>2160</v>
      </c>
      <c r="E1617" s="4">
        <v>24610.0</v>
      </c>
      <c r="F1617" s="4"/>
      <c r="G1617" s="4"/>
      <c r="H1617" s="4">
        <f>'data on outstanding creditors'!$E1617-'data on outstanding creditors'!$F1617-'data on outstanding creditors'!$G1617</f>
        <v>24610</v>
      </c>
      <c r="I1617" s="2"/>
      <c r="J1617" s="1"/>
      <c r="K1617" s="2"/>
      <c r="L1617" s="5"/>
      <c r="M1617" s="9" t="s">
        <v>22</v>
      </c>
      <c r="N1617" s="9" t="s">
        <v>23</v>
      </c>
      <c r="O1617" s="10">
        <f>'data on outstanding creditors'!$E1617*100/107</f>
        <v>23000</v>
      </c>
      <c r="P1617" s="10">
        <f>'data on outstanding creditors'!$E1617-'data on outstanding creditors'!$O1617</f>
        <v>1610</v>
      </c>
      <c r="Q1617" s="7">
        <f>DAY('data on outstanding creditors'!$B1617)</f>
        <v>7</v>
      </c>
      <c r="R1617" s="7">
        <f>MONTH('data on outstanding creditors'!$B1617)</f>
        <v>10</v>
      </c>
      <c r="S1617" s="7">
        <f>YEAR('data on outstanding creditors'!$B1617)</f>
        <v>2025</v>
      </c>
      <c r="T1617" s="11" t="str">
        <f>'data on outstanding creditors'!$C1617&amp;" "&amp;'data on outstanding creditors'!$D1617&amp;" "&amp;TEXT('data on outstanding creditors'!$E1617,"#,##0.00")</f>
        <v>บ.ซิลลิคฟาร์มา 1318385491 24,610.00</v>
      </c>
      <c r="U1617" s="12"/>
    </row>
    <row r="1618" ht="13.5" customHeight="1">
      <c r="A1618" s="1"/>
      <c r="B1618" s="2">
        <v>45938.0</v>
      </c>
      <c r="C1618" s="9" t="s">
        <v>520</v>
      </c>
      <c r="D1618" s="1" t="s">
        <v>2161</v>
      </c>
      <c r="E1618" s="4">
        <v>14011.65</v>
      </c>
      <c r="F1618" s="4"/>
      <c r="G1618" s="4"/>
      <c r="H1618" s="4">
        <f>'data on outstanding creditors'!$E1618-'data on outstanding creditors'!$F1618-'data on outstanding creditors'!$G1618</f>
        <v>14011.65</v>
      </c>
      <c r="I1618" s="2"/>
      <c r="J1618" s="1"/>
      <c r="K1618" s="2"/>
      <c r="L1618" s="5"/>
      <c r="M1618" s="9" t="s">
        <v>22</v>
      </c>
      <c r="N1618" s="9" t="s">
        <v>23</v>
      </c>
      <c r="O1618" s="10">
        <f>'data on outstanding creditors'!$E1618*100/107</f>
        <v>13095</v>
      </c>
      <c r="P1618" s="10">
        <f>'data on outstanding creditors'!$E1618-'data on outstanding creditors'!$O1618</f>
        <v>916.65</v>
      </c>
      <c r="Q1618" s="7">
        <f>DAY('data on outstanding creditors'!$B1618)</f>
        <v>8</v>
      </c>
      <c r="R1618" s="7">
        <f>MONTH('data on outstanding creditors'!$B1618)</f>
        <v>10</v>
      </c>
      <c r="S1618" s="7">
        <f>YEAR('data on outstanding creditors'!$B1618)</f>
        <v>2025</v>
      </c>
      <c r="T1618" s="11" t="str">
        <f>'data on outstanding creditors'!$C1618&amp;" "&amp;'data on outstanding creditors'!$D1618&amp;" "&amp;TEXT('data on outstanding creditors'!$E1618,"#,##0.00")</f>
        <v>บ.ซิลลิคฟาร์มา 1318370890 14,011.65</v>
      </c>
      <c r="U1618" s="12"/>
    </row>
    <row r="1619" ht="13.5" customHeight="1">
      <c r="A1619" s="1"/>
      <c r="B1619" s="2">
        <v>45938.0</v>
      </c>
      <c r="C1619" s="9" t="s">
        <v>1303</v>
      </c>
      <c r="D1619" s="1" t="s">
        <v>2162</v>
      </c>
      <c r="E1619" s="4">
        <v>40660.0</v>
      </c>
      <c r="F1619" s="4"/>
      <c r="G1619" s="4"/>
      <c r="H1619" s="4">
        <f>'data on outstanding creditors'!$E1619-'data on outstanding creditors'!$F1619-'data on outstanding creditors'!$G1619</f>
        <v>40660</v>
      </c>
      <c r="I1619" s="2"/>
      <c r="J1619" s="1"/>
      <c r="K1619" s="2"/>
      <c r="L1619" s="5"/>
      <c r="M1619" s="9" t="s">
        <v>22</v>
      </c>
      <c r="N1619" s="9" t="s">
        <v>23</v>
      </c>
      <c r="O1619" s="10">
        <f>'data on outstanding creditors'!$E1619*100/107</f>
        <v>38000</v>
      </c>
      <c r="P1619" s="10">
        <f>'data on outstanding creditors'!$E1619-'data on outstanding creditors'!$O1619</f>
        <v>2660</v>
      </c>
      <c r="Q1619" s="7">
        <f>DAY('data on outstanding creditors'!$B1619)</f>
        <v>8</v>
      </c>
      <c r="R1619" s="7">
        <f>MONTH('data on outstanding creditors'!$B1619)</f>
        <v>10</v>
      </c>
      <c r="S1619" s="7">
        <f>YEAR('data on outstanding creditors'!$B1619)</f>
        <v>2025</v>
      </c>
      <c r="T1619" s="11" t="str">
        <f>'data on outstanding creditors'!$C1619&amp;" "&amp;'data on outstanding creditors'!$D1619&amp;" "&amp;TEXT('data on outstanding creditors'!$E1619,"#,##0.00")</f>
        <v>บ.บี.เอ็ล.เอช.เทร็ดดิ้ง 1068024727 40,660.00</v>
      </c>
      <c r="U1619" s="12"/>
    </row>
    <row r="1620" ht="13.5" customHeight="1">
      <c r="A1620" s="1"/>
      <c r="B1620" s="2">
        <v>45939.0</v>
      </c>
      <c r="C1620" s="9" t="s">
        <v>399</v>
      </c>
      <c r="D1620" s="1" t="s">
        <v>2163</v>
      </c>
      <c r="E1620" s="4">
        <v>139100.0</v>
      </c>
      <c r="F1620" s="4"/>
      <c r="G1620" s="4"/>
      <c r="H1620" s="4">
        <f>'data on outstanding creditors'!$E1620-'data on outstanding creditors'!$F1620-'data on outstanding creditors'!$G1620</f>
        <v>139100</v>
      </c>
      <c r="I1620" s="2"/>
      <c r="J1620" s="1"/>
      <c r="K1620" s="2"/>
      <c r="L1620" s="5"/>
      <c r="M1620" s="9" t="s">
        <v>22</v>
      </c>
      <c r="N1620" s="9" t="s">
        <v>23</v>
      </c>
      <c r="O1620" s="10">
        <f>'data on outstanding creditors'!$E1620*100/107</f>
        <v>130000</v>
      </c>
      <c r="P1620" s="10">
        <f>'data on outstanding creditors'!$E1620-'data on outstanding creditors'!$O1620</f>
        <v>9100</v>
      </c>
      <c r="Q1620" s="7">
        <f>DAY('data on outstanding creditors'!$B1620)</f>
        <v>9</v>
      </c>
      <c r="R1620" s="7">
        <f>MONTH('data on outstanding creditors'!$B1620)</f>
        <v>10</v>
      </c>
      <c r="S1620" s="7">
        <f>YEAR('data on outstanding creditors'!$B1620)</f>
        <v>2025</v>
      </c>
      <c r="T1620" s="11" t="str">
        <f>'data on outstanding creditors'!$C1620&amp;" "&amp;'data on outstanding creditors'!$D1620&amp;" "&amp;TEXT('data on outstanding creditors'!$E1620,"#,##0.00")</f>
        <v>บ.ดีเคเอสเอช(ประเทศไทย) 5344518572 139,100.00</v>
      </c>
      <c r="U1620" s="12"/>
    </row>
    <row r="1621" ht="13.5" customHeight="1">
      <c r="A1621" s="1"/>
      <c r="B1621" s="2">
        <v>45940.0</v>
      </c>
      <c r="C1621" s="9" t="s">
        <v>1454</v>
      </c>
      <c r="D1621" s="1" t="s">
        <v>2164</v>
      </c>
      <c r="E1621" s="4">
        <v>66375.0</v>
      </c>
      <c r="F1621" s="4"/>
      <c r="G1621" s="4"/>
      <c r="H1621" s="4">
        <f>'data on outstanding creditors'!$E1621-'data on outstanding creditors'!$F1621-'data on outstanding creditors'!$G1621</f>
        <v>66375</v>
      </c>
      <c r="I1621" s="2"/>
      <c r="J1621" s="1"/>
      <c r="K1621" s="2"/>
      <c r="L1621" s="5"/>
      <c r="M1621" s="9" t="s">
        <v>22</v>
      </c>
      <c r="N1621" s="9" t="s">
        <v>23</v>
      </c>
      <c r="O1621" s="10">
        <f>'data on outstanding creditors'!$E1621*100/107</f>
        <v>62032.71028</v>
      </c>
      <c r="P1621" s="10">
        <f>'data on outstanding creditors'!$E1621-'data on outstanding creditors'!$O1621</f>
        <v>4342.28972</v>
      </c>
      <c r="Q1621" s="7">
        <f>DAY('data on outstanding creditors'!$B1621)</f>
        <v>10</v>
      </c>
      <c r="R1621" s="7">
        <f>MONTH('data on outstanding creditors'!$B1621)</f>
        <v>10</v>
      </c>
      <c r="S1621" s="7">
        <f>YEAR('data on outstanding creditors'!$B1621)</f>
        <v>2025</v>
      </c>
      <c r="T1621" s="11" t="str">
        <f>'data on outstanding creditors'!$C1621&amp;" "&amp;'data on outstanding creditors'!$D1621&amp;" "&amp;TEXT('data on outstanding creditors'!$E1621,"#,##0.00")</f>
        <v>บ.พรีเมด ฟาร์มา พลัส PL681000243 66,375.00</v>
      </c>
      <c r="U1621" s="12"/>
    </row>
    <row r="1622" ht="13.5" customHeight="1">
      <c r="A1622" s="1"/>
      <c r="B1622" s="2">
        <v>45940.0</v>
      </c>
      <c r="C1622" s="9" t="s">
        <v>780</v>
      </c>
      <c r="D1622" s="1" t="s">
        <v>2165</v>
      </c>
      <c r="E1622" s="4">
        <v>6848.0</v>
      </c>
      <c r="F1622" s="4"/>
      <c r="G1622" s="4"/>
      <c r="H1622" s="4">
        <f>'data on outstanding creditors'!$E1622-'data on outstanding creditors'!$F1622-'data on outstanding creditors'!$G1622</f>
        <v>6848</v>
      </c>
      <c r="I1622" s="2"/>
      <c r="J1622" s="1"/>
      <c r="K1622" s="2"/>
      <c r="L1622" s="5"/>
      <c r="M1622" s="9" t="s">
        <v>22</v>
      </c>
      <c r="N1622" s="9" t="s">
        <v>23</v>
      </c>
      <c r="O1622" s="10">
        <f>'data on outstanding creditors'!$E1622*100/107</f>
        <v>6400</v>
      </c>
      <c r="P1622" s="10">
        <f>'data on outstanding creditors'!$E1622-'data on outstanding creditors'!$O1622</f>
        <v>448</v>
      </c>
      <c r="Q1622" s="7">
        <f>DAY('data on outstanding creditors'!$B1622)</f>
        <v>10</v>
      </c>
      <c r="R1622" s="7">
        <f>MONTH('data on outstanding creditors'!$B1622)</f>
        <v>10</v>
      </c>
      <c r="S1622" s="7">
        <f>YEAR('data on outstanding creditors'!$B1622)</f>
        <v>2025</v>
      </c>
      <c r="T1622" s="11" t="str">
        <f>'data on outstanding creditors'!$C1622&amp;" "&amp;'data on outstanding creditors'!$D1622&amp;" "&amp;TEXT('data on outstanding creditors'!$E1622,"#,##0.00")</f>
        <v>บ.แคสป้า ฟาร์มาซูติคอล(ประเทศไทย) C68100204 6,848.00</v>
      </c>
      <c r="U1622" s="12"/>
    </row>
    <row r="1623" ht="13.5" customHeight="1">
      <c r="A1623" s="1"/>
      <c r="B1623" s="2">
        <v>45945.0</v>
      </c>
      <c r="C1623" s="9" t="s">
        <v>2166</v>
      </c>
      <c r="D1623" s="1" t="s">
        <v>2167</v>
      </c>
      <c r="E1623" s="4">
        <v>83620.5</v>
      </c>
      <c r="F1623" s="4"/>
      <c r="G1623" s="4"/>
      <c r="H1623" s="4">
        <f>'data on outstanding creditors'!$E1623-'data on outstanding creditors'!$F1623-'data on outstanding creditors'!$G1623</f>
        <v>83620.5</v>
      </c>
      <c r="I1623" s="2"/>
      <c r="J1623" s="1"/>
      <c r="K1623" s="2"/>
      <c r="L1623" s="5"/>
      <c r="M1623" s="9" t="s">
        <v>22</v>
      </c>
      <c r="N1623" s="9" t="s">
        <v>23</v>
      </c>
      <c r="O1623" s="10">
        <f>'data on outstanding creditors'!$E1623*100/107</f>
        <v>78150</v>
      </c>
      <c r="P1623" s="10">
        <f>'data on outstanding creditors'!$E1623-'data on outstanding creditors'!$O1623</f>
        <v>5470.5</v>
      </c>
      <c r="Q1623" s="7">
        <f>DAY('data on outstanding creditors'!$B1623)</f>
        <v>15</v>
      </c>
      <c r="R1623" s="7">
        <f>MONTH('data on outstanding creditors'!$B1623)</f>
        <v>10</v>
      </c>
      <c r="S1623" s="7">
        <f>YEAR('data on outstanding creditors'!$B1623)</f>
        <v>2025</v>
      </c>
      <c r="T1623" s="11" t="str">
        <f>'data on outstanding creditors'!$C1623&amp;" "&amp;'data on outstanding creditors'!$D1623&amp;" "&amp;TEXT('data on outstanding creditors'!$E1623,"#,##0.00")</f>
        <v>บ.ดีเคเค ดิไวซ์ 5059823285 83,620.50</v>
      </c>
      <c r="U1623" s="12"/>
    </row>
    <row r="1624" ht="13.5" customHeight="1">
      <c r="A1624" s="1"/>
      <c r="B1624" s="2">
        <v>45945.0</v>
      </c>
      <c r="C1624" s="9" t="s">
        <v>1230</v>
      </c>
      <c r="D1624" s="1" t="s">
        <v>2168</v>
      </c>
      <c r="E1624" s="4">
        <v>102000.0</v>
      </c>
      <c r="F1624" s="4"/>
      <c r="G1624" s="4"/>
      <c r="H1624" s="4">
        <f>'data on outstanding creditors'!$E1624-'data on outstanding creditors'!$F1624-'data on outstanding creditors'!$G1624</f>
        <v>102000</v>
      </c>
      <c r="I1624" s="2"/>
      <c r="J1624" s="1"/>
      <c r="K1624" s="2"/>
      <c r="L1624" s="5"/>
      <c r="M1624" s="9" t="s">
        <v>22</v>
      </c>
      <c r="N1624" s="9" t="s">
        <v>23</v>
      </c>
      <c r="O1624" s="10">
        <f>'data on outstanding creditors'!$E1624*100/107</f>
        <v>95327.1028</v>
      </c>
      <c r="P1624" s="10">
        <f>'data on outstanding creditors'!$E1624-'data on outstanding creditors'!$O1624</f>
        <v>6672.897196</v>
      </c>
      <c r="Q1624" s="7">
        <f>DAY('data on outstanding creditors'!$B1624)</f>
        <v>15</v>
      </c>
      <c r="R1624" s="7">
        <f>MONTH('data on outstanding creditors'!$B1624)</f>
        <v>10</v>
      </c>
      <c r="S1624" s="7">
        <f>YEAR('data on outstanding creditors'!$B1624)</f>
        <v>2025</v>
      </c>
      <c r="T1624" s="11" t="str">
        <f>'data on outstanding creditors'!$C1624&amp;" "&amp;'data on outstanding creditors'!$D1624&amp;" "&amp;TEXT('data on outstanding creditors'!$E1624,"#,##0.00")</f>
        <v>บ.พรอส ฟาร์มา INV-L-IM\2025101306 102,000.00</v>
      </c>
      <c r="U1624" s="12"/>
    </row>
    <row r="1625" ht="13.5" customHeight="1">
      <c r="A1625" s="1"/>
      <c r="B1625" s="2">
        <v>45945.0</v>
      </c>
      <c r="C1625" s="9" t="s">
        <v>520</v>
      </c>
      <c r="D1625" s="1" t="s">
        <v>2169</v>
      </c>
      <c r="E1625" s="4">
        <v>242676.0</v>
      </c>
      <c r="F1625" s="4"/>
      <c r="G1625" s="4"/>
      <c r="H1625" s="4">
        <f>'data on outstanding creditors'!$E1625-'data on outstanding creditors'!$F1625-'data on outstanding creditors'!$G1625</f>
        <v>242676</v>
      </c>
      <c r="I1625" s="2"/>
      <c r="J1625" s="1"/>
      <c r="K1625" s="2"/>
      <c r="L1625" s="5"/>
      <c r="M1625" s="9" t="s">
        <v>22</v>
      </c>
      <c r="N1625" s="9" t="s">
        <v>23</v>
      </c>
      <c r="O1625" s="10">
        <f>'data on outstanding creditors'!$E1625*100/107</f>
        <v>226800</v>
      </c>
      <c r="P1625" s="10">
        <f>'data on outstanding creditors'!$E1625-'data on outstanding creditors'!$O1625</f>
        <v>15876</v>
      </c>
      <c r="Q1625" s="7">
        <f>DAY('data on outstanding creditors'!$B1625)</f>
        <v>15</v>
      </c>
      <c r="R1625" s="7">
        <f>MONTH('data on outstanding creditors'!$B1625)</f>
        <v>10</v>
      </c>
      <c r="S1625" s="7">
        <f>YEAR('data on outstanding creditors'!$B1625)</f>
        <v>2025</v>
      </c>
      <c r="T1625" s="11" t="str">
        <f>'data on outstanding creditors'!$C1625&amp;" "&amp;'data on outstanding creditors'!$D1625&amp;" "&amp;TEXT('data on outstanding creditors'!$E1625,"#,##0.00")</f>
        <v>บ.ซิลลิคฟาร์มา 1318420556 242,676.00</v>
      </c>
      <c r="U1625" s="12"/>
    </row>
    <row r="1626" ht="13.5" customHeight="1">
      <c r="A1626" s="1"/>
      <c r="B1626" s="2">
        <v>45945.0</v>
      </c>
      <c r="C1626" s="9" t="s">
        <v>1230</v>
      </c>
      <c r="D1626" s="1" t="s">
        <v>2170</v>
      </c>
      <c r="E1626" s="4">
        <v>6370.0</v>
      </c>
      <c r="F1626" s="4"/>
      <c r="G1626" s="4"/>
      <c r="H1626" s="4">
        <f>'data on outstanding creditors'!$E1626-'data on outstanding creditors'!$F1626-'data on outstanding creditors'!$G1626</f>
        <v>6370</v>
      </c>
      <c r="I1626" s="2"/>
      <c r="J1626" s="1"/>
      <c r="K1626" s="2"/>
      <c r="L1626" s="5"/>
      <c r="M1626" s="9" t="s">
        <v>22</v>
      </c>
      <c r="N1626" s="9" t="s">
        <v>23</v>
      </c>
      <c r="O1626" s="10">
        <f>'data on outstanding creditors'!$E1626*100/107</f>
        <v>5953.271028</v>
      </c>
      <c r="P1626" s="10">
        <f>'data on outstanding creditors'!$E1626-'data on outstanding creditors'!$O1626</f>
        <v>416.728972</v>
      </c>
      <c r="Q1626" s="7">
        <f>DAY('data on outstanding creditors'!$B1626)</f>
        <v>15</v>
      </c>
      <c r="R1626" s="7">
        <f>MONTH('data on outstanding creditors'!$B1626)</f>
        <v>10</v>
      </c>
      <c r="S1626" s="7">
        <f>YEAR('data on outstanding creditors'!$B1626)</f>
        <v>2025</v>
      </c>
      <c r="T1626" s="11" t="str">
        <f>'data on outstanding creditors'!$C1626&amp;" "&amp;'data on outstanding creditors'!$D1626&amp;" "&amp;TEXT('data on outstanding creditors'!$E1626,"#,##0.00")</f>
        <v>บ.พรอส ฟาร์มา INV-L-IM\2025101115 6,370.00</v>
      </c>
      <c r="U1626" s="12"/>
    </row>
    <row r="1627" ht="13.5" customHeight="1">
      <c r="A1627" s="1"/>
      <c r="B1627" s="2">
        <v>45945.0</v>
      </c>
      <c r="C1627" s="9" t="s">
        <v>767</v>
      </c>
      <c r="D1627" s="1" t="s">
        <v>2171</v>
      </c>
      <c r="E1627" s="4">
        <v>32000.0</v>
      </c>
      <c r="F1627" s="4"/>
      <c r="G1627" s="4"/>
      <c r="H1627" s="4">
        <f>'data on outstanding creditors'!$E1627-'data on outstanding creditors'!$F1627-'data on outstanding creditors'!$G1627</f>
        <v>32000</v>
      </c>
      <c r="I1627" s="2"/>
      <c r="J1627" s="1"/>
      <c r="K1627" s="2"/>
      <c r="L1627" s="5"/>
      <c r="M1627" s="9" t="s">
        <v>22</v>
      </c>
      <c r="N1627" s="9" t="s">
        <v>23</v>
      </c>
      <c r="O1627" s="10">
        <f>'data on outstanding creditors'!$E1627*100/107</f>
        <v>29906.54206</v>
      </c>
      <c r="P1627" s="10">
        <f>'data on outstanding creditors'!$E1627-'data on outstanding creditors'!$O1627</f>
        <v>2093.457944</v>
      </c>
      <c r="Q1627" s="7">
        <f>DAY('data on outstanding creditors'!$B1627)</f>
        <v>15</v>
      </c>
      <c r="R1627" s="7">
        <f>MONTH('data on outstanding creditors'!$B1627)</f>
        <v>10</v>
      </c>
      <c r="S1627" s="7">
        <f>YEAR('data on outstanding creditors'!$B1627)</f>
        <v>2025</v>
      </c>
      <c r="T1627" s="11" t="str">
        <f>'data on outstanding creditors'!$C1627&amp;" "&amp;'data on outstanding creditors'!$D1627&amp;" "&amp;TEXT('data on outstanding creditors'!$E1627,"#,##0.00")</f>
        <v>บ.คอสม่า เทรดดิ้ง 311057400991 32,000.00</v>
      </c>
      <c r="U1627" s="12"/>
    </row>
    <row r="1628" ht="13.5" customHeight="1">
      <c r="A1628" s="1"/>
      <c r="B1628" s="2">
        <v>45945.0</v>
      </c>
      <c r="C1628" s="9" t="s">
        <v>1265</v>
      </c>
      <c r="D1628" s="1" t="s">
        <v>2172</v>
      </c>
      <c r="E1628" s="4">
        <v>9500.0</v>
      </c>
      <c r="F1628" s="4"/>
      <c r="G1628" s="4"/>
      <c r="H1628" s="4">
        <f>'data on outstanding creditors'!$E1628-'data on outstanding creditors'!$F1628-'data on outstanding creditors'!$G1628</f>
        <v>9500</v>
      </c>
      <c r="I1628" s="2"/>
      <c r="J1628" s="1"/>
      <c r="K1628" s="2"/>
      <c r="L1628" s="5"/>
      <c r="M1628" s="9" t="s">
        <v>22</v>
      </c>
      <c r="N1628" s="9" t="s">
        <v>23</v>
      </c>
      <c r="O1628" s="10">
        <f>'data on outstanding creditors'!$E1628*100/107</f>
        <v>8878.504673</v>
      </c>
      <c r="P1628" s="10">
        <f>'data on outstanding creditors'!$E1628-'data on outstanding creditors'!$O1628</f>
        <v>621.4953271</v>
      </c>
      <c r="Q1628" s="7">
        <f>DAY('data on outstanding creditors'!$B1628)</f>
        <v>15</v>
      </c>
      <c r="R1628" s="7">
        <f>MONTH('data on outstanding creditors'!$B1628)</f>
        <v>10</v>
      </c>
      <c r="S1628" s="7">
        <f>YEAR('data on outstanding creditors'!$B1628)</f>
        <v>2025</v>
      </c>
      <c r="T1628" s="11" t="str">
        <f>'data on outstanding creditors'!$C1628&amp;" "&amp;'data on outstanding creditors'!$D1628&amp;" "&amp;TEXT('data on outstanding creditors'!$E1628,"#,##0.00")</f>
        <v>บ.แอล.บี.เอส.แลบบอเรตอรี่ 888362 9,500.00</v>
      </c>
      <c r="U1628" s="12"/>
    </row>
    <row r="1629" ht="13.5" customHeight="1">
      <c r="A1629" s="1"/>
      <c r="B1629" s="2">
        <v>45945.0</v>
      </c>
      <c r="C1629" s="9" t="s">
        <v>1265</v>
      </c>
      <c r="D1629" s="1" t="s">
        <v>2173</v>
      </c>
      <c r="E1629" s="4">
        <v>19000.0</v>
      </c>
      <c r="F1629" s="4"/>
      <c r="G1629" s="4"/>
      <c r="H1629" s="4">
        <f>'data on outstanding creditors'!$E1629-'data on outstanding creditors'!$F1629-'data on outstanding creditors'!$G1629</f>
        <v>19000</v>
      </c>
      <c r="I1629" s="2"/>
      <c r="J1629" s="1"/>
      <c r="K1629" s="2"/>
      <c r="L1629" s="5"/>
      <c r="M1629" s="9" t="s">
        <v>22</v>
      </c>
      <c r="N1629" s="9" t="s">
        <v>23</v>
      </c>
      <c r="O1629" s="10">
        <f>'data on outstanding creditors'!$E1629*100/107</f>
        <v>17757.00935</v>
      </c>
      <c r="P1629" s="10">
        <f>'data on outstanding creditors'!$E1629-'data on outstanding creditors'!$O1629</f>
        <v>1242.990654</v>
      </c>
      <c r="Q1629" s="7">
        <f>DAY('data on outstanding creditors'!$B1629)</f>
        <v>15</v>
      </c>
      <c r="R1629" s="7">
        <f>MONTH('data on outstanding creditors'!$B1629)</f>
        <v>10</v>
      </c>
      <c r="S1629" s="7">
        <f>YEAR('data on outstanding creditors'!$B1629)</f>
        <v>2025</v>
      </c>
      <c r="T1629" s="11" t="str">
        <f>'data on outstanding creditors'!$C1629&amp;" "&amp;'data on outstanding creditors'!$D1629&amp;" "&amp;TEXT('data on outstanding creditors'!$E1629,"#,##0.00")</f>
        <v>บ.แอล.บี.เอส.แลบบอเรตอรี่ 889835 19,000.00</v>
      </c>
      <c r="U1629" s="12"/>
    </row>
    <row r="1630" ht="13.5" customHeight="1">
      <c r="A1630" s="1"/>
      <c r="B1630" s="2">
        <v>45945.0</v>
      </c>
      <c r="C1630" s="9" t="s">
        <v>1432</v>
      </c>
      <c r="D1630" s="1" t="s">
        <v>2174</v>
      </c>
      <c r="E1630" s="4">
        <v>10500.0</v>
      </c>
      <c r="F1630" s="4"/>
      <c r="G1630" s="4"/>
      <c r="H1630" s="4">
        <f>'data on outstanding creditors'!$E1630-'data on outstanding creditors'!$F1630-'data on outstanding creditors'!$G1630</f>
        <v>10500</v>
      </c>
      <c r="I1630" s="2"/>
      <c r="J1630" s="1"/>
      <c r="K1630" s="2"/>
      <c r="L1630" s="5"/>
      <c r="M1630" s="9" t="s">
        <v>22</v>
      </c>
      <c r="N1630" s="9" t="s">
        <v>23</v>
      </c>
      <c r="O1630" s="10">
        <f>'data on outstanding creditors'!$E1630*100/107</f>
        <v>9813.084112</v>
      </c>
      <c r="P1630" s="10">
        <f>'data on outstanding creditors'!$E1630-'data on outstanding creditors'!$O1630</f>
        <v>686.9158879</v>
      </c>
      <c r="Q1630" s="7">
        <f>DAY('data on outstanding creditors'!$B1630)</f>
        <v>15</v>
      </c>
      <c r="R1630" s="7">
        <f>MONTH('data on outstanding creditors'!$B1630)</f>
        <v>10</v>
      </c>
      <c r="S1630" s="7">
        <f>YEAR('data on outstanding creditors'!$B1630)</f>
        <v>2025</v>
      </c>
      <c r="T1630" s="11" t="str">
        <f>'data on outstanding creditors'!$C1630&amp;" "&amp;'data on outstanding creditors'!$D1630&amp;" "&amp;TEXT('data on outstanding creditors'!$E1630,"#,##0.00")</f>
        <v>บ.ยูโทเปี้ยน IV2510274 10,500.00</v>
      </c>
      <c r="U1630" s="12"/>
    </row>
    <row r="1631" ht="13.5" customHeight="1">
      <c r="A1631" s="1"/>
      <c r="B1631" s="2">
        <v>45945.0</v>
      </c>
      <c r="C1631" s="9" t="s">
        <v>1560</v>
      </c>
      <c r="D1631" s="1" t="s">
        <v>2175</v>
      </c>
      <c r="E1631" s="4">
        <v>16108.0</v>
      </c>
      <c r="F1631" s="4"/>
      <c r="G1631" s="4"/>
      <c r="H1631" s="4">
        <f>'data on outstanding creditors'!$E1631-'data on outstanding creditors'!$F1631-'data on outstanding creditors'!$G1631</f>
        <v>16108</v>
      </c>
      <c r="I1631" s="2"/>
      <c r="J1631" s="1"/>
      <c r="K1631" s="2"/>
      <c r="L1631" s="5"/>
      <c r="M1631" s="9" t="s">
        <v>22</v>
      </c>
      <c r="N1631" s="9" t="s">
        <v>23</v>
      </c>
      <c r="O1631" s="10">
        <f>'data on outstanding creditors'!$E1631*100/107</f>
        <v>15054.20561</v>
      </c>
      <c r="P1631" s="10">
        <f>'data on outstanding creditors'!$E1631-'data on outstanding creditors'!$O1631</f>
        <v>1053.794393</v>
      </c>
      <c r="Q1631" s="7">
        <f>DAY('data on outstanding creditors'!$B1631)</f>
        <v>15</v>
      </c>
      <c r="R1631" s="7">
        <f>MONTH('data on outstanding creditors'!$B1631)</f>
        <v>10</v>
      </c>
      <c r="S1631" s="7">
        <f>YEAR('data on outstanding creditors'!$B1631)</f>
        <v>2025</v>
      </c>
      <c r="T1631" s="11" t="str">
        <f>'data on outstanding creditors'!$C1631&amp;" "&amp;'data on outstanding creditors'!$D1631&amp;" "&amp;TEXT('data on outstanding creditors'!$E1631,"#,##0.00")</f>
        <v>บ.ยูนีซัน 110000006524 16,108.00</v>
      </c>
      <c r="U1631" s="12"/>
    </row>
    <row r="1632" ht="13.5" customHeight="1">
      <c r="A1632" s="1"/>
      <c r="B1632" s="2">
        <v>45945.0</v>
      </c>
      <c r="C1632" s="9" t="s">
        <v>396</v>
      </c>
      <c r="D1632" s="1" t="s">
        <v>2176</v>
      </c>
      <c r="E1632" s="4">
        <v>30800.0</v>
      </c>
      <c r="F1632" s="4"/>
      <c r="G1632" s="4"/>
      <c r="H1632" s="4">
        <f>'data on outstanding creditors'!$E1632-'data on outstanding creditors'!$F1632-'data on outstanding creditors'!$G1632</f>
        <v>30800</v>
      </c>
      <c r="I1632" s="2"/>
      <c r="J1632" s="1"/>
      <c r="K1632" s="2"/>
      <c r="L1632" s="5"/>
      <c r="M1632" s="9" t="s">
        <v>22</v>
      </c>
      <c r="N1632" s="9" t="s">
        <v>23</v>
      </c>
      <c r="O1632" s="10">
        <f>'data on outstanding creditors'!$E1632*100/107</f>
        <v>28785.04673</v>
      </c>
      <c r="P1632" s="10">
        <f>'data on outstanding creditors'!$E1632-'data on outstanding creditors'!$O1632</f>
        <v>2014.953271</v>
      </c>
      <c r="Q1632" s="7">
        <f>DAY('data on outstanding creditors'!$B1632)</f>
        <v>15</v>
      </c>
      <c r="R1632" s="7">
        <f>MONTH('data on outstanding creditors'!$B1632)</f>
        <v>10</v>
      </c>
      <c r="S1632" s="7">
        <f>YEAR('data on outstanding creditors'!$B1632)</f>
        <v>2025</v>
      </c>
      <c r="T1632" s="11" t="str">
        <f>'data on outstanding creditors'!$C1632&amp;" "&amp;'data on outstanding creditors'!$D1632&amp;" "&amp;TEXT('data on outstanding creditors'!$E1632,"#,##0.00")</f>
        <v>บ.เยเนอรัล ฮอสปิตัล โปรดัคส์ 25IN08102117 30,800.00</v>
      </c>
      <c r="U1632" s="12"/>
    </row>
    <row r="1633" ht="13.5" customHeight="1">
      <c r="A1633" s="1"/>
      <c r="B1633" s="2">
        <v>45945.0</v>
      </c>
      <c r="C1633" s="9" t="s">
        <v>520</v>
      </c>
      <c r="D1633" s="1" t="s">
        <v>2177</v>
      </c>
      <c r="E1633" s="4">
        <v>59385.0</v>
      </c>
      <c r="F1633" s="4"/>
      <c r="G1633" s="4"/>
      <c r="H1633" s="4">
        <f>'data on outstanding creditors'!$E1633-'data on outstanding creditors'!$F1633-'data on outstanding creditors'!$G1633</f>
        <v>59385</v>
      </c>
      <c r="I1633" s="2"/>
      <c r="J1633" s="1"/>
      <c r="K1633" s="2"/>
      <c r="L1633" s="5"/>
      <c r="M1633" s="9" t="s">
        <v>22</v>
      </c>
      <c r="N1633" s="9" t="s">
        <v>23</v>
      </c>
      <c r="O1633" s="10">
        <f>'data on outstanding creditors'!$E1633*100/107</f>
        <v>55500</v>
      </c>
      <c r="P1633" s="10">
        <f>'data on outstanding creditors'!$E1633-'data on outstanding creditors'!$O1633</f>
        <v>3885</v>
      </c>
      <c r="Q1633" s="7">
        <f>DAY('data on outstanding creditors'!$B1633)</f>
        <v>15</v>
      </c>
      <c r="R1633" s="7">
        <f>MONTH('data on outstanding creditors'!$B1633)</f>
        <v>10</v>
      </c>
      <c r="S1633" s="7">
        <f>YEAR('data on outstanding creditors'!$B1633)</f>
        <v>2025</v>
      </c>
      <c r="T1633" s="11" t="str">
        <f>'data on outstanding creditors'!$C1633&amp;" "&amp;'data on outstanding creditors'!$D1633&amp;" "&amp;TEXT('data on outstanding creditors'!$E1633,"#,##0.00")</f>
        <v>บ.ซิลลิคฟาร์มา 1318412187 59,385.00</v>
      </c>
      <c r="U1633" s="12"/>
    </row>
    <row r="1634" ht="13.5" customHeight="1">
      <c r="A1634" s="1"/>
      <c r="B1634" s="2">
        <v>45945.0</v>
      </c>
      <c r="C1634" s="9" t="s">
        <v>1432</v>
      </c>
      <c r="D1634" s="1" t="s">
        <v>2178</v>
      </c>
      <c r="E1634" s="4">
        <v>27000.0</v>
      </c>
      <c r="F1634" s="4"/>
      <c r="G1634" s="4"/>
      <c r="H1634" s="4">
        <f>'data on outstanding creditors'!$E1634-'data on outstanding creditors'!$F1634-'data on outstanding creditors'!$G1634</f>
        <v>27000</v>
      </c>
      <c r="I1634" s="2"/>
      <c r="J1634" s="1"/>
      <c r="K1634" s="2"/>
      <c r="L1634" s="5"/>
      <c r="M1634" s="9" t="s">
        <v>22</v>
      </c>
      <c r="N1634" s="9" t="s">
        <v>23</v>
      </c>
      <c r="O1634" s="10">
        <f>'data on outstanding creditors'!$E1634*100/107</f>
        <v>25233.64486</v>
      </c>
      <c r="P1634" s="10">
        <f>'data on outstanding creditors'!$E1634-'data on outstanding creditors'!$O1634</f>
        <v>1766.35514</v>
      </c>
      <c r="Q1634" s="7">
        <f>DAY('data on outstanding creditors'!$B1634)</f>
        <v>15</v>
      </c>
      <c r="R1634" s="7">
        <f>MONTH('data on outstanding creditors'!$B1634)</f>
        <v>10</v>
      </c>
      <c r="S1634" s="7">
        <f>YEAR('data on outstanding creditors'!$B1634)</f>
        <v>2025</v>
      </c>
      <c r="T1634" s="11" t="str">
        <f>'data on outstanding creditors'!$C1634&amp;" "&amp;'data on outstanding creditors'!$D1634&amp;" "&amp;TEXT('data on outstanding creditors'!$E1634,"#,##0.00")</f>
        <v>บ.ยูโทเปี้ยน IV2510389 27,000.00</v>
      </c>
      <c r="U1634" s="12"/>
    </row>
    <row r="1635" ht="13.5" customHeight="1">
      <c r="A1635" s="1"/>
      <c r="B1635" s="2">
        <v>45945.0</v>
      </c>
      <c r="C1635" s="9" t="s">
        <v>813</v>
      </c>
      <c r="D1635" s="1" t="s">
        <v>2179</v>
      </c>
      <c r="E1635" s="4">
        <v>7000.0</v>
      </c>
      <c r="F1635" s="4"/>
      <c r="G1635" s="4"/>
      <c r="H1635" s="4">
        <f>'data on outstanding creditors'!$E1635-'data on outstanding creditors'!$F1635-'data on outstanding creditors'!$G1635</f>
        <v>7000</v>
      </c>
      <c r="I1635" s="2"/>
      <c r="J1635" s="1"/>
      <c r="K1635" s="2"/>
      <c r="L1635" s="5"/>
      <c r="M1635" s="9" t="s">
        <v>22</v>
      </c>
      <c r="N1635" s="9" t="s">
        <v>23</v>
      </c>
      <c r="O1635" s="10">
        <f>'data on outstanding creditors'!$E1635*100/107</f>
        <v>6542.056075</v>
      </c>
      <c r="P1635" s="10">
        <f>'data on outstanding creditors'!$E1635-'data on outstanding creditors'!$O1635</f>
        <v>457.9439252</v>
      </c>
      <c r="Q1635" s="7">
        <f>DAY('data on outstanding creditors'!$B1635)</f>
        <v>15</v>
      </c>
      <c r="R1635" s="7">
        <f>MONTH('data on outstanding creditors'!$B1635)</f>
        <v>10</v>
      </c>
      <c r="S1635" s="7">
        <f>YEAR('data on outstanding creditors'!$B1635)</f>
        <v>2025</v>
      </c>
      <c r="T1635" s="11" t="str">
        <f>'data on outstanding creditors'!$C1635&amp;" "&amp;'data on outstanding creditors'!$D1635&amp;" "&amp;TEXT('data on outstanding creditors'!$E1635,"#,##0.00")</f>
        <v>บ.ที.แมน ฟาร์มาซูติคอล IST250161293 7,000.00</v>
      </c>
      <c r="U1635" s="12"/>
    </row>
    <row r="1636" ht="13.5" customHeight="1">
      <c r="A1636" s="1"/>
      <c r="B1636" s="2">
        <v>45945.0</v>
      </c>
      <c r="C1636" s="9" t="s">
        <v>520</v>
      </c>
      <c r="D1636" s="1" t="s">
        <v>2180</v>
      </c>
      <c r="E1636" s="4">
        <v>3424.0</v>
      </c>
      <c r="F1636" s="4"/>
      <c r="G1636" s="4"/>
      <c r="H1636" s="4">
        <f>'data on outstanding creditors'!$E1636-'data on outstanding creditors'!$F1636-'data on outstanding creditors'!$G1636</f>
        <v>3424</v>
      </c>
      <c r="I1636" s="2"/>
      <c r="J1636" s="1"/>
      <c r="K1636" s="2"/>
      <c r="L1636" s="5"/>
      <c r="M1636" s="9" t="s">
        <v>22</v>
      </c>
      <c r="N1636" s="9" t="s">
        <v>23</v>
      </c>
      <c r="O1636" s="10">
        <f>'data on outstanding creditors'!$E1636*100/107</f>
        <v>3200</v>
      </c>
      <c r="P1636" s="10">
        <f>'data on outstanding creditors'!$E1636-'data on outstanding creditors'!$O1636</f>
        <v>224</v>
      </c>
      <c r="Q1636" s="7">
        <f>DAY('data on outstanding creditors'!$B1636)</f>
        <v>15</v>
      </c>
      <c r="R1636" s="7">
        <f>MONTH('data on outstanding creditors'!$B1636)</f>
        <v>10</v>
      </c>
      <c r="S1636" s="7">
        <f>YEAR('data on outstanding creditors'!$B1636)</f>
        <v>2025</v>
      </c>
      <c r="T1636" s="11" t="str">
        <f>'data on outstanding creditors'!$C1636&amp;" "&amp;'data on outstanding creditors'!$D1636&amp;" "&amp;TEXT('data on outstanding creditors'!$E1636,"#,##0.00")</f>
        <v>บ.ซิลลิคฟาร์มา 1318330757 3,424.00</v>
      </c>
      <c r="U1636" s="12"/>
    </row>
    <row r="1637" ht="13.5" customHeight="1">
      <c r="A1637" s="1"/>
      <c r="B1637" s="2">
        <v>45945.0</v>
      </c>
      <c r="C1637" s="9" t="s">
        <v>520</v>
      </c>
      <c r="D1637" s="1" t="s">
        <v>2181</v>
      </c>
      <c r="E1637" s="4">
        <v>35577.5</v>
      </c>
      <c r="F1637" s="4"/>
      <c r="G1637" s="4"/>
      <c r="H1637" s="4">
        <f>'data on outstanding creditors'!$E1637-'data on outstanding creditors'!$F1637-'data on outstanding creditors'!$G1637</f>
        <v>35577.5</v>
      </c>
      <c r="I1637" s="2"/>
      <c r="J1637" s="1"/>
      <c r="K1637" s="2"/>
      <c r="L1637" s="5"/>
      <c r="M1637" s="9" t="s">
        <v>22</v>
      </c>
      <c r="N1637" s="9" t="s">
        <v>23</v>
      </c>
      <c r="O1637" s="10">
        <f>'data on outstanding creditors'!$E1637*100/107</f>
        <v>33250</v>
      </c>
      <c r="P1637" s="10">
        <f>'data on outstanding creditors'!$E1637-'data on outstanding creditors'!$O1637</f>
        <v>2327.5</v>
      </c>
      <c r="Q1637" s="7">
        <f>DAY('data on outstanding creditors'!$B1637)</f>
        <v>15</v>
      </c>
      <c r="R1637" s="7">
        <f>MONTH('data on outstanding creditors'!$B1637)</f>
        <v>10</v>
      </c>
      <c r="S1637" s="7">
        <f>YEAR('data on outstanding creditors'!$B1637)</f>
        <v>2025</v>
      </c>
      <c r="T1637" s="11" t="str">
        <f>'data on outstanding creditors'!$C1637&amp;" "&amp;'data on outstanding creditors'!$D1637&amp;" "&amp;TEXT('data on outstanding creditors'!$E1637,"#,##0.00")</f>
        <v>บ.ซิลลิคฟาร์มา 1318424516 35,577.50</v>
      </c>
      <c r="U1637" s="12"/>
    </row>
    <row r="1638" ht="13.5" customHeight="1">
      <c r="A1638" s="1"/>
      <c r="B1638" s="2">
        <v>45945.0</v>
      </c>
      <c r="C1638" s="9" t="s">
        <v>763</v>
      </c>
      <c r="D1638" s="1" t="s">
        <v>2182</v>
      </c>
      <c r="E1638" s="4">
        <v>34500.0</v>
      </c>
      <c r="F1638" s="4"/>
      <c r="G1638" s="4"/>
      <c r="H1638" s="4">
        <f>'data on outstanding creditors'!$E1638-'data on outstanding creditors'!$F1638-'data on outstanding creditors'!$G1638</f>
        <v>34500</v>
      </c>
      <c r="I1638" s="2"/>
      <c r="J1638" s="1"/>
      <c r="K1638" s="2"/>
      <c r="L1638" s="5"/>
      <c r="M1638" s="9" t="s">
        <v>22</v>
      </c>
      <c r="N1638" s="9" t="s">
        <v>23</v>
      </c>
      <c r="O1638" s="10">
        <f>'data on outstanding creditors'!$E1638*100/107</f>
        <v>32242.99065</v>
      </c>
      <c r="P1638" s="10">
        <f>'data on outstanding creditors'!$E1638-'data on outstanding creditors'!$O1638</f>
        <v>2257.009346</v>
      </c>
      <c r="Q1638" s="7">
        <f>DAY('data on outstanding creditors'!$B1638)</f>
        <v>15</v>
      </c>
      <c r="R1638" s="7">
        <f>MONTH('data on outstanding creditors'!$B1638)</f>
        <v>10</v>
      </c>
      <c r="S1638" s="7">
        <f>YEAR('data on outstanding creditors'!$B1638)</f>
        <v>2025</v>
      </c>
      <c r="T1638" s="11" t="str">
        <f>'data on outstanding creditors'!$C1638&amp;" "&amp;'data on outstanding creditors'!$D1638&amp;" "&amp;TEXT('data on outstanding creditors'!$E1638,"#,##0.00")</f>
        <v>บ.อัลลายแอนซ์ ฟาร์มา B26810130 34,500.00</v>
      </c>
      <c r="U1638" s="12"/>
    </row>
    <row r="1639" ht="13.5" customHeight="1">
      <c r="A1639" s="1"/>
      <c r="B1639" s="2">
        <v>45945.0</v>
      </c>
      <c r="C1639" s="9" t="s">
        <v>771</v>
      </c>
      <c r="D1639" s="1" t="s">
        <v>2183</v>
      </c>
      <c r="E1639" s="4">
        <v>27000.0</v>
      </c>
      <c r="F1639" s="4"/>
      <c r="G1639" s="4"/>
      <c r="H1639" s="4">
        <f>'data on outstanding creditors'!$E1639-'data on outstanding creditors'!$F1639-'data on outstanding creditors'!$G1639</f>
        <v>27000</v>
      </c>
      <c r="I1639" s="2"/>
      <c r="J1639" s="1"/>
      <c r="K1639" s="2"/>
      <c r="L1639" s="5"/>
      <c r="M1639" s="9" t="s">
        <v>22</v>
      </c>
      <c r="N1639" s="9" t="s">
        <v>23</v>
      </c>
      <c r="O1639" s="10">
        <f>'data on outstanding creditors'!$E1639*100/107</f>
        <v>25233.64486</v>
      </c>
      <c r="P1639" s="10">
        <f>'data on outstanding creditors'!$E1639-'data on outstanding creditors'!$O1639</f>
        <v>1766.35514</v>
      </c>
      <c r="Q1639" s="7">
        <f>DAY('data on outstanding creditors'!$B1639)</f>
        <v>15</v>
      </c>
      <c r="R1639" s="7">
        <f>MONTH('data on outstanding creditors'!$B1639)</f>
        <v>10</v>
      </c>
      <c r="S1639" s="7">
        <f>YEAR('data on outstanding creditors'!$B1639)</f>
        <v>2025</v>
      </c>
      <c r="T1639" s="11" t="str">
        <f>'data on outstanding creditors'!$C1639&amp;" "&amp;'data on outstanding creditors'!$D1639&amp;" "&amp;TEXT('data on outstanding creditors'!$E1639,"#,##0.00")</f>
        <v>หจก.ภิญโญฟาร์มาซี IV6854240 27,000.00</v>
      </c>
      <c r="U1639" s="12"/>
    </row>
    <row r="1640" ht="13.5" customHeight="1">
      <c r="A1640" s="1"/>
      <c r="B1640" s="2">
        <v>45945.0</v>
      </c>
      <c r="C1640" s="9" t="s">
        <v>771</v>
      </c>
      <c r="D1640" s="1" t="s">
        <v>2184</v>
      </c>
      <c r="E1640" s="4">
        <v>61200.0</v>
      </c>
      <c r="F1640" s="4"/>
      <c r="G1640" s="4"/>
      <c r="H1640" s="4">
        <f>'data on outstanding creditors'!$E1640-'data on outstanding creditors'!$F1640-'data on outstanding creditors'!$G1640</f>
        <v>61200</v>
      </c>
      <c r="I1640" s="2"/>
      <c r="J1640" s="1"/>
      <c r="K1640" s="2"/>
      <c r="L1640" s="5"/>
      <c r="M1640" s="9" t="s">
        <v>22</v>
      </c>
      <c r="N1640" s="9" t="s">
        <v>23</v>
      </c>
      <c r="O1640" s="10">
        <f>'data on outstanding creditors'!$E1640*100/107</f>
        <v>57196.26168</v>
      </c>
      <c r="P1640" s="10">
        <f>'data on outstanding creditors'!$E1640-'data on outstanding creditors'!$O1640</f>
        <v>4003.738318</v>
      </c>
      <c r="Q1640" s="7">
        <f>DAY('data on outstanding creditors'!$B1640)</f>
        <v>15</v>
      </c>
      <c r="R1640" s="7">
        <f>MONTH('data on outstanding creditors'!$B1640)</f>
        <v>10</v>
      </c>
      <c r="S1640" s="7">
        <f>YEAR('data on outstanding creditors'!$B1640)</f>
        <v>2025</v>
      </c>
      <c r="T1640" s="11" t="str">
        <f>'data on outstanding creditors'!$C1640&amp;" "&amp;'data on outstanding creditors'!$D1640&amp;" "&amp;TEXT('data on outstanding creditors'!$E1640,"#,##0.00")</f>
        <v>หจก.ภิญโญฟาร์มาซี IV6854241 61,200.00</v>
      </c>
      <c r="U1640" s="12"/>
    </row>
    <row r="1641" ht="13.5" customHeight="1">
      <c r="A1641" s="1"/>
      <c r="B1641" s="2">
        <v>45946.0</v>
      </c>
      <c r="C1641" s="9" t="s">
        <v>520</v>
      </c>
      <c r="D1641" s="1" t="s">
        <v>2185</v>
      </c>
      <c r="E1641" s="4">
        <v>28800.0</v>
      </c>
      <c r="F1641" s="4"/>
      <c r="G1641" s="4"/>
      <c r="H1641" s="4">
        <f>'data on outstanding creditors'!$E1641-'data on outstanding creditors'!$F1641-'data on outstanding creditors'!$G1641</f>
        <v>28800</v>
      </c>
      <c r="I1641" s="2"/>
      <c r="J1641" s="1"/>
      <c r="K1641" s="2"/>
      <c r="L1641" s="5"/>
      <c r="M1641" s="9" t="s">
        <v>22</v>
      </c>
      <c r="N1641" s="9" t="s">
        <v>23</v>
      </c>
      <c r="O1641" s="10">
        <f>'data on outstanding creditors'!$E1641*100/107</f>
        <v>26915.88785</v>
      </c>
      <c r="P1641" s="10">
        <f>'data on outstanding creditors'!$E1641-'data on outstanding creditors'!$O1641</f>
        <v>1884.11215</v>
      </c>
      <c r="Q1641" s="7">
        <f>DAY('data on outstanding creditors'!$B1641)</f>
        <v>16</v>
      </c>
      <c r="R1641" s="7">
        <f>MONTH('data on outstanding creditors'!$B1641)</f>
        <v>10</v>
      </c>
      <c r="S1641" s="7">
        <f>YEAR('data on outstanding creditors'!$B1641)</f>
        <v>2025</v>
      </c>
      <c r="T1641" s="11" t="str">
        <f>'data on outstanding creditors'!$C1641&amp;" "&amp;'data on outstanding creditors'!$D1641&amp;" "&amp;TEXT('data on outstanding creditors'!$E1641,"#,##0.00")</f>
        <v>บ.ซิลลิคฟาร์มา 1318433563 28,800.00</v>
      </c>
      <c r="U1641" s="12"/>
    </row>
    <row r="1642" ht="13.5" customHeight="1">
      <c r="A1642" s="1"/>
      <c r="B1642" s="2">
        <v>45946.0</v>
      </c>
      <c r="C1642" s="9" t="s">
        <v>520</v>
      </c>
      <c r="D1642" s="1" t="s">
        <v>2186</v>
      </c>
      <c r="E1642" s="4">
        <v>15600.0</v>
      </c>
      <c r="F1642" s="4"/>
      <c r="G1642" s="4"/>
      <c r="H1642" s="4">
        <f>'data on outstanding creditors'!$E1642-'data on outstanding creditors'!$F1642-'data on outstanding creditors'!$G1642</f>
        <v>15600</v>
      </c>
      <c r="I1642" s="2"/>
      <c r="J1642" s="1"/>
      <c r="K1642" s="2"/>
      <c r="L1642" s="5"/>
      <c r="M1642" s="9" t="s">
        <v>22</v>
      </c>
      <c r="N1642" s="9" t="s">
        <v>23</v>
      </c>
      <c r="O1642" s="10">
        <f>'data on outstanding creditors'!$E1642*100/107</f>
        <v>14579.43925</v>
      </c>
      <c r="P1642" s="10">
        <f>'data on outstanding creditors'!$E1642-'data on outstanding creditors'!$O1642</f>
        <v>1020.560748</v>
      </c>
      <c r="Q1642" s="7">
        <f>DAY('data on outstanding creditors'!$B1642)</f>
        <v>16</v>
      </c>
      <c r="R1642" s="7">
        <f>MONTH('data on outstanding creditors'!$B1642)</f>
        <v>10</v>
      </c>
      <c r="S1642" s="7">
        <f>YEAR('data on outstanding creditors'!$B1642)</f>
        <v>2025</v>
      </c>
      <c r="T1642" s="11" t="str">
        <f>'data on outstanding creditors'!$C1642&amp;" "&amp;'data on outstanding creditors'!$D1642&amp;" "&amp;TEXT('data on outstanding creditors'!$E1642,"#,##0.00")</f>
        <v>บ.ซิลลิคฟาร์มา 1318419359 15,600.00</v>
      </c>
      <c r="U1642" s="12"/>
    </row>
    <row r="1643" ht="13.5" customHeight="1">
      <c r="A1643" s="1"/>
      <c r="B1643" s="2">
        <v>45946.0</v>
      </c>
      <c r="C1643" s="9" t="s">
        <v>1243</v>
      </c>
      <c r="D1643" s="1" t="s">
        <v>2187</v>
      </c>
      <c r="E1643" s="4">
        <v>50000.0</v>
      </c>
      <c r="F1643" s="4"/>
      <c r="G1643" s="4"/>
      <c r="H1643" s="4">
        <f>'data on outstanding creditors'!$E1643-'data on outstanding creditors'!$F1643-'data on outstanding creditors'!$G1643</f>
        <v>50000</v>
      </c>
      <c r="I1643" s="2"/>
      <c r="J1643" s="1"/>
      <c r="K1643" s="2"/>
      <c r="L1643" s="5"/>
      <c r="M1643" s="9" t="s">
        <v>22</v>
      </c>
      <c r="N1643" s="9" t="s">
        <v>23</v>
      </c>
      <c r="O1643" s="10">
        <f>'data on outstanding creditors'!$E1643*100/107</f>
        <v>46728.97196</v>
      </c>
      <c r="P1643" s="10">
        <f>'data on outstanding creditors'!$E1643-'data on outstanding creditors'!$O1643</f>
        <v>3271.028037</v>
      </c>
      <c r="Q1643" s="7">
        <f>DAY('data on outstanding creditors'!$B1643)</f>
        <v>16</v>
      </c>
      <c r="R1643" s="7">
        <f>MONTH('data on outstanding creditors'!$B1643)</f>
        <v>10</v>
      </c>
      <c r="S1643" s="7">
        <f>YEAR('data on outstanding creditors'!$B1643)</f>
        <v>2025</v>
      </c>
      <c r="T1643" s="11" t="str">
        <f>'data on outstanding creditors'!$C1643&amp;" "&amp;'data on outstanding creditors'!$D1643&amp;" "&amp;TEXT('data on outstanding creditors'!$E1643,"#,##0.00")</f>
        <v>บ.วี.แอนด์.วี.กรุงเทพ 8103627987 50,000.00</v>
      </c>
      <c r="U1643" s="12"/>
    </row>
    <row r="1644" ht="13.5" customHeight="1">
      <c r="A1644" s="1"/>
      <c r="B1644" s="2">
        <v>45946.0</v>
      </c>
      <c r="C1644" s="9" t="s">
        <v>520</v>
      </c>
      <c r="D1644" s="1" t="s">
        <v>2188</v>
      </c>
      <c r="E1644" s="4">
        <v>32100.0</v>
      </c>
      <c r="F1644" s="4"/>
      <c r="G1644" s="4"/>
      <c r="H1644" s="4">
        <f>'data on outstanding creditors'!$E1644-'data on outstanding creditors'!$F1644-'data on outstanding creditors'!$G1644</f>
        <v>32100</v>
      </c>
      <c r="I1644" s="2"/>
      <c r="J1644" s="1"/>
      <c r="K1644" s="2"/>
      <c r="L1644" s="5"/>
      <c r="M1644" s="9" t="s">
        <v>22</v>
      </c>
      <c r="N1644" s="9" t="s">
        <v>23</v>
      </c>
      <c r="O1644" s="10">
        <f>'data on outstanding creditors'!$E1644*100/107</f>
        <v>30000</v>
      </c>
      <c r="P1644" s="10">
        <f>'data on outstanding creditors'!$E1644-'data on outstanding creditors'!$O1644</f>
        <v>2100</v>
      </c>
      <c r="Q1644" s="7">
        <f>DAY('data on outstanding creditors'!$B1644)</f>
        <v>16</v>
      </c>
      <c r="R1644" s="7">
        <f>MONTH('data on outstanding creditors'!$B1644)</f>
        <v>10</v>
      </c>
      <c r="S1644" s="7">
        <f>YEAR('data on outstanding creditors'!$B1644)</f>
        <v>2025</v>
      </c>
      <c r="T1644" s="11" t="str">
        <f>'data on outstanding creditors'!$C1644&amp;" "&amp;'data on outstanding creditors'!$D1644&amp;" "&amp;TEXT('data on outstanding creditors'!$E1644,"#,##0.00")</f>
        <v>บ.ซิลลิคฟาร์มา 1318435420 32,100.00</v>
      </c>
      <c r="U1644" s="12"/>
    </row>
    <row r="1645" ht="13.5" customHeight="1">
      <c r="A1645" s="1"/>
      <c r="B1645" s="2">
        <v>45946.0</v>
      </c>
      <c r="C1645" s="9" t="s">
        <v>520</v>
      </c>
      <c r="D1645" s="1" t="s">
        <v>2189</v>
      </c>
      <c r="E1645" s="4">
        <v>32400.0</v>
      </c>
      <c r="F1645" s="4"/>
      <c r="G1645" s="4"/>
      <c r="H1645" s="4">
        <f>'data on outstanding creditors'!$E1645-'data on outstanding creditors'!$F1645-'data on outstanding creditors'!$G1645</f>
        <v>32400</v>
      </c>
      <c r="I1645" s="2"/>
      <c r="J1645" s="1"/>
      <c r="K1645" s="2"/>
      <c r="L1645" s="5"/>
      <c r="M1645" s="9" t="s">
        <v>22</v>
      </c>
      <c r="N1645" s="9" t="s">
        <v>23</v>
      </c>
      <c r="O1645" s="10">
        <f>'data on outstanding creditors'!$E1645*100/107</f>
        <v>30280.37383</v>
      </c>
      <c r="P1645" s="10">
        <f>'data on outstanding creditors'!$E1645-'data on outstanding creditors'!$O1645</f>
        <v>2119.626168</v>
      </c>
      <c r="Q1645" s="7">
        <f>DAY('data on outstanding creditors'!$B1645)</f>
        <v>16</v>
      </c>
      <c r="R1645" s="7">
        <f>MONTH('data on outstanding creditors'!$B1645)</f>
        <v>10</v>
      </c>
      <c r="S1645" s="7">
        <f>YEAR('data on outstanding creditors'!$B1645)</f>
        <v>2025</v>
      </c>
      <c r="T1645" s="11" t="str">
        <f>'data on outstanding creditors'!$C1645&amp;" "&amp;'data on outstanding creditors'!$D1645&amp;" "&amp;TEXT('data on outstanding creditors'!$E1645,"#,##0.00")</f>
        <v>บ.ซิลลิคฟาร์มา 1318435409 32,400.00</v>
      </c>
      <c r="U1645" s="12"/>
    </row>
    <row r="1646" ht="13.5" customHeight="1">
      <c r="A1646" s="1"/>
      <c r="B1646" s="2">
        <v>45946.0</v>
      </c>
      <c r="C1646" s="9" t="s">
        <v>1627</v>
      </c>
      <c r="D1646" s="1" t="s">
        <v>2190</v>
      </c>
      <c r="E1646" s="4">
        <v>38400.0</v>
      </c>
      <c r="F1646" s="4"/>
      <c r="G1646" s="4"/>
      <c r="H1646" s="4">
        <f>'data on outstanding creditors'!$E1646-'data on outstanding creditors'!$F1646-'data on outstanding creditors'!$G1646</f>
        <v>38400</v>
      </c>
      <c r="I1646" s="2"/>
      <c r="J1646" s="1"/>
      <c r="K1646" s="2"/>
      <c r="L1646" s="5"/>
      <c r="M1646" s="9" t="s">
        <v>22</v>
      </c>
      <c r="N1646" s="9" t="s">
        <v>23</v>
      </c>
      <c r="O1646" s="10">
        <f>'data on outstanding creditors'!$E1646*100/107</f>
        <v>35887.85047</v>
      </c>
      <c r="P1646" s="10">
        <f>'data on outstanding creditors'!$E1646-'data on outstanding creditors'!$O1646</f>
        <v>2512.149533</v>
      </c>
      <c r="Q1646" s="7">
        <f>DAY('data on outstanding creditors'!$B1646)</f>
        <v>16</v>
      </c>
      <c r="R1646" s="7">
        <f>MONTH('data on outstanding creditors'!$B1646)</f>
        <v>10</v>
      </c>
      <c r="S1646" s="7">
        <f>YEAR('data on outstanding creditors'!$B1646)</f>
        <v>2025</v>
      </c>
      <c r="T1646" s="11" t="str">
        <f>'data on outstanding creditors'!$C1646&amp;" "&amp;'data on outstanding creditors'!$D1646&amp;" "&amp;TEXT('data on outstanding creditors'!$E1646,"#,##0.00")</f>
        <v>มูลนิธิโรงพยาบาลเจ้าพระยาอภัยภูเบศร ORV68100108 38,400.00</v>
      </c>
      <c r="U1646" s="12"/>
    </row>
    <row r="1647" ht="13.5" customHeight="1">
      <c r="A1647" s="1"/>
      <c r="B1647" s="2">
        <v>45946.0</v>
      </c>
      <c r="C1647" s="9" t="s">
        <v>1627</v>
      </c>
      <c r="D1647" s="1" t="s">
        <v>2191</v>
      </c>
      <c r="E1647" s="4">
        <v>37800.0</v>
      </c>
      <c r="F1647" s="4"/>
      <c r="G1647" s="4"/>
      <c r="H1647" s="4">
        <f>'data on outstanding creditors'!$E1647-'data on outstanding creditors'!$F1647-'data on outstanding creditors'!$G1647</f>
        <v>37800</v>
      </c>
      <c r="I1647" s="2"/>
      <c r="J1647" s="1"/>
      <c r="K1647" s="2"/>
      <c r="L1647" s="5"/>
      <c r="M1647" s="9" t="s">
        <v>22</v>
      </c>
      <c r="N1647" s="9" t="s">
        <v>23</v>
      </c>
      <c r="O1647" s="10">
        <f>'data on outstanding creditors'!$E1647*100/107</f>
        <v>35327.1028</v>
      </c>
      <c r="P1647" s="10">
        <f>'data on outstanding creditors'!$E1647-'data on outstanding creditors'!$O1647</f>
        <v>2472.897196</v>
      </c>
      <c r="Q1647" s="7">
        <f>DAY('data on outstanding creditors'!$B1647)</f>
        <v>16</v>
      </c>
      <c r="R1647" s="7">
        <f>MONTH('data on outstanding creditors'!$B1647)</f>
        <v>10</v>
      </c>
      <c r="S1647" s="7">
        <f>YEAR('data on outstanding creditors'!$B1647)</f>
        <v>2025</v>
      </c>
      <c r="T1647" s="11" t="str">
        <f>'data on outstanding creditors'!$C1647&amp;" "&amp;'data on outstanding creditors'!$D1647&amp;" "&amp;TEXT('data on outstanding creditors'!$E1647,"#,##0.00")</f>
        <v>มูลนิธิโรงพยาบาลเจ้าพระยาอภัยภูเบศร ORV68100109 37,800.00</v>
      </c>
      <c r="U1647" s="12"/>
    </row>
    <row r="1648" ht="13.5" customHeight="1">
      <c r="A1648" s="1"/>
      <c r="B1648" s="2">
        <v>45946.0</v>
      </c>
      <c r="C1648" s="9" t="s">
        <v>884</v>
      </c>
      <c r="D1648" s="1" t="s">
        <v>2192</v>
      </c>
      <c r="E1648" s="4">
        <v>26500.0</v>
      </c>
      <c r="F1648" s="4"/>
      <c r="G1648" s="4"/>
      <c r="H1648" s="4">
        <f>'data on outstanding creditors'!$E1648-'data on outstanding creditors'!$F1648-'data on outstanding creditors'!$G1648</f>
        <v>26500</v>
      </c>
      <c r="I1648" s="2"/>
      <c r="J1648" s="1"/>
      <c r="K1648" s="2"/>
      <c r="L1648" s="5"/>
      <c r="M1648" s="9" t="s">
        <v>22</v>
      </c>
      <c r="N1648" s="9" t="s">
        <v>23</v>
      </c>
      <c r="O1648" s="10">
        <f>'data on outstanding creditors'!$E1648*100/107</f>
        <v>24766.35514</v>
      </c>
      <c r="P1648" s="10">
        <f>'data on outstanding creditors'!$E1648-'data on outstanding creditors'!$O1648</f>
        <v>1733.64486</v>
      </c>
      <c r="Q1648" s="7">
        <f>DAY('data on outstanding creditors'!$B1648)</f>
        <v>16</v>
      </c>
      <c r="R1648" s="7">
        <f>MONTH('data on outstanding creditors'!$B1648)</f>
        <v>10</v>
      </c>
      <c r="S1648" s="7">
        <f>YEAR('data on outstanding creditors'!$B1648)</f>
        <v>2025</v>
      </c>
      <c r="T1648" s="11" t="str">
        <f>'data on outstanding creditors'!$C1648&amp;" "&amp;'data on outstanding creditors'!$D1648&amp;" "&amp;TEXT('data on outstanding creditors'!$E1648,"#,##0.00")</f>
        <v>บ.เอสพีเอส เมดิคอล 112510003006 26,500.00</v>
      </c>
      <c r="U1648" s="12"/>
    </row>
    <row r="1649" ht="13.5" customHeight="1">
      <c r="A1649" s="1"/>
      <c r="B1649" s="2">
        <v>45946.0</v>
      </c>
      <c r="C1649" s="9" t="s">
        <v>399</v>
      </c>
      <c r="D1649" s="1" t="s">
        <v>2193</v>
      </c>
      <c r="E1649" s="4">
        <v>20929.2</v>
      </c>
      <c r="F1649" s="4"/>
      <c r="G1649" s="4"/>
      <c r="H1649" s="4">
        <f>'data on outstanding creditors'!$E1649-'data on outstanding creditors'!$F1649-'data on outstanding creditors'!$G1649</f>
        <v>20929.2</v>
      </c>
      <c r="I1649" s="2"/>
      <c r="J1649" s="1"/>
      <c r="K1649" s="2"/>
      <c r="L1649" s="5"/>
      <c r="M1649" s="9" t="s">
        <v>22</v>
      </c>
      <c r="N1649" s="9" t="s">
        <v>23</v>
      </c>
      <c r="O1649" s="10">
        <f>'data on outstanding creditors'!$E1649*100/107</f>
        <v>19560</v>
      </c>
      <c r="P1649" s="10">
        <f>'data on outstanding creditors'!$E1649-'data on outstanding creditors'!$O1649</f>
        <v>1369.2</v>
      </c>
      <c r="Q1649" s="7">
        <f>DAY('data on outstanding creditors'!$B1649)</f>
        <v>16</v>
      </c>
      <c r="R1649" s="7">
        <f>MONTH('data on outstanding creditors'!$B1649)</f>
        <v>10</v>
      </c>
      <c r="S1649" s="7">
        <f>YEAR('data on outstanding creditors'!$B1649)</f>
        <v>2025</v>
      </c>
      <c r="T1649" s="11" t="str">
        <f>'data on outstanding creditors'!$C1649&amp;" "&amp;'data on outstanding creditors'!$D1649&amp;" "&amp;TEXT('data on outstanding creditors'!$E1649,"#,##0.00")</f>
        <v>บ.ดีเคเอสเอช(ประเทศไทย) 5344554710 20,929.20</v>
      </c>
      <c r="U1649" s="12"/>
    </row>
    <row r="1650" ht="13.5" customHeight="1">
      <c r="A1650" s="1"/>
      <c r="B1650" s="2">
        <v>45946.0</v>
      </c>
      <c r="C1650" s="9" t="s">
        <v>254</v>
      </c>
      <c r="D1650" s="1" t="s">
        <v>2194</v>
      </c>
      <c r="E1650" s="4">
        <v>27600.0</v>
      </c>
      <c r="F1650" s="4"/>
      <c r="G1650" s="4"/>
      <c r="H1650" s="4">
        <f>'data on outstanding creditors'!$E1650-'data on outstanding creditors'!$F1650-'data on outstanding creditors'!$G1650</f>
        <v>27600</v>
      </c>
      <c r="I1650" s="2"/>
      <c r="J1650" s="1"/>
      <c r="K1650" s="2"/>
      <c r="L1650" s="5"/>
      <c r="M1650" s="9" t="s">
        <v>22</v>
      </c>
      <c r="N1650" s="9" t="s">
        <v>23</v>
      </c>
      <c r="O1650" s="10">
        <f>'data on outstanding creditors'!$E1650*100/107</f>
        <v>25794.39252</v>
      </c>
      <c r="P1650" s="10">
        <f>'data on outstanding creditors'!$E1650-'data on outstanding creditors'!$O1650</f>
        <v>1805.607477</v>
      </c>
      <c r="Q1650" s="7">
        <f>DAY('data on outstanding creditors'!$B1650)</f>
        <v>16</v>
      </c>
      <c r="R1650" s="7">
        <f>MONTH('data on outstanding creditors'!$B1650)</f>
        <v>10</v>
      </c>
      <c r="S1650" s="7">
        <f>YEAR('data on outstanding creditors'!$B1650)</f>
        <v>2025</v>
      </c>
      <c r="T1650" s="11" t="str">
        <f>'data on outstanding creditors'!$C1650&amp;" "&amp;'data on outstanding creditors'!$D1650&amp;" "&amp;TEXT('data on outstanding creditors'!$E1650,"#,##0.00")</f>
        <v>บ.แม็กซิม อินเตอร์คอร์ปอร์เรชั่น IV25100661 27,600.00</v>
      </c>
      <c r="U1650" s="12"/>
    </row>
    <row r="1651" ht="13.5" customHeight="1">
      <c r="A1651" s="1"/>
      <c r="B1651" s="2">
        <v>45946.0</v>
      </c>
      <c r="C1651" s="9" t="s">
        <v>520</v>
      </c>
      <c r="D1651" s="1" t="s">
        <v>2195</v>
      </c>
      <c r="E1651" s="4">
        <v>6719.6</v>
      </c>
      <c r="F1651" s="4"/>
      <c r="G1651" s="4"/>
      <c r="H1651" s="4">
        <f>'data on outstanding creditors'!$E1651-'data on outstanding creditors'!$F1651-'data on outstanding creditors'!$G1651</f>
        <v>6719.6</v>
      </c>
      <c r="I1651" s="2"/>
      <c r="J1651" s="1"/>
      <c r="K1651" s="2"/>
      <c r="L1651" s="5"/>
      <c r="M1651" s="9" t="s">
        <v>22</v>
      </c>
      <c r="N1651" s="9" t="s">
        <v>23</v>
      </c>
      <c r="O1651" s="10">
        <f>'data on outstanding creditors'!$E1651*100/107</f>
        <v>6280</v>
      </c>
      <c r="P1651" s="10">
        <f>'data on outstanding creditors'!$E1651-'data on outstanding creditors'!$O1651</f>
        <v>439.6</v>
      </c>
      <c r="Q1651" s="7">
        <f>DAY('data on outstanding creditors'!$B1651)</f>
        <v>16</v>
      </c>
      <c r="R1651" s="7">
        <f>MONTH('data on outstanding creditors'!$B1651)</f>
        <v>10</v>
      </c>
      <c r="S1651" s="7">
        <f>YEAR('data on outstanding creditors'!$B1651)</f>
        <v>2025</v>
      </c>
      <c r="T1651" s="11" t="str">
        <f>'data on outstanding creditors'!$C1651&amp;" "&amp;'data on outstanding creditors'!$D1651&amp;" "&amp;TEXT('data on outstanding creditors'!$E1651,"#,##0.00")</f>
        <v>บ.ซิลลิคฟาร์มา 1318436753 6,719.60</v>
      </c>
      <c r="U1651" s="12"/>
    </row>
    <row r="1652" ht="13.5" customHeight="1">
      <c r="A1652" s="1"/>
      <c r="B1652" s="2">
        <v>45946.0</v>
      </c>
      <c r="C1652" s="9" t="s">
        <v>520</v>
      </c>
      <c r="D1652" s="1" t="s">
        <v>2196</v>
      </c>
      <c r="E1652" s="4">
        <v>24610.0</v>
      </c>
      <c r="F1652" s="4"/>
      <c r="G1652" s="4"/>
      <c r="H1652" s="4">
        <f>'data on outstanding creditors'!$E1652-'data on outstanding creditors'!$F1652-'data on outstanding creditors'!$G1652</f>
        <v>24610</v>
      </c>
      <c r="I1652" s="2"/>
      <c r="J1652" s="1"/>
      <c r="K1652" s="2"/>
      <c r="L1652" s="5"/>
      <c r="M1652" s="9" t="s">
        <v>22</v>
      </c>
      <c r="N1652" s="9" t="s">
        <v>23</v>
      </c>
      <c r="O1652" s="10">
        <f>'data on outstanding creditors'!$E1652*100/107</f>
        <v>23000</v>
      </c>
      <c r="P1652" s="10">
        <f>'data on outstanding creditors'!$E1652-'data on outstanding creditors'!$O1652</f>
        <v>1610</v>
      </c>
      <c r="Q1652" s="7">
        <f>DAY('data on outstanding creditors'!$B1652)</f>
        <v>16</v>
      </c>
      <c r="R1652" s="7">
        <f>MONTH('data on outstanding creditors'!$B1652)</f>
        <v>10</v>
      </c>
      <c r="S1652" s="7">
        <f>YEAR('data on outstanding creditors'!$B1652)</f>
        <v>2025</v>
      </c>
      <c r="T1652" s="11" t="str">
        <f>'data on outstanding creditors'!$C1652&amp;" "&amp;'data on outstanding creditors'!$D1652&amp;" "&amp;TEXT('data on outstanding creditors'!$E1652,"#,##0.00")</f>
        <v>บ.ซิลลิคฟาร์มา 1318475211 24,610.00</v>
      </c>
      <c r="U1652" s="12"/>
    </row>
    <row r="1653" ht="13.5" customHeight="1">
      <c r="A1653" s="1"/>
      <c r="B1653" s="2">
        <v>45946.0</v>
      </c>
      <c r="C1653" s="9" t="s">
        <v>767</v>
      </c>
      <c r="D1653" s="1" t="s">
        <v>2197</v>
      </c>
      <c r="E1653" s="4">
        <v>143600.0</v>
      </c>
      <c r="F1653" s="4"/>
      <c r="G1653" s="4"/>
      <c r="H1653" s="4">
        <f>'data on outstanding creditors'!$E1653-'data on outstanding creditors'!$F1653-'data on outstanding creditors'!$G1653</f>
        <v>143600</v>
      </c>
      <c r="I1653" s="2"/>
      <c r="J1653" s="1"/>
      <c r="K1653" s="2"/>
      <c r="L1653" s="5"/>
      <c r="M1653" s="9" t="s">
        <v>22</v>
      </c>
      <c r="N1653" s="9" t="s">
        <v>23</v>
      </c>
      <c r="O1653" s="10">
        <f>'data on outstanding creditors'!$E1653*100/107</f>
        <v>134205.6075</v>
      </c>
      <c r="P1653" s="10">
        <f>'data on outstanding creditors'!$E1653-'data on outstanding creditors'!$O1653</f>
        <v>9394.392523</v>
      </c>
      <c r="Q1653" s="7">
        <f>DAY('data on outstanding creditors'!$B1653)</f>
        <v>16</v>
      </c>
      <c r="R1653" s="7">
        <f>MONTH('data on outstanding creditors'!$B1653)</f>
        <v>10</v>
      </c>
      <c r="S1653" s="7">
        <f>YEAR('data on outstanding creditors'!$B1653)</f>
        <v>2025</v>
      </c>
      <c r="T1653" s="11" t="str">
        <f>'data on outstanding creditors'!$C1653&amp;" "&amp;'data on outstanding creditors'!$D1653&amp;" "&amp;TEXT('data on outstanding creditors'!$E1653,"#,##0.00")</f>
        <v>บ.คอสม่า เทรดดิ้ง 311057401320 143,600.00</v>
      </c>
      <c r="U1653" s="12"/>
    </row>
    <row r="1654" ht="13.5" customHeight="1">
      <c r="A1654" s="1"/>
      <c r="B1654" s="2">
        <v>45946.0</v>
      </c>
      <c r="C1654" s="9" t="s">
        <v>1230</v>
      </c>
      <c r="D1654" s="1" t="s">
        <v>2198</v>
      </c>
      <c r="E1654" s="4">
        <v>42600.0</v>
      </c>
      <c r="F1654" s="4"/>
      <c r="G1654" s="4"/>
      <c r="H1654" s="4">
        <f>'data on outstanding creditors'!$E1654-'data on outstanding creditors'!$F1654-'data on outstanding creditors'!$G1654</f>
        <v>42600</v>
      </c>
      <c r="I1654" s="2"/>
      <c r="J1654" s="1"/>
      <c r="K1654" s="2"/>
      <c r="L1654" s="5"/>
      <c r="M1654" s="9" t="s">
        <v>22</v>
      </c>
      <c r="N1654" s="9" t="s">
        <v>23</v>
      </c>
      <c r="O1654" s="10">
        <f>'data on outstanding creditors'!$E1654*100/107</f>
        <v>39813.08411</v>
      </c>
      <c r="P1654" s="10">
        <f>'data on outstanding creditors'!$E1654-'data on outstanding creditors'!$O1654</f>
        <v>2786.915888</v>
      </c>
      <c r="Q1654" s="7">
        <f>DAY('data on outstanding creditors'!$B1654)</f>
        <v>16</v>
      </c>
      <c r="R1654" s="7">
        <f>MONTH('data on outstanding creditors'!$B1654)</f>
        <v>10</v>
      </c>
      <c r="S1654" s="7">
        <f>YEAR('data on outstanding creditors'!$B1654)</f>
        <v>2025</v>
      </c>
      <c r="T1654" s="11" t="str">
        <f>'data on outstanding creditors'!$C1654&amp;" "&amp;'data on outstanding creditors'!$D1654&amp;" "&amp;TEXT('data on outstanding creditors'!$E1654,"#,##0.00")</f>
        <v>บ.พรอส ฟาร์มา INV-L-IM\2025101836 42,600.00</v>
      </c>
      <c r="U1654" s="12"/>
    </row>
    <row r="1655" ht="13.5" customHeight="1">
      <c r="A1655" s="1"/>
      <c r="B1655" s="2">
        <v>45946.0</v>
      </c>
      <c r="C1655" s="9" t="s">
        <v>520</v>
      </c>
      <c r="D1655" s="1" t="s">
        <v>2199</v>
      </c>
      <c r="E1655" s="4">
        <v>154080.0</v>
      </c>
      <c r="F1655" s="4"/>
      <c r="G1655" s="4"/>
      <c r="H1655" s="4">
        <f>'data on outstanding creditors'!$E1655-'data on outstanding creditors'!$F1655-'data on outstanding creditors'!$G1655</f>
        <v>154080</v>
      </c>
      <c r="I1655" s="2"/>
      <c r="J1655" s="1"/>
      <c r="K1655" s="2"/>
      <c r="L1655" s="5"/>
      <c r="M1655" s="9" t="s">
        <v>22</v>
      </c>
      <c r="N1655" s="9" t="s">
        <v>23</v>
      </c>
      <c r="O1655" s="10">
        <f>'data on outstanding creditors'!$E1655*100/107</f>
        <v>144000</v>
      </c>
      <c r="P1655" s="10">
        <f>'data on outstanding creditors'!$E1655-'data on outstanding creditors'!$O1655</f>
        <v>10080</v>
      </c>
      <c r="Q1655" s="7">
        <f>DAY('data on outstanding creditors'!$B1655)</f>
        <v>16</v>
      </c>
      <c r="R1655" s="7">
        <f>MONTH('data on outstanding creditors'!$B1655)</f>
        <v>10</v>
      </c>
      <c r="S1655" s="7">
        <f>YEAR('data on outstanding creditors'!$B1655)</f>
        <v>2025</v>
      </c>
      <c r="T1655" s="11" t="str">
        <f>'data on outstanding creditors'!$C1655&amp;" "&amp;'data on outstanding creditors'!$D1655&amp;" "&amp;TEXT('data on outstanding creditors'!$E1655,"#,##0.00")</f>
        <v>บ.ซิลลิคฟาร์มา 1318438989 154,080.00</v>
      </c>
      <c r="U1655" s="12"/>
    </row>
    <row r="1656" ht="13.5" customHeight="1">
      <c r="A1656" s="1"/>
      <c r="B1656" s="2">
        <v>45946.0</v>
      </c>
      <c r="C1656" s="9" t="s">
        <v>520</v>
      </c>
      <c r="D1656" s="1" t="s">
        <v>2200</v>
      </c>
      <c r="E1656" s="4">
        <v>417300.0</v>
      </c>
      <c r="F1656" s="4"/>
      <c r="G1656" s="4"/>
      <c r="H1656" s="4">
        <f>'data on outstanding creditors'!$E1656-'data on outstanding creditors'!$F1656-'data on outstanding creditors'!$G1656</f>
        <v>417300</v>
      </c>
      <c r="I1656" s="2"/>
      <c r="J1656" s="1"/>
      <c r="K1656" s="2"/>
      <c r="L1656" s="5"/>
      <c r="M1656" s="9" t="s">
        <v>22</v>
      </c>
      <c r="N1656" s="9" t="s">
        <v>23</v>
      </c>
      <c r="O1656" s="10">
        <f>'data on outstanding creditors'!$E1656*100/107</f>
        <v>390000</v>
      </c>
      <c r="P1656" s="10">
        <f>'data on outstanding creditors'!$E1656-'data on outstanding creditors'!$O1656</f>
        <v>27300</v>
      </c>
      <c r="Q1656" s="7">
        <f>DAY('data on outstanding creditors'!$B1656)</f>
        <v>16</v>
      </c>
      <c r="R1656" s="7">
        <f>MONTH('data on outstanding creditors'!$B1656)</f>
        <v>10</v>
      </c>
      <c r="S1656" s="7">
        <f>YEAR('data on outstanding creditors'!$B1656)</f>
        <v>2025</v>
      </c>
      <c r="T1656" s="11" t="str">
        <f>'data on outstanding creditors'!$C1656&amp;" "&amp;'data on outstanding creditors'!$D1656&amp;" "&amp;TEXT('data on outstanding creditors'!$E1656,"#,##0.00")</f>
        <v>บ.ซิลลิคฟาร์มา 1318457757 417,300.00</v>
      </c>
      <c r="U1656" s="12"/>
    </row>
    <row r="1657" ht="13.5" customHeight="1">
      <c r="A1657" s="1"/>
      <c r="B1657" s="2">
        <v>45947.0</v>
      </c>
      <c r="C1657" s="9" t="s">
        <v>520</v>
      </c>
      <c r="D1657" s="1" t="s">
        <v>2201</v>
      </c>
      <c r="E1657" s="4">
        <v>281410.0</v>
      </c>
      <c r="F1657" s="4"/>
      <c r="G1657" s="4"/>
      <c r="H1657" s="4">
        <f>'data on outstanding creditors'!$E1657-'data on outstanding creditors'!$F1657-'data on outstanding creditors'!$G1657</f>
        <v>281410</v>
      </c>
      <c r="I1657" s="2"/>
      <c r="J1657" s="1"/>
      <c r="K1657" s="2"/>
      <c r="L1657" s="5"/>
      <c r="M1657" s="9" t="s">
        <v>22</v>
      </c>
      <c r="N1657" s="9" t="s">
        <v>23</v>
      </c>
      <c r="O1657" s="10">
        <f>'data on outstanding creditors'!$E1657*100/107</f>
        <v>263000</v>
      </c>
      <c r="P1657" s="10">
        <f>'data on outstanding creditors'!$E1657-'data on outstanding creditors'!$O1657</f>
        <v>18410</v>
      </c>
      <c r="Q1657" s="7">
        <f>DAY('data on outstanding creditors'!$B1657)</f>
        <v>17</v>
      </c>
      <c r="R1657" s="7">
        <f>MONTH('data on outstanding creditors'!$B1657)</f>
        <v>10</v>
      </c>
      <c r="S1657" s="7">
        <f>YEAR('data on outstanding creditors'!$B1657)</f>
        <v>2025</v>
      </c>
      <c r="T1657" s="11" t="str">
        <f>'data on outstanding creditors'!$C1657&amp;" "&amp;'data on outstanding creditors'!$D1657&amp;" "&amp;TEXT('data on outstanding creditors'!$E1657,"#,##0.00")</f>
        <v>บ.ซิลลิคฟาร์มา 1318467354 281,410.00</v>
      </c>
      <c r="U1657" s="12"/>
    </row>
    <row r="1658" ht="13.5" customHeight="1">
      <c r="A1658" s="1"/>
      <c r="B1658" s="2">
        <v>45947.0</v>
      </c>
      <c r="C1658" s="9" t="s">
        <v>520</v>
      </c>
      <c r="D1658" s="1" t="s">
        <v>2202</v>
      </c>
      <c r="E1658" s="4">
        <v>118770.0</v>
      </c>
      <c r="F1658" s="4"/>
      <c r="G1658" s="4"/>
      <c r="H1658" s="4">
        <f>'data on outstanding creditors'!$E1658-'data on outstanding creditors'!$F1658-'data on outstanding creditors'!$G1658</f>
        <v>118770</v>
      </c>
      <c r="I1658" s="2"/>
      <c r="J1658" s="1"/>
      <c r="K1658" s="2"/>
      <c r="L1658" s="5"/>
      <c r="M1658" s="9" t="s">
        <v>22</v>
      </c>
      <c r="N1658" s="9" t="s">
        <v>23</v>
      </c>
      <c r="O1658" s="10">
        <f>'data on outstanding creditors'!$E1658*100/107</f>
        <v>111000</v>
      </c>
      <c r="P1658" s="10">
        <f>'data on outstanding creditors'!$E1658-'data on outstanding creditors'!$O1658</f>
        <v>7770</v>
      </c>
      <c r="Q1658" s="7">
        <f>DAY('data on outstanding creditors'!$B1658)</f>
        <v>17</v>
      </c>
      <c r="R1658" s="7">
        <f>MONTH('data on outstanding creditors'!$B1658)</f>
        <v>10</v>
      </c>
      <c r="S1658" s="7">
        <f>YEAR('data on outstanding creditors'!$B1658)</f>
        <v>2025</v>
      </c>
      <c r="T1658" s="11" t="str">
        <f>'data on outstanding creditors'!$C1658&amp;" "&amp;'data on outstanding creditors'!$D1658&amp;" "&amp;TEXT('data on outstanding creditors'!$E1658,"#,##0.00")</f>
        <v>บ.ซิลลิคฟาร์มา 1318467480 118,770.00</v>
      </c>
      <c r="U1658" s="12"/>
    </row>
    <row r="1659" ht="13.5" customHeight="1">
      <c r="A1659" s="1"/>
      <c r="B1659" s="2">
        <v>45951.0</v>
      </c>
      <c r="C1659" s="9" t="s">
        <v>780</v>
      </c>
      <c r="D1659" s="1" t="s">
        <v>2203</v>
      </c>
      <c r="E1659" s="4">
        <v>9951.0</v>
      </c>
      <c r="F1659" s="4"/>
      <c r="G1659" s="4"/>
      <c r="H1659" s="4">
        <f>'data on outstanding creditors'!$E1659-'data on outstanding creditors'!$F1659-'data on outstanding creditors'!$G1659</f>
        <v>9951</v>
      </c>
      <c r="I1659" s="2"/>
      <c r="J1659" s="1"/>
      <c r="K1659" s="2"/>
      <c r="L1659" s="5"/>
      <c r="M1659" s="9" t="s">
        <v>22</v>
      </c>
      <c r="N1659" s="9" t="s">
        <v>23</v>
      </c>
      <c r="O1659" s="10">
        <f>'data on outstanding creditors'!$E1659*100/107</f>
        <v>9300</v>
      </c>
      <c r="P1659" s="10">
        <f>'data on outstanding creditors'!$E1659-'data on outstanding creditors'!$O1659</f>
        <v>651</v>
      </c>
      <c r="Q1659" s="7">
        <f>DAY('data on outstanding creditors'!$B1659)</f>
        <v>21</v>
      </c>
      <c r="R1659" s="7">
        <f>MONTH('data on outstanding creditors'!$B1659)</f>
        <v>10</v>
      </c>
      <c r="S1659" s="7">
        <f>YEAR('data on outstanding creditors'!$B1659)</f>
        <v>2025</v>
      </c>
      <c r="T1659" s="11" t="str">
        <f>'data on outstanding creditors'!$C1659&amp;" "&amp;'data on outstanding creditors'!$D1659&amp;" "&amp;TEXT('data on outstanding creditors'!$E1659,"#,##0.00")</f>
        <v>บ.แคสป้า ฟาร์มาซูติคอล(ประเทศไทย) C68100335 9,951.00</v>
      </c>
      <c r="U1659" s="12"/>
    </row>
    <row r="1660" ht="13.5" customHeight="1">
      <c r="A1660" s="1"/>
      <c r="B1660" s="2">
        <v>45951.0</v>
      </c>
      <c r="C1660" s="9" t="s">
        <v>256</v>
      </c>
      <c r="D1660" s="1" t="s">
        <v>2204</v>
      </c>
      <c r="E1660" s="4">
        <v>4500.0</v>
      </c>
      <c r="F1660" s="4"/>
      <c r="G1660" s="4"/>
      <c r="H1660" s="4">
        <f>'data on outstanding creditors'!$E1660-'data on outstanding creditors'!$F1660-'data on outstanding creditors'!$G1660</f>
        <v>4500</v>
      </c>
      <c r="I1660" s="2"/>
      <c r="J1660" s="1"/>
      <c r="K1660" s="2"/>
      <c r="L1660" s="5"/>
      <c r="M1660" s="9" t="s">
        <v>22</v>
      </c>
      <c r="N1660" s="9" t="s">
        <v>23</v>
      </c>
      <c r="O1660" s="10">
        <f>'data on outstanding creditors'!$E1660*100/107</f>
        <v>4205.607477</v>
      </c>
      <c r="P1660" s="10">
        <f>'data on outstanding creditors'!$E1660-'data on outstanding creditors'!$O1660</f>
        <v>294.3925234</v>
      </c>
      <c r="Q1660" s="7">
        <f>DAY('data on outstanding creditors'!$B1660)</f>
        <v>21</v>
      </c>
      <c r="R1660" s="7">
        <f>MONTH('data on outstanding creditors'!$B1660)</f>
        <v>10</v>
      </c>
      <c r="S1660" s="7">
        <f>YEAR('data on outstanding creditors'!$B1660)</f>
        <v>2025</v>
      </c>
      <c r="T1660" s="11" t="str">
        <f>'data on outstanding creditors'!$C1660&amp;" "&amp;'data on outstanding creditors'!$D1660&amp;" "&amp;TEXT('data on outstanding creditors'!$E1660,"#,##0.00")</f>
        <v>บ.พาตาร์แลบ(2517) INV125101213 4,500.00</v>
      </c>
      <c r="U1660" s="12"/>
    </row>
    <row r="1661" ht="13.5" customHeight="1">
      <c r="A1661" s="1"/>
      <c r="B1661" s="2">
        <v>45951.0</v>
      </c>
      <c r="C1661" s="9" t="s">
        <v>1297</v>
      </c>
      <c r="D1661" s="1" t="s">
        <v>2205</v>
      </c>
      <c r="E1661" s="4">
        <v>6300.0</v>
      </c>
      <c r="F1661" s="4"/>
      <c r="G1661" s="4"/>
      <c r="H1661" s="4">
        <f>'data on outstanding creditors'!$E1661-'data on outstanding creditors'!$F1661-'data on outstanding creditors'!$G1661</f>
        <v>6300</v>
      </c>
      <c r="I1661" s="2"/>
      <c r="J1661" s="1"/>
      <c r="K1661" s="2"/>
      <c r="L1661" s="5"/>
      <c r="M1661" s="9" t="s">
        <v>22</v>
      </c>
      <c r="N1661" s="9" t="s">
        <v>23</v>
      </c>
      <c r="O1661" s="10">
        <f>'data on outstanding creditors'!$E1661*100/107</f>
        <v>5887.850467</v>
      </c>
      <c r="P1661" s="10">
        <f>'data on outstanding creditors'!$E1661-'data on outstanding creditors'!$O1661</f>
        <v>412.1495327</v>
      </c>
      <c r="Q1661" s="7">
        <f>DAY('data on outstanding creditors'!$B1661)</f>
        <v>21</v>
      </c>
      <c r="R1661" s="7">
        <f>MONTH('data on outstanding creditors'!$B1661)</f>
        <v>10</v>
      </c>
      <c r="S1661" s="7">
        <f>YEAR('data on outstanding creditors'!$B1661)</f>
        <v>2025</v>
      </c>
      <c r="T1661" s="11" t="str">
        <f>'data on outstanding creditors'!$C1661&amp;" "&amp;'data on outstanding creditors'!$D1661&amp;" "&amp;TEXT('data on outstanding creditors'!$E1661,"#,##0.00")</f>
        <v>บ.แอตแลนติค ฟาร์มาซูติคอล PIN2535516 6,300.00</v>
      </c>
      <c r="U1661" s="12"/>
    </row>
    <row r="1662" ht="13.5" customHeight="1">
      <c r="A1662" s="1"/>
      <c r="B1662" s="2">
        <v>45951.0</v>
      </c>
      <c r="C1662" s="9" t="s">
        <v>1297</v>
      </c>
      <c r="D1662" s="1" t="s">
        <v>2206</v>
      </c>
      <c r="E1662" s="4">
        <v>26400.0</v>
      </c>
      <c r="F1662" s="4"/>
      <c r="G1662" s="4"/>
      <c r="H1662" s="4">
        <f>'data on outstanding creditors'!$E1662-'data on outstanding creditors'!$F1662-'data on outstanding creditors'!$G1662</f>
        <v>26400</v>
      </c>
      <c r="I1662" s="2"/>
      <c r="J1662" s="1"/>
      <c r="K1662" s="2"/>
      <c r="L1662" s="5"/>
      <c r="M1662" s="9" t="s">
        <v>22</v>
      </c>
      <c r="N1662" s="9" t="s">
        <v>23</v>
      </c>
      <c r="O1662" s="10">
        <f>'data on outstanding creditors'!$E1662*100/107</f>
        <v>24672.8972</v>
      </c>
      <c r="P1662" s="10">
        <f>'data on outstanding creditors'!$E1662-'data on outstanding creditors'!$O1662</f>
        <v>1727.102804</v>
      </c>
      <c r="Q1662" s="7">
        <f>DAY('data on outstanding creditors'!$B1662)</f>
        <v>21</v>
      </c>
      <c r="R1662" s="7">
        <f>MONTH('data on outstanding creditors'!$B1662)</f>
        <v>10</v>
      </c>
      <c r="S1662" s="7">
        <f>YEAR('data on outstanding creditors'!$B1662)</f>
        <v>2025</v>
      </c>
      <c r="T1662" s="11" t="str">
        <f>'data on outstanding creditors'!$C1662&amp;" "&amp;'data on outstanding creditors'!$D1662&amp;" "&amp;TEXT('data on outstanding creditors'!$E1662,"#,##0.00")</f>
        <v>บ.แอตแลนติค ฟาร์มาซูติคอล PIN2535515 26,400.00</v>
      </c>
      <c r="U1662" s="12"/>
    </row>
    <row r="1663" ht="13.5" customHeight="1">
      <c r="A1663" s="1"/>
      <c r="B1663" s="2">
        <v>45951.0</v>
      </c>
      <c r="C1663" s="9" t="s">
        <v>813</v>
      </c>
      <c r="D1663" s="1" t="s">
        <v>2207</v>
      </c>
      <c r="E1663" s="4">
        <v>15000.0</v>
      </c>
      <c r="F1663" s="4"/>
      <c r="G1663" s="4"/>
      <c r="H1663" s="4">
        <f>'data on outstanding creditors'!$E1663-'data on outstanding creditors'!$F1663-'data on outstanding creditors'!$G1663</f>
        <v>15000</v>
      </c>
      <c r="I1663" s="2"/>
      <c r="J1663" s="1"/>
      <c r="K1663" s="2"/>
      <c r="L1663" s="5"/>
      <c r="M1663" s="9" t="s">
        <v>22</v>
      </c>
      <c r="N1663" s="9" t="s">
        <v>23</v>
      </c>
      <c r="O1663" s="10">
        <f>'data on outstanding creditors'!$E1663*100/107</f>
        <v>14018.69159</v>
      </c>
      <c r="P1663" s="10">
        <f>'data on outstanding creditors'!$E1663-'data on outstanding creditors'!$O1663</f>
        <v>981.3084112</v>
      </c>
      <c r="Q1663" s="7">
        <f>DAY('data on outstanding creditors'!$B1663)</f>
        <v>21</v>
      </c>
      <c r="R1663" s="7">
        <f>MONTH('data on outstanding creditors'!$B1663)</f>
        <v>10</v>
      </c>
      <c r="S1663" s="7">
        <f>YEAR('data on outstanding creditors'!$B1663)</f>
        <v>2025</v>
      </c>
      <c r="T1663" s="11" t="str">
        <f>'data on outstanding creditors'!$C1663&amp;" "&amp;'data on outstanding creditors'!$D1663&amp;" "&amp;TEXT('data on outstanding creditors'!$E1663,"#,##0.00")</f>
        <v>บ.ที.แมน ฟาร์มาซูติคอล IST250163345 15,000.00</v>
      </c>
      <c r="U1663" s="12"/>
    </row>
    <row r="1664" ht="13.5" customHeight="1">
      <c r="A1664" s="1"/>
      <c r="B1664" s="2">
        <v>45951.0</v>
      </c>
      <c r="C1664" s="9" t="s">
        <v>920</v>
      </c>
      <c r="D1664" s="1" t="s">
        <v>2208</v>
      </c>
      <c r="E1664" s="4">
        <v>10800.0</v>
      </c>
      <c r="F1664" s="4"/>
      <c r="G1664" s="4"/>
      <c r="H1664" s="4">
        <f>'data on outstanding creditors'!$E1664-'data on outstanding creditors'!$F1664-'data on outstanding creditors'!$G1664</f>
        <v>10800</v>
      </c>
      <c r="I1664" s="2"/>
      <c r="J1664" s="1"/>
      <c r="K1664" s="2"/>
      <c r="L1664" s="5"/>
      <c r="M1664" s="9" t="s">
        <v>22</v>
      </c>
      <c r="N1664" s="9" t="s">
        <v>23</v>
      </c>
      <c r="O1664" s="10">
        <f>'data on outstanding creditors'!$E1664*100/107</f>
        <v>10093.45794</v>
      </c>
      <c r="P1664" s="10">
        <f>'data on outstanding creditors'!$E1664-'data on outstanding creditors'!$O1664</f>
        <v>706.5420561</v>
      </c>
      <c r="Q1664" s="7">
        <f>DAY('data on outstanding creditors'!$B1664)</f>
        <v>21</v>
      </c>
      <c r="R1664" s="7">
        <f>MONTH('data on outstanding creditors'!$B1664)</f>
        <v>10</v>
      </c>
      <c r="S1664" s="7">
        <f>YEAR('data on outstanding creditors'!$B1664)</f>
        <v>2025</v>
      </c>
      <c r="T1664" s="11" t="str">
        <f>'data on outstanding creditors'!$C1664&amp;" "&amp;'data on outstanding creditors'!$D1664&amp;" "&amp;TEXT('data on outstanding creditors'!$E1664,"#,##0.00")</f>
        <v>บ.โปลิฟาร์ม IVU-68044576 10,800.00</v>
      </c>
      <c r="U1664" s="12"/>
    </row>
    <row r="1665" ht="13.5" customHeight="1">
      <c r="A1665" s="1"/>
      <c r="B1665" s="2">
        <v>45951.0</v>
      </c>
      <c r="C1665" s="9" t="s">
        <v>1383</v>
      </c>
      <c r="D1665" s="1" t="s">
        <v>2209</v>
      </c>
      <c r="E1665" s="4">
        <v>45000.0</v>
      </c>
      <c r="F1665" s="4"/>
      <c r="G1665" s="4"/>
      <c r="H1665" s="4">
        <f>'data on outstanding creditors'!$E1665-'data on outstanding creditors'!$F1665-'data on outstanding creditors'!$G1665</f>
        <v>45000</v>
      </c>
      <c r="I1665" s="2"/>
      <c r="J1665" s="1"/>
      <c r="K1665" s="2"/>
      <c r="L1665" s="5"/>
      <c r="M1665" s="9" t="s">
        <v>22</v>
      </c>
      <c r="N1665" s="9" t="s">
        <v>23</v>
      </c>
      <c r="O1665" s="10">
        <f>'data on outstanding creditors'!$E1665*100/107</f>
        <v>42056.07477</v>
      </c>
      <c r="P1665" s="10">
        <f>'data on outstanding creditors'!$E1665-'data on outstanding creditors'!$O1665</f>
        <v>2943.925234</v>
      </c>
      <c r="Q1665" s="7">
        <f>DAY('data on outstanding creditors'!$B1665)</f>
        <v>21</v>
      </c>
      <c r="R1665" s="7">
        <f>MONTH('data on outstanding creditors'!$B1665)</f>
        <v>10</v>
      </c>
      <c r="S1665" s="7">
        <f>YEAR('data on outstanding creditors'!$B1665)</f>
        <v>2025</v>
      </c>
      <c r="T1665" s="11" t="str">
        <f>'data on outstanding creditors'!$C1665&amp;" "&amp;'data on outstanding creditors'!$D1665&amp;" "&amp;TEXT('data on outstanding creditors'!$E1665,"#,##0.00")</f>
        <v>บ.ยูเมด้า 329876 45,000.00</v>
      </c>
      <c r="U1665" s="12"/>
    </row>
    <row r="1666" ht="13.5" customHeight="1">
      <c r="A1666" s="1"/>
      <c r="B1666" s="2">
        <v>45951.0</v>
      </c>
      <c r="C1666" s="9" t="s">
        <v>263</v>
      </c>
      <c r="D1666" s="1" t="s">
        <v>2210</v>
      </c>
      <c r="E1666" s="4">
        <v>19800.0</v>
      </c>
      <c r="F1666" s="4"/>
      <c r="G1666" s="4"/>
      <c r="H1666" s="4">
        <f>'data on outstanding creditors'!$E1666-'data on outstanding creditors'!$F1666-'data on outstanding creditors'!$G1666</f>
        <v>19800</v>
      </c>
      <c r="I1666" s="2"/>
      <c r="J1666" s="1"/>
      <c r="K1666" s="2"/>
      <c r="L1666" s="5"/>
      <c r="M1666" s="9" t="s">
        <v>22</v>
      </c>
      <c r="N1666" s="9" t="s">
        <v>23</v>
      </c>
      <c r="O1666" s="10">
        <f>'data on outstanding creditors'!$E1666*100/107</f>
        <v>18504.6729</v>
      </c>
      <c r="P1666" s="10">
        <f>'data on outstanding creditors'!$E1666-'data on outstanding creditors'!$O1666</f>
        <v>1295.327103</v>
      </c>
      <c r="Q1666" s="7">
        <f>DAY('data on outstanding creditors'!$B1666)</f>
        <v>21</v>
      </c>
      <c r="R1666" s="7">
        <f>MONTH('data on outstanding creditors'!$B1666)</f>
        <v>10</v>
      </c>
      <c r="S1666" s="7">
        <f>YEAR('data on outstanding creditors'!$B1666)</f>
        <v>2025</v>
      </c>
      <c r="T1666" s="11" t="str">
        <f>'data on outstanding creditors'!$C1666&amp;" "&amp;'data on outstanding creditors'!$D1666&amp;" "&amp;TEXT('data on outstanding creditors'!$E1666,"#,##0.00")</f>
        <v>บ.เอเบิ้ล เมดิคอล M2510/0368 19,800.00</v>
      </c>
      <c r="U1666" s="12"/>
    </row>
    <row r="1667" ht="13.5" customHeight="1">
      <c r="A1667" s="1"/>
      <c r="B1667" s="2">
        <v>45951.0</v>
      </c>
      <c r="C1667" s="9" t="s">
        <v>520</v>
      </c>
      <c r="D1667" s="1" t="s">
        <v>2211</v>
      </c>
      <c r="E1667" s="4">
        <v>10058.0</v>
      </c>
      <c r="F1667" s="4"/>
      <c r="G1667" s="4"/>
      <c r="H1667" s="4">
        <f>'data on outstanding creditors'!$E1667-'data on outstanding creditors'!$F1667-'data on outstanding creditors'!$G1667</f>
        <v>10058</v>
      </c>
      <c r="I1667" s="2"/>
      <c r="J1667" s="1"/>
      <c r="K1667" s="2"/>
      <c r="L1667" s="5"/>
      <c r="M1667" s="9" t="s">
        <v>22</v>
      </c>
      <c r="N1667" s="9" t="s">
        <v>23</v>
      </c>
      <c r="O1667" s="10">
        <f>'data on outstanding creditors'!$E1667*100/107</f>
        <v>9400</v>
      </c>
      <c r="P1667" s="10">
        <f>'data on outstanding creditors'!$E1667-'data on outstanding creditors'!$O1667</f>
        <v>658</v>
      </c>
      <c r="Q1667" s="7">
        <f>DAY('data on outstanding creditors'!$B1667)</f>
        <v>21</v>
      </c>
      <c r="R1667" s="7">
        <f>MONTH('data on outstanding creditors'!$B1667)</f>
        <v>10</v>
      </c>
      <c r="S1667" s="7">
        <f>YEAR('data on outstanding creditors'!$B1667)</f>
        <v>2025</v>
      </c>
      <c r="T1667" s="11" t="str">
        <f>'data on outstanding creditors'!$C1667&amp;" "&amp;'data on outstanding creditors'!$D1667&amp;" "&amp;TEXT('data on outstanding creditors'!$E1667,"#,##0.00")</f>
        <v>บ.ซิลลิคฟาร์มา 1318466029 10,058.00</v>
      </c>
      <c r="U1667" s="12"/>
    </row>
    <row r="1668" ht="13.5" customHeight="1">
      <c r="A1668" s="1"/>
      <c r="B1668" s="2">
        <v>45951.0</v>
      </c>
      <c r="C1668" s="9" t="s">
        <v>520</v>
      </c>
      <c r="D1668" s="1" t="s">
        <v>2212</v>
      </c>
      <c r="E1668" s="4">
        <v>29960.0</v>
      </c>
      <c r="F1668" s="4"/>
      <c r="G1668" s="4"/>
      <c r="H1668" s="4">
        <f>'data on outstanding creditors'!$E1668-'data on outstanding creditors'!$F1668-'data on outstanding creditors'!$G1668</f>
        <v>29960</v>
      </c>
      <c r="I1668" s="2"/>
      <c r="J1668" s="1"/>
      <c r="K1668" s="2"/>
      <c r="L1668" s="5"/>
      <c r="M1668" s="9" t="s">
        <v>22</v>
      </c>
      <c r="N1668" s="9" t="s">
        <v>23</v>
      </c>
      <c r="O1668" s="10">
        <f>'data on outstanding creditors'!$E1668*100/107</f>
        <v>28000</v>
      </c>
      <c r="P1668" s="10">
        <f>'data on outstanding creditors'!$E1668-'data on outstanding creditors'!$O1668</f>
        <v>1960</v>
      </c>
      <c r="Q1668" s="7">
        <f>DAY('data on outstanding creditors'!$B1668)</f>
        <v>21</v>
      </c>
      <c r="R1668" s="7">
        <f>MONTH('data on outstanding creditors'!$B1668)</f>
        <v>10</v>
      </c>
      <c r="S1668" s="7">
        <f>YEAR('data on outstanding creditors'!$B1668)</f>
        <v>2025</v>
      </c>
      <c r="T1668" s="11" t="str">
        <f>'data on outstanding creditors'!$C1668&amp;" "&amp;'data on outstanding creditors'!$D1668&amp;" "&amp;TEXT('data on outstanding creditors'!$E1668,"#,##0.00")</f>
        <v>บ.ซิลลิคฟาร์มา 1318464739 29,960.00</v>
      </c>
      <c r="U1668" s="12"/>
    </row>
    <row r="1669" ht="13.5" customHeight="1">
      <c r="A1669" s="1"/>
      <c r="B1669" s="2">
        <v>45951.0</v>
      </c>
      <c r="C1669" s="9" t="s">
        <v>250</v>
      </c>
      <c r="D1669" s="1" t="s">
        <v>2213</v>
      </c>
      <c r="E1669" s="4">
        <v>27820.0</v>
      </c>
      <c r="F1669" s="4"/>
      <c r="G1669" s="4"/>
      <c r="H1669" s="4">
        <f>'data on outstanding creditors'!$E1669-'data on outstanding creditors'!$F1669-'data on outstanding creditors'!$G1669</f>
        <v>27820</v>
      </c>
      <c r="I1669" s="2"/>
      <c r="J1669" s="1"/>
      <c r="K1669" s="2"/>
      <c r="L1669" s="5"/>
      <c r="M1669" s="9" t="s">
        <v>22</v>
      </c>
      <c r="N1669" s="9" t="s">
        <v>23</v>
      </c>
      <c r="O1669" s="10">
        <f>'data on outstanding creditors'!$E1669*100/107</f>
        <v>26000</v>
      </c>
      <c r="P1669" s="10">
        <f>'data on outstanding creditors'!$E1669-'data on outstanding creditors'!$O1669</f>
        <v>1820</v>
      </c>
      <c r="Q1669" s="7">
        <f>DAY('data on outstanding creditors'!$B1669)</f>
        <v>21</v>
      </c>
      <c r="R1669" s="7">
        <f>MONTH('data on outstanding creditors'!$B1669)</f>
        <v>10</v>
      </c>
      <c r="S1669" s="7">
        <f>YEAR('data on outstanding creditors'!$B1669)</f>
        <v>2025</v>
      </c>
      <c r="T1669" s="11" t="str">
        <f>'data on outstanding creditors'!$C1669&amp;" "&amp;'data on outstanding creditors'!$D1669&amp;" "&amp;TEXT('data on outstanding creditors'!$E1669,"#,##0.00")</f>
        <v>บ.เกร๊ทเตอร์มายบาซิน #01-GM-1-2-2-2025016412 27,820.00</v>
      </c>
      <c r="U1669" s="12"/>
    </row>
    <row r="1670" ht="13.5" customHeight="1">
      <c r="A1670" s="1"/>
      <c r="B1670" s="2">
        <v>45951.0</v>
      </c>
      <c r="C1670" s="9" t="s">
        <v>1243</v>
      </c>
      <c r="D1670" s="1" t="s">
        <v>2214</v>
      </c>
      <c r="E1670" s="4">
        <v>34500.0</v>
      </c>
      <c r="F1670" s="4"/>
      <c r="G1670" s="4"/>
      <c r="H1670" s="4">
        <f>'data on outstanding creditors'!$E1670-'data on outstanding creditors'!$F1670-'data on outstanding creditors'!$G1670</f>
        <v>34500</v>
      </c>
      <c r="I1670" s="2"/>
      <c r="J1670" s="1"/>
      <c r="K1670" s="2"/>
      <c r="L1670" s="5"/>
      <c r="M1670" s="9" t="s">
        <v>22</v>
      </c>
      <c r="N1670" s="9" t="s">
        <v>23</v>
      </c>
      <c r="O1670" s="10">
        <f>'data on outstanding creditors'!$E1670*100/107</f>
        <v>32242.99065</v>
      </c>
      <c r="P1670" s="10">
        <f>'data on outstanding creditors'!$E1670-'data on outstanding creditors'!$O1670</f>
        <v>2257.009346</v>
      </c>
      <c r="Q1670" s="7">
        <f>DAY('data on outstanding creditors'!$B1670)</f>
        <v>21</v>
      </c>
      <c r="R1670" s="7">
        <f>MONTH('data on outstanding creditors'!$B1670)</f>
        <v>10</v>
      </c>
      <c r="S1670" s="7">
        <f>YEAR('data on outstanding creditors'!$B1670)</f>
        <v>2025</v>
      </c>
      <c r="T1670" s="11" t="str">
        <f>'data on outstanding creditors'!$C1670&amp;" "&amp;'data on outstanding creditors'!$D1670&amp;" "&amp;TEXT('data on outstanding creditors'!$E1670,"#,##0.00")</f>
        <v>บ.วี.แอนด์.วี.กรุงเทพ 8103637323 34,500.00</v>
      </c>
      <c r="U1670" s="12"/>
    </row>
    <row r="1671" ht="13.5" customHeight="1">
      <c r="A1671" s="1"/>
      <c r="B1671" s="2">
        <v>45951.0</v>
      </c>
      <c r="C1671" s="9" t="s">
        <v>396</v>
      </c>
      <c r="D1671" s="1" t="s">
        <v>2215</v>
      </c>
      <c r="E1671" s="4">
        <v>43600.0</v>
      </c>
      <c r="F1671" s="4"/>
      <c r="G1671" s="4"/>
      <c r="H1671" s="4">
        <f>'data on outstanding creditors'!$E1671-'data on outstanding creditors'!$F1671-'data on outstanding creditors'!$G1671</f>
        <v>43600</v>
      </c>
      <c r="I1671" s="2"/>
      <c r="J1671" s="1"/>
      <c r="K1671" s="2"/>
      <c r="L1671" s="5"/>
      <c r="M1671" s="9" t="s">
        <v>22</v>
      </c>
      <c r="N1671" s="9" t="s">
        <v>23</v>
      </c>
      <c r="O1671" s="10">
        <f>'data on outstanding creditors'!$E1671*100/107</f>
        <v>40747.66355</v>
      </c>
      <c r="P1671" s="10">
        <f>'data on outstanding creditors'!$E1671-'data on outstanding creditors'!$O1671</f>
        <v>2852.336449</v>
      </c>
      <c r="Q1671" s="7">
        <f>DAY('data on outstanding creditors'!$B1671)</f>
        <v>21</v>
      </c>
      <c r="R1671" s="7">
        <f>MONTH('data on outstanding creditors'!$B1671)</f>
        <v>10</v>
      </c>
      <c r="S1671" s="7">
        <f>YEAR('data on outstanding creditors'!$B1671)</f>
        <v>2025</v>
      </c>
      <c r="T1671" s="11" t="str">
        <f>'data on outstanding creditors'!$C1671&amp;" "&amp;'data on outstanding creditors'!$D1671&amp;" "&amp;TEXT('data on outstanding creditors'!$E1671,"#,##0.00")</f>
        <v>บ.เยเนอรัล ฮอสปิตัล โปรดัคส์ 25IN08102774 43,600.00</v>
      </c>
      <c r="U1671" s="12"/>
    </row>
    <row r="1672" ht="13.5" customHeight="1">
      <c r="A1672" s="1"/>
      <c r="B1672" s="2">
        <v>45951.0</v>
      </c>
      <c r="C1672" s="9" t="s">
        <v>24</v>
      </c>
      <c r="D1672" s="1" t="s">
        <v>2216</v>
      </c>
      <c r="E1672" s="4">
        <v>15000.0</v>
      </c>
      <c r="F1672" s="4"/>
      <c r="G1672" s="4"/>
      <c r="H1672" s="4">
        <f>'data on outstanding creditors'!$E1672-'data on outstanding creditors'!$F1672-'data on outstanding creditors'!$G1672</f>
        <v>15000</v>
      </c>
      <c r="I1672" s="2"/>
      <c r="J1672" s="1"/>
      <c r="K1672" s="2"/>
      <c r="L1672" s="5"/>
      <c r="M1672" s="9" t="s">
        <v>22</v>
      </c>
      <c r="N1672" s="9" t="s">
        <v>23</v>
      </c>
      <c r="O1672" s="10">
        <f>'data on outstanding creditors'!$E1672*100/107</f>
        <v>14018.69159</v>
      </c>
      <c r="P1672" s="10">
        <f>'data on outstanding creditors'!$E1672-'data on outstanding creditors'!$O1672</f>
        <v>981.3084112</v>
      </c>
      <c r="Q1672" s="7">
        <f>DAY('data on outstanding creditors'!$B1672)</f>
        <v>21</v>
      </c>
      <c r="R1672" s="7">
        <f>MONTH('data on outstanding creditors'!$B1672)</f>
        <v>10</v>
      </c>
      <c r="S1672" s="7">
        <f>YEAR('data on outstanding creditors'!$B1672)</f>
        <v>2025</v>
      </c>
      <c r="T1672" s="11" t="str">
        <f>'data on outstanding creditors'!$C1672&amp;" "&amp;'data on outstanding creditors'!$D1672&amp;" "&amp;TEXT('data on outstanding creditors'!$E1672,"#,##0.00")</f>
        <v>บ.เซ็นทรัลโพลีเทรดดิ้ง 31i25056643 15,000.00</v>
      </c>
      <c r="U1672" s="12"/>
    </row>
    <row r="1673" ht="13.5" customHeight="1">
      <c r="A1673" s="1"/>
      <c r="B1673" s="2">
        <v>45951.0</v>
      </c>
      <c r="C1673" s="9" t="s">
        <v>24</v>
      </c>
      <c r="D1673" s="1" t="s">
        <v>2217</v>
      </c>
      <c r="E1673" s="4">
        <v>43750.0</v>
      </c>
      <c r="F1673" s="4"/>
      <c r="G1673" s="4"/>
      <c r="H1673" s="4">
        <f>'data on outstanding creditors'!$E1673-'data on outstanding creditors'!$F1673-'data on outstanding creditors'!$G1673</f>
        <v>43750</v>
      </c>
      <c r="I1673" s="2"/>
      <c r="J1673" s="1"/>
      <c r="K1673" s="2"/>
      <c r="L1673" s="5"/>
      <c r="M1673" s="9" t="s">
        <v>22</v>
      </c>
      <c r="N1673" s="9" t="s">
        <v>23</v>
      </c>
      <c r="O1673" s="10">
        <f>'data on outstanding creditors'!$E1673*100/107</f>
        <v>40887.85047</v>
      </c>
      <c r="P1673" s="10">
        <f>'data on outstanding creditors'!$E1673-'data on outstanding creditors'!$O1673</f>
        <v>2862.149533</v>
      </c>
      <c r="Q1673" s="7">
        <f>DAY('data on outstanding creditors'!$B1673)</f>
        <v>21</v>
      </c>
      <c r="R1673" s="7">
        <f>MONTH('data on outstanding creditors'!$B1673)</f>
        <v>10</v>
      </c>
      <c r="S1673" s="7">
        <f>YEAR('data on outstanding creditors'!$B1673)</f>
        <v>2025</v>
      </c>
      <c r="T1673" s="11" t="str">
        <f>'data on outstanding creditors'!$C1673&amp;" "&amp;'data on outstanding creditors'!$D1673&amp;" "&amp;TEXT('data on outstanding creditors'!$E1673,"#,##0.00")</f>
        <v>บ.เซ็นทรัลโพลีเทรดดิ้ง 31i25056642 43,750.00</v>
      </c>
      <c r="U1673" s="12"/>
    </row>
    <row r="1674" ht="13.5" customHeight="1">
      <c r="A1674" s="1"/>
      <c r="B1674" s="2">
        <v>45951.0</v>
      </c>
      <c r="C1674" s="9" t="s">
        <v>1303</v>
      </c>
      <c r="D1674" s="1" t="s">
        <v>2218</v>
      </c>
      <c r="E1674" s="4">
        <v>39675.6</v>
      </c>
      <c r="F1674" s="4"/>
      <c r="G1674" s="4"/>
      <c r="H1674" s="4">
        <f>'data on outstanding creditors'!$E1674-'data on outstanding creditors'!$F1674-'data on outstanding creditors'!$G1674</f>
        <v>39675.6</v>
      </c>
      <c r="I1674" s="2"/>
      <c r="J1674" s="1"/>
      <c r="K1674" s="2"/>
      <c r="L1674" s="5"/>
      <c r="M1674" s="9" t="s">
        <v>22</v>
      </c>
      <c r="N1674" s="9" t="s">
        <v>23</v>
      </c>
      <c r="O1674" s="10">
        <f>'data on outstanding creditors'!$E1674*100/107</f>
        <v>37080</v>
      </c>
      <c r="P1674" s="10">
        <f>'data on outstanding creditors'!$E1674-'data on outstanding creditors'!$O1674</f>
        <v>2595.6</v>
      </c>
      <c r="Q1674" s="7">
        <f>DAY('data on outstanding creditors'!$B1674)</f>
        <v>21</v>
      </c>
      <c r="R1674" s="7">
        <f>MONTH('data on outstanding creditors'!$B1674)</f>
        <v>10</v>
      </c>
      <c r="S1674" s="7">
        <f>YEAR('data on outstanding creditors'!$B1674)</f>
        <v>2025</v>
      </c>
      <c r="T1674" s="11" t="str">
        <f>'data on outstanding creditors'!$C1674&amp;" "&amp;'data on outstanding creditors'!$D1674&amp;" "&amp;TEXT('data on outstanding creditors'!$E1674,"#,##0.00")</f>
        <v>บ.บี.เอ็ล.เอช.เทร็ดดิ้ง 1068025941 39,675.60</v>
      </c>
      <c r="U1674" s="12"/>
    </row>
    <row r="1675" ht="13.5" customHeight="1">
      <c r="A1675" s="1"/>
      <c r="B1675" s="2">
        <v>45951.0</v>
      </c>
      <c r="C1675" s="9" t="s">
        <v>1968</v>
      </c>
      <c r="D1675" s="1" t="s">
        <v>2219</v>
      </c>
      <c r="E1675" s="4">
        <v>32000.0</v>
      </c>
      <c r="F1675" s="4"/>
      <c r="G1675" s="4"/>
      <c r="H1675" s="4">
        <f>'data on outstanding creditors'!$E1675-'data on outstanding creditors'!$F1675-'data on outstanding creditors'!$G1675</f>
        <v>32000</v>
      </c>
      <c r="I1675" s="2"/>
      <c r="J1675" s="1"/>
      <c r="K1675" s="2"/>
      <c r="L1675" s="5"/>
      <c r="M1675" s="9" t="s">
        <v>22</v>
      </c>
      <c r="N1675" s="9" t="s">
        <v>23</v>
      </c>
      <c r="O1675" s="10">
        <f>'data on outstanding creditors'!$E1675*100/107</f>
        <v>29906.54206</v>
      </c>
      <c r="P1675" s="10">
        <f>'data on outstanding creditors'!$E1675-'data on outstanding creditors'!$O1675</f>
        <v>2093.457944</v>
      </c>
      <c r="Q1675" s="7">
        <f>DAY('data on outstanding creditors'!$B1675)</f>
        <v>21</v>
      </c>
      <c r="R1675" s="7">
        <f>MONTH('data on outstanding creditors'!$B1675)</f>
        <v>10</v>
      </c>
      <c r="S1675" s="7">
        <f>YEAR('data on outstanding creditors'!$B1675)</f>
        <v>2025</v>
      </c>
      <c r="T1675" s="11" t="str">
        <f>'data on outstanding creditors'!$C1675&amp;" "&amp;'data on outstanding creditors'!$D1675&amp;" "&amp;TEXT('data on outstanding creditors'!$E1675,"#,##0.00")</f>
        <v>บ.ไบโอฟาร์ม เคมิคัลส์ 111610340 32,000.00</v>
      </c>
      <c r="U1675" s="12"/>
    </row>
    <row r="1676" ht="13.5" customHeight="1">
      <c r="A1676" s="1"/>
      <c r="B1676" s="2">
        <v>45951.0</v>
      </c>
      <c r="C1676" s="9" t="s">
        <v>399</v>
      </c>
      <c r="D1676" s="1" t="s">
        <v>2220</v>
      </c>
      <c r="E1676" s="4">
        <v>80730.0</v>
      </c>
      <c r="F1676" s="4"/>
      <c r="G1676" s="4"/>
      <c r="H1676" s="4">
        <f>'data on outstanding creditors'!$E1676-'data on outstanding creditors'!$F1676-'data on outstanding creditors'!$G1676</f>
        <v>80730</v>
      </c>
      <c r="I1676" s="2"/>
      <c r="J1676" s="1"/>
      <c r="K1676" s="2"/>
      <c r="L1676" s="5"/>
      <c r="M1676" s="9" t="s">
        <v>22</v>
      </c>
      <c r="N1676" s="9" t="s">
        <v>23</v>
      </c>
      <c r="O1676" s="10">
        <f>'data on outstanding creditors'!$E1676*100/107</f>
        <v>75448.59813</v>
      </c>
      <c r="P1676" s="10">
        <f>'data on outstanding creditors'!$E1676-'data on outstanding creditors'!$O1676</f>
        <v>5281.401869</v>
      </c>
      <c r="Q1676" s="7">
        <f>DAY('data on outstanding creditors'!$B1676)</f>
        <v>21</v>
      </c>
      <c r="R1676" s="7">
        <f>MONTH('data on outstanding creditors'!$B1676)</f>
        <v>10</v>
      </c>
      <c r="S1676" s="7">
        <f>YEAR('data on outstanding creditors'!$B1676)</f>
        <v>2025</v>
      </c>
      <c r="T1676" s="11" t="str">
        <f>'data on outstanding creditors'!$C1676&amp;" "&amp;'data on outstanding creditors'!$D1676&amp;" "&amp;TEXT('data on outstanding creditors'!$E1676,"#,##0.00")</f>
        <v>บ.ดีเคเอสเอช(ประเทศไทย) 5344574818 80,730.00</v>
      </c>
      <c r="U1676" s="12"/>
    </row>
    <row r="1677" ht="13.5" customHeight="1">
      <c r="A1677" s="1"/>
      <c r="B1677" s="2">
        <v>45951.0</v>
      </c>
      <c r="C1677" s="9" t="s">
        <v>399</v>
      </c>
      <c r="D1677" s="1" t="s">
        <v>2221</v>
      </c>
      <c r="E1677" s="4">
        <v>139100.0</v>
      </c>
      <c r="F1677" s="4"/>
      <c r="G1677" s="4"/>
      <c r="H1677" s="4">
        <f>'data on outstanding creditors'!$E1677-'data on outstanding creditors'!$F1677-'data on outstanding creditors'!$G1677</f>
        <v>139100</v>
      </c>
      <c r="I1677" s="2"/>
      <c r="J1677" s="1"/>
      <c r="K1677" s="2"/>
      <c r="L1677" s="5"/>
      <c r="M1677" s="9" t="s">
        <v>22</v>
      </c>
      <c r="N1677" s="9" t="s">
        <v>23</v>
      </c>
      <c r="O1677" s="10">
        <f>'data on outstanding creditors'!$E1677*100/107</f>
        <v>130000</v>
      </c>
      <c r="P1677" s="10">
        <f>'data on outstanding creditors'!$E1677-'data on outstanding creditors'!$O1677</f>
        <v>9100</v>
      </c>
      <c r="Q1677" s="7">
        <f>DAY('data on outstanding creditors'!$B1677)</f>
        <v>21</v>
      </c>
      <c r="R1677" s="7">
        <f>MONTH('data on outstanding creditors'!$B1677)</f>
        <v>10</v>
      </c>
      <c r="S1677" s="7">
        <f>YEAR('data on outstanding creditors'!$B1677)</f>
        <v>2025</v>
      </c>
      <c r="T1677" s="11" t="str">
        <f>'data on outstanding creditors'!$C1677&amp;" "&amp;'data on outstanding creditors'!$D1677&amp;" "&amp;TEXT('data on outstanding creditors'!$E1677,"#,##0.00")</f>
        <v>บ.ดีเคเอสเอช(ประเทศไทย) 5344583245 139,100.00</v>
      </c>
      <c r="U1677" s="12"/>
    </row>
    <row r="1678" ht="13.5" customHeight="1">
      <c r="A1678" s="1"/>
      <c r="B1678" s="2">
        <v>45951.0</v>
      </c>
      <c r="C1678" s="9" t="s">
        <v>1495</v>
      </c>
      <c r="D1678" s="1" t="s">
        <v>2222</v>
      </c>
      <c r="E1678" s="4">
        <v>34000.0</v>
      </c>
      <c r="F1678" s="4"/>
      <c r="G1678" s="4"/>
      <c r="H1678" s="4">
        <f>'data on outstanding creditors'!$E1678-'data on outstanding creditors'!$F1678-'data on outstanding creditors'!$G1678</f>
        <v>34000</v>
      </c>
      <c r="I1678" s="2"/>
      <c r="J1678" s="1"/>
      <c r="K1678" s="2"/>
      <c r="L1678" s="5"/>
      <c r="M1678" s="9" t="s">
        <v>22</v>
      </c>
      <c r="N1678" s="9" t="s">
        <v>23</v>
      </c>
      <c r="O1678" s="10">
        <f>'data on outstanding creditors'!$E1678*100/107</f>
        <v>31775.70093</v>
      </c>
      <c r="P1678" s="10">
        <f>'data on outstanding creditors'!$E1678-'data on outstanding creditors'!$O1678</f>
        <v>2224.299065</v>
      </c>
      <c r="Q1678" s="7">
        <f>DAY('data on outstanding creditors'!$B1678)</f>
        <v>21</v>
      </c>
      <c r="R1678" s="7">
        <f>MONTH('data on outstanding creditors'!$B1678)</f>
        <v>10</v>
      </c>
      <c r="S1678" s="7">
        <f>YEAR('data on outstanding creditors'!$B1678)</f>
        <v>2025</v>
      </c>
      <c r="T1678" s="11" t="str">
        <f>'data on outstanding creditors'!$C1678&amp;" "&amp;'data on outstanding creditors'!$D1678&amp;" "&amp;TEXT('data on outstanding creditors'!$E1678,"#,##0.00")</f>
        <v>บ.อาร์เอ็กซ์ IV25-10102573 34,000.00</v>
      </c>
      <c r="U1678" s="12"/>
    </row>
    <row r="1679" ht="13.5" customHeight="1">
      <c r="A1679" s="1"/>
      <c r="B1679" s="2">
        <v>45951.0</v>
      </c>
      <c r="C1679" s="9" t="s">
        <v>541</v>
      </c>
      <c r="D1679" s="1" t="s">
        <v>2223</v>
      </c>
      <c r="E1679" s="4">
        <v>26536.0</v>
      </c>
      <c r="F1679" s="4"/>
      <c r="G1679" s="4"/>
      <c r="H1679" s="4">
        <f>'data on outstanding creditors'!$E1679-'data on outstanding creditors'!$F1679-'data on outstanding creditors'!$G1679</f>
        <v>26536</v>
      </c>
      <c r="I1679" s="2"/>
      <c r="J1679" s="1"/>
      <c r="K1679" s="2"/>
      <c r="L1679" s="5"/>
      <c r="M1679" s="9" t="s">
        <v>22</v>
      </c>
      <c r="N1679" s="9" t="s">
        <v>23</v>
      </c>
      <c r="O1679" s="10">
        <f>'data on outstanding creditors'!$E1679*100/107</f>
        <v>24800</v>
      </c>
      <c r="P1679" s="10">
        <f>'data on outstanding creditors'!$E1679-'data on outstanding creditors'!$O1679</f>
        <v>1736</v>
      </c>
      <c r="Q1679" s="7">
        <f>DAY('data on outstanding creditors'!$B1679)</f>
        <v>21</v>
      </c>
      <c r="R1679" s="7">
        <f>MONTH('data on outstanding creditors'!$B1679)</f>
        <v>10</v>
      </c>
      <c r="S1679" s="7">
        <f>YEAR('data on outstanding creditors'!$B1679)</f>
        <v>2025</v>
      </c>
      <c r="T1679" s="11" t="str">
        <f>'data on outstanding creditors'!$C1679&amp;" "&amp;'data on outstanding creditors'!$D1679&amp;" "&amp;TEXT('data on outstanding creditors'!$E1679,"#,##0.00")</f>
        <v>บ.ดีทแฮล์ม เคลเลอร์ โลจิสติกส์ 5449332316 26,536.00</v>
      </c>
      <c r="U1679" s="12"/>
    </row>
    <row r="1680" ht="13.5" customHeight="1">
      <c r="A1680" s="1"/>
      <c r="B1680" s="2">
        <v>45951.0</v>
      </c>
      <c r="C1680" s="9" t="s">
        <v>771</v>
      </c>
      <c r="D1680" s="1" t="s">
        <v>2224</v>
      </c>
      <c r="E1680" s="4">
        <v>16350.0</v>
      </c>
      <c r="F1680" s="4"/>
      <c r="G1680" s="4"/>
      <c r="H1680" s="4">
        <f>'data on outstanding creditors'!$E1680-'data on outstanding creditors'!$F1680-'data on outstanding creditors'!$G1680</f>
        <v>16350</v>
      </c>
      <c r="I1680" s="2"/>
      <c r="J1680" s="1"/>
      <c r="K1680" s="2"/>
      <c r="L1680" s="5"/>
      <c r="M1680" s="9" t="s">
        <v>22</v>
      </c>
      <c r="N1680" s="9" t="s">
        <v>23</v>
      </c>
      <c r="O1680" s="10">
        <f>'data on outstanding creditors'!$E1680*100/107</f>
        <v>15280.37383</v>
      </c>
      <c r="P1680" s="10">
        <f>'data on outstanding creditors'!$E1680-'data on outstanding creditors'!$O1680</f>
        <v>1069.626168</v>
      </c>
      <c r="Q1680" s="7">
        <f>DAY('data on outstanding creditors'!$B1680)</f>
        <v>21</v>
      </c>
      <c r="R1680" s="7">
        <f>MONTH('data on outstanding creditors'!$B1680)</f>
        <v>10</v>
      </c>
      <c r="S1680" s="7">
        <f>YEAR('data on outstanding creditors'!$B1680)</f>
        <v>2025</v>
      </c>
      <c r="T1680" s="11" t="str">
        <f>'data on outstanding creditors'!$C1680&amp;" "&amp;'data on outstanding creditors'!$D1680&amp;" "&amp;TEXT('data on outstanding creditors'!$E1680,"#,##0.00")</f>
        <v>หจก.ภิญโญฟาร์มาซี IV6855458 16,350.00</v>
      </c>
      <c r="U1680" s="12"/>
    </row>
    <row r="1681" ht="13.5" customHeight="1">
      <c r="A1681" s="1"/>
      <c r="B1681" s="2">
        <v>45951.0</v>
      </c>
      <c r="C1681" s="9" t="s">
        <v>259</v>
      </c>
      <c r="D1681" s="1" t="s">
        <v>2225</v>
      </c>
      <c r="E1681" s="4">
        <v>48000.0</v>
      </c>
      <c r="F1681" s="4"/>
      <c r="G1681" s="4"/>
      <c r="H1681" s="4">
        <f>'data on outstanding creditors'!$E1681-'data on outstanding creditors'!$F1681-'data on outstanding creditors'!$G1681</f>
        <v>48000</v>
      </c>
      <c r="I1681" s="2"/>
      <c r="J1681" s="1"/>
      <c r="K1681" s="2"/>
      <c r="L1681" s="5"/>
      <c r="M1681" s="9" t="s">
        <v>22</v>
      </c>
      <c r="N1681" s="9" t="s">
        <v>23</v>
      </c>
      <c r="O1681" s="10">
        <f>'data on outstanding creditors'!$E1681*100/107</f>
        <v>44859.81308</v>
      </c>
      <c r="P1681" s="10">
        <f>'data on outstanding creditors'!$E1681-'data on outstanding creditors'!$O1681</f>
        <v>3140.186916</v>
      </c>
      <c r="Q1681" s="7">
        <f>DAY('data on outstanding creditors'!$B1681)</f>
        <v>21</v>
      </c>
      <c r="R1681" s="7">
        <f>MONTH('data on outstanding creditors'!$B1681)</f>
        <v>10</v>
      </c>
      <c r="S1681" s="7">
        <f>YEAR('data on outstanding creditors'!$B1681)</f>
        <v>2025</v>
      </c>
      <c r="T1681" s="11" t="str">
        <f>'data on outstanding creditors'!$C1681&amp;" "&amp;'data on outstanding creditors'!$D1681&amp;" "&amp;TEXT('data on outstanding creditors'!$E1681,"#,##0.00")</f>
        <v>บ.ที.โอ.เคมีคอลส์(1979) T6810/20305 48,000.00</v>
      </c>
      <c r="U1681" s="12"/>
    </row>
    <row r="1682" ht="13.5" customHeight="1">
      <c r="A1682" s="1"/>
      <c r="B1682" s="2">
        <v>45951.0</v>
      </c>
      <c r="C1682" s="9" t="s">
        <v>1440</v>
      </c>
      <c r="D1682" s="1" t="s">
        <v>2226</v>
      </c>
      <c r="E1682" s="4">
        <v>26400.0</v>
      </c>
      <c r="F1682" s="4"/>
      <c r="G1682" s="4"/>
      <c r="H1682" s="4">
        <f>'data on outstanding creditors'!$E1682-'data on outstanding creditors'!$F1682-'data on outstanding creditors'!$G1682</f>
        <v>26400</v>
      </c>
      <c r="I1682" s="2"/>
      <c r="J1682" s="1"/>
      <c r="K1682" s="2"/>
      <c r="L1682" s="5"/>
      <c r="M1682" s="9" t="s">
        <v>22</v>
      </c>
      <c r="N1682" s="9" t="s">
        <v>23</v>
      </c>
      <c r="O1682" s="10">
        <f>'data on outstanding creditors'!$E1682*100/107</f>
        <v>24672.8972</v>
      </c>
      <c r="P1682" s="10">
        <f>'data on outstanding creditors'!$E1682-'data on outstanding creditors'!$O1682</f>
        <v>1727.102804</v>
      </c>
      <c r="Q1682" s="7">
        <f>DAY('data on outstanding creditors'!$B1682)</f>
        <v>21</v>
      </c>
      <c r="R1682" s="7">
        <f>MONTH('data on outstanding creditors'!$B1682)</f>
        <v>10</v>
      </c>
      <c r="S1682" s="7">
        <f>YEAR('data on outstanding creditors'!$B1682)</f>
        <v>2025</v>
      </c>
      <c r="T1682" s="11" t="str">
        <f>'data on outstanding creditors'!$C1682&amp;" "&amp;'data on outstanding creditors'!$D1682&amp;" "&amp;TEXT('data on outstanding creditors'!$E1682,"#,##0.00")</f>
        <v>บ.เวสโก ฟาร์มาซูติคอล IN68100928 26,400.00</v>
      </c>
      <c r="U1682" s="12"/>
    </row>
    <row r="1683" ht="13.5" customHeight="1">
      <c r="A1683" s="1"/>
      <c r="B1683" s="2">
        <v>45951.0</v>
      </c>
      <c r="C1683" s="9" t="s">
        <v>520</v>
      </c>
      <c r="D1683" s="1" t="s">
        <v>2227</v>
      </c>
      <c r="E1683" s="4">
        <v>81962.0</v>
      </c>
      <c r="F1683" s="4"/>
      <c r="G1683" s="4"/>
      <c r="H1683" s="4">
        <f>'data on outstanding creditors'!$E1683-'data on outstanding creditors'!$F1683-'data on outstanding creditors'!$G1683</f>
        <v>81962</v>
      </c>
      <c r="I1683" s="2"/>
      <c r="J1683" s="1"/>
      <c r="K1683" s="2"/>
      <c r="L1683" s="5"/>
      <c r="M1683" s="9" t="s">
        <v>22</v>
      </c>
      <c r="N1683" s="9" t="s">
        <v>23</v>
      </c>
      <c r="O1683" s="10">
        <f>'data on outstanding creditors'!$E1683*100/107</f>
        <v>76600</v>
      </c>
      <c r="P1683" s="10">
        <f>'data on outstanding creditors'!$E1683-'data on outstanding creditors'!$O1683</f>
        <v>5362</v>
      </c>
      <c r="Q1683" s="7">
        <f>DAY('data on outstanding creditors'!$B1683)</f>
        <v>21</v>
      </c>
      <c r="R1683" s="7">
        <f>MONTH('data on outstanding creditors'!$B1683)</f>
        <v>10</v>
      </c>
      <c r="S1683" s="7">
        <f>YEAR('data on outstanding creditors'!$B1683)</f>
        <v>2025</v>
      </c>
      <c r="T1683" s="11" t="str">
        <f>'data on outstanding creditors'!$C1683&amp;" "&amp;'data on outstanding creditors'!$D1683&amp;" "&amp;TEXT('data on outstanding creditors'!$E1683,"#,##0.00")</f>
        <v>บ.ซิลลิคฟาร์มา 1318493147 81,962.00</v>
      </c>
      <c r="U1683" s="12"/>
    </row>
    <row r="1684" ht="13.5" customHeight="1">
      <c r="A1684" s="1"/>
      <c r="B1684" s="2">
        <v>45951.0</v>
      </c>
      <c r="C1684" s="9" t="s">
        <v>520</v>
      </c>
      <c r="D1684" s="1" t="s">
        <v>2228</v>
      </c>
      <c r="E1684" s="4">
        <v>91592.0</v>
      </c>
      <c r="F1684" s="4"/>
      <c r="G1684" s="4"/>
      <c r="H1684" s="4">
        <f>'data on outstanding creditors'!$E1684-'data on outstanding creditors'!$F1684-'data on outstanding creditors'!$G1684</f>
        <v>91592</v>
      </c>
      <c r="I1684" s="2"/>
      <c r="J1684" s="1"/>
      <c r="K1684" s="2"/>
      <c r="L1684" s="5"/>
      <c r="M1684" s="9" t="s">
        <v>22</v>
      </c>
      <c r="N1684" s="9" t="s">
        <v>23</v>
      </c>
      <c r="O1684" s="10">
        <f>'data on outstanding creditors'!$E1684*100/107</f>
        <v>85600</v>
      </c>
      <c r="P1684" s="10">
        <f>'data on outstanding creditors'!$E1684-'data on outstanding creditors'!$O1684</f>
        <v>5992</v>
      </c>
      <c r="Q1684" s="7">
        <f>DAY('data on outstanding creditors'!$B1684)</f>
        <v>21</v>
      </c>
      <c r="R1684" s="7">
        <f>MONTH('data on outstanding creditors'!$B1684)</f>
        <v>10</v>
      </c>
      <c r="S1684" s="7">
        <f>YEAR('data on outstanding creditors'!$B1684)</f>
        <v>2025</v>
      </c>
      <c r="T1684" s="11" t="str">
        <f>'data on outstanding creditors'!$C1684&amp;" "&amp;'data on outstanding creditors'!$D1684&amp;" "&amp;TEXT('data on outstanding creditors'!$E1684,"#,##0.00")</f>
        <v>บ.ซิลลิคฟาร์มา 1318497747 91,592.00</v>
      </c>
      <c r="U1684" s="12"/>
    </row>
    <row r="1685" ht="13.5" customHeight="1">
      <c r="A1685" s="1"/>
      <c r="B1685" s="2">
        <v>45951.0</v>
      </c>
      <c r="C1685" s="9" t="s">
        <v>399</v>
      </c>
      <c r="D1685" s="1" t="s">
        <v>2229</v>
      </c>
      <c r="E1685" s="4">
        <v>64200.0</v>
      </c>
      <c r="F1685" s="4"/>
      <c r="G1685" s="4"/>
      <c r="H1685" s="4">
        <f>'data on outstanding creditors'!$E1685-'data on outstanding creditors'!$F1685-'data on outstanding creditors'!$G1685</f>
        <v>64200</v>
      </c>
      <c r="I1685" s="2"/>
      <c r="J1685" s="1"/>
      <c r="K1685" s="2"/>
      <c r="L1685" s="5"/>
      <c r="M1685" s="9" t="s">
        <v>22</v>
      </c>
      <c r="N1685" s="9" t="s">
        <v>23</v>
      </c>
      <c r="O1685" s="10">
        <f>'data on outstanding creditors'!$E1685*100/107</f>
        <v>60000</v>
      </c>
      <c r="P1685" s="10">
        <f>'data on outstanding creditors'!$E1685-'data on outstanding creditors'!$O1685</f>
        <v>4200</v>
      </c>
      <c r="Q1685" s="7">
        <f>DAY('data on outstanding creditors'!$B1685)</f>
        <v>21</v>
      </c>
      <c r="R1685" s="7">
        <f>MONTH('data on outstanding creditors'!$B1685)</f>
        <v>10</v>
      </c>
      <c r="S1685" s="7">
        <f>YEAR('data on outstanding creditors'!$B1685)</f>
        <v>2025</v>
      </c>
      <c r="T1685" s="11" t="str">
        <f>'data on outstanding creditors'!$C1685&amp;" "&amp;'data on outstanding creditors'!$D1685&amp;" "&amp;TEXT('data on outstanding creditors'!$E1685,"#,##0.00")</f>
        <v>บ.ดีเคเอสเอช(ประเทศไทย) 5344582669 64,200.00</v>
      </c>
      <c r="U1685" s="12"/>
    </row>
    <row r="1686" ht="13.5" customHeight="1">
      <c r="A1686" s="1"/>
      <c r="B1686" s="2">
        <v>45951.0</v>
      </c>
      <c r="C1686" s="9" t="s">
        <v>1450</v>
      </c>
      <c r="D1686" s="1" t="s">
        <v>2230</v>
      </c>
      <c r="E1686" s="4">
        <v>28569.0</v>
      </c>
      <c r="F1686" s="4"/>
      <c r="G1686" s="4"/>
      <c r="H1686" s="4">
        <f>'data on outstanding creditors'!$E1686-'data on outstanding creditors'!$F1686-'data on outstanding creditors'!$G1686</f>
        <v>28569</v>
      </c>
      <c r="I1686" s="2"/>
      <c r="J1686" s="1"/>
      <c r="K1686" s="2"/>
      <c r="L1686" s="5"/>
      <c r="M1686" s="9" t="s">
        <v>22</v>
      </c>
      <c r="N1686" s="9" t="s">
        <v>23</v>
      </c>
      <c r="O1686" s="10">
        <f>'data on outstanding creditors'!$E1686*100/107</f>
        <v>26700</v>
      </c>
      <c r="P1686" s="10">
        <f>'data on outstanding creditors'!$E1686-'data on outstanding creditors'!$O1686</f>
        <v>1869</v>
      </c>
      <c r="Q1686" s="7">
        <f>DAY('data on outstanding creditors'!$B1686)</f>
        <v>21</v>
      </c>
      <c r="R1686" s="7">
        <f>MONTH('data on outstanding creditors'!$B1686)</f>
        <v>10</v>
      </c>
      <c r="S1686" s="7">
        <f>YEAR('data on outstanding creditors'!$B1686)</f>
        <v>2025</v>
      </c>
      <c r="T1686" s="11" t="str">
        <f>'data on outstanding creditors'!$C1686&amp;" "&amp;'data on outstanding creditors'!$D1686&amp;" "&amp;TEXT('data on outstanding creditors'!$E1686,"#,##0.00")</f>
        <v>บ.อุยเฮง อินเตอร์เนชั่นแนล เฮลท์แคร์ OH-2-2-2025004007 28,569.00</v>
      </c>
      <c r="U1686" s="12"/>
    </row>
    <row r="1687" ht="13.5" customHeight="1">
      <c r="A1687" s="1"/>
      <c r="B1687" s="2">
        <v>45951.0</v>
      </c>
      <c r="C1687" s="9" t="s">
        <v>884</v>
      </c>
      <c r="D1687" s="1" t="s">
        <v>2231</v>
      </c>
      <c r="E1687" s="4">
        <v>57500.0</v>
      </c>
      <c r="F1687" s="4"/>
      <c r="G1687" s="4"/>
      <c r="H1687" s="4">
        <f>'data on outstanding creditors'!$E1687-'data on outstanding creditors'!$F1687-'data on outstanding creditors'!$G1687</f>
        <v>57500</v>
      </c>
      <c r="I1687" s="2"/>
      <c r="J1687" s="1"/>
      <c r="K1687" s="2"/>
      <c r="L1687" s="5"/>
      <c r="M1687" s="9" t="s">
        <v>22</v>
      </c>
      <c r="N1687" s="9" t="s">
        <v>23</v>
      </c>
      <c r="O1687" s="10">
        <f>'data on outstanding creditors'!$E1687*100/107</f>
        <v>53738.31776</v>
      </c>
      <c r="P1687" s="10">
        <f>'data on outstanding creditors'!$E1687-'data on outstanding creditors'!$O1687</f>
        <v>3761.682243</v>
      </c>
      <c r="Q1687" s="7">
        <f>DAY('data on outstanding creditors'!$B1687)</f>
        <v>21</v>
      </c>
      <c r="R1687" s="7">
        <f>MONTH('data on outstanding creditors'!$B1687)</f>
        <v>10</v>
      </c>
      <c r="S1687" s="7">
        <f>YEAR('data on outstanding creditors'!$B1687)</f>
        <v>2025</v>
      </c>
      <c r="T1687" s="11" t="str">
        <f>'data on outstanding creditors'!$C1687&amp;" "&amp;'data on outstanding creditors'!$D1687&amp;" "&amp;TEXT('data on outstanding creditors'!$E1687,"#,##0.00")</f>
        <v>บ.เอสพีเอส เมดิคอล 112510004267 57,500.00</v>
      </c>
      <c r="U1687" s="12"/>
    </row>
    <row r="1688" ht="13.5" customHeight="1">
      <c r="A1688" s="1"/>
      <c r="B1688" s="2">
        <v>45951.0</v>
      </c>
      <c r="C1688" s="9" t="s">
        <v>1432</v>
      </c>
      <c r="D1688" s="1" t="s">
        <v>2232</v>
      </c>
      <c r="E1688" s="4">
        <v>83000.0</v>
      </c>
      <c r="F1688" s="4"/>
      <c r="G1688" s="4"/>
      <c r="H1688" s="4">
        <f>'data on outstanding creditors'!$E1688-'data on outstanding creditors'!$F1688-'data on outstanding creditors'!$G1688</f>
        <v>83000</v>
      </c>
      <c r="I1688" s="2"/>
      <c r="J1688" s="1"/>
      <c r="K1688" s="2"/>
      <c r="L1688" s="5"/>
      <c r="M1688" s="9" t="s">
        <v>22</v>
      </c>
      <c r="N1688" s="9" t="s">
        <v>23</v>
      </c>
      <c r="O1688" s="10">
        <f>'data on outstanding creditors'!$E1688*100/107</f>
        <v>77570.09346</v>
      </c>
      <c r="P1688" s="10">
        <f>'data on outstanding creditors'!$E1688-'data on outstanding creditors'!$O1688</f>
        <v>5429.906542</v>
      </c>
      <c r="Q1688" s="7">
        <f>DAY('data on outstanding creditors'!$B1688)</f>
        <v>21</v>
      </c>
      <c r="R1688" s="7">
        <f>MONTH('data on outstanding creditors'!$B1688)</f>
        <v>10</v>
      </c>
      <c r="S1688" s="7">
        <f>YEAR('data on outstanding creditors'!$B1688)</f>
        <v>2025</v>
      </c>
      <c r="T1688" s="11" t="str">
        <f>'data on outstanding creditors'!$C1688&amp;" "&amp;'data on outstanding creditors'!$D1688&amp;" "&amp;TEXT('data on outstanding creditors'!$E1688,"#,##0.00")</f>
        <v>บ.ยูโทเปี้ยน PB6810277 83,000.00</v>
      </c>
      <c r="U1688" s="12"/>
    </row>
    <row r="1689" ht="13.5" customHeight="1">
      <c r="A1689" s="1"/>
      <c r="B1689" s="2">
        <v>45951.0</v>
      </c>
      <c r="C1689" s="9" t="s">
        <v>1666</v>
      </c>
      <c r="D1689" s="1" t="s">
        <v>2233</v>
      </c>
      <c r="E1689" s="4">
        <v>124032.0</v>
      </c>
      <c r="F1689" s="4"/>
      <c r="G1689" s="4"/>
      <c r="H1689" s="4">
        <f>'data on outstanding creditors'!$E1689-'data on outstanding creditors'!$F1689-'data on outstanding creditors'!$G1689</f>
        <v>124032</v>
      </c>
      <c r="I1689" s="2"/>
      <c r="J1689" s="1"/>
      <c r="K1689" s="2"/>
      <c r="L1689" s="5"/>
      <c r="M1689" s="9" t="s">
        <v>22</v>
      </c>
      <c r="N1689" s="9" t="s">
        <v>23</v>
      </c>
      <c r="O1689" s="10">
        <f>'data on outstanding creditors'!$E1689*100/107</f>
        <v>115917.757</v>
      </c>
      <c r="P1689" s="10">
        <f>'data on outstanding creditors'!$E1689-'data on outstanding creditors'!$O1689</f>
        <v>8114.242991</v>
      </c>
      <c r="Q1689" s="7">
        <f>DAY('data on outstanding creditors'!$B1689)</f>
        <v>21</v>
      </c>
      <c r="R1689" s="7">
        <f>MONTH('data on outstanding creditors'!$B1689)</f>
        <v>10</v>
      </c>
      <c r="S1689" s="7">
        <f>YEAR('data on outstanding creditors'!$B1689)</f>
        <v>2025</v>
      </c>
      <c r="T1689" s="11" t="str">
        <f>'data on outstanding creditors'!$C1689&amp;" "&amp;'data on outstanding creditors'!$D1689&amp;" "&amp;TEXT('data on outstanding creditors'!$E1689,"#,##0.00")</f>
        <v>บ.โมเดิร์น ฟาร์มา INV6810-0017 124,032.00</v>
      </c>
      <c r="U1689" s="12"/>
    </row>
    <row r="1690" ht="13.5" customHeight="1">
      <c r="A1690" s="1"/>
      <c r="B1690" s="2">
        <v>45951.0</v>
      </c>
      <c r="C1690" s="9" t="s">
        <v>1330</v>
      </c>
      <c r="D1690" s="1" t="s">
        <v>2234</v>
      </c>
      <c r="E1690" s="4">
        <v>71200.0</v>
      </c>
      <c r="F1690" s="4"/>
      <c r="G1690" s="4"/>
      <c r="H1690" s="4">
        <f>'data on outstanding creditors'!$E1690-'data on outstanding creditors'!$F1690-'data on outstanding creditors'!$G1690</f>
        <v>71200</v>
      </c>
      <c r="I1690" s="2"/>
      <c r="J1690" s="1"/>
      <c r="K1690" s="2"/>
      <c r="L1690" s="5"/>
      <c r="M1690" s="9" t="s">
        <v>22</v>
      </c>
      <c r="N1690" s="9" t="s">
        <v>23</v>
      </c>
      <c r="O1690" s="10">
        <f>'data on outstanding creditors'!$E1690*100/107</f>
        <v>66542.05607</v>
      </c>
      <c r="P1690" s="10">
        <f>'data on outstanding creditors'!$E1690-'data on outstanding creditors'!$O1690</f>
        <v>4657.943925</v>
      </c>
      <c r="Q1690" s="7">
        <f>DAY('data on outstanding creditors'!$B1690)</f>
        <v>21</v>
      </c>
      <c r="R1690" s="7">
        <f>MONTH('data on outstanding creditors'!$B1690)</f>
        <v>10</v>
      </c>
      <c r="S1690" s="7">
        <f>YEAR('data on outstanding creditors'!$B1690)</f>
        <v>2025</v>
      </c>
      <c r="T1690" s="11" t="str">
        <f>'data on outstanding creditors'!$C1690&amp;" "&amp;'data on outstanding creditors'!$D1690&amp;" "&amp;TEXT('data on outstanding creditors'!$E1690,"#,##0.00")</f>
        <v>บ.ชุมชนเภสัชกรรม IV681001840 71,200.00</v>
      </c>
      <c r="U1690" s="12"/>
    </row>
    <row r="1691" ht="13.5" customHeight="1">
      <c r="A1691" s="1"/>
      <c r="B1691" s="2">
        <v>45951.0</v>
      </c>
      <c r="C1691" s="9" t="s">
        <v>771</v>
      </c>
      <c r="D1691" s="1" t="s">
        <v>2235</v>
      </c>
      <c r="E1691" s="4">
        <v>118000.0</v>
      </c>
      <c r="F1691" s="4"/>
      <c r="G1691" s="4"/>
      <c r="H1691" s="4">
        <f>'data on outstanding creditors'!$E1691-'data on outstanding creditors'!$F1691-'data on outstanding creditors'!$G1691</f>
        <v>118000</v>
      </c>
      <c r="I1691" s="2"/>
      <c r="J1691" s="1"/>
      <c r="K1691" s="2"/>
      <c r="L1691" s="5"/>
      <c r="M1691" s="9" t="s">
        <v>22</v>
      </c>
      <c r="N1691" s="9" t="s">
        <v>23</v>
      </c>
      <c r="O1691" s="10">
        <f>'data on outstanding creditors'!$E1691*100/107</f>
        <v>110280.3738</v>
      </c>
      <c r="P1691" s="10">
        <f>'data on outstanding creditors'!$E1691-'data on outstanding creditors'!$O1691</f>
        <v>7719.626168</v>
      </c>
      <c r="Q1691" s="7">
        <f>DAY('data on outstanding creditors'!$B1691)</f>
        <v>21</v>
      </c>
      <c r="R1691" s="7">
        <f>MONTH('data on outstanding creditors'!$B1691)</f>
        <v>10</v>
      </c>
      <c r="S1691" s="7">
        <f>YEAR('data on outstanding creditors'!$B1691)</f>
        <v>2025</v>
      </c>
      <c r="T1691" s="11" t="str">
        <f>'data on outstanding creditors'!$C1691&amp;" "&amp;'data on outstanding creditors'!$D1691&amp;" "&amp;TEXT('data on outstanding creditors'!$E1691,"#,##0.00")</f>
        <v>หจก.ภิญโญฟาร์มาซี IV6855453 118,000.00</v>
      </c>
      <c r="U1691" s="12"/>
    </row>
    <row r="1692" ht="13.5" customHeight="1">
      <c r="A1692" s="1"/>
      <c r="B1692" s="2">
        <v>45951.0</v>
      </c>
      <c r="C1692" s="9" t="s">
        <v>520</v>
      </c>
      <c r="D1692" s="1" t="s">
        <v>2236</v>
      </c>
      <c r="E1692" s="4">
        <v>170000.0</v>
      </c>
      <c r="F1692" s="4"/>
      <c r="G1692" s="4"/>
      <c r="H1692" s="4">
        <f>'data on outstanding creditors'!$E1692-'data on outstanding creditors'!$F1692-'data on outstanding creditors'!$G1692</f>
        <v>170000</v>
      </c>
      <c r="I1692" s="2"/>
      <c r="J1692" s="1"/>
      <c r="K1692" s="2"/>
      <c r="L1692" s="5"/>
      <c r="M1692" s="9" t="s">
        <v>22</v>
      </c>
      <c r="N1692" s="9" t="s">
        <v>23</v>
      </c>
      <c r="O1692" s="10">
        <f>'data on outstanding creditors'!$E1692*100/107</f>
        <v>158878.5047</v>
      </c>
      <c r="P1692" s="10">
        <f>'data on outstanding creditors'!$E1692-'data on outstanding creditors'!$O1692</f>
        <v>11121.49533</v>
      </c>
      <c r="Q1692" s="7">
        <f>DAY('data on outstanding creditors'!$B1692)</f>
        <v>21</v>
      </c>
      <c r="R1692" s="7">
        <f>MONTH('data on outstanding creditors'!$B1692)</f>
        <v>10</v>
      </c>
      <c r="S1692" s="7">
        <f>YEAR('data on outstanding creditors'!$B1692)</f>
        <v>2025</v>
      </c>
      <c r="T1692" s="11" t="str">
        <f>'data on outstanding creditors'!$C1692&amp;" "&amp;'data on outstanding creditors'!$D1692&amp;" "&amp;TEXT('data on outstanding creditors'!$E1692,"#,##0.00")</f>
        <v>บ.ซิลลิคฟาร์มา 1318473241 170,000.00</v>
      </c>
      <c r="U1692" s="12"/>
    </row>
    <row r="1693" ht="13.5" customHeight="1">
      <c r="A1693" s="1"/>
      <c r="B1693" s="2">
        <v>45951.0</v>
      </c>
      <c r="C1693" s="9" t="s">
        <v>520</v>
      </c>
      <c r="D1693" s="1" t="s">
        <v>2237</v>
      </c>
      <c r="E1693" s="4">
        <v>182970.0</v>
      </c>
      <c r="F1693" s="4"/>
      <c r="G1693" s="4"/>
      <c r="H1693" s="4">
        <f>'data on outstanding creditors'!$E1693-'data on outstanding creditors'!$F1693-'data on outstanding creditors'!$G1693</f>
        <v>182970</v>
      </c>
      <c r="I1693" s="2"/>
      <c r="J1693" s="1"/>
      <c r="K1693" s="2"/>
      <c r="L1693" s="5"/>
      <c r="M1693" s="9" t="s">
        <v>22</v>
      </c>
      <c r="N1693" s="9" t="s">
        <v>23</v>
      </c>
      <c r="O1693" s="10">
        <f>'data on outstanding creditors'!$E1693*100/107</f>
        <v>171000</v>
      </c>
      <c r="P1693" s="10">
        <f>'data on outstanding creditors'!$E1693-'data on outstanding creditors'!$O1693</f>
        <v>11970</v>
      </c>
      <c r="Q1693" s="7">
        <f>DAY('data on outstanding creditors'!$B1693)</f>
        <v>21</v>
      </c>
      <c r="R1693" s="7">
        <f>MONTH('data on outstanding creditors'!$B1693)</f>
        <v>10</v>
      </c>
      <c r="S1693" s="7">
        <f>YEAR('data on outstanding creditors'!$B1693)</f>
        <v>2025</v>
      </c>
      <c r="T1693" s="11" t="str">
        <f>'data on outstanding creditors'!$C1693&amp;" "&amp;'data on outstanding creditors'!$D1693&amp;" "&amp;TEXT('data on outstanding creditors'!$E1693,"#,##0.00")</f>
        <v>บ.ซิลลิคฟาร์มา 1318495112 182,970.00</v>
      </c>
      <c r="U1693" s="12"/>
    </row>
    <row r="1694" ht="13.5" customHeight="1">
      <c r="A1694" s="1"/>
      <c r="B1694" s="2">
        <v>45951.0</v>
      </c>
      <c r="C1694" s="9" t="s">
        <v>520</v>
      </c>
      <c r="D1694" s="1" t="s">
        <v>2238</v>
      </c>
      <c r="E1694" s="4">
        <v>164780.0</v>
      </c>
      <c r="F1694" s="4"/>
      <c r="G1694" s="4"/>
      <c r="H1694" s="4">
        <f>'data on outstanding creditors'!$E1694-'data on outstanding creditors'!$F1694-'data on outstanding creditors'!$G1694</f>
        <v>164780</v>
      </c>
      <c r="I1694" s="2"/>
      <c r="J1694" s="1"/>
      <c r="K1694" s="2"/>
      <c r="L1694" s="5"/>
      <c r="M1694" s="9" t="s">
        <v>22</v>
      </c>
      <c r="N1694" s="9" t="s">
        <v>23</v>
      </c>
      <c r="O1694" s="10">
        <f>'data on outstanding creditors'!$E1694*100/107</f>
        <v>154000</v>
      </c>
      <c r="P1694" s="10">
        <f>'data on outstanding creditors'!$E1694-'data on outstanding creditors'!$O1694</f>
        <v>10780</v>
      </c>
      <c r="Q1694" s="7">
        <f>DAY('data on outstanding creditors'!$B1694)</f>
        <v>21</v>
      </c>
      <c r="R1694" s="7">
        <f>MONTH('data on outstanding creditors'!$B1694)</f>
        <v>10</v>
      </c>
      <c r="S1694" s="7">
        <f>YEAR('data on outstanding creditors'!$B1694)</f>
        <v>2025</v>
      </c>
      <c r="T1694" s="11" t="str">
        <f>'data on outstanding creditors'!$C1694&amp;" "&amp;'data on outstanding creditors'!$D1694&amp;" "&amp;TEXT('data on outstanding creditors'!$E1694,"#,##0.00")</f>
        <v>บ.ซิลลิคฟาร์มา 1318476068 164,780.00</v>
      </c>
      <c r="U1694" s="12"/>
    </row>
    <row r="1695" ht="13.5" customHeight="1">
      <c r="A1695" s="1"/>
      <c r="B1695" s="2">
        <v>45951.0</v>
      </c>
      <c r="C1695" s="9" t="s">
        <v>1650</v>
      </c>
      <c r="D1695" s="1" t="s">
        <v>2239</v>
      </c>
      <c r="E1695" s="4">
        <v>115560.0</v>
      </c>
      <c r="F1695" s="4"/>
      <c r="G1695" s="4"/>
      <c r="H1695" s="4">
        <f>'data on outstanding creditors'!$E1695-'data on outstanding creditors'!$F1695-'data on outstanding creditors'!$G1695</f>
        <v>115560</v>
      </c>
      <c r="I1695" s="2"/>
      <c r="J1695" s="1"/>
      <c r="K1695" s="2"/>
      <c r="L1695" s="5"/>
      <c r="M1695" s="9" t="s">
        <v>22</v>
      </c>
      <c r="N1695" s="9" t="s">
        <v>23</v>
      </c>
      <c r="O1695" s="10">
        <f>'data on outstanding creditors'!$E1695*100/107</f>
        <v>108000</v>
      </c>
      <c r="P1695" s="10">
        <f>'data on outstanding creditors'!$E1695-'data on outstanding creditors'!$O1695</f>
        <v>7560</v>
      </c>
      <c r="Q1695" s="7">
        <f>DAY('data on outstanding creditors'!$B1695)</f>
        <v>21</v>
      </c>
      <c r="R1695" s="7">
        <f>MONTH('data on outstanding creditors'!$B1695)</f>
        <v>10</v>
      </c>
      <c r="S1695" s="7">
        <f>YEAR('data on outstanding creditors'!$B1695)</f>
        <v>2025</v>
      </c>
      <c r="T1695" s="11" t="str">
        <f>'data on outstanding creditors'!$C1695&amp;" "&amp;'data on outstanding creditors'!$D1695&amp;" "&amp;TEXT('data on outstanding creditors'!$E1695,"#,##0.00")</f>
        <v>บ.พีทูพีเฮลธ์แคร์ 7401211343 115,560.00</v>
      </c>
      <c r="U1695" s="12"/>
    </row>
    <row r="1696" ht="13.5" customHeight="1">
      <c r="A1696" s="1"/>
      <c r="B1696" s="2">
        <v>45959.0</v>
      </c>
      <c r="C1696" s="9" t="s">
        <v>920</v>
      </c>
      <c r="D1696" s="1" t="s">
        <v>2240</v>
      </c>
      <c r="E1696" s="4">
        <v>21000.0</v>
      </c>
      <c r="F1696" s="4"/>
      <c r="G1696" s="4"/>
      <c r="H1696" s="4">
        <f>'data on outstanding creditors'!$E1696-'data on outstanding creditors'!$F1696-'data on outstanding creditors'!$G1696</f>
        <v>21000</v>
      </c>
      <c r="I1696" s="2"/>
      <c r="J1696" s="1"/>
      <c r="K1696" s="2"/>
      <c r="L1696" s="5"/>
      <c r="M1696" s="9" t="s">
        <v>22</v>
      </c>
      <c r="N1696" s="9" t="s">
        <v>23</v>
      </c>
      <c r="O1696" s="10">
        <f>'data on outstanding creditors'!$E1696*100/107</f>
        <v>19626.16822</v>
      </c>
      <c r="P1696" s="10">
        <f>'data on outstanding creditors'!$E1696-'data on outstanding creditors'!$O1696</f>
        <v>1373.831776</v>
      </c>
      <c r="Q1696" s="7">
        <f>DAY('data on outstanding creditors'!$B1696)</f>
        <v>29</v>
      </c>
      <c r="R1696" s="7">
        <f>MONTH('data on outstanding creditors'!$B1696)</f>
        <v>10</v>
      </c>
      <c r="S1696" s="7">
        <f>YEAR('data on outstanding creditors'!$B1696)</f>
        <v>2025</v>
      </c>
      <c r="T1696" s="11" t="str">
        <f>'data on outstanding creditors'!$C1696&amp;" "&amp;'data on outstanding creditors'!$D1696&amp;" "&amp;TEXT('data on outstanding creditors'!$E1696,"#,##0.00")</f>
        <v>บ.โปลิฟาร์ม IVU-68045922 21,000.00</v>
      </c>
      <c r="U1696" s="12"/>
    </row>
    <row r="1697" ht="13.5" customHeight="1">
      <c r="A1697" s="1"/>
      <c r="B1697" s="2">
        <v>45959.0</v>
      </c>
      <c r="C1697" s="9" t="s">
        <v>1414</v>
      </c>
      <c r="D1697" s="1" t="s">
        <v>2241</v>
      </c>
      <c r="E1697" s="4">
        <v>37500.0</v>
      </c>
      <c r="F1697" s="4"/>
      <c r="G1697" s="4"/>
      <c r="H1697" s="4">
        <f>'data on outstanding creditors'!$E1697-'data on outstanding creditors'!$F1697-'data on outstanding creditors'!$G1697</f>
        <v>37500</v>
      </c>
      <c r="I1697" s="2"/>
      <c r="J1697" s="1"/>
      <c r="K1697" s="2"/>
      <c r="L1697" s="5"/>
      <c r="M1697" s="9" t="s">
        <v>22</v>
      </c>
      <c r="N1697" s="9" t="s">
        <v>23</v>
      </c>
      <c r="O1697" s="10">
        <f>'data on outstanding creditors'!$E1697*100/107</f>
        <v>35046.72897</v>
      </c>
      <c r="P1697" s="10">
        <f>'data on outstanding creditors'!$E1697-'data on outstanding creditors'!$O1697</f>
        <v>2453.271028</v>
      </c>
      <c r="Q1697" s="7">
        <f>DAY('data on outstanding creditors'!$B1697)</f>
        <v>29</v>
      </c>
      <c r="R1697" s="7">
        <f>MONTH('data on outstanding creditors'!$B1697)</f>
        <v>10</v>
      </c>
      <c r="S1697" s="7">
        <f>YEAR('data on outstanding creditors'!$B1697)</f>
        <v>2025</v>
      </c>
      <c r="T1697" s="11" t="str">
        <f>'data on outstanding creditors'!$C1697&amp;" "&amp;'data on outstanding creditors'!$D1697&amp;" "&amp;TEXT('data on outstanding creditors'!$E1697,"#,##0.00")</f>
        <v>บ.ฟาร์มีน่า 68389218 37,500.00</v>
      </c>
      <c r="U1697" s="12"/>
    </row>
    <row r="1698" ht="13.5" customHeight="1">
      <c r="A1698" s="1"/>
      <c r="B1698" s="2">
        <v>45959.0</v>
      </c>
      <c r="C1698" s="9" t="s">
        <v>1391</v>
      </c>
      <c r="D1698" s="1" t="s">
        <v>2242</v>
      </c>
      <c r="E1698" s="4">
        <v>22250.0</v>
      </c>
      <c r="F1698" s="4"/>
      <c r="G1698" s="4"/>
      <c r="H1698" s="4">
        <f>'data on outstanding creditors'!$E1698-'data on outstanding creditors'!$F1698-'data on outstanding creditors'!$G1698</f>
        <v>22250</v>
      </c>
      <c r="I1698" s="2"/>
      <c r="J1698" s="1"/>
      <c r="K1698" s="2"/>
      <c r="L1698" s="5"/>
      <c r="M1698" s="9" t="s">
        <v>22</v>
      </c>
      <c r="N1698" s="9" t="s">
        <v>23</v>
      </c>
      <c r="O1698" s="10">
        <f>'data on outstanding creditors'!$E1698*100/107</f>
        <v>20794.39252</v>
      </c>
      <c r="P1698" s="10">
        <f>'data on outstanding creditors'!$E1698-'data on outstanding creditors'!$O1698</f>
        <v>1455.607477</v>
      </c>
      <c r="Q1698" s="7">
        <f>DAY('data on outstanding creditors'!$B1698)</f>
        <v>29</v>
      </c>
      <c r="R1698" s="7">
        <f>MONTH('data on outstanding creditors'!$B1698)</f>
        <v>10</v>
      </c>
      <c r="S1698" s="7">
        <f>YEAR('data on outstanding creditors'!$B1698)</f>
        <v>2025</v>
      </c>
      <c r="T1698" s="11" t="str">
        <f>'data on outstanding creditors'!$C1698&amp;" "&amp;'data on outstanding creditors'!$D1698&amp;" "&amp;TEXT('data on outstanding creditors'!$E1698,"#,##0.00")</f>
        <v>บ.ที.พี.ดรัก แลบบอราทอรี่ส์ VIV125101380 22,250.00</v>
      </c>
      <c r="U1698" s="12"/>
    </row>
    <row r="1699" ht="13.5" customHeight="1">
      <c r="A1699" s="1"/>
      <c r="B1699" s="2">
        <v>45959.0</v>
      </c>
      <c r="C1699" s="9" t="s">
        <v>1245</v>
      </c>
      <c r="D1699" s="1" t="s">
        <v>2243</v>
      </c>
      <c r="E1699" s="4">
        <v>30000.0</v>
      </c>
      <c r="F1699" s="4"/>
      <c r="G1699" s="4"/>
      <c r="H1699" s="4">
        <f>'data on outstanding creditors'!$E1699-'data on outstanding creditors'!$F1699-'data on outstanding creditors'!$G1699</f>
        <v>30000</v>
      </c>
      <c r="I1699" s="2"/>
      <c r="J1699" s="1"/>
      <c r="K1699" s="2"/>
      <c r="L1699" s="5"/>
      <c r="M1699" s="9" t="s">
        <v>22</v>
      </c>
      <c r="N1699" s="9" t="s">
        <v>23</v>
      </c>
      <c r="O1699" s="10">
        <f>'data on outstanding creditors'!$E1699*100/107</f>
        <v>28037.38318</v>
      </c>
      <c r="P1699" s="10">
        <f>'data on outstanding creditors'!$E1699-'data on outstanding creditors'!$O1699</f>
        <v>1962.616822</v>
      </c>
      <c r="Q1699" s="7">
        <f>DAY('data on outstanding creditors'!$B1699)</f>
        <v>29</v>
      </c>
      <c r="R1699" s="7">
        <f>MONTH('data on outstanding creditors'!$B1699)</f>
        <v>10</v>
      </c>
      <c r="S1699" s="7">
        <f>YEAR('data on outstanding creditors'!$B1699)</f>
        <v>2025</v>
      </c>
      <c r="T1699" s="11" t="str">
        <f>'data on outstanding creditors'!$C1699&amp;" "&amp;'data on outstanding creditors'!$D1699&amp;" "&amp;TEXT('data on outstanding creditors'!$E1699,"#,##0.00")</f>
        <v>บ.สามัคคีเภสัช DM-251011944 30,000.00</v>
      </c>
      <c r="U1699" s="12"/>
    </row>
    <row r="1700" ht="13.5" customHeight="1">
      <c r="A1700" s="1"/>
      <c r="B1700" s="2">
        <v>45959.0</v>
      </c>
      <c r="C1700" s="9" t="s">
        <v>1330</v>
      </c>
      <c r="D1700" s="1" t="s">
        <v>2244</v>
      </c>
      <c r="E1700" s="4">
        <v>33000.0</v>
      </c>
      <c r="F1700" s="4"/>
      <c r="G1700" s="4"/>
      <c r="H1700" s="4">
        <f>'data on outstanding creditors'!$E1700-'data on outstanding creditors'!$F1700-'data on outstanding creditors'!$G1700</f>
        <v>33000</v>
      </c>
      <c r="I1700" s="2"/>
      <c r="J1700" s="1"/>
      <c r="K1700" s="2"/>
      <c r="L1700" s="5"/>
      <c r="M1700" s="9" t="s">
        <v>22</v>
      </c>
      <c r="N1700" s="9" t="s">
        <v>23</v>
      </c>
      <c r="O1700" s="10">
        <f>'data on outstanding creditors'!$E1700*100/107</f>
        <v>30841.1215</v>
      </c>
      <c r="P1700" s="10">
        <f>'data on outstanding creditors'!$E1700-'data on outstanding creditors'!$O1700</f>
        <v>2158.878505</v>
      </c>
      <c r="Q1700" s="7">
        <f>DAY('data on outstanding creditors'!$B1700)</f>
        <v>29</v>
      </c>
      <c r="R1700" s="7">
        <f>MONTH('data on outstanding creditors'!$B1700)</f>
        <v>10</v>
      </c>
      <c r="S1700" s="7">
        <f>YEAR('data on outstanding creditors'!$B1700)</f>
        <v>2025</v>
      </c>
      <c r="T1700" s="11" t="str">
        <f>'data on outstanding creditors'!$C1700&amp;" "&amp;'data on outstanding creditors'!$D1700&amp;" "&amp;TEXT('data on outstanding creditors'!$E1700,"#,##0.00")</f>
        <v>บ.ชุมชนเภสัชกรรม IV681002592 33,000.00</v>
      </c>
      <c r="U1700" s="12"/>
    </row>
    <row r="1701" ht="13.5" customHeight="1">
      <c r="A1701" s="1"/>
      <c r="B1701" s="2">
        <v>45959.0</v>
      </c>
      <c r="C1701" s="9" t="s">
        <v>1349</v>
      </c>
      <c r="D1701" s="1" t="s">
        <v>2245</v>
      </c>
      <c r="E1701" s="4">
        <v>27600.0</v>
      </c>
      <c r="F1701" s="4"/>
      <c r="G1701" s="4"/>
      <c r="H1701" s="4">
        <f>'data on outstanding creditors'!$E1701-'data on outstanding creditors'!$F1701-'data on outstanding creditors'!$G1701</f>
        <v>27600</v>
      </c>
      <c r="I1701" s="2"/>
      <c r="J1701" s="1"/>
      <c r="K1701" s="2"/>
      <c r="L1701" s="5"/>
      <c r="M1701" s="9" t="s">
        <v>22</v>
      </c>
      <c r="N1701" s="9" t="s">
        <v>23</v>
      </c>
      <c r="O1701" s="10">
        <f>'data on outstanding creditors'!$E1701*100/107</f>
        <v>25794.39252</v>
      </c>
      <c r="P1701" s="10">
        <f>'data on outstanding creditors'!$E1701-'data on outstanding creditors'!$O1701</f>
        <v>1805.607477</v>
      </c>
      <c r="Q1701" s="7">
        <f>DAY('data on outstanding creditors'!$B1701)</f>
        <v>29</v>
      </c>
      <c r="R1701" s="7">
        <f>MONTH('data on outstanding creditors'!$B1701)</f>
        <v>10</v>
      </c>
      <c r="S1701" s="7">
        <f>YEAR('data on outstanding creditors'!$B1701)</f>
        <v>2025</v>
      </c>
      <c r="T1701" s="11" t="str">
        <f>'data on outstanding creditors'!$C1701&amp;" "&amp;'data on outstanding creditors'!$D1701&amp;" "&amp;TEXT('data on outstanding creditors'!$E1701,"#,##0.00")</f>
        <v>บ.ฟาร์มาดิกา DIS251017-095 27,600.00</v>
      </c>
      <c r="U1701" s="12"/>
    </row>
    <row r="1702" ht="13.5" customHeight="1">
      <c r="A1702" s="1"/>
      <c r="B1702" s="2">
        <v>45959.0</v>
      </c>
      <c r="C1702" s="9" t="s">
        <v>1386</v>
      </c>
      <c r="D1702" s="1" t="s">
        <v>2246</v>
      </c>
      <c r="E1702" s="4">
        <v>11400.0</v>
      </c>
      <c r="F1702" s="4"/>
      <c r="G1702" s="4"/>
      <c r="H1702" s="4">
        <f>'data on outstanding creditors'!$E1702-'data on outstanding creditors'!$F1702-'data on outstanding creditors'!$G1702</f>
        <v>11400</v>
      </c>
      <c r="I1702" s="2"/>
      <c r="J1702" s="1"/>
      <c r="K1702" s="2"/>
      <c r="L1702" s="5"/>
      <c r="M1702" s="9" t="s">
        <v>22</v>
      </c>
      <c r="N1702" s="9" t="s">
        <v>23</v>
      </c>
      <c r="O1702" s="10">
        <f>'data on outstanding creditors'!$E1702*100/107</f>
        <v>10654.20561</v>
      </c>
      <c r="P1702" s="10">
        <f>'data on outstanding creditors'!$E1702-'data on outstanding creditors'!$O1702</f>
        <v>745.7943925</v>
      </c>
      <c r="Q1702" s="7">
        <f>DAY('data on outstanding creditors'!$B1702)</f>
        <v>29</v>
      </c>
      <c r="R1702" s="7">
        <f>MONTH('data on outstanding creditors'!$B1702)</f>
        <v>10</v>
      </c>
      <c r="S1702" s="7">
        <f>YEAR('data on outstanding creditors'!$B1702)</f>
        <v>2025</v>
      </c>
      <c r="T1702" s="11" t="str">
        <f>'data on outstanding creditors'!$C1702&amp;" "&amp;'data on outstanding creditors'!$D1702&amp;" "&amp;TEXT('data on outstanding creditors'!$E1702,"#,##0.00")</f>
        <v>บ.ฟาร์ม่า อินโนวา 6805887 11,400.00</v>
      </c>
      <c r="U1702" s="12"/>
    </row>
    <row r="1703" ht="13.5" customHeight="1">
      <c r="A1703" s="1"/>
      <c r="B1703" s="2">
        <v>45959.0</v>
      </c>
      <c r="C1703" s="9" t="s">
        <v>256</v>
      </c>
      <c r="D1703" s="1" t="s">
        <v>2247</v>
      </c>
      <c r="E1703" s="4">
        <v>72000.0</v>
      </c>
      <c r="F1703" s="4"/>
      <c r="G1703" s="4"/>
      <c r="H1703" s="4">
        <f>'data on outstanding creditors'!$E1703-'data on outstanding creditors'!$F1703-'data on outstanding creditors'!$G1703</f>
        <v>72000</v>
      </c>
      <c r="I1703" s="2"/>
      <c r="J1703" s="1"/>
      <c r="K1703" s="2"/>
      <c r="L1703" s="5"/>
      <c r="M1703" s="9" t="s">
        <v>22</v>
      </c>
      <c r="N1703" s="9" t="s">
        <v>23</v>
      </c>
      <c r="O1703" s="10">
        <f>'data on outstanding creditors'!$E1703*100/107</f>
        <v>67289.71963</v>
      </c>
      <c r="P1703" s="10">
        <f>'data on outstanding creditors'!$E1703-'data on outstanding creditors'!$O1703</f>
        <v>4710.280374</v>
      </c>
      <c r="Q1703" s="7">
        <f>DAY('data on outstanding creditors'!$B1703)</f>
        <v>29</v>
      </c>
      <c r="R1703" s="7">
        <f>MONTH('data on outstanding creditors'!$B1703)</f>
        <v>10</v>
      </c>
      <c r="S1703" s="7">
        <f>YEAR('data on outstanding creditors'!$B1703)</f>
        <v>2025</v>
      </c>
      <c r="T1703" s="11" t="str">
        <f>'data on outstanding creditors'!$C1703&amp;" "&amp;'data on outstanding creditors'!$D1703&amp;" "&amp;TEXT('data on outstanding creditors'!$E1703,"#,##0.00")</f>
        <v>บ.พาตาร์แลบ(2517) INV125101895 72,000.00</v>
      </c>
      <c r="U1703" s="12"/>
    </row>
    <row r="1704" ht="13.5" customHeight="1">
      <c r="A1704" s="1"/>
      <c r="B1704" s="2">
        <v>45960.0</v>
      </c>
      <c r="C1704" s="9" t="s">
        <v>813</v>
      </c>
      <c r="D1704" s="1" t="s">
        <v>2248</v>
      </c>
      <c r="E1704" s="4">
        <v>5500.0</v>
      </c>
      <c r="F1704" s="4"/>
      <c r="G1704" s="4"/>
      <c r="H1704" s="4">
        <f>'data on outstanding creditors'!$E1704-'data on outstanding creditors'!$F1704-'data on outstanding creditors'!$G1704</f>
        <v>5500</v>
      </c>
      <c r="I1704" s="2"/>
      <c r="J1704" s="1"/>
      <c r="K1704" s="2"/>
      <c r="L1704" s="5"/>
      <c r="M1704" s="9" t="s">
        <v>22</v>
      </c>
      <c r="N1704" s="9" t="s">
        <v>23</v>
      </c>
      <c r="O1704" s="10">
        <f>'data on outstanding creditors'!$E1704*100/107</f>
        <v>5140.186916</v>
      </c>
      <c r="P1704" s="10">
        <f>'data on outstanding creditors'!$E1704-'data on outstanding creditors'!$O1704</f>
        <v>359.8130841</v>
      </c>
      <c r="Q1704" s="7">
        <f>DAY('data on outstanding creditors'!$B1704)</f>
        <v>30</v>
      </c>
      <c r="R1704" s="7">
        <f>MONTH('data on outstanding creditors'!$B1704)</f>
        <v>10</v>
      </c>
      <c r="S1704" s="7">
        <f>YEAR('data on outstanding creditors'!$B1704)</f>
        <v>2025</v>
      </c>
      <c r="T1704" s="11" t="str">
        <f>'data on outstanding creditors'!$C1704&amp;" "&amp;'data on outstanding creditors'!$D1704&amp;" "&amp;TEXT('data on outstanding creditors'!$E1704,"#,##0.00")</f>
        <v>บ.ที.แมน ฟาร์มาซูติคอล IST250167544 5,500.00</v>
      </c>
      <c r="U1704" s="12"/>
    </row>
    <row r="1705" ht="13.5" customHeight="1">
      <c r="A1705" s="1"/>
      <c r="B1705" s="2">
        <v>45960.0</v>
      </c>
      <c r="C1705" s="9" t="s">
        <v>1320</v>
      </c>
      <c r="D1705" s="1" t="s">
        <v>2249</v>
      </c>
      <c r="E1705" s="4">
        <v>63879.0</v>
      </c>
      <c r="F1705" s="4"/>
      <c r="G1705" s="4"/>
      <c r="H1705" s="4">
        <f>'data on outstanding creditors'!$E1705-'data on outstanding creditors'!$F1705-'data on outstanding creditors'!$G1705</f>
        <v>63879</v>
      </c>
      <c r="I1705" s="2"/>
      <c r="J1705" s="1"/>
      <c r="K1705" s="2"/>
      <c r="L1705" s="5"/>
      <c r="M1705" s="9" t="s">
        <v>22</v>
      </c>
      <c r="N1705" s="9" t="s">
        <v>23</v>
      </c>
      <c r="O1705" s="10">
        <f>'data on outstanding creditors'!$E1705*100/107</f>
        <v>59700</v>
      </c>
      <c r="P1705" s="10">
        <f>'data on outstanding creditors'!$E1705-'data on outstanding creditors'!$O1705</f>
        <v>4179</v>
      </c>
      <c r="Q1705" s="7">
        <f>DAY('data on outstanding creditors'!$B1705)</f>
        <v>30</v>
      </c>
      <c r="R1705" s="7">
        <f>MONTH('data on outstanding creditors'!$B1705)</f>
        <v>10</v>
      </c>
      <c r="S1705" s="7">
        <f>YEAR('data on outstanding creditors'!$B1705)</f>
        <v>2025</v>
      </c>
      <c r="T1705" s="11" t="str">
        <f>'data on outstanding creditors'!$C1705&amp;" "&amp;'data on outstanding creditors'!$D1705&amp;" "&amp;TEXT('data on outstanding creditors'!$E1705,"#,##0.00")</f>
        <v>บ.บี.เอ็ล.ฮั้ว 68034587 63,879.00</v>
      </c>
      <c r="U1705" s="12"/>
    </row>
    <row r="1706" ht="13.5" customHeight="1">
      <c r="A1706" s="1"/>
      <c r="B1706" s="2">
        <v>45960.0</v>
      </c>
      <c r="C1706" s="9" t="s">
        <v>1440</v>
      </c>
      <c r="D1706" s="1" t="s">
        <v>2250</v>
      </c>
      <c r="E1706" s="4">
        <v>10000.0</v>
      </c>
      <c r="F1706" s="4"/>
      <c r="G1706" s="4"/>
      <c r="H1706" s="4">
        <f>'data on outstanding creditors'!$E1706-'data on outstanding creditors'!$F1706-'data on outstanding creditors'!$G1706</f>
        <v>10000</v>
      </c>
      <c r="I1706" s="2"/>
      <c r="J1706" s="1"/>
      <c r="K1706" s="2"/>
      <c r="L1706" s="5"/>
      <c r="M1706" s="9" t="s">
        <v>22</v>
      </c>
      <c r="N1706" s="9" t="s">
        <v>23</v>
      </c>
      <c r="O1706" s="10">
        <f>'data on outstanding creditors'!$E1706*100/107</f>
        <v>9345.794393</v>
      </c>
      <c r="P1706" s="10">
        <f>'data on outstanding creditors'!$E1706-'data on outstanding creditors'!$O1706</f>
        <v>654.2056075</v>
      </c>
      <c r="Q1706" s="7">
        <f>DAY('data on outstanding creditors'!$B1706)</f>
        <v>30</v>
      </c>
      <c r="R1706" s="7">
        <f>MONTH('data on outstanding creditors'!$B1706)</f>
        <v>10</v>
      </c>
      <c r="S1706" s="7">
        <f>YEAR('data on outstanding creditors'!$B1706)</f>
        <v>2025</v>
      </c>
      <c r="T1706" s="11" t="str">
        <f>'data on outstanding creditors'!$C1706&amp;" "&amp;'data on outstanding creditors'!$D1706&amp;" "&amp;TEXT('data on outstanding creditors'!$E1706,"#,##0.00")</f>
        <v>บ.เวสโก ฟาร์มาซูติคอล IN681001130 10,000.00</v>
      </c>
      <c r="U1706" s="12"/>
    </row>
    <row r="1707" ht="13.5" customHeight="1">
      <c r="A1707" s="1"/>
      <c r="B1707" s="2">
        <v>45960.0</v>
      </c>
      <c r="C1707" s="9" t="s">
        <v>520</v>
      </c>
      <c r="D1707" s="1" t="s">
        <v>2251</v>
      </c>
      <c r="E1707" s="4">
        <v>12000.0</v>
      </c>
      <c r="F1707" s="4"/>
      <c r="G1707" s="4"/>
      <c r="H1707" s="4">
        <f>'data on outstanding creditors'!$E1707-'data on outstanding creditors'!$F1707-'data on outstanding creditors'!$G1707</f>
        <v>12000</v>
      </c>
      <c r="I1707" s="2"/>
      <c r="J1707" s="1"/>
      <c r="K1707" s="2"/>
      <c r="L1707" s="5"/>
      <c r="M1707" s="9" t="s">
        <v>22</v>
      </c>
      <c r="N1707" s="9" t="s">
        <v>23</v>
      </c>
      <c r="O1707" s="10">
        <f>'data on outstanding creditors'!$E1707*100/107</f>
        <v>11214.95327</v>
      </c>
      <c r="P1707" s="10">
        <f>'data on outstanding creditors'!$E1707-'data on outstanding creditors'!$O1707</f>
        <v>785.046729</v>
      </c>
      <c r="Q1707" s="7">
        <f>DAY('data on outstanding creditors'!$B1707)</f>
        <v>30</v>
      </c>
      <c r="R1707" s="7">
        <f>MONTH('data on outstanding creditors'!$B1707)</f>
        <v>10</v>
      </c>
      <c r="S1707" s="7">
        <f>YEAR('data on outstanding creditors'!$B1707)</f>
        <v>2025</v>
      </c>
      <c r="T1707" s="11" t="str">
        <f>'data on outstanding creditors'!$C1707&amp;" "&amp;'data on outstanding creditors'!$D1707&amp;" "&amp;TEXT('data on outstanding creditors'!$E1707,"#,##0.00")</f>
        <v>บ.ซิลลิคฟาร์มา 1318528234 12,000.00</v>
      </c>
      <c r="U1707" s="12"/>
    </row>
    <row r="1708" ht="13.5" customHeight="1">
      <c r="A1708" s="1"/>
      <c r="B1708" s="2">
        <v>45960.0</v>
      </c>
      <c r="C1708" s="9" t="s">
        <v>520</v>
      </c>
      <c r="D1708" s="1" t="s">
        <v>2252</v>
      </c>
      <c r="E1708" s="4">
        <v>59920.0</v>
      </c>
      <c r="F1708" s="4"/>
      <c r="G1708" s="4"/>
      <c r="H1708" s="4">
        <f>'data on outstanding creditors'!$E1708-'data on outstanding creditors'!$F1708-'data on outstanding creditors'!$G1708</f>
        <v>59920</v>
      </c>
      <c r="I1708" s="2"/>
      <c r="J1708" s="1"/>
      <c r="K1708" s="2"/>
      <c r="L1708" s="5"/>
      <c r="M1708" s="9" t="s">
        <v>22</v>
      </c>
      <c r="N1708" s="9" t="s">
        <v>23</v>
      </c>
      <c r="O1708" s="10">
        <f>'data on outstanding creditors'!$E1708*100/107</f>
        <v>56000</v>
      </c>
      <c r="P1708" s="10">
        <f>'data on outstanding creditors'!$E1708-'data on outstanding creditors'!$O1708</f>
        <v>3920</v>
      </c>
      <c r="Q1708" s="7">
        <f>DAY('data on outstanding creditors'!$B1708)</f>
        <v>30</v>
      </c>
      <c r="R1708" s="7">
        <f>MONTH('data on outstanding creditors'!$B1708)</f>
        <v>10</v>
      </c>
      <c r="S1708" s="7">
        <f>YEAR('data on outstanding creditors'!$B1708)</f>
        <v>2025</v>
      </c>
      <c r="T1708" s="11" t="str">
        <f>'data on outstanding creditors'!$C1708&amp;" "&amp;'data on outstanding creditors'!$D1708&amp;" "&amp;TEXT('data on outstanding creditors'!$E1708,"#,##0.00")</f>
        <v>บ.ซิลลิคฟาร์มา 1318506785 59,920.00</v>
      </c>
      <c r="U1708" s="12"/>
    </row>
    <row r="1709" ht="13.5" customHeight="1">
      <c r="A1709" s="1"/>
      <c r="B1709" s="2">
        <v>45960.0</v>
      </c>
      <c r="C1709" s="9" t="s">
        <v>767</v>
      </c>
      <c r="D1709" s="1" t="s">
        <v>2253</v>
      </c>
      <c r="E1709" s="4">
        <v>70000.0</v>
      </c>
      <c r="F1709" s="4"/>
      <c r="G1709" s="4"/>
      <c r="H1709" s="4">
        <f>'data on outstanding creditors'!$E1709-'data on outstanding creditors'!$F1709-'data on outstanding creditors'!$G1709</f>
        <v>70000</v>
      </c>
      <c r="I1709" s="2"/>
      <c r="J1709" s="1"/>
      <c r="K1709" s="2"/>
      <c r="L1709" s="5"/>
      <c r="M1709" s="9" t="s">
        <v>22</v>
      </c>
      <c r="N1709" s="9" t="s">
        <v>23</v>
      </c>
      <c r="O1709" s="10">
        <f>'data on outstanding creditors'!$E1709*100/107</f>
        <v>65420.56075</v>
      </c>
      <c r="P1709" s="10">
        <f>'data on outstanding creditors'!$E1709-'data on outstanding creditors'!$O1709</f>
        <v>4579.439252</v>
      </c>
      <c r="Q1709" s="7">
        <f>DAY('data on outstanding creditors'!$B1709)</f>
        <v>30</v>
      </c>
      <c r="R1709" s="7">
        <f>MONTH('data on outstanding creditors'!$B1709)</f>
        <v>10</v>
      </c>
      <c r="S1709" s="7">
        <f>YEAR('data on outstanding creditors'!$B1709)</f>
        <v>2025</v>
      </c>
      <c r="T1709" s="11" t="str">
        <f>'data on outstanding creditors'!$C1709&amp;" "&amp;'data on outstanding creditors'!$D1709&amp;" "&amp;TEXT('data on outstanding creditors'!$E1709,"#,##0.00")</f>
        <v>บ.คอสม่า เทรดดิ้ง 311057402736 70,000.00</v>
      </c>
      <c r="U1709" s="12"/>
    </row>
    <row r="1710" ht="13.5" customHeight="1">
      <c r="A1710" s="1"/>
      <c r="B1710" s="2">
        <v>45960.0</v>
      </c>
      <c r="C1710" s="9" t="s">
        <v>399</v>
      </c>
      <c r="D1710" s="1" t="s">
        <v>2254</v>
      </c>
      <c r="E1710" s="4">
        <v>80250.0</v>
      </c>
      <c r="F1710" s="4"/>
      <c r="G1710" s="4"/>
      <c r="H1710" s="4">
        <f>'data on outstanding creditors'!$E1710-'data on outstanding creditors'!$F1710-'data on outstanding creditors'!$G1710</f>
        <v>80250</v>
      </c>
      <c r="I1710" s="2"/>
      <c r="J1710" s="1"/>
      <c r="K1710" s="2"/>
      <c r="L1710" s="5"/>
      <c r="M1710" s="9" t="s">
        <v>22</v>
      </c>
      <c r="N1710" s="9" t="s">
        <v>23</v>
      </c>
      <c r="O1710" s="10">
        <f>'data on outstanding creditors'!$E1710*100/107</f>
        <v>75000</v>
      </c>
      <c r="P1710" s="10">
        <f>'data on outstanding creditors'!$E1710-'data on outstanding creditors'!$O1710</f>
        <v>5250</v>
      </c>
      <c r="Q1710" s="7">
        <f>DAY('data on outstanding creditors'!$B1710)</f>
        <v>30</v>
      </c>
      <c r="R1710" s="7">
        <f>MONTH('data on outstanding creditors'!$B1710)</f>
        <v>10</v>
      </c>
      <c r="S1710" s="7">
        <f>YEAR('data on outstanding creditors'!$B1710)</f>
        <v>2025</v>
      </c>
      <c r="T1710" s="11" t="str">
        <f>'data on outstanding creditors'!$C1710&amp;" "&amp;'data on outstanding creditors'!$D1710&amp;" "&amp;TEXT('data on outstanding creditors'!$E1710,"#,##0.00")</f>
        <v>บ.ดีเคเอสเอช(ประเทศไทย) 5344583858 80,250.00</v>
      </c>
      <c r="U1710" s="12"/>
    </row>
    <row r="1711" ht="13.5" customHeight="1">
      <c r="A1711" s="1"/>
      <c r="B1711" s="2">
        <v>45960.0</v>
      </c>
      <c r="C1711" s="9" t="s">
        <v>922</v>
      </c>
      <c r="D1711" s="1" t="s">
        <v>2255</v>
      </c>
      <c r="E1711" s="4">
        <v>31200.0</v>
      </c>
      <c r="F1711" s="4"/>
      <c r="G1711" s="4"/>
      <c r="H1711" s="4">
        <f>'data on outstanding creditors'!$E1711-'data on outstanding creditors'!$F1711-'data on outstanding creditors'!$G1711</f>
        <v>31200</v>
      </c>
      <c r="I1711" s="2"/>
      <c r="J1711" s="1"/>
      <c r="K1711" s="2"/>
      <c r="L1711" s="5"/>
      <c r="M1711" s="9" t="s">
        <v>22</v>
      </c>
      <c r="N1711" s="9" t="s">
        <v>23</v>
      </c>
      <c r="O1711" s="10">
        <f>'data on outstanding creditors'!$E1711*100/107</f>
        <v>29158.8785</v>
      </c>
      <c r="P1711" s="10">
        <f>'data on outstanding creditors'!$E1711-'data on outstanding creditors'!$O1711</f>
        <v>2041.121495</v>
      </c>
      <c r="Q1711" s="7">
        <f>DAY('data on outstanding creditors'!$B1711)</f>
        <v>30</v>
      </c>
      <c r="R1711" s="7">
        <f>MONTH('data on outstanding creditors'!$B1711)</f>
        <v>10</v>
      </c>
      <c r="S1711" s="7">
        <f>YEAR('data on outstanding creditors'!$B1711)</f>
        <v>2025</v>
      </c>
      <c r="T1711" s="11" t="str">
        <f>'data on outstanding creditors'!$C1711&amp;" "&amp;'data on outstanding creditors'!$D1711&amp;" "&amp;TEXT('data on outstanding creditors'!$E1711,"#,##0.00")</f>
        <v>บ.เบอร์ลินฟาร์มาซูติคอลอินดัสตรี้ 6811009177 31,200.00</v>
      </c>
      <c r="U1711" s="12"/>
    </row>
    <row r="1712" ht="13.5" customHeight="1">
      <c r="A1712" s="1"/>
      <c r="B1712" s="2">
        <v>45960.0</v>
      </c>
      <c r="C1712" s="9" t="s">
        <v>541</v>
      </c>
      <c r="D1712" s="1" t="s">
        <v>2256</v>
      </c>
      <c r="E1712" s="4">
        <v>30495.0</v>
      </c>
      <c r="F1712" s="4"/>
      <c r="G1712" s="4"/>
      <c r="H1712" s="4">
        <f>'data on outstanding creditors'!$E1712-'data on outstanding creditors'!$F1712-'data on outstanding creditors'!$G1712</f>
        <v>30495</v>
      </c>
      <c r="I1712" s="2"/>
      <c r="J1712" s="1"/>
      <c r="K1712" s="2"/>
      <c r="L1712" s="5"/>
      <c r="M1712" s="9" t="s">
        <v>22</v>
      </c>
      <c r="N1712" s="9" t="s">
        <v>23</v>
      </c>
      <c r="O1712" s="10">
        <f>'data on outstanding creditors'!$E1712*100/107</f>
        <v>28500</v>
      </c>
      <c r="P1712" s="10">
        <f>'data on outstanding creditors'!$E1712-'data on outstanding creditors'!$O1712</f>
        <v>1995</v>
      </c>
      <c r="Q1712" s="7">
        <f>DAY('data on outstanding creditors'!$B1712)</f>
        <v>30</v>
      </c>
      <c r="R1712" s="7">
        <f>MONTH('data on outstanding creditors'!$B1712)</f>
        <v>10</v>
      </c>
      <c r="S1712" s="7">
        <f>YEAR('data on outstanding creditors'!$B1712)</f>
        <v>2025</v>
      </c>
      <c r="T1712" s="11" t="str">
        <f>'data on outstanding creditors'!$C1712&amp;" "&amp;'data on outstanding creditors'!$D1712&amp;" "&amp;TEXT('data on outstanding creditors'!$E1712,"#,##0.00")</f>
        <v>บ.ดีทแฮล์ม เคลเลอร์ โลจิสติกส์ 5449333683 30,495.00</v>
      </c>
      <c r="U1712" s="12"/>
    </row>
    <row r="1713" ht="13.5" customHeight="1">
      <c r="A1713" s="1"/>
      <c r="B1713" s="2">
        <v>45960.0</v>
      </c>
      <c r="C1713" s="9" t="s">
        <v>1619</v>
      </c>
      <c r="D1713" s="1" t="s">
        <v>2257</v>
      </c>
      <c r="E1713" s="4">
        <v>24900.0</v>
      </c>
      <c r="F1713" s="4"/>
      <c r="G1713" s="4"/>
      <c r="H1713" s="4">
        <f>'data on outstanding creditors'!$E1713-'data on outstanding creditors'!$F1713-'data on outstanding creditors'!$G1713</f>
        <v>24900</v>
      </c>
      <c r="I1713" s="2"/>
      <c r="J1713" s="1"/>
      <c r="K1713" s="2"/>
      <c r="L1713" s="5"/>
      <c r="M1713" s="9" t="s">
        <v>22</v>
      </c>
      <c r="N1713" s="9" t="s">
        <v>23</v>
      </c>
      <c r="O1713" s="10">
        <f>'data on outstanding creditors'!$E1713*100/107</f>
        <v>23271.02804</v>
      </c>
      <c r="P1713" s="10">
        <f>'data on outstanding creditors'!$E1713-'data on outstanding creditors'!$O1713</f>
        <v>1628.971963</v>
      </c>
      <c r="Q1713" s="7">
        <f>DAY('data on outstanding creditors'!$B1713)</f>
        <v>30</v>
      </c>
      <c r="R1713" s="7">
        <f>MONTH('data on outstanding creditors'!$B1713)</f>
        <v>10</v>
      </c>
      <c r="S1713" s="7">
        <f>YEAR('data on outstanding creditors'!$B1713)</f>
        <v>2025</v>
      </c>
      <c r="T1713" s="11" t="str">
        <f>'data on outstanding creditors'!$C1713&amp;" "&amp;'data on outstanding creditors'!$D1713&amp;" "&amp;TEXT('data on outstanding creditors'!$E1713,"#,##0.00")</f>
        <v>บ.พีเอ็มแอล พลัส MIS251021-081 24,900.00</v>
      </c>
      <c r="U1713" s="12"/>
    </row>
    <row r="1714" ht="13.5" customHeight="1">
      <c r="A1714" s="1"/>
      <c r="B1714" s="2">
        <v>45960.0</v>
      </c>
      <c r="C1714" s="9" t="s">
        <v>771</v>
      </c>
      <c r="D1714" s="1" t="s">
        <v>2258</v>
      </c>
      <c r="E1714" s="4">
        <v>16700.0</v>
      </c>
      <c r="F1714" s="4"/>
      <c r="G1714" s="4"/>
      <c r="H1714" s="4">
        <f>'data on outstanding creditors'!$E1714-'data on outstanding creditors'!$F1714-'data on outstanding creditors'!$G1714</f>
        <v>16700</v>
      </c>
      <c r="I1714" s="2"/>
      <c r="J1714" s="1"/>
      <c r="K1714" s="2"/>
      <c r="L1714" s="5"/>
      <c r="M1714" s="9" t="s">
        <v>22</v>
      </c>
      <c r="N1714" s="9" t="s">
        <v>23</v>
      </c>
      <c r="O1714" s="10">
        <f>'data on outstanding creditors'!$E1714*100/107</f>
        <v>15607.47664</v>
      </c>
      <c r="P1714" s="10">
        <f>'data on outstanding creditors'!$E1714-'data on outstanding creditors'!$O1714</f>
        <v>1092.523364</v>
      </c>
      <c r="Q1714" s="7">
        <f>DAY('data on outstanding creditors'!$B1714)</f>
        <v>30</v>
      </c>
      <c r="R1714" s="7">
        <f>MONTH('data on outstanding creditors'!$B1714)</f>
        <v>10</v>
      </c>
      <c r="S1714" s="7">
        <f>YEAR('data on outstanding creditors'!$B1714)</f>
        <v>2025</v>
      </c>
      <c r="T1714" s="11" t="str">
        <f>'data on outstanding creditors'!$C1714&amp;" "&amp;'data on outstanding creditors'!$D1714&amp;" "&amp;TEXT('data on outstanding creditors'!$E1714,"#,##0.00")</f>
        <v>หจก.ภิญโญฟาร์มาซี IV6855801 16,700.00</v>
      </c>
      <c r="U1714" s="12"/>
    </row>
    <row r="1715" ht="13.5" customHeight="1">
      <c r="A1715" s="1"/>
      <c r="B1715" s="2">
        <v>45960.0</v>
      </c>
      <c r="C1715" s="9" t="s">
        <v>1497</v>
      </c>
      <c r="D1715" s="1" t="s">
        <v>2259</v>
      </c>
      <c r="E1715" s="4">
        <v>13963.5</v>
      </c>
      <c r="F1715" s="4"/>
      <c r="G1715" s="4"/>
      <c r="H1715" s="4">
        <f>'data on outstanding creditors'!$E1715-'data on outstanding creditors'!$F1715-'data on outstanding creditors'!$G1715</f>
        <v>13963.5</v>
      </c>
      <c r="I1715" s="2"/>
      <c r="J1715" s="1"/>
      <c r="K1715" s="2"/>
      <c r="L1715" s="5"/>
      <c r="M1715" s="9" t="s">
        <v>22</v>
      </c>
      <c r="N1715" s="9" t="s">
        <v>23</v>
      </c>
      <c r="O1715" s="10">
        <f>'data on outstanding creditors'!$E1715*100/107</f>
        <v>13050</v>
      </c>
      <c r="P1715" s="10">
        <f>'data on outstanding creditors'!$E1715-'data on outstanding creditors'!$O1715</f>
        <v>913.5</v>
      </c>
      <c r="Q1715" s="7">
        <f>DAY('data on outstanding creditors'!$B1715)</f>
        <v>30</v>
      </c>
      <c r="R1715" s="7">
        <f>MONTH('data on outstanding creditors'!$B1715)</f>
        <v>10</v>
      </c>
      <c r="S1715" s="7">
        <f>YEAR('data on outstanding creditors'!$B1715)</f>
        <v>2025</v>
      </c>
      <c r="T1715" s="11" t="str">
        <f>'data on outstanding creditors'!$C1715&amp;" "&amp;'data on outstanding creditors'!$D1715&amp;" "&amp;TEXT('data on outstanding creditors'!$E1715,"#,##0.00")</f>
        <v>บ.อินโดไชน่า เฮลท์ แคร์ SIN2510-00424 13,963.50</v>
      </c>
      <c r="U1715" s="12"/>
    </row>
    <row r="1716" ht="13.5" customHeight="1">
      <c r="A1716" s="1"/>
      <c r="B1716" s="2">
        <v>45960.0</v>
      </c>
      <c r="C1716" s="9" t="s">
        <v>929</v>
      </c>
      <c r="D1716" s="1" t="s">
        <v>2260</v>
      </c>
      <c r="E1716" s="4">
        <v>6800.0</v>
      </c>
      <c r="F1716" s="4"/>
      <c r="G1716" s="4"/>
      <c r="H1716" s="4">
        <f>'data on outstanding creditors'!$E1716-'data on outstanding creditors'!$F1716-'data on outstanding creditors'!$G1716</f>
        <v>6800</v>
      </c>
      <c r="I1716" s="2"/>
      <c r="J1716" s="1"/>
      <c r="K1716" s="2"/>
      <c r="L1716" s="5"/>
      <c r="M1716" s="9" t="s">
        <v>22</v>
      </c>
      <c r="N1716" s="9" t="s">
        <v>23</v>
      </c>
      <c r="O1716" s="10">
        <f>'data on outstanding creditors'!$E1716*100/107</f>
        <v>6355.140187</v>
      </c>
      <c r="P1716" s="10">
        <f>'data on outstanding creditors'!$E1716-'data on outstanding creditors'!$O1716</f>
        <v>444.8598131</v>
      </c>
      <c r="Q1716" s="7">
        <f>DAY('data on outstanding creditors'!$B1716)</f>
        <v>30</v>
      </c>
      <c r="R1716" s="7">
        <f>MONTH('data on outstanding creditors'!$B1716)</f>
        <v>10</v>
      </c>
      <c r="S1716" s="7">
        <f>YEAR('data on outstanding creditors'!$B1716)</f>
        <v>2025</v>
      </c>
      <c r="T1716" s="11" t="str">
        <f>'data on outstanding creditors'!$C1716&amp;" "&amp;'data on outstanding creditors'!$D1716&amp;" "&amp;TEXT('data on outstanding creditors'!$E1716,"#,##0.00")</f>
        <v>บ.เยนเนอร์ราลดรั๊กส์เฮ้าส์ 25111205 6,800.00</v>
      </c>
      <c r="U1716" s="12"/>
    </row>
    <row r="1717" ht="13.5" customHeight="1">
      <c r="A1717" s="1"/>
      <c r="B1717" s="2">
        <v>45960.0</v>
      </c>
      <c r="C1717" s="9" t="s">
        <v>1330</v>
      </c>
      <c r="D1717" s="1" t="s">
        <v>2261</v>
      </c>
      <c r="E1717" s="4">
        <v>39000.0</v>
      </c>
      <c r="F1717" s="4"/>
      <c r="G1717" s="4"/>
      <c r="H1717" s="4">
        <f>'data on outstanding creditors'!$E1717-'data on outstanding creditors'!$F1717-'data on outstanding creditors'!$G1717</f>
        <v>39000</v>
      </c>
      <c r="I1717" s="2"/>
      <c r="J1717" s="1"/>
      <c r="K1717" s="2"/>
      <c r="L1717" s="5"/>
      <c r="M1717" s="9" t="s">
        <v>22</v>
      </c>
      <c r="N1717" s="9" t="s">
        <v>23</v>
      </c>
      <c r="O1717" s="10">
        <f>'data on outstanding creditors'!$E1717*100/107</f>
        <v>36448.59813</v>
      </c>
      <c r="P1717" s="10">
        <f>'data on outstanding creditors'!$E1717-'data on outstanding creditors'!$O1717</f>
        <v>2551.401869</v>
      </c>
      <c r="Q1717" s="7">
        <f>DAY('data on outstanding creditors'!$B1717)</f>
        <v>30</v>
      </c>
      <c r="R1717" s="7">
        <f>MONTH('data on outstanding creditors'!$B1717)</f>
        <v>10</v>
      </c>
      <c r="S1717" s="7">
        <f>YEAR('data on outstanding creditors'!$B1717)</f>
        <v>2025</v>
      </c>
      <c r="T1717" s="11" t="str">
        <f>'data on outstanding creditors'!$C1717&amp;" "&amp;'data on outstanding creditors'!$D1717&amp;" "&amp;TEXT('data on outstanding creditors'!$E1717,"#,##0.00")</f>
        <v>บ.ชุมชนเภสัชกรรม IV681002790 39,000.00</v>
      </c>
      <c r="U1717" s="12"/>
    </row>
    <row r="1718" ht="13.5" customHeight="1">
      <c r="A1718" s="1"/>
      <c r="B1718" s="2">
        <v>45960.0</v>
      </c>
      <c r="C1718" s="9" t="s">
        <v>1371</v>
      </c>
      <c r="D1718" s="1" t="s">
        <v>2262</v>
      </c>
      <c r="E1718" s="4">
        <v>37920.0</v>
      </c>
      <c r="F1718" s="4"/>
      <c r="G1718" s="4"/>
      <c r="H1718" s="4">
        <f>'data on outstanding creditors'!$E1718-'data on outstanding creditors'!$F1718-'data on outstanding creditors'!$G1718</f>
        <v>37920</v>
      </c>
      <c r="I1718" s="2"/>
      <c r="J1718" s="1"/>
      <c r="K1718" s="2"/>
      <c r="L1718" s="5"/>
      <c r="M1718" s="9" t="s">
        <v>22</v>
      </c>
      <c r="N1718" s="9" t="s">
        <v>23</v>
      </c>
      <c r="O1718" s="10">
        <f>'data on outstanding creditors'!$E1718*100/107</f>
        <v>35439.25234</v>
      </c>
      <c r="P1718" s="10">
        <f>'data on outstanding creditors'!$E1718-'data on outstanding creditors'!$O1718</f>
        <v>2480.747664</v>
      </c>
      <c r="Q1718" s="7">
        <f>DAY('data on outstanding creditors'!$B1718)</f>
        <v>30</v>
      </c>
      <c r="R1718" s="7">
        <f>MONTH('data on outstanding creditors'!$B1718)</f>
        <v>10</v>
      </c>
      <c r="S1718" s="7">
        <f>YEAR('data on outstanding creditors'!$B1718)</f>
        <v>2025</v>
      </c>
      <c r="T1718" s="11" t="str">
        <f>'data on outstanding creditors'!$C1718&amp;" "&amp;'data on outstanding creditors'!$D1718&amp;" "&amp;TEXT('data on outstanding creditors'!$E1718,"#,##0.00")</f>
        <v>บ.แอตแลนต้า เมดดิคแคร์ BI/225100598 37,920.00</v>
      </c>
      <c r="U1718" s="12"/>
    </row>
    <row r="1719" ht="13.5" customHeight="1">
      <c r="A1719" s="1"/>
      <c r="B1719" s="2">
        <v>45960.0</v>
      </c>
      <c r="C1719" s="9" t="s">
        <v>1232</v>
      </c>
      <c r="D1719" s="1" t="s">
        <v>2263</v>
      </c>
      <c r="E1719" s="4">
        <v>33900.0</v>
      </c>
      <c r="F1719" s="4"/>
      <c r="G1719" s="4"/>
      <c r="H1719" s="4">
        <f>'data on outstanding creditors'!$E1719-'data on outstanding creditors'!$F1719-'data on outstanding creditors'!$G1719</f>
        <v>33900</v>
      </c>
      <c r="I1719" s="2"/>
      <c r="J1719" s="1"/>
      <c r="K1719" s="2"/>
      <c r="L1719" s="5"/>
      <c r="M1719" s="9" t="s">
        <v>22</v>
      </c>
      <c r="N1719" s="9" t="s">
        <v>23</v>
      </c>
      <c r="O1719" s="10">
        <f>'data on outstanding creditors'!$E1719*100/107</f>
        <v>31682.24299</v>
      </c>
      <c r="P1719" s="10">
        <f>'data on outstanding creditors'!$E1719-'data on outstanding creditors'!$O1719</f>
        <v>2217.757009</v>
      </c>
      <c r="Q1719" s="7">
        <f>DAY('data on outstanding creditors'!$B1719)</f>
        <v>30</v>
      </c>
      <c r="R1719" s="7">
        <f>MONTH('data on outstanding creditors'!$B1719)</f>
        <v>10</v>
      </c>
      <c r="S1719" s="7">
        <f>YEAR('data on outstanding creditors'!$B1719)</f>
        <v>2025</v>
      </c>
      <c r="T1719" s="11" t="str">
        <f>'data on outstanding creditors'!$C1719&amp;" "&amp;'data on outstanding creditors'!$D1719&amp;" "&amp;TEXT('data on outstanding creditors'!$E1719,"#,##0.00")</f>
        <v>บ.มาสุ 264502 33,900.00</v>
      </c>
      <c r="U1719" s="12"/>
    </row>
    <row r="1720" ht="13.5" customHeight="1">
      <c r="A1720" s="1"/>
      <c r="B1720" s="2">
        <v>45960.0</v>
      </c>
      <c r="C1720" s="9" t="s">
        <v>1230</v>
      </c>
      <c r="D1720" s="1" t="s">
        <v>2264</v>
      </c>
      <c r="E1720" s="4">
        <v>6370.0</v>
      </c>
      <c r="F1720" s="4"/>
      <c r="G1720" s="4"/>
      <c r="H1720" s="4">
        <f>'data on outstanding creditors'!$E1720-'data on outstanding creditors'!$F1720-'data on outstanding creditors'!$G1720</f>
        <v>6370</v>
      </c>
      <c r="I1720" s="2"/>
      <c r="J1720" s="1"/>
      <c r="K1720" s="2"/>
      <c r="L1720" s="5"/>
      <c r="M1720" s="9" t="s">
        <v>22</v>
      </c>
      <c r="N1720" s="9" t="s">
        <v>23</v>
      </c>
      <c r="O1720" s="10">
        <f>'data on outstanding creditors'!$E1720*100/107</f>
        <v>5953.271028</v>
      </c>
      <c r="P1720" s="10">
        <f>'data on outstanding creditors'!$E1720-'data on outstanding creditors'!$O1720</f>
        <v>416.728972</v>
      </c>
      <c r="Q1720" s="7">
        <f>DAY('data on outstanding creditors'!$B1720)</f>
        <v>30</v>
      </c>
      <c r="R1720" s="7">
        <f>MONTH('data on outstanding creditors'!$B1720)</f>
        <v>10</v>
      </c>
      <c r="S1720" s="7">
        <f>YEAR('data on outstanding creditors'!$B1720)</f>
        <v>2025</v>
      </c>
      <c r="T1720" s="11" t="str">
        <f>'data on outstanding creditors'!$C1720&amp;" "&amp;'data on outstanding creditors'!$D1720&amp;" "&amp;TEXT('data on outstanding creditors'!$E1720,"#,##0.00")</f>
        <v>บ.พรอส ฟาร์มา INV-L-IM\2025103279 6,370.00</v>
      </c>
      <c r="U1720" s="12"/>
    </row>
    <row r="1721" ht="13.5" customHeight="1">
      <c r="A1721" s="1"/>
      <c r="B1721" s="2">
        <v>45960.0</v>
      </c>
      <c r="C1721" s="9" t="s">
        <v>1542</v>
      </c>
      <c r="D1721" s="1" t="s">
        <v>2265</v>
      </c>
      <c r="E1721" s="4">
        <v>49000.0</v>
      </c>
      <c r="F1721" s="4"/>
      <c r="G1721" s="4"/>
      <c r="H1721" s="4">
        <f>'data on outstanding creditors'!$E1721-'data on outstanding creditors'!$F1721-'data on outstanding creditors'!$G1721</f>
        <v>49000</v>
      </c>
      <c r="I1721" s="2"/>
      <c r="J1721" s="1"/>
      <c r="K1721" s="2"/>
      <c r="L1721" s="5"/>
      <c r="M1721" s="9" t="s">
        <v>22</v>
      </c>
      <c r="N1721" s="9" t="s">
        <v>23</v>
      </c>
      <c r="O1721" s="10">
        <f>'data on outstanding creditors'!$E1721*100/107</f>
        <v>45794.39252</v>
      </c>
      <c r="P1721" s="10">
        <f>'data on outstanding creditors'!$E1721-'data on outstanding creditors'!$O1721</f>
        <v>3205.607477</v>
      </c>
      <c r="Q1721" s="7">
        <f>DAY('data on outstanding creditors'!$B1721)</f>
        <v>30</v>
      </c>
      <c r="R1721" s="7">
        <f>MONTH('data on outstanding creditors'!$B1721)</f>
        <v>10</v>
      </c>
      <c r="S1721" s="7">
        <f>YEAR('data on outstanding creditors'!$B1721)</f>
        <v>2025</v>
      </c>
      <c r="T1721" s="11" t="str">
        <f>'data on outstanding creditors'!$C1721&amp;" "&amp;'data on outstanding creditors'!$D1721&amp;" "&amp;TEXT('data on outstanding creditors'!$E1721,"#,##0.00")</f>
        <v>บ.ไบโอเนท-เอเชีย 1302033967 49,000.00</v>
      </c>
      <c r="U1721" s="12"/>
    </row>
    <row r="1722" ht="13.5" customHeight="1">
      <c r="A1722" s="1"/>
      <c r="B1722" s="2">
        <v>45961.0</v>
      </c>
      <c r="C1722" s="9" t="s">
        <v>520</v>
      </c>
      <c r="D1722" s="1" t="s">
        <v>2266</v>
      </c>
      <c r="E1722" s="4">
        <v>32528.0</v>
      </c>
      <c r="F1722" s="4"/>
      <c r="G1722" s="4"/>
      <c r="H1722" s="4">
        <f>'data on outstanding creditors'!$E1722-'data on outstanding creditors'!$F1722-'data on outstanding creditors'!$G1722</f>
        <v>32528</v>
      </c>
      <c r="I1722" s="2"/>
      <c r="J1722" s="1"/>
      <c r="K1722" s="2"/>
      <c r="L1722" s="5"/>
      <c r="M1722" s="9" t="s">
        <v>22</v>
      </c>
      <c r="N1722" s="9" t="s">
        <v>23</v>
      </c>
      <c r="O1722" s="10">
        <f>'data on outstanding creditors'!$E1722*100/107</f>
        <v>30400</v>
      </c>
      <c r="P1722" s="10">
        <f>'data on outstanding creditors'!$E1722-'data on outstanding creditors'!$O1722</f>
        <v>2128</v>
      </c>
      <c r="Q1722" s="7">
        <f>DAY('data on outstanding creditors'!$B1722)</f>
        <v>31</v>
      </c>
      <c r="R1722" s="7">
        <f>MONTH('data on outstanding creditors'!$B1722)</f>
        <v>10</v>
      </c>
      <c r="S1722" s="7">
        <f>YEAR('data on outstanding creditors'!$B1722)</f>
        <v>2025</v>
      </c>
      <c r="T1722" s="11" t="str">
        <f>'data on outstanding creditors'!$C1722&amp;" "&amp;'data on outstanding creditors'!$D1722&amp;" "&amp;TEXT('data on outstanding creditors'!$E1722,"#,##0.00")</f>
        <v>บ.ซิลลิคฟาร์มา 1318576372 32,528.00</v>
      </c>
      <c r="U1722" s="12"/>
    </row>
    <row r="1723" ht="13.5" customHeight="1">
      <c r="A1723" s="1"/>
      <c r="B1723" s="2">
        <v>45961.0</v>
      </c>
      <c r="C1723" s="9" t="s">
        <v>1265</v>
      </c>
      <c r="D1723" s="1" t="s">
        <v>2267</v>
      </c>
      <c r="E1723" s="4">
        <v>5800.0</v>
      </c>
      <c r="F1723" s="4"/>
      <c r="G1723" s="4"/>
      <c r="H1723" s="4">
        <f>'data on outstanding creditors'!$E1723-'data on outstanding creditors'!$F1723-'data on outstanding creditors'!$G1723</f>
        <v>5800</v>
      </c>
      <c r="I1723" s="2"/>
      <c r="J1723" s="1"/>
      <c r="K1723" s="2"/>
      <c r="L1723" s="5"/>
      <c r="M1723" s="9" t="s">
        <v>22</v>
      </c>
      <c r="N1723" s="9" t="s">
        <v>23</v>
      </c>
      <c r="O1723" s="10">
        <f>'data on outstanding creditors'!$E1723*100/107</f>
        <v>5420.560748</v>
      </c>
      <c r="P1723" s="10">
        <f>'data on outstanding creditors'!$E1723-'data on outstanding creditors'!$O1723</f>
        <v>379.4392523</v>
      </c>
      <c r="Q1723" s="7">
        <f>DAY('data on outstanding creditors'!$B1723)</f>
        <v>31</v>
      </c>
      <c r="R1723" s="7">
        <f>MONTH('data on outstanding creditors'!$B1723)</f>
        <v>10</v>
      </c>
      <c r="S1723" s="7">
        <f>YEAR('data on outstanding creditors'!$B1723)</f>
        <v>2025</v>
      </c>
      <c r="T1723" s="11" t="str">
        <f>'data on outstanding creditors'!$C1723&amp;" "&amp;'data on outstanding creditors'!$D1723&amp;" "&amp;TEXT('data on outstanding creditors'!$E1723,"#,##0.00")</f>
        <v>บ.แอล.บี.เอส.แลบบอเรตอรี่ 891312 5,800.00</v>
      </c>
      <c r="U1723" s="12"/>
    </row>
    <row r="1724" ht="13.5" customHeight="1">
      <c r="A1724" s="1"/>
      <c r="B1724" s="2">
        <v>45961.0</v>
      </c>
      <c r="C1724" s="9" t="s">
        <v>1766</v>
      </c>
      <c r="D1724" s="1" t="s">
        <v>2268</v>
      </c>
      <c r="E1724" s="4">
        <v>80000.0</v>
      </c>
      <c r="F1724" s="4"/>
      <c r="G1724" s="4"/>
      <c r="H1724" s="4">
        <f>'data on outstanding creditors'!$E1724-'data on outstanding creditors'!$F1724-'data on outstanding creditors'!$G1724</f>
        <v>80000</v>
      </c>
      <c r="I1724" s="2"/>
      <c r="J1724" s="1"/>
      <c r="K1724" s="2"/>
      <c r="L1724" s="5"/>
      <c r="M1724" s="9" t="s">
        <v>22</v>
      </c>
      <c r="N1724" s="9" t="s">
        <v>23</v>
      </c>
      <c r="O1724" s="10">
        <f>'data on outstanding creditors'!$E1724*100/107</f>
        <v>74766.35514</v>
      </c>
      <c r="P1724" s="10">
        <f>'data on outstanding creditors'!$E1724-'data on outstanding creditors'!$O1724</f>
        <v>5233.64486</v>
      </c>
      <c r="Q1724" s="7">
        <f>DAY('data on outstanding creditors'!$B1724)</f>
        <v>31</v>
      </c>
      <c r="R1724" s="7">
        <f>MONTH('data on outstanding creditors'!$B1724)</f>
        <v>10</v>
      </c>
      <c r="S1724" s="7">
        <f>YEAR('data on outstanding creditors'!$B1724)</f>
        <v>2025</v>
      </c>
      <c r="T1724" s="11" t="str">
        <f>'data on outstanding creditors'!$C1724&amp;" "&amp;'data on outstanding creditors'!$D1724&amp;" "&amp;TEXT('data on outstanding creditors'!$E1724,"#,##0.00")</f>
        <v>สำนักงานคณะกรรมการอาหารและยา ช.69/01413 80,000.00</v>
      </c>
      <c r="U1724" s="12"/>
    </row>
    <row r="1725" ht="13.5" customHeight="1">
      <c r="A1725" s="1"/>
      <c r="B1725" s="2">
        <v>45961.0</v>
      </c>
      <c r="C1725" s="9" t="s">
        <v>1243</v>
      </c>
      <c r="D1725" s="1" t="s">
        <v>2269</v>
      </c>
      <c r="E1725" s="4">
        <v>12500.0</v>
      </c>
      <c r="F1725" s="4"/>
      <c r="G1725" s="4"/>
      <c r="H1725" s="4">
        <f>'data on outstanding creditors'!$E1725-'data on outstanding creditors'!$F1725-'data on outstanding creditors'!$G1725</f>
        <v>12500</v>
      </c>
      <c r="I1725" s="2"/>
      <c r="J1725" s="1"/>
      <c r="K1725" s="2"/>
      <c r="L1725" s="5"/>
      <c r="M1725" s="9" t="s">
        <v>22</v>
      </c>
      <c r="N1725" s="9" t="s">
        <v>23</v>
      </c>
      <c r="O1725" s="10">
        <f>'data on outstanding creditors'!$E1725*100/107</f>
        <v>11682.24299</v>
      </c>
      <c r="P1725" s="10">
        <f>'data on outstanding creditors'!$E1725-'data on outstanding creditors'!$O1725</f>
        <v>817.7570093</v>
      </c>
      <c r="Q1725" s="7">
        <f>DAY('data on outstanding creditors'!$B1725)</f>
        <v>31</v>
      </c>
      <c r="R1725" s="7">
        <f>MONTH('data on outstanding creditors'!$B1725)</f>
        <v>10</v>
      </c>
      <c r="S1725" s="7">
        <f>YEAR('data on outstanding creditors'!$B1725)</f>
        <v>2025</v>
      </c>
      <c r="T1725" s="11" t="str">
        <f>'data on outstanding creditors'!$C1725&amp;" "&amp;'data on outstanding creditors'!$D1725&amp;" "&amp;TEXT('data on outstanding creditors'!$E1725,"#,##0.00")</f>
        <v>บ.วี.แอนด์.วี.กรุงเทพ 8103658623 12,500.00</v>
      </c>
      <c r="U1725" s="12"/>
    </row>
    <row r="1726" ht="13.5" customHeight="1">
      <c r="A1726" s="1"/>
      <c r="B1726" s="2">
        <v>44986.0</v>
      </c>
      <c r="C1726" s="9" t="s">
        <v>2270</v>
      </c>
      <c r="D1726" s="5" t="s">
        <v>2271</v>
      </c>
      <c r="E1726" s="4">
        <v>20800.0</v>
      </c>
      <c r="F1726" s="4"/>
      <c r="G1726" s="4"/>
      <c r="H1726" s="4">
        <f>'data on outstanding creditors'!$E1726-'data on outstanding creditors'!$F1726-'data on outstanding creditors'!$G1726</f>
        <v>20800</v>
      </c>
      <c r="I1726" s="2"/>
      <c r="J1726" s="1"/>
      <c r="K1726" s="2"/>
      <c r="L1726" s="5"/>
      <c r="M1726" s="9" t="s">
        <v>43</v>
      </c>
      <c r="N1726" s="9" t="s">
        <v>49</v>
      </c>
      <c r="O1726" s="10">
        <f>'data on outstanding creditors'!$E1726*100/107</f>
        <v>19439.25234</v>
      </c>
      <c r="P1726" s="10">
        <f>'data on outstanding creditors'!$E1726-'data on outstanding creditors'!$O1726</f>
        <v>1360.747664</v>
      </c>
      <c r="Q1726" s="7">
        <f>DAY('data on outstanding creditors'!$B1726)</f>
        <v>1</v>
      </c>
      <c r="R1726" s="7">
        <f>MONTH('data on outstanding creditors'!$B1726)</f>
        <v>3</v>
      </c>
      <c r="S1726" s="7">
        <f>YEAR('data on outstanding creditors'!$B1726)</f>
        <v>2023</v>
      </c>
      <c r="T1726" s="11" t="str">
        <f>'data on outstanding creditors'!$C1726&amp;" "&amp;'data on outstanding creditors'!$D1726&amp;" "&amp;TEXT('data on outstanding creditors'!$E1726,"#,##0.00")</f>
        <v>บ.เอ็ม.เอ.ซี.อินฟอร์เมชั่น 202301-008 20,800.00</v>
      </c>
      <c r="U1726" s="12"/>
    </row>
    <row r="1727" ht="13.5" customHeight="1">
      <c r="A1727" s="1"/>
      <c r="B1727" s="2">
        <v>45335.0</v>
      </c>
      <c r="C1727" s="9" t="s">
        <v>1029</v>
      </c>
      <c r="D1727" s="1" t="s">
        <v>2272</v>
      </c>
      <c r="E1727" s="4">
        <v>19100.0</v>
      </c>
      <c r="F1727" s="4"/>
      <c r="G1727" s="4"/>
      <c r="H1727" s="4">
        <f>'data on outstanding creditors'!$E1727-'data on outstanding creditors'!$F1727-'data on outstanding creditors'!$G1727</f>
        <v>19100</v>
      </c>
      <c r="I1727" s="2"/>
      <c r="J1727" s="1" t="s">
        <v>646</v>
      </c>
      <c r="K1727" s="2">
        <v>45843.0</v>
      </c>
      <c r="L1727" s="5"/>
      <c r="M1727" s="9" t="s">
        <v>43</v>
      </c>
      <c r="N1727" s="9" t="s">
        <v>49</v>
      </c>
      <c r="O1727" s="10">
        <f>'data on outstanding creditors'!$E1727*100/107</f>
        <v>17850.46729</v>
      </c>
      <c r="P1727" s="10">
        <f>'data on outstanding creditors'!$E1727-'data on outstanding creditors'!$O1727</f>
        <v>1249.53271</v>
      </c>
      <c r="Q1727" s="7">
        <f>DAY('data on outstanding creditors'!$B1727)</f>
        <v>13</v>
      </c>
      <c r="R1727" s="7">
        <f>MONTH('data on outstanding creditors'!$B1727)</f>
        <v>2</v>
      </c>
      <c r="S1727" s="7">
        <f>YEAR('data on outstanding creditors'!$B1727)</f>
        <v>2024</v>
      </c>
      <c r="T1727" s="11" t="str">
        <f>'data on outstanding creditors'!$C1727&amp;" "&amp;'data on outstanding creditors'!$D1727&amp;" "&amp;TEXT('data on outstanding creditors'!$E1727,"#,##0.00")</f>
        <v>บ.เอเทค เมดิคอล IV6702172 19,100.00</v>
      </c>
      <c r="U1727" s="12"/>
    </row>
    <row r="1728" ht="13.5" customHeight="1">
      <c r="A1728" s="1"/>
      <c r="B1728" s="2">
        <v>45352.0</v>
      </c>
      <c r="C1728" s="9" t="s">
        <v>2273</v>
      </c>
      <c r="D1728" s="1" t="s">
        <v>2274</v>
      </c>
      <c r="E1728" s="4">
        <v>53500.0</v>
      </c>
      <c r="F1728" s="4"/>
      <c r="G1728" s="4"/>
      <c r="H1728" s="4">
        <f>'data on outstanding creditors'!$E1728-'data on outstanding creditors'!$F1728-'data on outstanding creditors'!$G1728</f>
        <v>53500</v>
      </c>
      <c r="I1728" s="2"/>
      <c r="J1728" s="1" t="s">
        <v>646</v>
      </c>
      <c r="K1728" s="2">
        <v>45866.0</v>
      </c>
      <c r="L1728" s="5"/>
      <c r="M1728" s="9" t="s">
        <v>43</v>
      </c>
      <c r="N1728" s="9" t="s">
        <v>49</v>
      </c>
      <c r="O1728" s="10">
        <f>'data on outstanding creditors'!$E1728*100/107</f>
        <v>50000</v>
      </c>
      <c r="P1728" s="10">
        <f>'data on outstanding creditors'!$E1728-'data on outstanding creditors'!$O1728</f>
        <v>3500</v>
      </c>
      <c r="Q1728" s="7">
        <f>DAY('data on outstanding creditors'!$B1728)</f>
        <v>1</v>
      </c>
      <c r="R1728" s="7">
        <f>MONTH('data on outstanding creditors'!$B1728)</f>
        <v>3</v>
      </c>
      <c r="S1728" s="7">
        <f>YEAR('data on outstanding creditors'!$B1728)</f>
        <v>2024</v>
      </c>
      <c r="T1728" s="11" t="str">
        <f>'data on outstanding creditors'!$C1728&amp;" "&amp;'data on outstanding creditors'!$D1728&amp;" "&amp;TEXT('data on outstanding creditors'!$E1728,"#,##0.00")</f>
        <v>บ.ฟิวเจอร์ เดคคอเรชั่น กรุ๊ป IV6702064 53,500.00</v>
      </c>
      <c r="U1728" s="12"/>
    </row>
    <row r="1729" ht="13.5" customHeight="1">
      <c r="A1729" s="1"/>
      <c r="B1729" s="2">
        <v>45462.0</v>
      </c>
      <c r="C1729" s="9" t="s">
        <v>2275</v>
      </c>
      <c r="D1729" s="1" t="s">
        <v>2276</v>
      </c>
      <c r="E1729" s="4">
        <v>10600.0</v>
      </c>
      <c r="F1729" s="4"/>
      <c r="G1729" s="4"/>
      <c r="H1729" s="4">
        <f>'data on outstanding creditors'!$E1729-'data on outstanding creditors'!$F1729-'data on outstanding creditors'!$G1729</f>
        <v>10600</v>
      </c>
      <c r="I1729" s="2"/>
      <c r="J1729" s="1" t="s">
        <v>646</v>
      </c>
      <c r="K1729" s="2">
        <v>45877.0</v>
      </c>
      <c r="L1729" s="5"/>
      <c r="M1729" s="9" t="s">
        <v>43</v>
      </c>
      <c r="N1729" s="9" t="s">
        <v>49</v>
      </c>
      <c r="O1729" s="10">
        <f>'data on outstanding creditors'!$E1729*100/107</f>
        <v>9906.542056</v>
      </c>
      <c r="P1729" s="10">
        <f>'data on outstanding creditors'!$E1729-'data on outstanding creditors'!$O1729</f>
        <v>693.4579439</v>
      </c>
      <c r="Q1729" s="7">
        <f>DAY('data on outstanding creditors'!$B1729)</f>
        <v>19</v>
      </c>
      <c r="R1729" s="7">
        <f>MONTH('data on outstanding creditors'!$B1729)</f>
        <v>6</v>
      </c>
      <c r="S1729" s="7">
        <f>YEAR('data on outstanding creditors'!$B1729)</f>
        <v>2024</v>
      </c>
      <c r="T1729" s="11" t="str">
        <f>'data on outstanding creditors'!$C1729&amp;" "&amp;'data on outstanding creditors'!$D1729&amp;" "&amp;TEXT('data on outstanding creditors'!$E1729,"#,##0.00")</f>
        <v>บ.ยู.พี.เมดิคอล ซอลเตอร์ 671866 10,600.00</v>
      </c>
      <c r="U1729" s="12"/>
    </row>
    <row r="1730" ht="13.5" customHeight="1">
      <c r="A1730" s="1"/>
      <c r="B1730" s="2">
        <v>45496.0</v>
      </c>
      <c r="C1730" s="9" t="s">
        <v>2277</v>
      </c>
      <c r="D1730" s="1" t="s">
        <v>2278</v>
      </c>
      <c r="E1730" s="4">
        <v>2000.0</v>
      </c>
      <c r="F1730" s="4"/>
      <c r="G1730" s="4"/>
      <c r="H1730" s="4">
        <f>'data on outstanding creditors'!$E1730-'data on outstanding creditors'!$F1730-'data on outstanding creditors'!$G1730</f>
        <v>2000</v>
      </c>
      <c r="I1730" s="2"/>
      <c r="J1730" s="1" t="s">
        <v>646</v>
      </c>
      <c r="K1730" s="2">
        <v>45846.0</v>
      </c>
      <c r="L1730" s="5"/>
      <c r="M1730" s="9" t="s">
        <v>43</v>
      </c>
      <c r="N1730" s="9" t="s">
        <v>49</v>
      </c>
      <c r="O1730" s="10">
        <f>'data on outstanding creditors'!$E1730*100/107</f>
        <v>1869.158879</v>
      </c>
      <c r="P1730" s="10">
        <f>'data on outstanding creditors'!$E1730-'data on outstanding creditors'!$O1730</f>
        <v>130.8411215</v>
      </c>
      <c r="Q1730" s="7">
        <f>DAY('data on outstanding creditors'!$B1730)</f>
        <v>23</v>
      </c>
      <c r="R1730" s="7">
        <f>MONTH('data on outstanding creditors'!$B1730)</f>
        <v>7</v>
      </c>
      <c r="S1730" s="7">
        <f>YEAR('data on outstanding creditors'!$B1730)</f>
        <v>2024</v>
      </c>
      <c r="T1730" s="11" t="str">
        <f>'data on outstanding creditors'!$C1730&amp;" "&amp;'data on outstanding creditors'!$D1730&amp;" "&amp;TEXT('data on outstanding creditors'!$E1730,"#,##0.00")</f>
        <v>บ.เอ็ม.เอส.วาย เมดิคอล ซัพพลาย BL2024070007 2,000.00</v>
      </c>
      <c r="U1730" s="12"/>
    </row>
    <row r="1731" ht="13.5" customHeight="1">
      <c r="A1731" s="1"/>
      <c r="B1731" s="2">
        <v>45520.0</v>
      </c>
      <c r="C1731" s="9" t="s">
        <v>2279</v>
      </c>
      <c r="D1731" s="1" t="s">
        <v>2280</v>
      </c>
      <c r="E1731" s="4">
        <v>3500.0</v>
      </c>
      <c r="F1731" s="4"/>
      <c r="G1731" s="4"/>
      <c r="H1731" s="4">
        <f>'data on outstanding creditors'!$E1731-'data on outstanding creditors'!$F1731-'data on outstanding creditors'!$G1731</f>
        <v>3500</v>
      </c>
      <c r="I1731" s="2"/>
      <c r="J1731" s="1" t="s">
        <v>757</v>
      </c>
      <c r="K1731" s="2">
        <v>45644.0</v>
      </c>
      <c r="L1731" s="5"/>
      <c r="M1731" s="9" t="s">
        <v>43</v>
      </c>
      <c r="N1731" s="9" t="s">
        <v>49</v>
      </c>
      <c r="O1731" s="10">
        <f>'data on outstanding creditors'!$E1731*100/107</f>
        <v>3271.028037</v>
      </c>
      <c r="P1731" s="10">
        <f>'data on outstanding creditors'!$E1731-'data on outstanding creditors'!$O1731</f>
        <v>228.9719626</v>
      </c>
      <c r="Q1731" s="7">
        <f>DAY('data on outstanding creditors'!$B1731)</f>
        <v>16</v>
      </c>
      <c r="R1731" s="7">
        <f>MONTH('data on outstanding creditors'!$B1731)</f>
        <v>8</v>
      </c>
      <c r="S1731" s="7">
        <f>YEAR('data on outstanding creditors'!$B1731)</f>
        <v>2024</v>
      </c>
      <c r="T1731" s="11" t="str">
        <f>'data on outstanding creditors'!$C1731&amp;" "&amp;'data on outstanding creditors'!$D1731&amp;" "&amp;TEXT('data on outstanding creditors'!$E1731,"#,##0.00")</f>
        <v>บ.ออร์โธ เอ็นเตอร์ไพรส์ EIN2024080021 3,500.00</v>
      </c>
      <c r="U1731" s="12"/>
    </row>
    <row r="1732" ht="13.5" customHeight="1">
      <c r="A1732" s="1"/>
      <c r="B1732" s="2">
        <v>45531.0</v>
      </c>
      <c r="C1732" s="9" t="s">
        <v>2281</v>
      </c>
      <c r="D1732" s="1" t="s">
        <v>2282</v>
      </c>
      <c r="E1732" s="4">
        <v>101400.0</v>
      </c>
      <c r="F1732" s="4"/>
      <c r="G1732" s="4"/>
      <c r="H1732" s="4">
        <f>'data on outstanding creditors'!$E1732-'data on outstanding creditors'!$F1732-'data on outstanding creditors'!$G1732</f>
        <v>101400</v>
      </c>
      <c r="I1732" s="2"/>
      <c r="J1732" s="1" t="s">
        <v>646</v>
      </c>
      <c r="K1732" s="2">
        <v>45843.0</v>
      </c>
      <c r="L1732" s="5"/>
      <c r="M1732" s="9" t="s">
        <v>43</v>
      </c>
      <c r="N1732" s="9" t="s">
        <v>44</v>
      </c>
      <c r="O1732" s="10">
        <f>'data on outstanding creditors'!$E1732*100/107</f>
        <v>94766.35514</v>
      </c>
      <c r="P1732" s="10">
        <f>'data on outstanding creditors'!$E1732-'data on outstanding creditors'!$O1732</f>
        <v>6633.64486</v>
      </c>
      <c r="Q1732" s="7">
        <f>DAY('data on outstanding creditors'!$B1732)</f>
        <v>27</v>
      </c>
      <c r="R1732" s="7">
        <f>MONTH('data on outstanding creditors'!$B1732)</f>
        <v>8</v>
      </c>
      <c r="S1732" s="7">
        <f>YEAR('data on outstanding creditors'!$B1732)</f>
        <v>2024</v>
      </c>
      <c r="T1732" s="11" t="str">
        <f>'data on outstanding creditors'!$C1732&amp;" "&amp;'data on outstanding creditors'!$D1732&amp;" "&amp;TEXT('data on outstanding creditors'!$E1732,"#,##0.00")</f>
        <v>หจก.พีเอส เมทริก IH2407015 101,400.00</v>
      </c>
      <c r="U1732" s="12"/>
    </row>
    <row r="1733" ht="13.5" customHeight="1">
      <c r="A1733" s="1"/>
      <c r="B1733" s="2">
        <v>45553.0</v>
      </c>
      <c r="C1733" s="9" t="s">
        <v>2283</v>
      </c>
      <c r="D1733" s="1" t="s">
        <v>2284</v>
      </c>
      <c r="E1733" s="4">
        <v>8400.0</v>
      </c>
      <c r="F1733" s="4"/>
      <c r="G1733" s="4"/>
      <c r="H1733" s="4">
        <f>'data on outstanding creditors'!$E1733-'data on outstanding creditors'!$F1733-'data on outstanding creditors'!$G1733</f>
        <v>8400</v>
      </c>
      <c r="I1733" s="2"/>
      <c r="J1733" s="1" t="s">
        <v>757</v>
      </c>
      <c r="K1733" s="2">
        <v>45580.0</v>
      </c>
      <c r="L1733" s="5"/>
      <c r="M1733" s="9" t="s">
        <v>43</v>
      </c>
      <c r="N1733" s="9" t="s">
        <v>23</v>
      </c>
      <c r="O1733" s="10">
        <f>'data on outstanding creditors'!$E1733*100/107</f>
        <v>7850.46729</v>
      </c>
      <c r="P1733" s="10">
        <f>'data on outstanding creditors'!$E1733-'data on outstanding creditors'!$O1733</f>
        <v>549.5327103</v>
      </c>
      <c r="Q1733" s="7">
        <f>DAY('data on outstanding creditors'!$B1733)</f>
        <v>18</v>
      </c>
      <c r="R1733" s="7">
        <f>MONTH('data on outstanding creditors'!$B1733)</f>
        <v>9</v>
      </c>
      <c r="S1733" s="7">
        <f>YEAR('data on outstanding creditors'!$B1733)</f>
        <v>2024</v>
      </c>
      <c r="T1733" s="11" t="str">
        <f>'data on outstanding creditors'!$C1733&amp;" "&amp;'data on outstanding creditors'!$D1733&amp;" "&amp;TEXT('data on outstanding creditors'!$E1733,"#,##0.00")</f>
        <v>บ.ยูนิเมด 6701433 8,400.00</v>
      </c>
      <c r="U1733" s="12"/>
    </row>
    <row r="1734" ht="13.5" customHeight="1">
      <c r="A1734" s="1"/>
      <c r="B1734" s="2">
        <v>45559.0</v>
      </c>
      <c r="C1734" s="9" t="s">
        <v>2285</v>
      </c>
      <c r="D1734" s="1" t="s">
        <v>2286</v>
      </c>
      <c r="E1734" s="4">
        <v>1020.0</v>
      </c>
      <c r="F1734" s="4"/>
      <c r="G1734" s="4"/>
      <c r="H1734" s="4">
        <f>'data on outstanding creditors'!$E1734-'data on outstanding creditors'!$F1734-'data on outstanding creditors'!$G1734</f>
        <v>1020</v>
      </c>
      <c r="I1734" s="2"/>
      <c r="J1734" s="1" t="s">
        <v>646</v>
      </c>
      <c r="K1734" s="2">
        <v>45928.0</v>
      </c>
      <c r="L1734" s="5"/>
      <c r="M1734" s="9" t="s">
        <v>43</v>
      </c>
      <c r="N1734" s="9" t="s">
        <v>49</v>
      </c>
      <c r="O1734" s="10">
        <f>'data on outstanding creditors'!$E1734*100/107</f>
        <v>953.271028</v>
      </c>
      <c r="P1734" s="10">
        <f>'data on outstanding creditors'!$E1734-'data on outstanding creditors'!$O1734</f>
        <v>66.72897196</v>
      </c>
      <c r="Q1734" s="7">
        <f>DAY('data on outstanding creditors'!$B1734)</f>
        <v>24</v>
      </c>
      <c r="R1734" s="7">
        <f>MONTH('data on outstanding creditors'!$B1734)</f>
        <v>9</v>
      </c>
      <c r="S1734" s="7">
        <f>YEAR('data on outstanding creditors'!$B1734)</f>
        <v>2024</v>
      </c>
      <c r="T1734" s="11" t="str">
        <f>'data on outstanding creditors'!$C1734&amp;" "&amp;'data on outstanding creditors'!$D1734&amp;" "&amp;TEXT('data on outstanding creditors'!$E1734,"#,##0.00")</f>
        <v>บ.อีออนเมด INT-AOM24100318 1,020.00</v>
      </c>
      <c r="U1734" s="12"/>
    </row>
    <row r="1735" ht="13.5" customHeight="1">
      <c r="A1735" s="1"/>
      <c r="B1735" s="2">
        <v>45566.0</v>
      </c>
      <c r="C1735" s="9" t="s">
        <v>2287</v>
      </c>
      <c r="D1735" s="1" t="s">
        <v>2288</v>
      </c>
      <c r="E1735" s="4">
        <v>33000.0</v>
      </c>
      <c r="F1735" s="4"/>
      <c r="G1735" s="4"/>
      <c r="H1735" s="4">
        <f>'data on outstanding creditors'!$E1735-'data on outstanding creditors'!$F1735-'data on outstanding creditors'!$G1735</f>
        <v>33000</v>
      </c>
      <c r="I1735" s="2"/>
      <c r="J1735" s="1" t="s">
        <v>646</v>
      </c>
      <c r="K1735" s="2">
        <v>45929.0</v>
      </c>
      <c r="L1735" s="5"/>
      <c r="M1735" s="9" t="s">
        <v>43</v>
      </c>
      <c r="N1735" s="9" t="s">
        <v>49</v>
      </c>
      <c r="O1735" s="10">
        <f>'data on outstanding creditors'!$E1735*100/107</f>
        <v>30841.1215</v>
      </c>
      <c r="P1735" s="10">
        <f>'data on outstanding creditors'!$E1735-'data on outstanding creditors'!$O1735</f>
        <v>2158.878505</v>
      </c>
      <c r="Q1735" s="7">
        <f>DAY('data on outstanding creditors'!$B1735)</f>
        <v>1</v>
      </c>
      <c r="R1735" s="7">
        <f>MONTH('data on outstanding creditors'!$B1735)</f>
        <v>10</v>
      </c>
      <c r="S1735" s="7">
        <f>YEAR('data on outstanding creditors'!$B1735)</f>
        <v>2024</v>
      </c>
      <c r="T1735" s="11" t="str">
        <f>'data on outstanding creditors'!$C1735&amp;" "&amp;'data on outstanding creditors'!$D1735&amp;" "&amp;TEXT('data on outstanding creditors'!$E1735,"#,##0.00")</f>
        <v>บ.ออร์โทดอนทิคไลน์ EIN2024100006 33,000.00</v>
      </c>
      <c r="U1735" s="12"/>
    </row>
    <row r="1736" ht="13.5" customHeight="1">
      <c r="A1736" s="1"/>
      <c r="B1736" s="2">
        <v>45570.0</v>
      </c>
      <c r="C1736" s="9" t="s">
        <v>2281</v>
      </c>
      <c r="D1736" s="1" t="s">
        <v>2289</v>
      </c>
      <c r="E1736" s="4">
        <v>55000.0</v>
      </c>
      <c r="F1736" s="4"/>
      <c r="G1736" s="4"/>
      <c r="H1736" s="4">
        <f>'data on outstanding creditors'!$E1736-'data on outstanding creditors'!$F1736-'data on outstanding creditors'!$G1736</f>
        <v>55000</v>
      </c>
      <c r="I1736" s="2"/>
      <c r="J1736" s="1" t="s">
        <v>646</v>
      </c>
      <c r="K1736" s="2">
        <v>45843.0</v>
      </c>
      <c r="L1736" s="5"/>
      <c r="M1736" s="9" t="s">
        <v>43</v>
      </c>
      <c r="N1736" s="9" t="s">
        <v>44</v>
      </c>
      <c r="O1736" s="10">
        <f>'data on outstanding creditors'!$E1736*100/107</f>
        <v>51401.86916</v>
      </c>
      <c r="P1736" s="10">
        <f>'data on outstanding creditors'!$E1736-'data on outstanding creditors'!$O1736</f>
        <v>3598.130841</v>
      </c>
      <c r="Q1736" s="7">
        <f>DAY('data on outstanding creditors'!$B1736)</f>
        <v>5</v>
      </c>
      <c r="R1736" s="7">
        <f>MONTH('data on outstanding creditors'!$B1736)</f>
        <v>10</v>
      </c>
      <c r="S1736" s="7">
        <f>YEAR('data on outstanding creditors'!$B1736)</f>
        <v>2024</v>
      </c>
      <c r="T1736" s="11" t="str">
        <f>'data on outstanding creditors'!$C1736&amp;" "&amp;'data on outstanding creditors'!$D1736&amp;" "&amp;TEXT('data on outstanding creditors'!$E1736,"#,##0.00")</f>
        <v>หจก.พีเอส เมทริก IH2409004 55,000.00</v>
      </c>
      <c r="U1736" s="12"/>
    </row>
    <row r="1737" ht="13.5" customHeight="1">
      <c r="A1737" s="1"/>
      <c r="B1737" s="2">
        <v>45572.0</v>
      </c>
      <c r="C1737" s="9" t="s">
        <v>2290</v>
      </c>
      <c r="D1737" s="1" t="s">
        <v>2291</v>
      </c>
      <c r="E1737" s="4">
        <v>5000.0</v>
      </c>
      <c r="F1737" s="4"/>
      <c r="G1737" s="4"/>
      <c r="H1737" s="4">
        <f>'data on outstanding creditors'!$E1737-'data on outstanding creditors'!$F1737-'data on outstanding creditors'!$G1737</f>
        <v>5000</v>
      </c>
      <c r="I1737" s="2"/>
      <c r="J1737" s="1" t="s">
        <v>757</v>
      </c>
      <c r="K1737" s="2">
        <v>45686.0</v>
      </c>
      <c r="L1737" s="5"/>
      <c r="M1737" s="9" t="s">
        <v>43</v>
      </c>
      <c r="N1737" s="9" t="s">
        <v>49</v>
      </c>
      <c r="O1737" s="10">
        <f>'data on outstanding creditors'!$E1737*100/107</f>
        <v>4672.897196</v>
      </c>
      <c r="P1737" s="10">
        <f>'data on outstanding creditors'!$E1737-'data on outstanding creditors'!$O1737</f>
        <v>327.1028037</v>
      </c>
      <c r="Q1737" s="7">
        <f>DAY('data on outstanding creditors'!$B1737)</f>
        <v>7</v>
      </c>
      <c r="R1737" s="7">
        <f>MONTH('data on outstanding creditors'!$B1737)</f>
        <v>10</v>
      </c>
      <c r="S1737" s="7">
        <f>YEAR('data on outstanding creditors'!$B1737)</f>
        <v>2024</v>
      </c>
      <c r="T1737" s="11" t="str">
        <f>'data on outstanding creditors'!$C1737&amp;" "&amp;'data on outstanding creditors'!$D1737&amp;" "&amp;TEXT('data on outstanding creditors'!$E1737,"#,##0.00")</f>
        <v>บ.เมดิคอล อินเตอร์เทค IV6710-0531 5,000.00</v>
      </c>
      <c r="U1737" s="12"/>
    </row>
    <row r="1738" ht="13.5" customHeight="1">
      <c r="A1738" s="1"/>
      <c r="B1738" s="2">
        <v>45580.0</v>
      </c>
      <c r="C1738" s="9" t="s">
        <v>2292</v>
      </c>
      <c r="D1738" s="1" t="s">
        <v>2293</v>
      </c>
      <c r="E1738" s="4">
        <v>120000.0</v>
      </c>
      <c r="F1738" s="4"/>
      <c r="G1738" s="4"/>
      <c r="H1738" s="4">
        <f>'data on outstanding creditors'!$E1738-'data on outstanding creditors'!$F1738-'data on outstanding creditors'!$G1738</f>
        <v>120000</v>
      </c>
      <c r="I1738" s="2"/>
      <c r="J1738" s="1" t="s">
        <v>646</v>
      </c>
      <c r="K1738" s="2">
        <v>45700.0</v>
      </c>
      <c r="L1738" s="5"/>
      <c r="M1738" s="9" t="s">
        <v>43</v>
      </c>
      <c r="N1738" s="9" t="s">
        <v>49</v>
      </c>
      <c r="O1738" s="10">
        <f>'data on outstanding creditors'!$E1738*100/107</f>
        <v>112149.5327</v>
      </c>
      <c r="P1738" s="10">
        <f>'data on outstanding creditors'!$E1738-'data on outstanding creditors'!$O1738</f>
        <v>7850.46729</v>
      </c>
      <c r="Q1738" s="7">
        <f>DAY('data on outstanding creditors'!$B1738)</f>
        <v>15</v>
      </c>
      <c r="R1738" s="7">
        <f>MONTH('data on outstanding creditors'!$B1738)</f>
        <v>10</v>
      </c>
      <c r="S1738" s="7">
        <f>YEAR('data on outstanding creditors'!$B1738)</f>
        <v>2024</v>
      </c>
      <c r="T1738" s="11" t="str">
        <f>'data on outstanding creditors'!$C1738&amp;" "&amp;'data on outstanding creditors'!$D1738&amp;" "&amp;TEXT('data on outstanding creditors'!$E1738,"#,##0.00")</f>
        <v>บ.ไบโอคอททอน IV24010104 120,000.00</v>
      </c>
      <c r="U1738" s="12"/>
    </row>
    <row r="1739" ht="13.5" customHeight="1">
      <c r="A1739" s="1"/>
      <c r="B1739" s="2">
        <v>45581.0</v>
      </c>
      <c r="C1739" s="9" t="s">
        <v>2294</v>
      </c>
      <c r="D1739" s="1" t="s">
        <v>2295</v>
      </c>
      <c r="E1739" s="4">
        <v>4500.0</v>
      </c>
      <c r="F1739" s="4"/>
      <c r="G1739" s="4"/>
      <c r="H1739" s="4">
        <f>'data on outstanding creditors'!$E1739-'data on outstanding creditors'!$F1739-'data on outstanding creditors'!$G1739</f>
        <v>4500</v>
      </c>
      <c r="I1739" s="2"/>
      <c r="J1739" s="1" t="s">
        <v>646</v>
      </c>
      <c r="K1739" s="2">
        <v>45815.0</v>
      </c>
      <c r="L1739" s="5"/>
      <c r="M1739" s="9" t="s">
        <v>43</v>
      </c>
      <c r="N1739" s="9" t="s">
        <v>23</v>
      </c>
      <c r="O1739" s="10">
        <f>'data on outstanding creditors'!$E1739*100/107</f>
        <v>4205.607477</v>
      </c>
      <c r="P1739" s="10">
        <f>'data on outstanding creditors'!$E1739-'data on outstanding creditors'!$O1739</f>
        <v>294.3925234</v>
      </c>
      <c r="Q1739" s="7">
        <f>DAY('data on outstanding creditors'!$B1739)</f>
        <v>16</v>
      </c>
      <c r="R1739" s="7">
        <f>MONTH('data on outstanding creditors'!$B1739)</f>
        <v>10</v>
      </c>
      <c r="S1739" s="7">
        <f>YEAR('data on outstanding creditors'!$B1739)</f>
        <v>2024</v>
      </c>
      <c r="T1739" s="11" t="str">
        <f>'data on outstanding creditors'!$C1739&amp;" "&amp;'data on outstanding creditors'!$D1739&amp;" "&amp;TEXT('data on outstanding creditors'!$E1739,"#,##0.00")</f>
        <v>บ.แอสเซ้นท์ เมดิคอล IV2024100100 4,500.00</v>
      </c>
      <c r="U1739" s="12"/>
    </row>
    <row r="1740" ht="13.5" customHeight="1">
      <c r="A1740" s="1"/>
      <c r="B1740" s="2">
        <v>45587.0</v>
      </c>
      <c r="C1740" s="9" t="s">
        <v>2296</v>
      </c>
      <c r="D1740" s="1" t="s">
        <v>2297</v>
      </c>
      <c r="E1740" s="4">
        <v>15000.0</v>
      </c>
      <c r="F1740" s="4"/>
      <c r="G1740" s="4"/>
      <c r="H1740" s="4">
        <f>'data on outstanding creditors'!$E1740-'data on outstanding creditors'!$F1740-'data on outstanding creditors'!$G1740</f>
        <v>15000</v>
      </c>
      <c r="I1740" s="2"/>
      <c r="J1740" s="1" t="s">
        <v>757</v>
      </c>
      <c r="K1740" s="2">
        <v>45643.0</v>
      </c>
      <c r="L1740" s="5"/>
      <c r="M1740" s="9" t="s">
        <v>43</v>
      </c>
      <c r="N1740" s="9" t="s">
        <v>49</v>
      </c>
      <c r="O1740" s="10">
        <f>'data on outstanding creditors'!$E1740*100/107</f>
        <v>14018.69159</v>
      </c>
      <c r="P1740" s="10">
        <f>'data on outstanding creditors'!$E1740-'data on outstanding creditors'!$O1740</f>
        <v>981.3084112</v>
      </c>
      <c r="Q1740" s="7">
        <f>DAY('data on outstanding creditors'!$B1740)</f>
        <v>22</v>
      </c>
      <c r="R1740" s="7">
        <f>MONTH('data on outstanding creditors'!$B1740)</f>
        <v>10</v>
      </c>
      <c r="S1740" s="7">
        <f>YEAR('data on outstanding creditors'!$B1740)</f>
        <v>2024</v>
      </c>
      <c r="T1740" s="11" t="str">
        <f>'data on outstanding creditors'!$C1740&amp;" "&amp;'data on outstanding creditors'!$D1740&amp;" "&amp;TEXT('data on outstanding creditors'!$E1740,"#,##0.00")</f>
        <v>บ.สคิปา เมด BL6710-00332 15,000.00</v>
      </c>
      <c r="U1740" s="12"/>
    </row>
    <row r="1741" ht="13.5" customHeight="1">
      <c r="A1741" s="1"/>
      <c r="B1741" s="2">
        <v>45597.0</v>
      </c>
      <c r="C1741" s="9" t="s">
        <v>2294</v>
      </c>
      <c r="D1741" s="1" t="s">
        <v>2298</v>
      </c>
      <c r="E1741" s="4">
        <v>17500.0</v>
      </c>
      <c r="F1741" s="4"/>
      <c r="G1741" s="4"/>
      <c r="H1741" s="4">
        <f>'data on outstanding creditors'!$E1741-'data on outstanding creditors'!$F1741-'data on outstanding creditors'!$G1741</f>
        <v>17500</v>
      </c>
      <c r="I1741" s="2"/>
      <c r="J1741" s="1" t="s">
        <v>646</v>
      </c>
      <c r="K1741" s="2">
        <v>45815.0</v>
      </c>
      <c r="L1741" s="5"/>
      <c r="M1741" s="9" t="s">
        <v>43</v>
      </c>
      <c r="N1741" s="9" t="s">
        <v>23</v>
      </c>
      <c r="O1741" s="10">
        <f>'data on outstanding creditors'!$E1741*100/107</f>
        <v>16355.14019</v>
      </c>
      <c r="P1741" s="10">
        <f>'data on outstanding creditors'!$E1741-'data on outstanding creditors'!$O1741</f>
        <v>1144.859813</v>
      </c>
      <c r="Q1741" s="7">
        <f>DAY('data on outstanding creditors'!$B1741)</f>
        <v>1</v>
      </c>
      <c r="R1741" s="7">
        <f>MONTH('data on outstanding creditors'!$B1741)</f>
        <v>11</v>
      </c>
      <c r="S1741" s="7">
        <f>YEAR('data on outstanding creditors'!$B1741)</f>
        <v>2024</v>
      </c>
      <c r="T1741" s="11" t="str">
        <f>'data on outstanding creditors'!$C1741&amp;" "&amp;'data on outstanding creditors'!$D1741&amp;" "&amp;TEXT('data on outstanding creditors'!$E1741,"#,##0.00")</f>
        <v>บ.แอสเซ้นท์ เมดิคอล IV2024100183 17,500.00</v>
      </c>
      <c r="U1741" s="12"/>
    </row>
    <row r="1742" ht="13.5" customHeight="1">
      <c r="A1742" s="1"/>
      <c r="B1742" s="2">
        <v>45611.0</v>
      </c>
      <c r="C1742" s="9" t="s">
        <v>2292</v>
      </c>
      <c r="D1742" s="1" t="s">
        <v>2299</v>
      </c>
      <c r="E1742" s="4">
        <v>75840.0</v>
      </c>
      <c r="F1742" s="4"/>
      <c r="G1742" s="4"/>
      <c r="H1742" s="4">
        <f>'data on outstanding creditors'!$E1742-'data on outstanding creditors'!$F1742-'data on outstanding creditors'!$G1742</f>
        <v>75840</v>
      </c>
      <c r="I1742" s="2"/>
      <c r="J1742" s="1" t="s">
        <v>646</v>
      </c>
      <c r="K1742" s="2">
        <v>45700.0</v>
      </c>
      <c r="L1742" s="5"/>
      <c r="M1742" s="9" t="s">
        <v>43</v>
      </c>
      <c r="N1742" s="9" t="s">
        <v>23</v>
      </c>
      <c r="O1742" s="10">
        <f>'data on outstanding creditors'!$E1742*100/107</f>
        <v>70878.50467</v>
      </c>
      <c r="P1742" s="10">
        <f>'data on outstanding creditors'!$E1742-'data on outstanding creditors'!$O1742</f>
        <v>4961.495327</v>
      </c>
      <c r="Q1742" s="7">
        <f>DAY('data on outstanding creditors'!$B1742)</f>
        <v>15</v>
      </c>
      <c r="R1742" s="7">
        <f>MONTH('data on outstanding creditors'!$B1742)</f>
        <v>11</v>
      </c>
      <c r="S1742" s="7">
        <f>YEAR('data on outstanding creditors'!$B1742)</f>
        <v>2024</v>
      </c>
      <c r="T1742" s="11" t="str">
        <f>'data on outstanding creditors'!$C1742&amp;" "&amp;'data on outstanding creditors'!$D1742&amp;" "&amp;TEXT('data on outstanding creditors'!$E1742,"#,##0.00")</f>
        <v>บ.ไบโอคอททอน IV24011225 75,840.00</v>
      </c>
      <c r="U1742" s="12"/>
    </row>
    <row r="1743" ht="13.5" customHeight="1">
      <c r="A1743" s="1"/>
      <c r="B1743" s="2">
        <v>45616.0</v>
      </c>
      <c r="C1743" s="9" t="s">
        <v>2292</v>
      </c>
      <c r="D1743" s="1" t="s">
        <v>2300</v>
      </c>
      <c r="E1743" s="4">
        <v>7120.0</v>
      </c>
      <c r="F1743" s="4"/>
      <c r="G1743" s="4"/>
      <c r="H1743" s="4">
        <f>'data on outstanding creditors'!$E1743-'data on outstanding creditors'!$F1743-'data on outstanding creditors'!$G1743</f>
        <v>7120</v>
      </c>
      <c r="I1743" s="2"/>
      <c r="J1743" s="1" t="s">
        <v>646</v>
      </c>
      <c r="K1743" s="2">
        <v>45700.0</v>
      </c>
      <c r="L1743" s="5"/>
      <c r="M1743" s="9" t="s">
        <v>43</v>
      </c>
      <c r="N1743" s="9" t="s">
        <v>23</v>
      </c>
      <c r="O1743" s="10">
        <f>'data on outstanding creditors'!$E1743*100/107</f>
        <v>6654.205607</v>
      </c>
      <c r="P1743" s="10">
        <f>'data on outstanding creditors'!$E1743-'data on outstanding creditors'!$O1743</f>
        <v>465.7943925</v>
      </c>
      <c r="Q1743" s="7">
        <f>DAY('data on outstanding creditors'!$B1743)</f>
        <v>20</v>
      </c>
      <c r="R1743" s="7">
        <f>MONTH('data on outstanding creditors'!$B1743)</f>
        <v>11</v>
      </c>
      <c r="S1743" s="7">
        <f>YEAR('data on outstanding creditors'!$B1743)</f>
        <v>2024</v>
      </c>
      <c r="T1743" s="11" t="str">
        <f>'data on outstanding creditors'!$C1743&amp;" "&amp;'data on outstanding creditors'!$D1743&amp;" "&amp;TEXT('data on outstanding creditors'!$E1743,"#,##0.00")</f>
        <v>บ.ไบโอคอททอน IV24011337 7,120.00</v>
      </c>
      <c r="U1743" s="12"/>
    </row>
    <row r="1744" ht="13.5" customHeight="1">
      <c r="A1744" s="1"/>
      <c r="B1744" s="2">
        <v>45618.0</v>
      </c>
      <c r="C1744" s="9" t="s">
        <v>2301</v>
      </c>
      <c r="D1744" s="1" t="s">
        <v>2302</v>
      </c>
      <c r="E1744" s="4">
        <v>4600.0</v>
      </c>
      <c r="F1744" s="4"/>
      <c r="G1744" s="4"/>
      <c r="H1744" s="4">
        <f>'data on outstanding creditors'!$E1744-'data on outstanding creditors'!$F1744-'data on outstanding creditors'!$G1744</f>
        <v>4600</v>
      </c>
      <c r="I1744" s="2"/>
      <c r="J1744" s="1" t="s">
        <v>757</v>
      </c>
      <c r="K1744" s="2">
        <v>45665.0</v>
      </c>
      <c r="L1744" s="5"/>
      <c r="M1744" s="9" t="s">
        <v>43</v>
      </c>
      <c r="N1744" s="9" t="s">
        <v>23</v>
      </c>
      <c r="O1744" s="10">
        <f>'data on outstanding creditors'!$E1744*100/107</f>
        <v>4299.065421</v>
      </c>
      <c r="P1744" s="10">
        <f>'data on outstanding creditors'!$E1744-'data on outstanding creditors'!$O1744</f>
        <v>300.9345794</v>
      </c>
      <c r="Q1744" s="7">
        <f>DAY('data on outstanding creditors'!$B1744)</f>
        <v>22</v>
      </c>
      <c r="R1744" s="7">
        <f>MONTH('data on outstanding creditors'!$B1744)</f>
        <v>11</v>
      </c>
      <c r="S1744" s="7">
        <f>YEAR('data on outstanding creditors'!$B1744)</f>
        <v>2024</v>
      </c>
      <c r="T1744" s="11" t="str">
        <f>'data on outstanding creditors'!$C1744&amp;" "&amp;'data on outstanding creditors'!$D1744&amp;" "&amp;TEXT('data on outstanding creditors'!$E1744,"#,##0.00")</f>
        <v>บ.เค เค เมดิคอล 10770 4,600.00</v>
      </c>
      <c r="U1744" s="12"/>
    </row>
    <row r="1745" ht="13.5" customHeight="1">
      <c r="A1745" s="1"/>
      <c r="B1745" s="2">
        <v>45618.0</v>
      </c>
      <c r="C1745" s="9" t="s">
        <v>2294</v>
      </c>
      <c r="D1745" s="1" t="s">
        <v>2303</v>
      </c>
      <c r="E1745" s="4">
        <v>19550.0</v>
      </c>
      <c r="F1745" s="4"/>
      <c r="G1745" s="4"/>
      <c r="H1745" s="4">
        <f>'data on outstanding creditors'!$E1745-'data on outstanding creditors'!$F1745-'data on outstanding creditors'!$G1745</f>
        <v>19550</v>
      </c>
      <c r="I1745" s="2"/>
      <c r="J1745" s="1" t="s">
        <v>646</v>
      </c>
      <c r="K1745" s="2">
        <v>45815.0</v>
      </c>
      <c r="L1745" s="5"/>
      <c r="M1745" s="9" t="s">
        <v>43</v>
      </c>
      <c r="N1745" s="9" t="s">
        <v>23</v>
      </c>
      <c r="O1745" s="10">
        <f>'data on outstanding creditors'!$E1745*100/107</f>
        <v>18271.02804</v>
      </c>
      <c r="P1745" s="10">
        <f>'data on outstanding creditors'!$E1745-'data on outstanding creditors'!$O1745</f>
        <v>1278.971963</v>
      </c>
      <c r="Q1745" s="7">
        <f>DAY('data on outstanding creditors'!$B1745)</f>
        <v>22</v>
      </c>
      <c r="R1745" s="7">
        <f>MONTH('data on outstanding creditors'!$B1745)</f>
        <v>11</v>
      </c>
      <c r="S1745" s="7">
        <f>YEAR('data on outstanding creditors'!$B1745)</f>
        <v>2024</v>
      </c>
      <c r="T1745" s="11" t="str">
        <f>'data on outstanding creditors'!$C1745&amp;" "&amp;'data on outstanding creditors'!$D1745&amp;" "&amp;TEXT('data on outstanding creditors'!$E1745,"#,##0.00")</f>
        <v>บ.แอสเซ้นท์ เมดิคอล IV2024110089 19,550.00</v>
      </c>
      <c r="U1745" s="12"/>
    </row>
    <row r="1746" ht="13.5" customHeight="1">
      <c r="A1746" s="1"/>
      <c r="B1746" s="2">
        <v>45622.0</v>
      </c>
      <c r="C1746" s="9" t="s">
        <v>2296</v>
      </c>
      <c r="D1746" s="1" t="s">
        <v>2304</v>
      </c>
      <c r="E1746" s="4">
        <v>15000.0</v>
      </c>
      <c r="F1746" s="4"/>
      <c r="G1746" s="4"/>
      <c r="H1746" s="4">
        <f>'data on outstanding creditors'!$E1746-'data on outstanding creditors'!$F1746-'data on outstanding creditors'!$G1746</f>
        <v>15000</v>
      </c>
      <c r="I1746" s="2"/>
      <c r="J1746" s="1" t="s">
        <v>757</v>
      </c>
      <c r="K1746" s="2">
        <v>45670.0</v>
      </c>
      <c r="L1746" s="5"/>
      <c r="M1746" s="9" t="s">
        <v>43</v>
      </c>
      <c r="N1746" s="9" t="s">
        <v>49</v>
      </c>
      <c r="O1746" s="10">
        <f>'data on outstanding creditors'!$E1746*100/107</f>
        <v>14018.69159</v>
      </c>
      <c r="P1746" s="10">
        <f>'data on outstanding creditors'!$E1746-'data on outstanding creditors'!$O1746</f>
        <v>981.3084112</v>
      </c>
      <c r="Q1746" s="7">
        <f>DAY('data on outstanding creditors'!$B1746)</f>
        <v>26</v>
      </c>
      <c r="R1746" s="7">
        <f>MONTH('data on outstanding creditors'!$B1746)</f>
        <v>11</v>
      </c>
      <c r="S1746" s="7">
        <f>YEAR('data on outstanding creditors'!$B1746)</f>
        <v>2024</v>
      </c>
      <c r="T1746" s="11" t="str">
        <f>'data on outstanding creditors'!$C1746&amp;" "&amp;'data on outstanding creditors'!$D1746&amp;" "&amp;TEXT('data on outstanding creditors'!$E1746,"#,##0.00")</f>
        <v>บ.สคิปา เมด BL6711-00361 15,000.00</v>
      </c>
      <c r="U1746" s="12"/>
    </row>
    <row r="1747" ht="13.5" customHeight="1">
      <c r="A1747" s="1"/>
      <c r="B1747" s="2">
        <v>45623.0</v>
      </c>
      <c r="C1747" s="9" t="s">
        <v>2305</v>
      </c>
      <c r="D1747" s="1" t="s">
        <v>2306</v>
      </c>
      <c r="E1747" s="4">
        <v>14000.0</v>
      </c>
      <c r="F1747" s="4"/>
      <c r="G1747" s="4"/>
      <c r="H1747" s="4">
        <f>'data on outstanding creditors'!$E1747-'data on outstanding creditors'!$F1747-'data on outstanding creditors'!$G1747</f>
        <v>14000</v>
      </c>
      <c r="I1747" s="2"/>
      <c r="J1747" s="1" t="s">
        <v>646</v>
      </c>
      <c r="K1747" s="2">
        <v>45866.0</v>
      </c>
      <c r="L1747" s="5"/>
      <c r="M1747" s="9" t="s">
        <v>43</v>
      </c>
      <c r="N1747" s="9" t="s">
        <v>49</v>
      </c>
      <c r="O1747" s="10">
        <f>'data on outstanding creditors'!$E1747*100/107</f>
        <v>13084.11215</v>
      </c>
      <c r="P1747" s="10">
        <f>'data on outstanding creditors'!$E1747-'data on outstanding creditors'!$O1747</f>
        <v>915.8878505</v>
      </c>
      <c r="Q1747" s="7">
        <f>DAY('data on outstanding creditors'!$B1747)</f>
        <v>27</v>
      </c>
      <c r="R1747" s="7">
        <f>MONTH('data on outstanding creditors'!$B1747)</f>
        <v>11</v>
      </c>
      <c r="S1747" s="7">
        <f>YEAR('data on outstanding creditors'!$B1747)</f>
        <v>2024</v>
      </c>
      <c r="T1747" s="11" t="str">
        <f>'data on outstanding creditors'!$C1747&amp;" "&amp;'data on outstanding creditors'!$D1747&amp;" "&amp;TEXT('data on outstanding creditors'!$E1747,"#,##0.00")</f>
        <v>บ.ฟิวเจอร์ เมดิคอล ซัพพลาย IV6711-178 14,000.00</v>
      </c>
      <c r="U1747" s="12"/>
    </row>
    <row r="1748" ht="13.5" customHeight="1">
      <c r="A1748" s="1" t="s">
        <v>2307</v>
      </c>
      <c r="B1748" s="2">
        <v>45623.0</v>
      </c>
      <c r="C1748" s="9" t="s">
        <v>2281</v>
      </c>
      <c r="D1748" s="1" t="s">
        <v>2308</v>
      </c>
      <c r="E1748" s="4">
        <v>73600.0</v>
      </c>
      <c r="F1748" s="4"/>
      <c r="G1748" s="4"/>
      <c r="H1748" s="4">
        <f>'data on outstanding creditors'!$E1748-'data on outstanding creditors'!$F1748-'data on outstanding creditors'!$G1748</f>
        <v>73600</v>
      </c>
      <c r="I1748" s="2"/>
      <c r="J1748" s="1" t="s">
        <v>646</v>
      </c>
      <c r="K1748" s="2">
        <v>45843.0</v>
      </c>
      <c r="L1748" s="5"/>
      <c r="M1748" s="9" t="s">
        <v>43</v>
      </c>
      <c r="N1748" s="9" t="s">
        <v>44</v>
      </c>
      <c r="O1748" s="10">
        <f>'data on outstanding creditors'!$E1748*100/107</f>
        <v>68785.04673</v>
      </c>
      <c r="P1748" s="10">
        <f>'data on outstanding creditors'!$E1748-'data on outstanding creditors'!$O1748</f>
        <v>4814.953271</v>
      </c>
      <c r="Q1748" s="7">
        <f>DAY('data on outstanding creditors'!$B1748)</f>
        <v>27</v>
      </c>
      <c r="R1748" s="7">
        <f>MONTH('data on outstanding creditors'!$B1748)</f>
        <v>11</v>
      </c>
      <c r="S1748" s="7">
        <f>YEAR('data on outstanding creditors'!$B1748)</f>
        <v>2024</v>
      </c>
      <c r="T1748" s="11" t="str">
        <f>'data on outstanding creditors'!$C1748&amp;" "&amp;'data on outstanding creditors'!$D1748&amp;" "&amp;TEXT('data on outstanding creditors'!$E1748,"#,##0.00")</f>
        <v>หจก.พีเอส เมทริก IH2410014 73,600.00</v>
      </c>
      <c r="U1748" s="12"/>
    </row>
    <row r="1749" ht="13.5" customHeight="1">
      <c r="A1749" s="1"/>
      <c r="B1749" s="2">
        <v>45625.0</v>
      </c>
      <c r="C1749" s="9" t="s">
        <v>2294</v>
      </c>
      <c r="D1749" s="1" t="s">
        <v>2309</v>
      </c>
      <c r="E1749" s="4">
        <v>4500.0</v>
      </c>
      <c r="F1749" s="4"/>
      <c r="G1749" s="4"/>
      <c r="H1749" s="4">
        <f>'data on outstanding creditors'!$E1749-'data on outstanding creditors'!$F1749-'data on outstanding creditors'!$G1749</f>
        <v>4500</v>
      </c>
      <c r="I1749" s="2"/>
      <c r="J1749" s="1" t="s">
        <v>646</v>
      </c>
      <c r="K1749" s="2">
        <v>45815.0</v>
      </c>
      <c r="L1749" s="5"/>
      <c r="M1749" s="9" t="s">
        <v>43</v>
      </c>
      <c r="N1749" s="9" t="s">
        <v>23</v>
      </c>
      <c r="O1749" s="10">
        <f>'data on outstanding creditors'!$E1749*100/107</f>
        <v>4205.607477</v>
      </c>
      <c r="P1749" s="10">
        <f>'data on outstanding creditors'!$E1749-'data on outstanding creditors'!$O1749</f>
        <v>294.3925234</v>
      </c>
      <c r="Q1749" s="7">
        <f>DAY('data on outstanding creditors'!$B1749)</f>
        <v>29</v>
      </c>
      <c r="R1749" s="7">
        <f>MONTH('data on outstanding creditors'!$B1749)</f>
        <v>11</v>
      </c>
      <c r="S1749" s="7">
        <f>YEAR('data on outstanding creditors'!$B1749)</f>
        <v>2024</v>
      </c>
      <c r="T1749" s="11" t="str">
        <f>'data on outstanding creditors'!$C1749&amp;" "&amp;'data on outstanding creditors'!$D1749&amp;" "&amp;TEXT('data on outstanding creditors'!$E1749,"#,##0.00")</f>
        <v>บ.แอสเซ้นท์ เมดิคอล IV2024110232 4,500.00</v>
      </c>
      <c r="U1749" s="12"/>
    </row>
    <row r="1750" ht="13.5" customHeight="1">
      <c r="A1750" s="1"/>
      <c r="B1750" s="2">
        <v>45629.0</v>
      </c>
      <c r="C1750" s="9" t="s">
        <v>2310</v>
      </c>
      <c r="D1750" s="1" t="s">
        <v>2311</v>
      </c>
      <c r="E1750" s="4">
        <v>37500.0</v>
      </c>
      <c r="F1750" s="4"/>
      <c r="G1750" s="4"/>
      <c r="H1750" s="4">
        <f>'data on outstanding creditors'!$E1750-'data on outstanding creditors'!$F1750-'data on outstanding creditors'!$G1750</f>
        <v>37500</v>
      </c>
      <c r="I1750" s="2"/>
      <c r="J1750" s="1" t="s">
        <v>646</v>
      </c>
      <c r="K1750" s="2">
        <v>45877.0</v>
      </c>
      <c r="L1750" s="5"/>
      <c r="M1750" s="9" t="s">
        <v>43</v>
      </c>
      <c r="N1750" s="9" t="s">
        <v>49</v>
      </c>
      <c r="O1750" s="10">
        <f>'data on outstanding creditors'!$E1750*100/107</f>
        <v>35046.72897</v>
      </c>
      <c r="P1750" s="10">
        <f>'data on outstanding creditors'!$E1750-'data on outstanding creditors'!$O1750</f>
        <v>2453.271028</v>
      </c>
      <c r="Q1750" s="7">
        <f>DAY('data on outstanding creditors'!$B1750)</f>
        <v>3</v>
      </c>
      <c r="R1750" s="7">
        <f>MONTH('data on outstanding creditors'!$B1750)</f>
        <v>12</v>
      </c>
      <c r="S1750" s="7">
        <f>YEAR('data on outstanding creditors'!$B1750)</f>
        <v>2024</v>
      </c>
      <c r="T1750" s="11" t="str">
        <f>'data on outstanding creditors'!$C1750&amp;" "&amp;'data on outstanding creditors'!$D1750&amp;" "&amp;TEXT('data on outstanding creditors'!$E1750,"#,##0.00")</f>
        <v>บ.เอ็นจี โปรเกรสซีฟ 012.12.67 37,500.00</v>
      </c>
      <c r="U1750" s="12"/>
    </row>
    <row r="1751" ht="13.5" customHeight="1">
      <c r="A1751" s="1"/>
      <c r="B1751" s="2">
        <v>45630.0</v>
      </c>
      <c r="C1751" s="9" t="s">
        <v>2312</v>
      </c>
      <c r="D1751" s="1" t="s">
        <v>2313</v>
      </c>
      <c r="E1751" s="4">
        <v>18750.0</v>
      </c>
      <c r="F1751" s="4"/>
      <c r="G1751" s="4"/>
      <c r="H1751" s="4">
        <f>'data on outstanding creditors'!$E1751-'data on outstanding creditors'!$F1751-'data on outstanding creditors'!$G1751</f>
        <v>18750</v>
      </c>
      <c r="I1751" s="2"/>
      <c r="J1751" s="1" t="s">
        <v>646</v>
      </c>
      <c r="K1751" s="2">
        <v>45827.0</v>
      </c>
      <c r="L1751" s="5"/>
      <c r="M1751" s="9" t="s">
        <v>43</v>
      </c>
      <c r="N1751" s="9" t="s">
        <v>49</v>
      </c>
      <c r="O1751" s="10">
        <f>'data on outstanding creditors'!$E1751*100/107</f>
        <v>17523.36449</v>
      </c>
      <c r="P1751" s="10">
        <f>'data on outstanding creditors'!$E1751-'data on outstanding creditors'!$O1751</f>
        <v>1226.635514</v>
      </c>
      <c r="Q1751" s="7">
        <f>DAY('data on outstanding creditors'!$B1751)</f>
        <v>4</v>
      </c>
      <c r="R1751" s="7">
        <f>MONTH('data on outstanding creditors'!$B1751)</f>
        <v>12</v>
      </c>
      <c r="S1751" s="7">
        <f>YEAR('data on outstanding creditors'!$B1751)</f>
        <v>2024</v>
      </c>
      <c r="T1751" s="11" t="str">
        <f>'data on outstanding creditors'!$C1751&amp;" "&amp;'data on outstanding creditors'!$D1751&amp;" "&amp;TEXT('data on outstanding creditors'!$E1751,"#,##0.00")</f>
        <v>บ.สเตอลีน เฮลท์ SH5776 18,750.00</v>
      </c>
      <c r="U1751" s="12"/>
    </row>
    <row r="1752" ht="13.5" customHeight="1">
      <c r="A1752" s="1"/>
      <c r="B1752" s="2">
        <v>45632.0</v>
      </c>
      <c r="C1752" s="9" t="s">
        <v>2275</v>
      </c>
      <c r="D1752" s="1" t="s">
        <v>2314</v>
      </c>
      <c r="E1752" s="4">
        <v>22500.0</v>
      </c>
      <c r="F1752" s="4"/>
      <c r="G1752" s="4"/>
      <c r="H1752" s="4">
        <f>'data on outstanding creditors'!$E1752-'data on outstanding creditors'!$F1752-'data on outstanding creditors'!$G1752</f>
        <v>22500</v>
      </c>
      <c r="I1752" s="2"/>
      <c r="J1752" s="1" t="s">
        <v>646</v>
      </c>
      <c r="K1752" s="2">
        <v>45877.0</v>
      </c>
      <c r="L1752" s="5"/>
      <c r="M1752" s="9" t="s">
        <v>43</v>
      </c>
      <c r="N1752" s="9" t="s">
        <v>49</v>
      </c>
      <c r="O1752" s="10">
        <f>'data on outstanding creditors'!$E1752*100/107</f>
        <v>21028.03738</v>
      </c>
      <c r="P1752" s="10">
        <f>'data on outstanding creditors'!$E1752-'data on outstanding creditors'!$O1752</f>
        <v>1471.962617</v>
      </c>
      <c r="Q1752" s="7">
        <f>DAY('data on outstanding creditors'!$B1752)</f>
        <v>6</v>
      </c>
      <c r="R1752" s="7">
        <f>MONTH('data on outstanding creditors'!$B1752)</f>
        <v>12</v>
      </c>
      <c r="S1752" s="7">
        <f>YEAR('data on outstanding creditors'!$B1752)</f>
        <v>2024</v>
      </c>
      <c r="T1752" s="11" t="str">
        <f>'data on outstanding creditors'!$C1752&amp;" "&amp;'data on outstanding creditors'!$D1752&amp;" "&amp;TEXT('data on outstanding creditors'!$E1752,"#,##0.00")</f>
        <v>บ.ยู.พี.เมดิคอล ซอลเตอร์ 673758 22,500.00</v>
      </c>
      <c r="U1752" s="12"/>
    </row>
    <row r="1753" ht="13.5" customHeight="1">
      <c r="A1753" s="1"/>
      <c r="B1753" s="2">
        <v>45632.0</v>
      </c>
      <c r="C1753" s="9" t="s">
        <v>2315</v>
      </c>
      <c r="D1753" s="1" t="s">
        <v>2316</v>
      </c>
      <c r="E1753" s="4">
        <v>55950.0</v>
      </c>
      <c r="F1753" s="4"/>
      <c r="G1753" s="4"/>
      <c r="H1753" s="4">
        <f>'data on outstanding creditors'!$E1753-'data on outstanding creditors'!$F1753-'data on outstanding creditors'!$G1753</f>
        <v>55950</v>
      </c>
      <c r="I1753" s="2"/>
      <c r="J1753" s="1" t="s">
        <v>646</v>
      </c>
      <c r="K1753" s="2">
        <v>45889.0</v>
      </c>
      <c r="L1753" s="5"/>
      <c r="M1753" s="9" t="s">
        <v>43</v>
      </c>
      <c r="N1753" s="9" t="s">
        <v>49</v>
      </c>
      <c r="O1753" s="10">
        <f>'data on outstanding creditors'!$E1753*100/107</f>
        <v>52289.71963</v>
      </c>
      <c r="P1753" s="10">
        <f>'data on outstanding creditors'!$E1753-'data on outstanding creditors'!$O1753</f>
        <v>3660.280374</v>
      </c>
      <c r="Q1753" s="7">
        <f>DAY('data on outstanding creditors'!$B1753)</f>
        <v>6</v>
      </c>
      <c r="R1753" s="7">
        <f>MONTH('data on outstanding creditors'!$B1753)</f>
        <v>12</v>
      </c>
      <c r="S1753" s="7">
        <f>YEAR('data on outstanding creditors'!$B1753)</f>
        <v>2024</v>
      </c>
      <c r="T1753" s="11" t="str">
        <f>'data on outstanding creditors'!$C1753&amp;" "&amp;'data on outstanding creditors'!$D1753&amp;" "&amp;TEXT('data on outstanding creditors'!$E1753,"#,##0.00")</f>
        <v>บ.เรียลเมดคอร์ป IV24120363 55,950.00</v>
      </c>
      <c r="U1753" s="12"/>
    </row>
    <row r="1754" ht="13.5" customHeight="1">
      <c r="A1754" s="1"/>
      <c r="B1754" s="2">
        <v>45635.0</v>
      </c>
      <c r="C1754" s="9" t="s">
        <v>2317</v>
      </c>
      <c r="D1754" s="1" t="s">
        <v>2318</v>
      </c>
      <c r="E1754" s="4">
        <v>52400.0</v>
      </c>
      <c r="F1754" s="4"/>
      <c r="G1754" s="4"/>
      <c r="H1754" s="4">
        <f>'data on outstanding creditors'!$E1754-'data on outstanding creditors'!$F1754-'data on outstanding creditors'!$G1754</f>
        <v>52400</v>
      </c>
      <c r="I1754" s="2"/>
      <c r="J1754" s="1" t="s">
        <v>646</v>
      </c>
      <c r="K1754" s="2">
        <v>45843.0</v>
      </c>
      <c r="L1754" s="5"/>
      <c r="M1754" s="9" t="s">
        <v>43</v>
      </c>
      <c r="N1754" s="9" t="s">
        <v>49</v>
      </c>
      <c r="O1754" s="10">
        <f>'data on outstanding creditors'!$E1754*100/107</f>
        <v>48971.96262</v>
      </c>
      <c r="P1754" s="10">
        <f>'data on outstanding creditors'!$E1754-'data on outstanding creditors'!$O1754</f>
        <v>3428.037383</v>
      </c>
      <c r="Q1754" s="7">
        <f>DAY('data on outstanding creditors'!$B1754)</f>
        <v>9</v>
      </c>
      <c r="R1754" s="7">
        <f>MONTH('data on outstanding creditors'!$B1754)</f>
        <v>12</v>
      </c>
      <c r="S1754" s="7">
        <f>YEAR('data on outstanding creditors'!$B1754)</f>
        <v>2024</v>
      </c>
      <c r="T1754" s="11" t="str">
        <f>'data on outstanding creditors'!$C1754&amp;" "&amp;'data on outstanding creditors'!$D1754&amp;" "&amp;TEXT('data on outstanding creditors'!$E1754,"#,##0.00")</f>
        <v>บ.เซอจิ-แคร์ A670806 52,400.00</v>
      </c>
      <c r="U1754" s="12"/>
    </row>
    <row r="1755" ht="13.5" customHeight="1">
      <c r="A1755" s="1"/>
      <c r="B1755" s="2">
        <v>45635.0</v>
      </c>
      <c r="C1755" s="9" t="s">
        <v>2317</v>
      </c>
      <c r="D1755" s="1" t="s">
        <v>2319</v>
      </c>
      <c r="E1755" s="4">
        <v>178800.0</v>
      </c>
      <c r="F1755" s="4"/>
      <c r="G1755" s="4"/>
      <c r="H1755" s="4">
        <f>'data on outstanding creditors'!$E1755-'data on outstanding creditors'!$F1755-'data on outstanding creditors'!$G1755</f>
        <v>178800</v>
      </c>
      <c r="I1755" s="2"/>
      <c r="J1755" s="1" t="s">
        <v>646</v>
      </c>
      <c r="K1755" s="2">
        <v>45843.0</v>
      </c>
      <c r="L1755" s="5"/>
      <c r="M1755" s="9" t="s">
        <v>43</v>
      </c>
      <c r="N1755" s="9" t="s">
        <v>49</v>
      </c>
      <c r="O1755" s="10">
        <f>'data on outstanding creditors'!$E1755*100/107</f>
        <v>167102.8037</v>
      </c>
      <c r="P1755" s="10">
        <f>'data on outstanding creditors'!$E1755-'data on outstanding creditors'!$O1755</f>
        <v>11697.19626</v>
      </c>
      <c r="Q1755" s="7">
        <f>DAY('data on outstanding creditors'!$B1755)</f>
        <v>9</v>
      </c>
      <c r="R1755" s="7">
        <f>MONTH('data on outstanding creditors'!$B1755)</f>
        <v>12</v>
      </c>
      <c r="S1755" s="7">
        <f>YEAR('data on outstanding creditors'!$B1755)</f>
        <v>2024</v>
      </c>
      <c r="T1755" s="11" t="str">
        <f>'data on outstanding creditors'!$C1755&amp;" "&amp;'data on outstanding creditors'!$D1755&amp;" "&amp;TEXT('data on outstanding creditors'!$E1755,"#,##0.00")</f>
        <v>บ.เซอจิ-แคร์ A670805 178,800.00</v>
      </c>
      <c r="U1755" s="12"/>
    </row>
    <row r="1756" ht="13.5" customHeight="1">
      <c r="A1756" s="1"/>
      <c r="B1756" s="2">
        <v>45635.0</v>
      </c>
      <c r="C1756" s="9" t="s">
        <v>2320</v>
      </c>
      <c r="D1756" s="1" t="s">
        <v>2321</v>
      </c>
      <c r="E1756" s="4">
        <v>4050.0</v>
      </c>
      <c r="F1756" s="4"/>
      <c r="G1756" s="4"/>
      <c r="H1756" s="4">
        <f>'data on outstanding creditors'!$E1756-'data on outstanding creditors'!$F1756-'data on outstanding creditors'!$G1756</f>
        <v>4050</v>
      </c>
      <c r="I1756" s="2"/>
      <c r="J1756" s="1" t="s">
        <v>646</v>
      </c>
      <c r="K1756" s="2">
        <v>45928.0</v>
      </c>
      <c r="L1756" s="5"/>
      <c r="M1756" s="9" t="s">
        <v>43</v>
      </c>
      <c r="N1756" s="9" t="s">
        <v>49</v>
      </c>
      <c r="O1756" s="10">
        <f>'data on outstanding creditors'!$E1756*100/107</f>
        <v>3785.046729</v>
      </c>
      <c r="P1756" s="10">
        <f>'data on outstanding creditors'!$E1756-'data on outstanding creditors'!$O1756</f>
        <v>264.953271</v>
      </c>
      <c r="Q1756" s="7">
        <f>DAY('data on outstanding creditors'!$B1756)</f>
        <v>9</v>
      </c>
      <c r="R1756" s="7">
        <f>MONTH('data on outstanding creditors'!$B1756)</f>
        <v>12</v>
      </c>
      <c r="S1756" s="7">
        <f>YEAR('data on outstanding creditors'!$B1756)</f>
        <v>2024</v>
      </c>
      <c r="T1756" s="11" t="str">
        <f>'data on outstanding creditors'!$C1756&amp;" "&amp;'data on outstanding creditors'!$D1756&amp;" "&amp;TEXT('data on outstanding creditors'!$E1756,"#,##0.00")</f>
        <v>บ.เทคโนเมดิคัล 24120438 4,050.00</v>
      </c>
      <c r="U1756" s="12"/>
    </row>
    <row r="1757" ht="13.5" customHeight="1">
      <c r="A1757" s="1"/>
      <c r="B1757" s="2">
        <v>45635.0</v>
      </c>
      <c r="C1757" s="9" t="s">
        <v>2275</v>
      </c>
      <c r="D1757" s="1" t="s">
        <v>2322</v>
      </c>
      <c r="E1757" s="4">
        <v>48500.0</v>
      </c>
      <c r="F1757" s="4"/>
      <c r="G1757" s="4"/>
      <c r="H1757" s="4">
        <f>'data on outstanding creditors'!$E1757-'data on outstanding creditors'!$F1757-'data on outstanding creditors'!$G1757</f>
        <v>48500</v>
      </c>
      <c r="I1757" s="2"/>
      <c r="J1757" s="1" t="s">
        <v>646</v>
      </c>
      <c r="K1757" s="2">
        <v>45877.0</v>
      </c>
      <c r="L1757" s="5"/>
      <c r="M1757" s="9" t="s">
        <v>43</v>
      </c>
      <c r="N1757" s="9" t="s">
        <v>49</v>
      </c>
      <c r="O1757" s="10">
        <f>'data on outstanding creditors'!$E1757*100/107</f>
        <v>45327.1028</v>
      </c>
      <c r="P1757" s="10">
        <f>'data on outstanding creditors'!$E1757-'data on outstanding creditors'!$O1757</f>
        <v>3172.897196</v>
      </c>
      <c r="Q1757" s="7">
        <f>DAY('data on outstanding creditors'!$B1757)</f>
        <v>9</v>
      </c>
      <c r="R1757" s="7">
        <f>MONTH('data on outstanding creditors'!$B1757)</f>
        <v>12</v>
      </c>
      <c r="S1757" s="7">
        <f>YEAR('data on outstanding creditors'!$B1757)</f>
        <v>2024</v>
      </c>
      <c r="T1757" s="11" t="str">
        <f>'data on outstanding creditors'!$C1757&amp;" "&amp;'data on outstanding creditors'!$D1757&amp;" "&amp;TEXT('data on outstanding creditors'!$E1757,"#,##0.00")</f>
        <v>บ.ยู.พี.เมดิคอล ซอลเตอร์ 673788 48,500.00</v>
      </c>
      <c r="U1757" s="12"/>
    </row>
    <row r="1758" ht="13.5" customHeight="1">
      <c r="A1758" s="1"/>
      <c r="B1758" s="2">
        <v>45637.0</v>
      </c>
      <c r="C1758" s="9" t="s">
        <v>2323</v>
      </c>
      <c r="D1758" s="1" t="s">
        <v>2324</v>
      </c>
      <c r="E1758" s="4">
        <v>33000.0</v>
      </c>
      <c r="F1758" s="4"/>
      <c r="G1758" s="4"/>
      <c r="H1758" s="4">
        <f>'data on outstanding creditors'!$E1758-'data on outstanding creditors'!$F1758-'data on outstanding creditors'!$G1758</f>
        <v>33000</v>
      </c>
      <c r="I1758" s="2"/>
      <c r="J1758" s="1" t="s">
        <v>757</v>
      </c>
      <c r="K1758" s="2">
        <v>45756.0</v>
      </c>
      <c r="L1758" s="5"/>
      <c r="M1758" s="9" t="s">
        <v>43</v>
      </c>
      <c r="N1758" s="9" t="s">
        <v>49</v>
      </c>
      <c r="O1758" s="10">
        <f>'data on outstanding creditors'!$E1758*100/107</f>
        <v>30841.1215</v>
      </c>
      <c r="P1758" s="10">
        <f>'data on outstanding creditors'!$E1758-'data on outstanding creditors'!$O1758</f>
        <v>2158.878505</v>
      </c>
      <c r="Q1758" s="7">
        <f>DAY('data on outstanding creditors'!$B1758)</f>
        <v>11</v>
      </c>
      <c r="R1758" s="7">
        <f>MONTH('data on outstanding creditors'!$B1758)</f>
        <v>12</v>
      </c>
      <c r="S1758" s="7">
        <f>YEAR('data on outstanding creditors'!$B1758)</f>
        <v>2024</v>
      </c>
      <c r="T1758" s="11" t="str">
        <f>'data on outstanding creditors'!$C1758&amp;" "&amp;'data on outstanding creditors'!$D1758&amp;" "&amp;TEXT('data on outstanding creditors'!$E1758,"#,##0.00")</f>
        <v>บ.ไซเอนซ์ เมด SM67/1208070 33,000.00</v>
      </c>
      <c r="U1758" s="12"/>
    </row>
    <row r="1759" ht="13.5" customHeight="1">
      <c r="A1759" s="1"/>
      <c r="B1759" s="2">
        <v>45638.0</v>
      </c>
      <c r="C1759" s="9" t="s">
        <v>2325</v>
      </c>
      <c r="D1759" s="1" t="s">
        <v>2326</v>
      </c>
      <c r="E1759" s="4">
        <v>650.0</v>
      </c>
      <c r="F1759" s="4"/>
      <c r="G1759" s="4"/>
      <c r="H1759" s="4">
        <f>'data on outstanding creditors'!$E1759-'data on outstanding creditors'!$F1759-'data on outstanding creditors'!$G1759</f>
        <v>650</v>
      </c>
      <c r="I1759" s="2"/>
      <c r="J1759" s="1" t="s">
        <v>757</v>
      </c>
      <c r="K1759" s="2">
        <v>45765.0</v>
      </c>
      <c r="L1759" s="5"/>
      <c r="M1759" s="9" t="s">
        <v>43</v>
      </c>
      <c r="N1759" s="9" t="s">
        <v>49</v>
      </c>
      <c r="O1759" s="10">
        <f>'data on outstanding creditors'!$E1759*100/107</f>
        <v>607.4766355</v>
      </c>
      <c r="P1759" s="10">
        <f>'data on outstanding creditors'!$E1759-'data on outstanding creditors'!$O1759</f>
        <v>42.52336449</v>
      </c>
      <c r="Q1759" s="7">
        <f>DAY('data on outstanding creditors'!$B1759)</f>
        <v>12</v>
      </c>
      <c r="R1759" s="7">
        <f>MONTH('data on outstanding creditors'!$B1759)</f>
        <v>12</v>
      </c>
      <c r="S1759" s="7">
        <f>YEAR('data on outstanding creditors'!$B1759)</f>
        <v>2024</v>
      </c>
      <c r="T1759" s="11" t="str">
        <f>'data on outstanding creditors'!$C1759&amp;" "&amp;'data on outstanding creditors'!$D1759&amp;" "&amp;TEXT('data on outstanding creditors'!$E1759,"#,##0.00")</f>
        <v>บ.ดีริช เมดิคอล IN-671206001 650.00</v>
      </c>
      <c r="U1759" s="12"/>
    </row>
    <row r="1760" ht="13.5" customHeight="1">
      <c r="A1760" s="1"/>
      <c r="B1760" s="2">
        <v>45638.0</v>
      </c>
      <c r="C1760" s="9" t="s">
        <v>2325</v>
      </c>
      <c r="D1760" s="1" t="s">
        <v>2327</v>
      </c>
      <c r="E1760" s="4">
        <v>1380.0</v>
      </c>
      <c r="F1760" s="4"/>
      <c r="G1760" s="4"/>
      <c r="H1760" s="4">
        <f>'data on outstanding creditors'!$E1760-'data on outstanding creditors'!$F1760-'data on outstanding creditors'!$G1760</f>
        <v>1380</v>
      </c>
      <c r="I1760" s="2"/>
      <c r="J1760" s="1" t="s">
        <v>757</v>
      </c>
      <c r="K1760" s="2">
        <v>45785.0</v>
      </c>
      <c r="L1760" s="5"/>
      <c r="M1760" s="9" t="s">
        <v>43</v>
      </c>
      <c r="N1760" s="9" t="s">
        <v>49</v>
      </c>
      <c r="O1760" s="10">
        <f>'data on outstanding creditors'!$E1760*100/107</f>
        <v>1289.719626</v>
      </c>
      <c r="P1760" s="10">
        <f>'data on outstanding creditors'!$E1760-'data on outstanding creditors'!$O1760</f>
        <v>90.28037383</v>
      </c>
      <c r="Q1760" s="7">
        <f>DAY('data on outstanding creditors'!$B1760)</f>
        <v>12</v>
      </c>
      <c r="R1760" s="7">
        <f>MONTH('data on outstanding creditors'!$B1760)</f>
        <v>12</v>
      </c>
      <c r="S1760" s="7">
        <f>YEAR('data on outstanding creditors'!$B1760)</f>
        <v>2024</v>
      </c>
      <c r="T1760" s="11" t="str">
        <f>'data on outstanding creditors'!$C1760&amp;" "&amp;'data on outstanding creditors'!$D1760&amp;" "&amp;TEXT('data on outstanding creditors'!$E1760,"#,##0.00")</f>
        <v>บ.ดีริช เมดิคอล IN-671205003 1,380.00</v>
      </c>
      <c r="U1760" s="12"/>
    </row>
    <row r="1761" ht="13.5" customHeight="1">
      <c r="A1761" s="1"/>
      <c r="B1761" s="2">
        <v>45639.0</v>
      </c>
      <c r="C1761" s="9" t="s">
        <v>2328</v>
      </c>
      <c r="D1761" s="1" t="s">
        <v>2329</v>
      </c>
      <c r="E1761" s="4">
        <v>35310.0</v>
      </c>
      <c r="F1761" s="4"/>
      <c r="G1761" s="4"/>
      <c r="H1761" s="4">
        <f>'data on outstanding creditors'!$E1761-'data on outstanding creditors'!$F1761-'data on outstanding creditors'!$G1761</f>
        <v>35310</v>
      </c>
      <c r="I1761" s="2"/>
      <c r="J1761" s="1" t="s">
        <v>646</v>
      </c>
      <c r="K1761" s="2">
        <v>45843.0</v>
      </c>
      <c r="L1761" s="5"/>
      <c r="M1761" s="9" t="s">
        <v>43</v>
      </c>
      <c r="N1761" s="9" t="s">
        <v>49</v>
      </c>
      <c r="O1761" s="10">
        <f>'data on outstanding creditors'!$E1761*100/107</f>
        <v>33000</v>
      </c>
      <c r="P1761" s="10">
        <f>'data on outstanding creditors'!$E1761-'data on outstanding creditors'!$O1761</f>
        <v>2310</v>
      </c>
      <c r="Q1761" s="7">
        <f>DAY('data on outstanding creditors'!$B1761)</f>
        <v>13</v>
      </c>
      <c r="R1761" s="7">
        <f>MONTH('data on outstanding creditors'!$B1761)</f>
        <v>12</v>
      </c>
      <c r="S1761" s="7">
        <f>YEAR('data on outstanding creditors'!$B1761)</f>
        <v>2024</v>
      </c>
      <c r="T1761" s="11" t="str">
        <f>'data on outstanding creditors'!$C1761&amp;" "&amp;'data on outstanding creditors'!$D1761&amp;" "&amp;TEXT('data on outstanding creditors'!$E1761,"#,##0.00")</f>
        <v>บ.ทีอาร์บี เชอร์เม็ดดิก้า(ประเทศไทย) TRB08091/67 35,310.00</v>
      </c>
      <c r="U1761" s="12"/>
    </row>
    <row r="1762" ht="13.5" customHeight="1">
      <c r="A1762" s="1"/>
      <c r="B1762" s="2">
        <v>45642.0</v>
      </c>
      <c r="C1762" s="9" t="s">
        <v>2330</v>
      </c>
      <c r="D1762" s="1" t="s">
        <v>2331</v>
      </c>
      <c r="E1762" s="4">
        <v>2700.0</v>
      </c>
      <c r="F1762" s="4"/>
      <c r="G1762" s="4"/>
      <c r="H1762" s="4">
        <f>'data on outstanding creditors'!$E1762-'data on outstanding creditors'!$F1762-'data on outstanding creditors'!$G1762</f>
        <v>2700</v>
      </c>
      <c r="I1762" s="2"/>
      <c r="J1762" s="1" t="s">
        <v>646</v>
      </c>
      <c r="K1762" s="2">
        <v>45843.0</v>
      </c>
      <c r="L1762" s="5"/>
      <c r="M1762" s="9" t="s">
        <v>43</v>
      </c>
      <c r="N1762" s="9" t="s">
        <v>49</v>
      </c>
      <c r="O1762" s="10">
        <f>'data on outstanding creditors'!$E1762*100/107</f>
        <v>2523.364486</v>
      </c>
      <c r="P1762" s="10">
        <f>'data on outstanding creditors'!$E1762-'data on outstanding creditors'!$O1762</f>
        <v>176.635514</v>
      </c>
      <c r="Q1762" s="7">
        <f>DAY('data on outstanding creditors'!$B1762)</f>
        <v>16</v>
      </c>
      <c r="R1762" s="7">
        <f>MONTH('data on outstanding creditors'!$B1762)</f>
        <v>12</v>
      </c>
      <c r="S1762" s="7">
        <f>YEAR('data on outstanding creditors'!$B1762)</f>
        <v>2024</v>
      </c>
      <c r="T1762" s="11" t="str">
        <f>'data on outstanding creditors'!$C1762&amp;" "&amp;'data on outstanding creditors'!$D1762&amp;" "&amp;TEXT('data on outstanding creditors'!$E1762,"#,##0.00")</f>
        <v>บ.อี ฟอร์ แอล เอม M6712-0333 2,700.00</v>
      </c>
      <c r="U1762" s="12"/>
    </row>
    <row r="1763" ht="13.5" customHeight="1">
      <c r="A1763" s="1"/>
      <c r="B1763" s="2">
        <v>45642.0</v>
      </c>
      <c r="C1763" s="9" t="s">
        <v>2294</v>
      </c>
      <c r="D1763" s="1" t="s">
        <v>2332</v>
      </c>
      <c r="E1763" s="4">
        <v>6200.0</v>
      </c>
      <c r="F1763" s="4"/>
      <c r="G1763" s="4"/>
      <c r="H1763" s="4">
        <f>'data on outstanding creditors'!$E1763-'data on outstanding creditors'!$F1763-'data on outstanding creditors'!$G1763</f>
        <v>6200</v>
      </c>
      <c r="I1763" s="2"/>
      <c r="J1763" s="1" t="s">
        <v>646</v>
      </c>
      <c r="K1763" s="2">
        <v>45815.0</v>
      </c>
      <c r="L1763" s="5"/>
      <c r="M1763" s="9" t="s">
        <v>43</v>
      </c>
      <c r="N1763" s="9" t="s">
        <v>23</v>
      </c>
      <c r="O1763" s="10">
        <f>'data on outstanding creditors'!$E1763*100/107</f>
        <v>5794.392523</v>
      </c>
      <c r="P1763" s="10">
        <f>'data on outstanding creditors'!$E1763-'data on outstanding creditors'!$O1763</f>
        <v>405.6074766</v>
      </c>
      <c r="Q1763" s="7">
        <f>DAY('data on outstanding creditors'!$B1763)</f>
        <v>16</v>
      </c>
      <c r="R1763" s="7">
        <f>MONTH('data on outstanding creditors'!$B1763)</f>
        <v>12</v>
      </c>
      <c r="S1763" s="7">
        <f>YEAR('data on outstanding creditors'!$B1763)</f>
        <v>2024</v>
      </c>
      <c r="T1763" s="11" t="str">
        <f>'data on outstanding creditors'!$C1763&amp;" "&amp;'data on outstanding creditors'!$D1763&amp;" "&amp;TEXT('data on outstanding creditors'!$E1763,"#,##0.00")</f>
        <v>บ.แอสเซ้นท์ เมดิคอล IV2024120108 6,200.00</v>
      </c>
      <c r="U1763" s="12"/>
    </row>
    <row r="1764" ht="13.5" customHeight="1">
      <c r="A1764" s="1"/>
      <c r="B1764" s="2">
        <v>45643.0</v>
      </c>
      <c r="C1764" s="9" t="s">
        <v>1637</v>
      </c>
      <c r="D1764" s="1" t="s">
        <v>2333</v>
      </c>
      <c r="E1764" s="4">
        <v>7200.0</v>
      </c>
      <c r="F1764" s="4"/>
      <c r="G1764" s="4"/>
      <c r="H1764" s="4">
        <f>'data on outstanding creditors'!$E1764-'data on outstanding creditors'!$F1764-'data on outstanding creditors'!$G1764</f>
        <v>7200</v>
      </c>
      <c r="I1764" s="2"/>
      <c r="J1764" s="1" t="s">
        <v>646</v>
      </c>
      <c r="K1764" s="2">
        <v>45856.0</v>
      </c>
      <c r="L1764" s="5"/>
      <c r="M1764" s="9" t="s">
        <v>43</v>
      </c>
      <c r="N1764" s="9" t="s">
        <v>23</v>
      </c>
      <c r="O1764" s="10">
        <f>'data on outstanding creditors'!$E1764*100/107</f>
        <v>6728.971963</v>
      </c>
      <c r="P1764" s="10">
        <f>'data on outstanding creditors'!$E1764-'data on outstanding creditors'!$O1764</f>
        <v>471.0280374</v>
      </c>
      <c r="Q1764" s="7">
        <f>DAY('data on outstanding creditors'!$B1764)</f>
        <v>17</v>
      </c>
      <c r="R1764" s="7">
        <f>MONTH('data on outstanding creditors'!$B1764)</f>
        <v>12</v>
      </c>
      <c r="S1764" s="7">
        <f>YEAR('data on outstanding creditors'!$B1764)</f>
        <v>2024</v>
      </c>
      <c r="T1764" s="11" t="str">
        <f>'data on outstanding creditors'!$C1764&amp;" "&amp;'data on outstanding creditors'!$D1764&amp;" "&amp;TEXT('data on outstanding creditors'!$E1764,"#,##0.00")</f>
        <v>บ.บีเจเอช เมดิคอล 331247400518 7,200.00</v>
      </c>
      <c r="U1764" s="12"/>
    </row>
    <row r="1765" ht="13.5" customHeight="1">
      <c r="A1765" s="1"/>
      <c r="B1765" s="2">
        <v>45644.0</v>
      </c>
      <c r="C1765" s="9" t="s">
        <v>2334</v>
      </c>
      <c r="D1765" s="1" t="s">
        <v>2335</v>
      </c>
      <c r="E1765" s="4">
        <v>76750.0</v>
      </c>
      <c r="F1765" s="4"/>
      <c r="G1765" s="4"/>
      <c r="H1765" s="4">
        <f>'data on outstanding creditors'!$E1765-'data on outstanding creditors'!$F1765-'data on outstanding creditors'!$G1765</f>
        <v>76750</v>
      </c>
      <c r="I1765" s="2"/>
      <c r="J1765" s="1" t="s">
        <v>757</v>
      </c>
      <c r="K1765" s="2">
        <v>45832.0</v>
      </c>
      <c r="L1765" s="5"/>
      <c r="M1765" s="9" t="s">
        <v>43</v>
      </c>
      <c r="N1765" s="9" t="s">
        <v>49</v>
      </c>
      <c r="O1765" s="10">
        <f>'data on outstanding creditors'!$E1765*100/107</f>
        <v>71728.97196</v>
      </c>
      <c r="P1765" s="10">
        <f>'data on outstanding creditors'!$E1765-'data on outstanding creditors'!$O1765</f>
        <v>5021.028037</v>
      </c>
      <c r="Q1765" s="7">
        <f>DAY('data on outstanding creditors'!$B1765)</f>
        <v>18</v>
      </c>
      <c r="R1765" s="7">
        <f>MONTH('data on outstanding creditors'!$B1765)</f>
        <v>12</v>
      </c>
      <c r="S1765" s="7">
        <f>YEAR('data on outstanding creditors'!$B1765)</f>
        <v>2024</v>
      </c>
      <c r="T1765" s="11" t="str">
        <f>'data on outstanding creditors'!$C1765&amp;" "&amp;'data on outstanding creditors'!$D1765&amp;" "&amp;TEXT('data on outstanding creditors'!$E1765,"#,##0.00")</f>
        <v>บ.ไทยก๊อส IV6750792 76,750.00</v>
      </c>
      <c r="U1765" s="12"/>
    </row>
    <row r="1766" ht="13.5" customHeight="1">
      <c r="A1766" s="1"/>
      <c r="B1766" s="2">
        <v>45644.0</v>
      </c>
      <c r="C1766" s="9" t="s">
        <v>2292</v>
      </c>
      <c r="D1766" s="1" t="s">
        <v>2336</v>
      </c>
      <c r="E1766" s="4">
        <v>26700.0</v>
      </c>
      <c r="F1766" s="4"/>
      <c r="G1766" s="4"/>
      <c r="H1766" s="4">
        <f>'data on outstanding creditors'!$E1766-'data on outstanding creditors'!$F1766-'data on outstanding creditors'!$G1766</f>
        <v>26700</v>
      </c>
      <c r="I1766" s="2"/>
      <c r="J1766" s="1" t="s">
        <v>646</v>
      </c>
      <c r="K1766" s="2">
        <v>45762.0</v>
      </c>
      <c r="L1766" s="5"/>
      <c r="M1766" s="9" t="s">
        <v>43</v>
      </c>
      <c r="N1766" s="9" t="s">
        <v>49</v>
      </c>
      <c r="O1766" s="10">
        <f>'data on outstanding creditors'!$E1766*100/107</f>
        <v>24953.27103</v>
      </c>
      <c r="P1766" s="10">
        <f>'data on outstanding creditors'!$E1766-'data on outstanding creditors'!$O1766</f>
        <v>1746.728972</v>
      </c>
      <c r="Q1766" s="7">
        <f>DAY('data on outstanding creditors'!$B1766)</f>
        <v>18</v>
      </c>
      <c r="R1766" s="7">
        <f>MONTH('data on outstanding creditors'!$B1766)</f>
        <v>12</v>
      </c>
      <c r="S1766" s="7">
        <f>YEAR('data on outstanding creditors'!$B1766)</f>
        <v>2024</v>
      </c>
      <c r="T1766" s="11" t="str">
        <f>'data on outstanding creditors'!$C1766&amp;" "&amp;'data on outstanding creditors'!$D1766&amp;" "&amp;TEXT('data on outstanding creditors'!$E1766,"#,##0.00")</f>
        <v>บ.ไบโอคอททอน IV24012431 26,700.00</v>
      </c>
      <c r="U1766" s="12"/>
    </row>
    <row r="1767" ht="13.5" customHeight="1">
      <c r="A1767" s="1"/>
      <c r="B1767" s="2">
        <v>45644.0</v>
      </c>
      <c r="C1767" s="9" t="s">
        <v>2337</v>
      </c>
      <c r="D1767" s="1" t="s">
        <v>2338</v>
      </c>
      <c r="E1767" s="4">
        <v>6500.0</v>
      </c>
      <c r="F1767" s="4"/>
      <c r="G1767" s="4"/>
      <c r="H1767" s="4">
        <f>'data on outstanding creditors'!$E1767-'data on outstanding creditors'!$F1767-'data on outstanding creditors'!$G1767</f>
        <v>6500</v>
      </c>
      <c r="I1767" s="2"/>
      <c r="J1767" s="1" t="s">
        <v>757</v>
      </c>
      <c r="K1767" s="2">
        <v>45707.0</v>
      </c>
      <c r="L1767" s="5"/>
      <c r="M1767" s="9" t="s">
        <v>43</v>
      </c>
      <c r="N1767" s="9" t="s">
        <v>49</v>
      </c>
      <c r="O1767" s="10">
        <f>'data on outstanding creditors'!$E1767*100/107</f>
        <v>6074.766355</v>
      </c>
      <c r="P1767" s="10">
        <f>'data on outstanding creditors'!$E1767-'data on outstanding creditors'!$O1767</f>
        <v>425.2336449</v>
      </c>
      <c r="Q1767" s="7">
        <f>DAY('data on outstanding creditors'!$B1767)</f>
        <v>18</v>
      </c>
      <c r="R1767" s="7">
        <f>MONTH('data on outstanding creditors'!$B1767)</f>
        <v>12</v>
      </c>
      <c r="S1767" s="7">
        <f>YEAR('data on outstanding creditors'!$B1767)</f>
        <v>2024</v>
      </c>
      <c r="T1767" s="11" t="str">
        <f>'data on outstanding creditors'!$C1767&amp;" "&amp;'data on outstanding creditors'!$D1767&amp;" "&amp;TEXT('data on outstanding creditors'!$E1767,"#,##0.00")</f>
        <v>บ.อิสโก้ 670746 6,500.00</v>
      </c>
      <c r="U1767" s="12"/>
    </row>
    <row r="1768" ht="13.5" customHeight="1">
      <c r="A1768" s="1"/>
      <c r="B1768" s="2">
        <v>45644.0</v>
      </c>
      <c r="C1768" s="9" t="s">
        <v>2339</v>
      </c>
      <c r="D1768" s="1" t="s">
        <v>2340</v>
      </c>
      <c r="E1768" s="4">
        <v>30000.0</v>
      </c>
      <c r="F1768" s="4"/>
      <c r="G1768" s="4"/>
      <c r="H1768" s="4">
        <f>'data on outstanding creditors'!$E1768-'data on outstanding creditors'!$F1768-'data on outstanding creditors'!$G1768</f>
        <v>30000</v>
      </c>
      <c r="I1768" s="2"/>
      <c r="J1768" s="1" t="s">
        <v>646</v>
      </c>
      <c r="K1768" s="2">
        <v>45855.0</v>
      </c>
      <c r="L1768" s="5"/>
      <c r="M1768" s="9" t="s">
        <v>43</v>
      </c>
      <c r="N1768" s="9" t="s">
        <v>49</v>
      </c>
      <c r="O1768" s="10">
        <f>'data on outstanding creditors'!$E1768*100/107</f>
        <v>28037.38318</v>
      </c>
      <c r="P1768" s="10">
        <f>'data on outstanding creditors'!$E1768-'data on outstanding creditors'!$O1768</f>
        <v>1962.616822</v>
      </c>
      <c r="Q1768" s="7">
        <f>DAY('data on outstanding creditors'!$B1768)</f>
        <v>18</v>
      </c>
      <c r="R1768" s="7">
        <f>MONTH('data on outstanding creditors'!$B1768)</f>
        <v>12</v>
      </c>
      <c r="S1768" s="7">
        <f>YEAR('data on outstanding creditors'!$B1768)</f>
        <v>2024</v>
      </c>
      <c r="T1768" s="11" t="str">
        <f>'data on outstanding creditors'!$C1768&amp;" "&amp;'data on outstanding creditors'!$D1768&amp;" "&amp;TEXT('data on outstanding creditors'!$E1768,"#,##0.00")</f>
        <v>บ.ไอแคร์ เมดิคัล BL67-12/184 30,000.00</v>
      </c>
      <c r="U1768" s="12"/>
    </row>
    <row r="1769" ht="13.5" customHeight="1">
      <c r="A1769" s="1"/>
      <c r="B1769" s="2">
        <v>45645.0</v>
      </c>
      <c r="C1769" s="9" t="s">
        <v>2341</v>
      </c>
      <c r="D1769" s="1" t="s">
        <v>2342</v>
      </c>
      <c r="E1769" s="4">
        <v>40000.0</v>
      </c>
      <c r="F1769" s="4"/>
      <c r="G1769" s="4"/>
      <c r="H1769" s="4">
        <f>'data on outstanding creditors'!$E1769-'data on outstanding creditors'!$F1769-'data on outstanding creditors'!$G1769</f>
        <v>40000</v>
      </c>
      <c r="I1769" s="2"/>
      <c r="J1769" s="1" t="s">
        <v>646</v>
      </c>
      <c r="K1769" s="2">
        <v>45866.0</v>
      </c>
      <c r="L1769" s="5"/>
      <c r="M1769" s="9" t="s">
        <v>43</v>
      </c>
      <c r="N1769" s="9" t="s">
        <v>49</v>
      </c>
      <c r="O1769" s="10">
        <f>'data on outstanding creditors'!$E1769*100/107</f>
        <v>37383.17757</v>
      </c>
      <c r="P1769" s="10">
        <f>'data on outstanding creditors'!$E1769-'data on outstanding creditors'!$O1769</f>
        <v>2616.82243</v>
      </c>
      <c r="Q1769" s="7">
        <f>DAY('data on outstanding creditors'!$B1769)</f>
        <v>19</v>
      </c>
      <c r="R1769" s="7">
        <f>MONTH('data on outstanding creditors'!$B1769)</f>
        <v>12</v>
      </c>
      <c r="S1769" s="7">
        <f>YEAR('data on outstanding creditors'!$B1769)</f>
        <v>2024</v>
      </c>
      <c r="T1769" s="11" t="str">
        <f>'data on outstanding creditors'!$C1769&amp;" "&amp;'data on outstanding creditors'!$D1769&amp;" "&amp;TEXT('data on outstanding creditors'!$E1769,"#,##0.00")</f>
        <v>บ.รีฟิล เมด RFMIV.009/2567 40,000.00</v>
      </c>
      <c r="U1769" s="12"/>
    </row>
    <row r="1770" ht="13.5" customHeight="1">
      <c r="A1770" s="1"/>
      <c r="B1770" s="2">
        <v>45649.0</v>
      </c>
      <c r="C1770" s="9" t="s">
        <v>2343</v>
      </c>
      <c r="D1770" s="1" t="s">
        <v>2344</v>
      </c>
      <c r="E1770" s="4">
        <v>22965.0</v>
      </c>
      <c r="F1770" s="4"/>
      <c r="G1770" s="4"/>
      <c r="H1770" s="4">
        <f>'data on outstanding creditors'!$E1770-'data on outstanding creditors'!$F1770-'data on outstanding creditors'!$G1770</f>
        <v>22965</v>
      </c>
      <c r="I1770" s="2"/>
      <c r="J1770" s="1" t="s">
        <v>646</v>
      </c>
      <c r="K1770" s="2">
        <v>45843.0</v>
      </c>
      <c r="L1770" s="5"/>
      <c r="M1770" s="9" t="s">
        <v>43</v>
      </c>
      <c r="N1770" s="9" t="s">
        <v>49</v>
      </c>
      <c r="O1770" s="10">
        <f>'data on outstanding creditors'!$E1770*100/107</f>
        <v>21462.61682</v>
      </c>
      <c r="P1770" s="10">
        <f>'data on outstanding creditors'!$E1770-'data on outstanding creditors'!$O1770</f>
        <v>1502.383178</v>
      </c>
      <c r="Q1770" s="7">
        <f>DAY('data on outstanding creditors'!$B1770)</f>
        <v>23</v>
      </c>
      <c r="R1770" s="7">
        <f>MONTH('data on outstanding creditors'!$B1770)</f>
        <v>12</v>
      </c>
      <c r="S1770" s="7">
        <f>YEAR('data on outstanding creditors'!$B1770)</f>
        <v>2024</v>
      </c>
      <c r="T1770" s="11" t="str">
        <f>'data on outstanding creditors'!$C1770&amp;" "&amp;'data on outstanding creditors'!$D1770&amp;" "&amp;TEXT('data on outstanding creditors'!$E1770,"#,##0.00")</f>
        <v>บ.ทริมเมอร์ IV241203442 22,965.00</v>
      </c>
      <c r="U1770" s="12"/>
    </row>
    <row r="1771" ht="13.5" customHeight="1">
      <c r="A1771" s="1"/>
      <c r="B1771" s="2">
        <v>45649.0</v>
      </c>
      <c r="C1771" s="9" t="s">
        <v>2292</v>
      </c>
      <c r="D1771" s="1" t="s">
        <v>2345</v>
      </c>
      <c r="E1771" s="4">
        <v>17800.0</v>
      </c>
      <c r="F1771" s="4"/>
      <c r="G1771" s="4"/>
      <c r="H1771" s="4">
        <f>'data on outstanding creditors'!$E1771-'data on outstanding creditors'!$F1771-'data on outstanding creditors'!$G1771</f>
        <v>17800</v>
      </c>
      <c r="I1771" s="2"/>
      <c r="J1771" s="1" t="s">
        <v>646</v>
      </c>
      <c r="K1771" s="2">
        <v>45700.0</v>
      </c>
      <c r="L1771" s="5"/>
      <c r="M1771" s="9" t="s">
        <v>43</v>
      </c>
      <c r="N1771" s="9" t="s">
        <v>23</v>
      </c>
      <c r="O1771" s="10">
        <f>'data on outstanding creditors'!$E1771*100/107</f>
        <v>16635.51402</v>
      </c>
      <c r="P1771" s="10">
        <f>'data on outstanding creditors'!$E1771-'data on outstanding creditors'!$O1771</f>
        <v>1164.485981</v>
      </c>
      <c r="Q1771" s="7">
        <f>DAY('data on outstanding creditors'!$B1771)</f>
        <v>23</v>
      </c>
      <c r="R1771" s="7">
        <f>MONTH('data on outstanding creditors'!$B1771)</f>
        <v>12</v>
      </c>
      <c r="S1771" s="7">
        <f>YEAR('data on outstanding creditors'!$B1771)</f>
        <v>2024</v>
      </c>
      <c r="T1771" s="11" t="str">
        <f>'data on outstanding creditors'!$C1771&amp;" "&amp;'data on outstanding creditors'!$D1771&amp;" "&amp;TEXT('data on outstanding creditors'!$E1771,"#,##0.00")</f>
        <v>บ.ไบโอคอททอน IV24012673 17,800.00</v>
      </c>
      <c r="U1771" s="12"/>
    </row>
    <row r="1772" ht="13.5" customHeight="1">
      <c r="A1772" s="1" t="s">
        <v>2346</v>
      </c>
      <c r="B1772" s="2">
        <v>45653.0</v>
      </c>
      <c r="C1772" s="9" t="s">
        <v>2323</v>
      </c>
      <c r="D1772" s="1" t="s">
        <v>2347</v>
      </c>
      <c r="E1772" s="4">
        <v>2354.0</v>
      </c>
      <c r="F1772" s="4"/>
      <c r="G1772" s="4"/>
      <c r="H1772" s="4">
        <f>'data on outstanding creditors'!$E1772-'data on outstanding creditors'!$F1772-'data on outstanding creditors'!$G1772</f>
        <v>2354</v>
      </c>
      <c r="I1772" s="2"/>
      <c r="J1772" s="1" t="s">
        <v>757</v>
      </c>
      <c r="K1772" s="2">
        <v>45686.0</v>
      </c>
      <c r="L1772" s="5"/>
      <c r="M1772" s="9" t="s">
        <v>43</v>
      </c>
      <c r="N1772" s="9" t="s">
        <v>49</v>
      </c>
      <c r="O1772" s="10">
        <f>'data on outstanding creditors'!$E1772*100/107</f>
        <v>2200</v>
      </c>
      <c r="P1772" s="10">
        <f>'data on outstanding creditors'!$E1772-'data on outstanding creditors'!$O1772</f>
        <v>154</v>
      </c>
      <c r="Q1772" s="7">
        <f>DAY('data on outstanding creditors'!$B1772)</f>
        <v>27</v>
      </c>
      <c r="R1772" s="7">
        <f>MONTH('data on outstanding creditors'!$B1772)</f>
        <v>12</v>
      </c>
      <c r="S1772" s="7">
        <f>YEAR('data on outstanding creditors'!$B1772)</f>
        <v>2024</v>
      </c>
      <c r="T1772" s="11" t="str">
        <f>'data on outstanding creditors'!$C1772&amp;" "&amp;'data on outstanding creditors'!$D1772&amp;" "&amp;TEXT('data on outstanding creditors'!$E1772,"#,##0.00")</f>
        <v>บ.ไซเอนซ์ เมด SM67/1208586 2,354.00</v>
      </c>
      <c r="U1772" s="12"/>
    </row>
    <row r="1773" ht="13.5" customHeight="1">
      <c r="A1773" s="1"/>
      <c r="B1773" s="2">
        <v>45653.0</v>
      </c>
      <c r="C1773" s="9" t="s">
        <v>2343</v>
      </c>
      <c r="D1773" s="1" t="s">
        <v>2348</v>
      </c>
      <c r="E1773" s="4">
        <v>27150.0</v>
      </c>
      <c r="F1773" s="4"/>
      <c r="G1773" s="4"/>
      <c r="H1773" s="4">
        <f>'data on outstanding creditors'!$E1773-'data on outstanding creditors'!$F1773-'data on outstanding creditors'!$G1773</f>
        <v>27150</v>
      </c>
      <c r="I1773" s="2"/>
      <c r="J1773" s="1" t="s">
        <v>646</v>
      </c>
      <c r="K1773" s="2">
        <v>45843.0</v>
      </c>
      <c r="L1773" s="5"/>
      <c r="M1773" s="9" t="s">
        <v>43</v>
      </c>
      <c r="N1773" s="9" t="s">
        <v>49</v>
      </c>
      <c r="O1773" s="10">
        <f>'data on outstanding creditors'!$E1773*100/107</f>
        <v>25373.83178</v>
      </c>
      <c r="P1773" s="10">
        <f>'data on outstanding creditors'!$E1773-'data on outstanding creditors'!$O1773</f>
        <v>1776.168224</v>
      </c>
      <c r="Q1773" s="7">
        <f>DAY('data on outstanding creditors'!$B1773)</f>
        <v>27</v>
      </c>
      <c r="R1773" s="7">
        <f>MONTH('data on outstanding creditors'!$B1773)</f>
        <v>12</v>
      </c>
      <c r="S1773" s="7">
        <f>YEAR('data on outstanding creditors'!$B1773)</f>
        <v>2024</v>
      </c>
      <c r="T1773" s="11" t="str">
        <f>'data on outstanding creditors'!$C1773&amp;" "&amp;'data on outstanding creditors'!$D1773&amp;" "&amp;TEXT('data on outstanding creditors'!$E1773,"#,##0.00")</f>
        <v>บ.ทริมเมอร์ IV241203698 27,150.00</v>
      </c>
      <c r="U1773" s="12"/>
    </row>
    <row r="1774" ht="13.5" customHeight="1">
      <c r="A1774" s="1" t="s">
        <v>2349</v>
      </c>
      <c r="B1774" s="2">
        <v>45653.0</v>
      </c>
      <c r="C1774" s="9" t="s">
        <v>2275</v>
      </c>
      <c r="D1774" s="1" t="s">
        <v>2350</v>
      </c>
      <c r="E1774" s="4">
        <v>7000.0</v>
      </c>
      <c r="F1774" s="4"/>
      <c r="G1774" s="4"/>
      <c r="H1774" s="4">
        <f>'data on outstanding creditors'!$E1774-'data on outstanding creditors'!$F1774-'data on outstanding creditors'!$G1774</f>
        <v>7000</v>
      </c>
      <c r="I1774" s="2"/>
      <c r="J1774" s="1" t="s">
        <v>646</v>
      </c>
      <c r="K1774" s="2">
        <v>45877.0</v>
      </c>
      <c r="L1774" s="5"/>
      <c r="M1774" s="9" t="s">
        <v>43</v>
      </c>
      <c r="N1774" s="9" t="s">
        <v>49</v>
      </c>
      <c r="O1774" s="10">
        <f>'data on outstanding creditors'!$E1774*100/107</f>
        <v>6542.056075</v>
      </c>
      <c r="P1774" s="10">
        <f>'data on outstanding creditors'!$E1774-'data on outstanding creditors'!$O1774</f>
        <v>457.9439252</v>
      </c>
      <c r="Q1774" s="7">
        <f>DAY('data on outstanding creditors'!$B1774)</f>
        <v>27</v>
      </c>
      <c r="R1774" s="7">
        <f>MONTH('data on outstanding creditors'!$B1774)</f>
        <v>12</v>
      </c>
      <c r="S1774" s="7">
        <f>YEAR('data on outstanding creditors'!$B1774)</f>
        <v>2024</v>
      </c>
      <c r="T1774" s="11" t="str">
        <f>'data on outstanding creditors'!$C1774&amp;" "&amp;'data on outstanding creditors'!$D1774&amp;" "&amp;TEXT('data on outstanding creditors'!$E1774,"#,##0.00")</f>
        <v>บ.ยู.พี.เมดิคอล ซอลเตอร์ 673985 7,000.00</v>
      </c>
      <c r="U1774" s="12"/>
    </row>
    <row r="1775" ht="13.5" customHeight="1">
      <c r="A1775" s="1" t="s">
        <v>2351</v>
      </c>
      <c r="B1775" s="2">
        <v>45653.0</v>
      </c>
      <c r="C1775" s="9" t="s">
        <v>2352</v>
      </c>
      <c r="D1775" s="1" t="s">
        <v>2353</v>
      </c>
      <c r="E1775" s="4">
        <v>47500.0</v>
      </c>
      <c r="F1775" s="4"/>
      <c r="G1775" s="4"/>
      <c r="H1775" s="4">
        <f>'data on outstanding creditors'!$E1775-'data on outstanding creditors'!$F1775-'data on outstanding creditors'!$G1775</f>
        <v>47500</v>
      </c>
      <c r="I1775" s="2"/>
      <c r="J1775" s="1" t="s">
        <v>646</v>
      </c>
      <c r="K1775" s="2">
        <v>45843.0</v>
      </c>
      <c r="L1775" s="5"/>
      <c r="M1775" s="9" t="s">
        <v>43</v>
      </c>
      <c r="N1775" s="9" t="s">
        <v>49</v>
      </c>
      <c r="O1775" s="10">
        <f>'data on outstanding creditors'!$E1775*100/107</f>
        <v>44392.52336</v>
      </c>
      <c r="P1775" s="10">
        <f>'data on outstanding creditors'!$E1775-'data on outstanding creditors'!$O1775</f>
        <v>3107.476636</v>
      </c>
      <c r="Q1775" s="7">
        <f>DAY('data on outstanding creditors'!$B1775)</f>
        <v>27</v>
      </c>
      <c r="R1775" s="7">
        <f>MONTH('data on outstanding creditors'!$B1775)</f>
        <v>12</v>
      </c>
      <c r="S1775" s="7">
        <f>YEAR('data on outstanding creditors'!$B1775)</f>
        <v>2024</v>
      </c>
      <c r="T1775" s="11" t="str">
        <f>'data on outstanding creditors'!$C1775&amp;" "&amp;'data on outstanding creditors'!$D1775&amp;" "&amp;TEXT('data on outstanding creditors'!$E1775,"#,##0.00")</f>
        <v>บ.สเวนนอร่า เมด SVM2412121 47,500.00</v>
      </c>
      <c r="U1775" s="12"/>
    </row>
    <row r="1776" ht="13.5" customHeight="1">
      <c r="A1776" s="1"/>
      <c r="B1776" s="2">
        <v>45659.0</v>
      </c>
      <c r="C1776" s="9" t="s">
        <v>2275</v>
      </c>
      <c r="D1776" s="1" t="s">
        <v>2354</v>
      </c>
      <c r="E1776" s="4">
        <v>5600.0</v>
      </c>
      <c r="F1776" s="4"/>
      <c r="G1776" s="4"/>
      <c r="H1776" s="4">
        <f>'data on outstanding creditors'!$E1776-'data on outstanding creditors'!$F1776-'data on outstanding creditors'!$G1776</f>
        <v>5600</v>
      </c>
      <c r="I1776" s="2"/>
      <c r="J1776" s="1" t="s">
        <v>646</v>
      </c>
      <c r="K1776" s="2">
        <v>45877.0</v>
      </c>
      <c r="L1776" s="5"/>
      <c r="M1776" s="9" t="s">
        <v>43</v>
      </c>
      <c r="N1776" s="9" t="s">
        <v>49</v>
      </c>
      <c r="O1776" s="10">
        <f>'data on outstanding creditors'!$E1776*100/107</f>
        <v>5233.64486</v>
      </c>
      <c r="P1776" s="10">
        <f>'data on outstanding creditors'!$E1776-'data on outstanding creditors'!$O1776</f>
        <v>366.3551402</v>
      </c>
      <c r="Q1776" s="7">
        <f>DAY('data on outstanding creditors'!$B1776)</f>
        <v>2</v>
      </c>
      <c r="R1776" s="7">
        <f>MONTH('data on outstanding creditors'!$B1776)</f>
        <v>1</v>
      </c>
      <c r="S1776" s="7">
        <f>YEAR('data on outstanding creditors'!$B1776)</f>
        <v>2025</v>
      </c>
      <c r="T1776" s="11" t="str">
        <f>'data on outstanding creditors'!$C1776&amp;" "&amp;'data on outstanding creditors'!$D1776&amp;" "&amp;TEXT('data on outstanding creditors'!$E1776,"#,##0.00")</f>
        <v>บ.ยู.พี.เมดิคอล ซอลเตอร์ 674008 5,600.00</v>
      </c>
      <c r="U1776" s="12"/>
    </row>
    <row r="1777" ht="13.5" customHeight="1">
      <c r="A1777" s="1"/>
      <c r="B1777" s="2">
        <v>45659.0</v>
      </c>
      <c r="C1777" s="9" t="s">
        <v>2352</v>
      </c>
      <c r="D1777" s="1" t="s">
        <v>2355</v>
      </c>
      <c r="E1777" s="4">
        <v>9500.0</v>
      </c>
      <c r="F1777" s="4"/>
      <c r="G1777" s="4"/>
      <c r="H1777" s="4">
        <f>'data on outstanding creditors'!$E1777-'data on outstanding creditors'!$F1777-'data on outstanding creditors'!$G1777</f>
        <v>9500</v>
      </c>
      <c r="I1777" s="2"/>
      <c r="J1777" s="1" t="s">
        <v>646</v>
      </c>
      <c r="K1777" s="2">
        <v>45843.0</v>
      </c>
      <c r="L1777" s="5"/>
      <c r="M1777" s="9" t="s">
        <v>43</v>
      </c>
      <c r="N1777" s="9" t="s">
        <v>49</v>
      </c>
      <c r="O1777" s="10">
        <f>'data on outstanding creditors'!$E1777*100/107</f>
        <v>8878.504673</v>
      </c>
      <c r="P1777" s="10">
        <f>'data on outstanding creditors'!$E1777-'data on outstanding creditors'!$O1777</f>
        <v>621.4953271</v>
      </c>
      <c r="Q1777" s="7">
        <f>DAY('data on outstanding creditors'!$B1777)</f>
        <v>2</v>
      </c>
      <c r="R1777" s="7">
        <f>MONTH('data on outstanding creditors'!$B1777)</f>
        <v>1</v>
      </c>
      <c r="S1777" s="7">
        <f>YEAR('data on outstanding creditors'!$B1777)</f>
        <v>2025</v>
      </c>
      <c r="T1777" s="11" t="str">
        <f>'data on outstanding creditors'!$C1777&amp;" "&amp;'data on outstanding creditors'!$D1777&amp;" "&amp;TEXT('data on outstanding creditors'!$E1777,"#,##0.00")</f>
        <v>บ.สเวนนอร่า เมด SVM2412120 9,500.00</v>
      </c>
      <c r="U1777" s="12"/>
    </row>
    <row r="1778" ht="13.5" customHeight="1">
      <c r="A1778" s="1" t="s">
        <v>2356</v>
      </c>
      <c r="B1778" s="2">
        <v>45659.0</v>
      </c>
      <c r="C1778" s="9" t="s">
        <v>2357</v>
      </c>
      <c r="D1778" s="1" t="s">
        <v>2358</v>
      </c>
      <c r="E1778" s="4">
        <v>19100.0</v>
      </c>
      <c r="F1778" s="4"/>
      <c r="G1778" s="4"/>
      <c r="H1778" s="4">
        <f>'data on outstanding creditors'!$E1778-'data on outstanding creditors'!$F1778-'data on outstanding creditors'!$G1778</f>
        <v>19100</v>
      </c>
      <c r="I1778" s="2"/>
      <c r="J1778" s="1" t="s">
        <v>646</v>
      </c>
      <c r="K1778" s="2">
        <v>45944.0</v>
      </c>
      <c r="L1778" s="5"/>
      <c r="M1778" s="9" t="s">
        <v>43</v>
      </c>
      <c r="N1778" s="9" t="s">
        <v>49</v>
      </c>
      <c r="O1778" s="10">
        <f>'data on outstanding creditors'!$E1778*100/107</f>
        <v>17850.46729</v>
      </c>
      <c r="P1778" s="10">
        <f>'data on outstanding creditors'!$E1778-'data on outstanding creditors'!$O1778</f>
        <v>1249.53271</v>
      </c>
      <c r="Q1778" s="7">
        <f>DAY('data on outstanding creditors'!$B1778)</f>
        <v>2</v>
      </c>
      <c r="R1778" s="7">
        <f>MONTH('data on outstanding creditors'!$B1778)</f>
        <v>1</v>
      </c>
      <c r="S1778" s="7">
        <f>YEAR('data on outstanding creditors'!$B1778)</f>
        <v>2025</v>
      </c>
      <c r="T1778" s="11" t="str">
        <f>'data on outstanding creditors'!$C1778&amp;" "&amp;'data on outstanding creditors'!$D1778&amp;" "&amp;TEXT('data on outstanding creditors'!$E1778,"#,##0.00")</f>
        <v>บ.แอรอน เมดิคอล IV6801002 19,100.00</v>
      </c>
      <c r="U1778" s="12"/>
    </row>
    <row r="1779" ht="13.5" customHeight="1">
      <c r="A1779" s="1"/>
      <c r="B1779" s="2">
        <v>45659.0</v>
      </c>
      <c r="C1779" s="9" t="s">
        <v>2359</v>
      </c>
      <c r="D1779" s="1" t="s">
        <v>2360</v>
      </c>
      <c r="E1779" s="4">
        <v>4550.0</v>
      </c>
      <c r="F1779" s="4"/>
      <c r="G1779" s="4"/>
      <c r="H1779" s="4">
        <f>'data on outstanding creditors'!$E1779-'data on outstanding creditors'!$F1779-'data on outstanding creditors'!$G1779</f>
        <v>4550</v>
      </c>
      <c r="I1779" s="2"/>
      <c r="J1779" s="1" t="s">
        <v>646</v>
      </c>
      <c r="K1779" s="2">
        <v>45928.0</v>
      </c>
      <c r="L1779" s="5"/>
      <c r="M1779" s="9" t="s">
        <v>43</v>
      </c>
      <c r="N1779" s="9" t="s">
        <v>49</v>
      </c>
      <c r="O1779" s="10">
        <f>'data on outstanding creditors'!$E1779*100/107</f>
        <v>4252.336449</v>
      </c>
      <c r="P1779" s="10">
        <f>'data on outstanding creditors'!$E1779-'data on outstanding creditors'!$O1779</f>
        <v>297.6635514</v>
      </c>
      <c r="Q1779" s="7">
        <f>DAY('data on outstanding creditors'!$B1779)</f>
        <v>2</v>
      </c>
      <c r="R1779" s="7">
        <f>MONTH('data on outstanding creditors'!$B1779)</f>
        <v>1</v>
      </c>
      <c r="S1779" s="7">
        <f>YEAR('data on outstanding creditors'!$B1779)</f>
        <v>2025</v>
      </c>
      <c r="T1779" s="11" t="str">
        <f>'data on outstanding creditors'!$C1779&amp;" "&amp;'data on outstanding creditors'!$D1779&amp;" "&amp;TEXT('data on outstanding creditors'!$E1779,"#,##0.00")</f>
        <v>หจก.เอ แอนด์ ที เมดิคอลซายด์ B6712030 4,550.00</v>
      </c>
      <c r="U1779" s="12"/>
    </row>
    <row r="1780" ht="13.5" customHeight="1">
      <c r="A1780" s="1"/>
      <c r="B1780" s="2">
        <v>45663.0</v>
      </c>
      <c r="C1780" s="9" t="s">
        <v>2325</v>
      </c>
      <c r="D1780" s="1" t="s">
        <v>2361</v>
      </c>
      <c r="E1780" s="4">
        <v>4200.0</v>
      </c>
      <c r="F1780" s="4"/>
      <c r="G1780" s="4"/>
      <c r="H1780" s="4">
        <f>'data on outstanding creditors'!$E1780-'data on outstanding creditors'!$F1780-'data on outstanding creditors'!$G1780</f>
        <v>4200</v>
      </c>
      <c r="I1780" s="2"/>
      <c r="J1780" s="1" t="s">
        <v>757</v>
      </c>
      <c r="K1780" s="2">
        <v>45712.0</v>
      </c>
      <c r="L1780" s="5"/>
      <c r="M1780" s="9" t="s">
        <v>43</v>
      </c>
      <c r="N1780" s="9" t="s">
        <v>23</v>
      </c>
      <c r="O1780" s="10">
        <f>'data on outstanding creditors'!$E1780*100/107</f>
        <v>3925.233645</v>
      </c>
      <c r="P1780" s="10">
        <f>'data on outstanding creditors'!$E1780-'data on outstanding creditors'!$O1780</f>
        <v>274.7663551</v>
      </c>
      <c r="Q1780" s="7">
        <f>DAY('data on outstanding creditors'!$B1780)</f>
        <v>6</v>
      </c>
      <c r="R1780" s="7">
        <f>MONTH('data on outstanding creditors'!$B1780)</f>
        <v>1</v>
      </c>
      <c r="S1780" s="7">
        <f>YEAR('data on outstanding creditors'!$B1780)</f>
        <v>2025</v>
      </c>
      <c r="T1780" s="11" t="str">
        <f>'data on outstanding creditors'!$C1780&amp;" "&amp;'data on outstanding creditors'!$D1780&amp;" "&amp;TEXT('data on outstanding creditors'!$E1780,"#,##0.00")</f>
        <v>บ.ดีริช เมดิคอล IN-671223002 4,200.00</v>
      </c>
      <c r="U1780" s="12"/>
    </row>
    <row r="1781" ht="13.5" customHeight="1">
      <c r="A1781" s="1"/>
      <c r="B1781" s="2">
        <v>45663.0</v>
      </c>
      <c r="C1781" s="9" t="s">
        <v>2294</v>
      </c>
      <c r="D1781" s="1" t="s">
        <v>2362</v>
      </c>
      <c r="E1781" s="4">
        <v>3000.0</v>
      </c>
      <c r="F1781" s="4"/>
      <c r="G1781" s="4"/>
      <c r="H1781" s="4">
        <f>'data on outstanding creditors'!$E1781-'data on outstanding creditors'!$F1781-'data on outstanding creditors'!$G1781</f>
        <v>3000</v>
      </c>
      <c r="I1781" s="2"/>
      <c r="J1781" s="1" t="s">
        <v>646</v>
      </c>
      <c r="K1781" s="2">
        <v>45815.0</v>
      </c>
      <c r="L1781" s="5"/>
      <c r="M1781" s="9" t="s">
        <v>43</v>
      </c>
      <c r="N1781" s="9" t="s">
        <v>23</v>
      </c>
      <c r="O1781" s="10">
        <f>'data on outstanding creditors'!$E1781*100/107</f>
        <v>2803.738318</v>
      </c>
      <c r="P1781" s="10">
        <f>'data on outstanding creditors'!$E1781-'data on outstanding creditors'!$O1781</f>
        <v>196.2616822</v>
      </c>
      <c r="Q1781" s="7">
        <f>DAY('data on outstanding creditors'!$B1781)</f>
        <v>6</v>
      </c>
      <c r="R1781" s="7">
        <f>MONTH('data on outstanding creditors'!$B1781)</f>
        <v>1</v>
      </c>
      <c r="S1781" s="7">
        <f>YEAR('data on outstanding creditors'!$B1781)</f>
        <v>2025</v>
      </c>
      <c r="T1781" s="11" t="str">
        <f>'data on outstanding creditors'!$C1781&amp;" "&amp;'data on outstanding creditors'!$D1781&amp;" "&amp;TEXT('data on outstanding creditors'!$E1781,"#,##0.00")</f>
        <v>บ.แอสเซ้นท์ เมดิคอล IV2024120249 3,000.00</v>
      </c>
      <c r="U1781" s="12"/>
    </row>
    <row r="1782" ht="13.5" customHeight="1">
      <c r="A1782" s="1"/>
      <c r="B1782" s="2">
        <v>45666.0</v>
      </c>
      <c r="C1782" s="9" t="s">
        <v>2363</v>
      </c>
      <c r="D1782" s="1" t="s">
        <v>2364</v>
      </c>
      <c r="E1782" s="4">
        <v>4000.0</v>
      </c>
      <c r="F1782" s="4"/>
      <c r="G1782" s="4"/>
      <c r="H1782" s="4">
        <f>'data on outstanding creditors'!$E1782-'data on outstanding creditors'!$F1782-'data on outstanding creditors'!$G1782</f>
        <v>4000</v>
      </c>
      <c r="I1782" s="2"/>
      <c r="J1782" s="1" t="s">
        <v>646</v>
      </c>
      <c r="K1782" s="2">
        <v>45855.0</v>
      </c>
      <c r="L1782" s="5"/>
      <c r="M1782" s="9" t="s">
        <v>43</v>
      </c>
      <c r="N1782" s="9" t="s">
        <v>49</v>
      </c>
      <c r="O1782" s="10">
        <f>'data on outstanding creditors'!$E1782*100/107</f>
        <v>3738.317757</v>
      </c>
      <c r="P1782" s="10">
        <f>'data on outstanding creditors'!$E1782-'data on outstanding creditors'!$O1782</f>
        <v>261.682243</v>
      </c>
      <c r="Q1782" s="7">
        <f>DAY('data on outstanding creditors'!$B1782)</f>
        <v>9</v>
      </c>
      <c r="R1782" s="7">
        <f>MONTH('data on outstanding creditors'!$B1782)</f>
        <v>1</v>
      </c>
      <c r="S1782" s="7">
        <f>YEAR('data on outstanding creditors'!$B1782)</f>
        <v>2025</v>
      </c>
      <c r="T1782" s="11" t="str">
        <f>'data on outstanding creditors'!$C1782&amp;" "&amp;'data on outstanding creditors'!$D1782&amp;" "&amp;TEXT('data on outstanding creditors'!$E1782,"#,##0.00")</f>
        <v>บ.บีเวอร์ เมดิคอล อินดัสตรี้ 680174 4,000.00</v>
      </c>
      <c r="U1782" s="12"/>
    </row>
    <row r="1783" ht="13.5" customHeight="1">
      <c r="A1783" s="1"/>
      <c r="B1783" s="2">
        <v>45670.0</v>
      </c>
      <c r="C1783" s="9" t="s">
        <v>2334</v>
      </c>
      <c r="D1783" s="1" t="s">
        <v>2365</v>
      </c>
      <c r="E1783" s="4">
        <v>104000.0</v>
      </c>
      <c r="F1783" s="4"/>
      <c r="G1783" s="4"/>
      <c r="H1783" s="4">
        <f>'data on outstanding creditors'!$E1783-'data on outstanding creditors'!$F1783-'data on outstanding creditors'!$G1783</f>
        <v>104000</v>
      </c>
      <c r="I1783" s="2"/>
      <c r="J1783" s="1" t="s">
        <v>757</v>
      </c>
      <c r="K1783" s="2">
        <v>45832.0</v>
      </c>
      <c r="L1783" s="5"/>
      <c r="M1783" s="9" t="s">
        <v>43</v>
      </c>
      <c r="N1783" s="9" t="s">
        <v>49</v>
      </c>
      <c r="O1783" s="10">
        <f>'data on outstanding creditors'!$E1783*100/107</f>
        <v>97196.26168</v>
      </c>
      <c r="P1783" s="10">
        <f>'data on outstanding creditors'!$E1783-'data on outstanding creditors'!$O1783</f>
        <v>6803.738318</v>
      </c>
      <c r="Q1783" s="7">
        <f>DAY('data on outstanding creditors'!$B1783)</f>
        <v>13</v>
      </c>
      <c r="R1783" s="7">
        <f>MONTH('data on outstanding creditors'!$B1783)</f>
        <v>1</v>
      </c>
      <c r="S1783" s="7">
        <f>YEAR('data on outstanding creditors'!$B1783)</f>
        <v>2025</v>
      </c>
      <c r="T1783" s="11" t="str">
        <f>'data on outstanding creditors'!$C1783&amp;" "&amp;'data on outstanding creditors'!$D1783&amp;" "&amp;TEXT('data on outstanding creditors'!$E1783,"#,##0.00")</f>
        <v>บ.ไทยก๊อส IV6801448 104,000.00</v>
      </c>
      <c r="U1783" s="12"/>
    </row>
    <row r="1784" ht="13.5" customHeight="1">
      <c r="A1784" s="1" t="s">
        <v>2366</v>
      </c>
      <c r="B1784" s="2">
        <v>45671.0</v>
      </c>
      <c r="C1784" s="9" t="s">
        <v>2275</v>
      </c>
      <c r="D1784" s="1" t="s">
        <v>2367</v>
      </c>
      <c r="E1784" s="4">
        <v>19000.0</v>
      </c>
      <c r="F1784" s="4"/>
      <c r="G1784" s="4"/>
      <c r="H1784" s="4">
        <f>'data on outstanding creditors'!$E1784-'data on outstanding creditors'!$F1784-'data on outstanding creditors'!$G1784</f>
        <v>19000</v>
      </c>
      <c r="I1784" s="2"/>
      <c r="J1784" s="1" t="s">
        <v>646</v>
      </c>
      <c r="K1784" s="2">
        <v>45877.0</v>
      </c>
      <c r="L1784" s="5"/>
      <c r="M1784" s="9" t="s">
        <v>43</v>
      </c>
      <c r="N1784" s="9" t="s">
        <v>49</v>
      </c>
      <c r="O1784" s="10">
        <f>'data on outstanding creditors'!$E1784*100/107</f>
        <v>17757.00935</v>
      </c>
      <c r="P1784" s="10">
        <f>'data on outstanding creditors'!$E1784-'data on outstanding creditors'!$O1784</f>
        <v>1242.990654</v>
      </c>
      <c r="Q1784" s="7">
        <f>DAY('data on outstanding creditors'!$B1784)</f>
        <v>14</v>
      </c>
      <c r="R1784" s="7">
        <f>MONTH('data on outstanding creditors'!$B1784)</f>
        <v>1</v>
      </c>
      <c r="S1784" s="7">
        <f>YEAR('data on outstanding creditors'!$B1784)</f>
        <v>2025</v>
      </c>
      <c r="T1784" s="11" t="str">
        <f>'data on outstanding creditors'!$C1784&amp;" "&amp;'data on outstanding creditors'!$D1784&amp;" "&amp;TEXT('data on outstanding creditors'!$E1784,"#,##0.00")</f>
        <v>บ.ยู.พี.เมดิคอล ซอลเตอร์ 680086 19,000.00</v>
      </c>
      <c r="U1784" s="12"/>
    </row>
    <row r="1785" ht="13.5" customHeight="1">
      <c r="A1785" s="1"/>
      <c r="B1785" s="2">
        <v>45673.0</v>
      </c>
      <c r="C1785" s="9" t="s">
        <v>2325</v>
      </c>
      <c r="D1785" s="1" t="s">
        <v>2368</v>
      </c>
      <c r="E1785" s="4">
        <v>2600.0</v>
      </c>
      <c r="F1785" s="4"/>
      <c r="G1785" s="4"/>
      <c r="H1785" s="4">
        <f>'data on outstanding creditors'!$E1785-'data on outstanding creditors'!$F1785-'data on outstanding creditors'!$G1785</f>
        <v>2600</v>
      </c>
      <c r="I1785" s="2"/>
      <c r="J1785" s="1" t="s">
        <v>757</v>
      </c>
      <c r="K1785" s="2">
        <v>45814.0</v>
      </c>
      <c r="L1785" s="5"/>
      <c r="M1785" s="9" t="s">
        <v>43</v>
      </c>
      <c r="N1785" s="9" t="s">
        <v>49</v>
      </c>
      <c r="O1785" s="10">
        <f>'data on outstanding creditors'!$E1785*100/107</f>
        <v>2429.906542</v>
      </c>
      <c r="P1785" s="10">
        <f>'data on outstanding creditors'!$E1785-'data on outstanding creditors'!$O1785</f>
        <v>170.0934579</v>
      </c>
      <c r="Q1785" s="7">
        <f>DAY('data on outstanding creditors'!$B1785)</f>
        <v>16</v>
      </c>
      <c r="R1785" s="7">
        <f>MONTH('data on outstanding creditors'!$B1785)</f>
        <v>1</v>
      </c>
      <c r="S1785" s="7">
        <f>YEAR('data on outstanding creditors'!$B1785)</f>
        <v>2025</v>
      </c>
      <c r="T1785" s="11" t="str">
        <f>'data on outstanding creditors'!$C1785&amp;" "&amp;'data on outstanding creditors'!$D1785&amp;" "&amp;TEXT('data on outstanding creditors'!$E1785,"#,##0.00")</f>
        <v>บ.ดีริช เมดิคอล IN-680115001 2,600.00</v>
      </c>
      <c r="U1785" s="12"/>
    </row>
    <row r="1786" ht="13.5" customHeight="1">
      <c r="A1786" s="1"/>
      <c r="B1786" s="2">
        <v>45673.0</v>
      </c>
      <c r="C1786" s="9" t="s">
        <v>2334</v>
      </c>
      <c r="D1786" s="1" t="s">
        <v>2369</v>
      </c>
      <c r="E1786" s="4">
        <v>105000.0</v>
      </c>
      <c r="F1786" s="4"/>
      <c r="G1786" s="4"/>
      <c r="H1786" s="4">
        <f>'data on outstanding creditors'!$E1786-'data on outstanding creditors'!$F1786-'data on outstanding creditors'!$G1786</f>
        <v>105000</v>
      </c>
      <c r="I1786" s="2"/>
      <c r="J1786" s="1" t="s">
        <v>757</v>
      </c>
      <c r="K1786" s="2">
        <v>45832.0</v>
      </c>
      <c r="L1786" s="5"/>
      <c r="M1786" s="9" t="s">
        <v>43</v>
      </c>
      <c r="N1786" s="9" t="s">
        <v>49</v>
      </c>
      <c r="O1786" s="10">
        <f>'data on outstanding creditors'!$E1786*100/107</f>
        <v>98130.84112</v>
      </c>
      <c r="P1786" s="10">
        <f>'data on outstanding creditors'!$E1786-'data on outstanding creditors'!$O1786</f>
        <v>6869.158879</v>
      </c>
      <c r="Q1786" s="7">
        <f>DAY('data on outstanding creditors'!$B1786)</f>
        <v>16</v>
      </c>
      <c r="R1786" s="7">
        <f>MONTH('data on outstanding creditors'!$B1786)</f>
        <v>1</v>
      </c>
      <c r="S1786" s="7">
        <f>YEAR('data on outstanding creditors'!$B1786)</f>
        <v>2025</v>
      </c>
      <c r="T1786" s="11" t="str">
        <f>'data on outstanding creditors'!$C1786&amp;" "&amp;'data on outstanding creditors'!$D1786&amp;" "&amp;TEXT('data on outstanding creditors'!$E1786,"#,##0.00")</f>
        <v>บ.ไทยก๊อส IV6801922 105,000.00</v>
      </c>
      <c r="U1786" s="12"/>
    </row>
    <row r="1787" ht="13.5" customHeight="1">
      <c r="A1787" s="1"/>
      <c r="B1787" s="2">
        <v>45673.0</v>
      </c>
      <c r="C1787" s="9" t="s">
        <v>2292</v>
      </c>
      <c r="D1787" s="1" t="s">
        <v>2370</v>
      </c>
      <c r="E1787" s="4">
        <v>75840.0</v>
      </c>
      <c r="F1787" s="4"/>
      <c r="G1787" s="4"/>
      <c r="H1787" s="4">
        <f>'data on outstanding creditors'!$E1787-'data on outstanding creditors'!$F1787-'data on outstanding creditors'!$G1787</f>
        <v>75840</v>
      </c>
      <c r="I1787" s="2"/>
      <c r="J1787" s="1" t="s">
        <v>646</v>
      </c>
      <c r="K1787" s="2">
        <v>45866.0</v>
      </c>
      <c r="L1787" s="5"/>
      <c r="M1787" s="9" t="s">
        <v>43</v>
      </c>
      <c r="N1787" s="9" t="s">
        <v>23</v>
      </c>
      <c r="O1787" s="10">
        <f>'data on outstanding creditors'!$E1787*100/107</f>
        <v>70878.50467</v>
      </c>
      <c r="P1787" s="10">
        <f>'data on outstanding creditors'!$E1787-'data on outstanding creditors'!$O1787</f>
        <v>4961.495327</v>
      </c>
      <c r="Q1787" s="7">
        <f>DAY('data on outstanding creditors'!$B1787)</f>
        <v>16</v>
      </c>
      <c r="R1787" s="7">
        <f>MONTH('data on outstanding creditors'!$B1787)</f>
        <v>1</v>
      </c>
      <c r="S1787" s="7">
        <f>YEAR('data on outstanding creditors'!$B1787)</f>
        <v>2025</v>
      </c>
      <c r="T1787" s="11" t="str">
        <f>'data on outstanding creditors'!$C1787&amp;" "&amp;'data on outstanding creditors'!$D1787&amp;" "&amp;TEXT('data on outstanding creditors'!$E1787,"#,##0.00")</f>
        <v>บ.ไบโอคอททอน IV25000303 75,840.00</v>
      </c>
      <c r="U1787" s="12"/>
    </row>
    <row r="1788" ht="13.5" customHeight="1">
      <c r="A1788" s="1"/>
      <c r="B1788" s="2">
        <v>45673.0</v>
      </c>
      <c r="C1788" s="9" t="s">
        <v>2283</v>
      </c>
      <c r="D1788" s="1" t="s">
        <v>2371</v>
      </c>
      <c r="E1788" s="4">
        <v>8400.0</v>
      </c>
      <c r="F1788" s="4"/>
      <c r="G1788" s="4"/>
      <c r="H1788" s="4">
        <f>'data on outstanding creditors'!$E1788-'data on outstanding creditors'!$F1788-'data on outstanding creditors'!$G1788</f>
        <v>8400</v>
      </c>
      <c r="I1788" s="2"/>
      <c r="J1788" s="1" t="s">
        <v>757</v>
      </c>
      <c r="K1788" s="2">
        <v>45712.0</v>
      </c>
      <c r="L1788" s="5"/>
      <c r="M1788" s="9" t="s">
        <v>43</v>
      </c>
      <c r="N1788" s="9" t="s">
        <v>23</v>
      </c>
      <c r="O1788" s="10">
        <f>'data on outstanding creditors'!$E1788*100/107</f>
        <v>7850.46729</v>
      </c>
      <c r="P1788" s="10">
        <f>'data on outstanding creditors'!$E1788-'data on outstanding creditors'!$O1788</f>
        <v>549.5327103</v>
      </c>
      <c r="Q1788" s="7">
        <f>DAY('data on outstanding creditors'!$B1788)</f>
        <v>16</v>
      </c>
      <c r="R1788" s="7">
        <f>MONTH('data on outstanding creditors'!$B1788)</f>
        <v>1</v>
      </c>
      <c r="S1788" s="7">
        <f>YEAR('data on outstanding creditors'!$B1788)</f>
        <v>2025</v>
      </c>
      <c r="T1788" s="11" t="str">
        <f>'data on outstanding creditors'!$C1788&amp;" "&amp;'data on outstanding creditors'!$D1788&amp;" "&amp;TEXT('data on outstanding creditors'!$E1788,"#,##0.00")</f>
        <v>บ.ยูนิเมด 6800052 8,400.00</v>
      </c>
      <c r="U1788" s="12"/>
    </row>
    <row r="1789" ht="13.5" customHeight="1">
      <c r="A1789" s="1"/>
      <c r="B1789" s="2">
        <v>45673.0</v>
      </c>
      <c r="C1789" s="9" t="s">
        <v>2294</v>
      </c>
      <c r="D1789" s="1" t="s">
        <v>2372</v>
      </c>
      <c r="E1789" s="4">
        <v>26900.0</v>
      </c>
      <c r="F1789" s="4"/>
      <c r="G1789" s="4"/>
      <c r="H1789" s="4">
        <f>'data on outstanding creditors'!$E1789-'data on outstanding creditors'!$F1789-'data on outstanding creditors'!$G1789</f>
        <v>26900</v>
      </c>
      <c r="I1789" s="2"/>
      <c r="J1789" s="1" t="s">
        <v>646</v>
      </c>
      <c r="K1789" s="2">
        <v>45815.0</v>
      </c>
      <c r="L1789" s="5"/>
      <c r="M1789" s="9" t="s">
        <v>43</v>
      </c>
      <c r="N1789" s="9" t="s">
        <v>23</v>
      </c>
      <c r="O1789" s="10">
        <f>'data on outstanding creditors'!$E1789*100/107</f>
        <v>25140.18692</v>
      </c>
      <c r="P1789" s="10">
        <f>'data on outstanding creditors'!$E1789-'data on outstanding creditors'!$O1789</f>
        <v>1759.813084</v>
      </c>
      <c r="Q1789" s="7">
        <f>DAY('data on outstanding creditors'!$B1789)</f>
        <v>16</v>
      </c>
      <c r="R1789" s="7">
        <f>MONTH('data on outstanding creditors'!$B1789)</f>
        <v>1</v>
      </c>
      <c r="S1789" s="7">
        <f>YEAR('data on outstanding creditors'!$B1789)</f>
        <v>2025</v>
      </c>
      <c r="T1789" s="11" t="str">
        <f>'data on outstanding creditors'!$C1789&amp;" "&amp;'data on outstanding creditors'!$D1789&amp;" "&amp;TEXT('data on outstanding creditors'!$E1789,"#,##0.00")</f>
        <v>บ.แอสเซ้นท์ เมดิคอล IV2025010107 26,900.00</v>
      </c>
      <c r="U1789" s="12"/>
    </row>
    <row r="1790" ht="13.5" customHeight="1">
      <c r="A1790" s="1"/>
      <c r="B1790" s="2">
        <v>45673.0</v>
      </c>
      <c r="C1790" s="9" t="s">
        <v>1114</v>
      </c>
      <c r="D1790" s="1" t="s">
        <v>2373</v>
      </c>
      <c r="E1790" s="4">
        <v>6000.0</v>
      </c>
      <c r="F1790" s="4"/>
      <c r="G1790" s="4"/>
      <c r="H1790" s="4">
        <f>'data on outstanding creditors'!$E1790-'data on outstanding creditors'!$F1790-'data on outstanding creditors'!$G1790</f>
        <v>6000</v>
      </c>
      <c r="I1790" s="2"/>
      <c r="J1790" s="1" t="s">
        <v>646</v>
      </c>
      <c r="K1790" s="2">
        <v>45827.0</v>
      </c>
      <c r="L1790" s="5"/>
      <c r="M1790" s="9" t="s">
        <v>43</v>
      </c>
      <c r="N1790" s="9" t="s">
        <v>23</v>
      </c>
      <c r="O1790" s="10">
        <f>'data on outstanding creditors'!$E1790*100/107</f>
        <v>5607.476636</v>
      </c>
      <c r="P1790" s="10">
        <f>'data on outstanding creditors'!$E1790-'data on outstanding creditors'!$O1790</f>
        <v>392.5233645</v>
      </c>
      <c r="Q1790" s="7">
        <f>DAY('data on outstanding creditors'!$B1790)</f>
        <v>16</v>
      </c>
      <c r="R1790" s="7">
        <f>MONTH('data on outstanding creditors'!$B1790)</f>
        <v>1</v>
      </c>
      <c r="S1790" s="7">
        <f>YEAR('data on outstanding creditors'!$B1790)</f>
        <v>2025</v>
      </c>
      <c r="T1790" s="11" t="str">
        <f>'data on outstanding creditors'!$C1790&amp;" "&amp;'data on outstanding creditors'!$D1790&amp;" "&amp;TEXT('data on outstanding creditors'!$E1790,"#,##0.00")</f>
        <v>หจก.อิเลฟเว่น พลัซ EL680110074 6,000.00</v>
      </c>
      <c r="U1790" s="12"/>
    </row>
    <row r="1791" ht="13.5" customHeight="1">
      <c r="A1791" s="1" t="s">
        <v>2374</v>
      </c>
      <c r="B1791" s="2">
        <v>45677.0</v>
      </c>
      <c r="C1791" s="9" t="s">
        <v>2343</v>
      </c>
      <c r="D1791" s="1" t="s">
        <v>2375</v>
      </c>
      <c r="E1791" s="4">
        <v>64400.0</v>
      </c>
      <c r="F1791" s="4"/>
      <c r="G1791" s="4"/>
      <c r="H1791" s="4">
        <f>'data on outstanding creditors'!$E1791-'data on outstanding creditors'!$F1791-'data on outstanding creditors'!$G1791</f>
        <v>64400</v>
      </c>
      <c r="I1791" s="2"/>
      <c r="J1791" s="1" t="s">
        <v>646</v>
      </c>
      <c r="K1791" s="2">
        <v>45843.0</v>
      </c>
      <c r="L1791" s="5"/>
      <c r="M1791" s="9" t="s">
        <v>43</v>
      </c>
      <c r="N1791" s="9" t="s">
        <v>49</v>
      </c>
      <c r="O1791" s="10">
        <f>'data on outstanding creditors'!$E1791*100/107</f>
        <v>60186.91589</v>
      </c>
      <c r="P1791" s="10">
        <f>'data on outstanding creditors'!$E1791-'data on outstanding creditors'!$O1791</f>
        <v>4213.084112</v>
      </c>
      <c r="Q1791" s="7">
        <f>DAY('data on outstanding creditors'!$B1791)</f>
        <v>20</v>
      </c>
      <c r="R1791" s="7">
        <f>MONTH('data on outstanding creditors'!$B1791)</f>
        <v>1</v>
      </c>
      <c r="S1791" s="7">
        <f>YEAR('data on outstanding creditors'!$B1791)</f>
        <v>2025</v>
      </c>
      <c r="T1791" s="11" t="str">
        <f>'data on outstanding creditors'!$C1791&amp;" "&amp;'data on outstanding creditors'!$D1791&amp;" "&amp;TEXT('data on outstanding creditors'!$E1791,"#,##0.00")</f>
        <v>บ.ทริมเมอร์ IV250100080 64,400.00</v>
      </c>
      <c r="U1791" s="12"/>
    </row>
    <row r="1792" ht="13.5" customHeight="1">
      <c r="A1792" s="1"/>
      <c r="B1792" s="2">
        <v>45678.0</v>
      </c>
      <c r="C1792" s="9" t="s">
        <v>2301</v>
      </c>
      <c r="D1792" s="1" t="s">
        <v>2376</v>
      </c>
      <c r="E1792" s="4">
        <v>6900.0</v>
      </c>
      <c r="F1792" s="4"/>
      <c r="G1792" s="4"/>
      <c r="H1792" s="4">
        <f>'data on outstanding creditors'!$E1792-'data on outstanding creditors'!$F1792-'data on outstanding creditors'!$G1792</f>
        <v>6900</v>
      </c>
      <c r="I1792" s="2"/>
      <c r="J1792" s="1" t="s">
        <v>757</v>
      </c>
      <c r="K1792" s="2">
        <v>45712.0</v>
      </c>
      <c r="L1792" s="5"/>
      <c r="M1792" s="9" t="s">
        <v>43</v>
      </c>
      <c r="N1792" s="9" t="s">
        <v>23</v>
      </c>
      <c r="O1792" s="10">
        <f>'data on outstanding creditors'!$E1792*100/107</f>
        <v>6448.598131</v>
      </c>
      <c r="P1792" s="10">
        <f>'data on outstanding creditors'!$E1792-'data on outstanding creditors'!$O1792</f>
        <v>451.4018692</v>
      </c>
      <c r="Q1792" s="7">
        <f>DAY('data on outstanding creditors'!$B1792)</f>
        <v>21</v>
      </c>
      <c r="R1792" s="7">
        <f>MONTH('data on outstanding creditors'!$B1792)</f>
        <v>1</v>
      </c>
      <c r="S1792" s="7">
        <f>YEAR('data on outstanding creditors'!$B1792)</f>
        <v>2025</v>
      </c>
      <c r="T1792" s="11" t="str">
        <f>'data on outstanding creditors'!$C1792&amp;" "&amp;'data on outstanding creditors'!$D1792&amp;" "&amp;TEXT('data on outstanding creditors'!$E1792,"#,##0.00")</f>
        <v>บ.เค เค เมดิคอล 10801 6,900.00</v>
      </c>
      <c r="U1792" s="12"/>
    </row>
    <row r="1793" ht="13.5" customHeight="1">
      <c r="A1793" s="1"/>
      <c r="B1793" s="2">
        <v>45678.0</v>
      </c>
      <c r="C1793" s="9" t="s">
        <v>1637</v>
      </c>
      <c r="D1793" s="1" t="s">
        <v>2377</v>
      </c>
      <c r="E1793" s="4">
        <v>14000.0</v>
      </c>
      <c r="F1793" s="4"/>
      <c r="G1793" s="4"/>
      <c r="H1793" s="4">
        <f>'data on outstanding creditors'!$E1793-'data on outstanding creditors'!$F1793-'data on outstanding creditors'!$G1793</f>
        <v>14000</v>
      </c>
      <c r="I1793" s="2"/>
      <c r="J1793" s="1" t="s">
        <v>646</v>
      </c>
      <c r="K1793" s="2">
        <v>45789.0</v>
      </c>
      <c r="L1793" s="5"/>
      <c r="M1793" s="9" t="s">
        <v>43</v>
      </c>
      <c r="N1793" s="9" t="s">
        <v>23</v>
      </c>
      <c r="O1793" s="10">
        <f>'data on outstanding creditors'!$E1793*100/107</f>
        <v>13084.11215</v>
      </c>
      <c r="P1793" s="10">
        <f>'data on outstanding creditors'!$E1793-'data on outstanding creditors'!$O1793</f>
        <v>915.8878505</v>
      </c>
      <c r="Q1793" s="7">
        <f>DAY('data on outstanding creditors'!$B1793)</f>
        <v>21</v>
      </c>
      <c r="R1793" s="7">
        <f>MONTH('data on outstanding creditors'!$B1793)</f>
        <v>1</v>
      </c>
      <c r="S1793" s="7">
        <f>YEAR('data on outstanding creditors'!$B1793)</f>
        <v>2025</v>
      </c>
      <c r="T1793" s="11" t="str">
        <f>'data on outstanding creditors'!$C1793&amp;" "&amp;'data on outstanding creditors'!$D1793&amp;" "&amp;TEXT('data on outstanding creditors'!$E1793,"#,##0.00")</f>
        <v>บ.บีเจเอช เมดิคอล 331057400734 14,000.00</v>
      </c>
      <c r="U1793" s="12"/>
    </row>
    <row r="1794" ht="13.5" customHeight="1">
      <c r="A1794" s="1"/>
      <c r="B1794" s="2">
        <v>45680.0</v>
      </c>
      <c r="C1794" s="9" t="s">
        <v>2334</v>
      </c>
      <c r="D1794" s="1" t="s">
        <v>2378</v>
      </c>
      <c r="E1794" s="4">
        <v>105200.0</v>
      </c>
      <c r="F1794" s="4"/>
      <c r="G1794" s="4"/>
      <c r="H1794" s="4">
        <f>'data on outstanding creditors'!$E1794-'data on outstanding creditors'!$F1794-'data on outstanding creditors'!$G1794</f>
        <v>105200</v>
      </c>
      <c r="I1794" s="2"/>
      <c r="J1794" s="1" t="s">
        <v>757</v>
      </c>
      <c r="K1794" s="2">
        <v>45832.0</v>
      </c>
      <c r="L1794" s="5"/>
      <c r="M1794" s="9" t="s">
        <v>43</v>
      </c>
      <c r="N1794" s="9" t="s">
        <v>49</v>
      </c>
      <c r="O1794" s="10">
        <f>'data on outstanding creditors'!$E1794*100/107</f>
        <v>98317.75701</v>
      </c>
      <c r="P1794" s="10">
        <f>'data on outstanding creditors'!$E1794-'data on outstanding creditors'!$O1794</f>
        <v>6882.242991</v>
      </c>
      <c r="Q1794" s="7">
        <f>DAY('data on outstanding creditors'!$B1794)</f>
        <v>23</v>
      </c>
      <c r="R1794" s="7">
        <f>MONTH('data on outstanding creditors'!$B1794)</f>
        <v>1</v>
      </c>
      <c r="S1794" s="7">
        <f>YEAR('data on outstanding creditors'!$B1794)</f>
        <v>2025</v>
      </c>
      <c r="T1794" s="11" t="str">
        <f>'data on outstanding creditors'!$C1794&amp;" "&amp;'data on outstanding creditors'!$D1794&amp;" "&amp;TEXT('data on outstanding creditors'!$E1794,"#,##0.00")</f>
        <v>บ.ไทยก๊อส IV6803158 105,200.00</v>
      </c>
      <c r="U1794" s="12"/>
    </row>
    <row r="1795" ht="13.5" customHeight="1">
      <c r="A1795" s="1"/>
      <c r="B1795" s="2">
        <v>45681.0</v>
      </c>
      <c r="C1795" s="9" t="s">
        <v>2294</v>
      </c>
      <c r="D1795" s="1" t="s">
        <v>2379</v>
      </c>
      <c r="E1795" s="4">
        <v>4500.0</v>
      </c>
      <c r="F1795" s="4"/>
      <c r="G1795" s="4"/>
      <c r="H1795" s="4">
        <f>'data on outstanding creditors'!$E1795-'data on outstanding creditors'!$F1795-'data on outstanding creditors'!$G1795</f>
        <v>4500</v>
      </c>
      <c r="I1795" s="2"/>
      <c r="J1795" s="1" t="s">
        <v>646</v>
      </c>
      <c r="K1795" s="2">
        <v>45815.0</v>
      </c>
      <c r="L1795" s="5"/>
      <c r="M1795" s="9" t="s">
        <v>43</v>
      </c>
      <c r="N1795" s="9" t="s">
        <v>23</v>
      </c>
      <c r="O1795" s="10">
        <f>'data on outstanding creditors'!$E1795*100/107</f>
        <v>4205.607477</v>
      </c>
      <c r="P1795" s="10">
        <f>'data on outstanding creditors'!$E1795-'data on outstanding creditors'!$O1795</f>
        <v>294.3925234</v>
      </c>
      <c r="Q1795" s="7">
        <f>DAY('data on outstanding creditors'!$B1795)</f>
        <v>24</v>
      </c>
      <c r="R1795" s="7">
        <f>MONTH('data on outstanding creditors'!$B1795)</f>
        <v>1</v>
      </c>
      <c r="S1795" s="7">
        <f>YEAR('data on outstanding creditors'!$B1795)</f>
        <v>2025</v>
      </c>
      <c r="T1795" s="11" t="str">
        <f>'data on outstanding creditors'!$C1795&amp;" "&amp;'data on outstanding creditors'!$D1795&amp;" "&amp;TEXT('data on outstanding creditors'!$E1795,"#,##0.00")</f>
        <v>บ.แอสเซ้นท์ เมดิคอล IV2025010203 4,500.00</v>
      </c>
      <c r="U1795" s="12"/>
    </row>
    <row r="1796" ht="13.5" customHeight="1">
      <c r="A1796" s="1" t="s">
        <v>2380</v>
      </c>
      <c r="B1796" s="2">
        <v>45681.0</v>
      </c>
      <c r="C1796" s="9" t="s">
        <v>2381</v>
      </c>
      <c r="D1796" s="1" t="s">
        <v>2382</v>
      </c>
      <c r="E1796" s="4">
        <v>46150.0</v>
      </c>
      <c r="F1796" s="4"/>
      <c r="G1796" s="4"/>
      <c r="H1796" s="4">
        <f>'data on outstanding creditors'!$E1796-'data on outstanding creditors'!$F1796-'data on outstanding creditors'!$G1796</f>
        <v>46150</v>
      </c>
      <c r="I1796" s="2"/>
      <c r="J1796" s="1" t="s">
        <v>646</v>
      </c>
      <c r="K1796" s="2">
        <v>45843.0</v>
      </c>
      <c r="L1796" s="5"/>
      <c r="M1796" s="9" t="s">
        <v>43</v>
      </c>
      <c r="N1796" s="9" t="s">
        <v>44</v>
      </c>
      <c r="O1796" s="10">
        <f>'data on outstanding creditors'!$E1796*100/107</f>
        <v>43130.84112</v>
      </c>
      <c r="P1796" s="10">
        <f>'data on outstanding creditors'!$E1796-'data on outstanding creditors'!$O1796</f>
        <v>3019.158879</v>
      </c>
      <c r="Q1796" s="7">
        <f>DAY('data on outstanding creditors'!$B1796)</f>
        <v>24</v>
      </c>
      <c r="R1796" s="7">
        <f>MONTH('data on outstanding creditors'!$B1796)</f>
        <v>1</v>
      </c>
      <c r="S1796" s="7">
        <f>YEAR('data on outstanding creditors'!$B1796)</f>
        <v>2025</v>
      </c>
      <c r="T1796" s="11" t="str">
        <f>'data on outstanding creditors'!$C1796&amp;" "&amp;'data on outstanding creditors'!$D1796&amp;" "&amp;TEXT('data on outstanding creditors'!$E1796,"#,##0.00")</f>
        <v>หจก.วีอาร์ ซัพพอร์ต IV6800675 46,150.00</v>
      </c>
      <c r="U1796" s="12"/>
    </row>
    <row r="1797" ht="13.5" customHeight="1">
      <c r="A1797" s="1"/>
      <c r="B1797" s="2">
        <v>45684.0</v>
      </c>
      <c r="C1797" s="9" t="s">
        <v>2383</v>
      </c>
      <c r="D1797" s="1" t="s">
        <v>2384</v>
      </c>
      <c r="E1797" s="4">
        <v>8080.0</v>
      </c>
      <c r="F1797" s="4"/>
      <c r="G1797" s="4"/>
      <c r="H1797" s="4">
        <f>'data on outstanding creditors'!$E1797-'data on outstanding creditors'!$F1797-'data on outstanding creditors'!$G1797</f>
        <v>8080</v>
      </c>
      <c r="I1797" s="2"/>
      <c r="J1797" s="1" t="s">
        <v>646</v>
      </c>
      <c r="K1797" s="2">
        <v>45843.0</v>
      </c>
      <c r="L1797" s="5"/>
      <c r="M1797" s="9" t="s">
        <v>43</v>
      </c>
      <c r="N1797" s="9" t="s">
        <v>44</v>
      </c>
      <c r="O1797" s="10">
        <f>'data on outstanding creditors'!$E1797*100/107</f>
        <v>7551.401869</v>
      </c>
      <c r="P1797" s="10">
        <f>'data on outstanding creditors'!$E1797-'data on outstanding creditors'!$O1797</f>
        <v>528.5981308</v>
      </c>
      <c r="Q1797" s="7">
        <f>DAY('data on outstanding creditors'!$B1797)</f>
        <v>27</v>
      </c>
      <c r="R1797" s="7">
        <f>MONTH('data on outstanding creditors'!$B1797)</f>
        <v>1</v>
      </c>
      <c r="S1797" s="7">
        <f>YEAR('data on outstanding creditors'!$B1797)</f>
        <v>2025</v>
      </c>
      <c r="T1797" s="11" t="str">
        <f>'data on outstanding creditors'!$C1797&amp;" "&amp;'data on outstanding creditors'!$D1797&amp;" "&amp;TEXT('data on outstanding creditors'!$E1797,"#,##0.00")</f>
        <v>บ.เซฟฟา ดรักส์ 129050 8,080.00</v>
      </c>
      <c r="U1797" s="12"/>
    </row>
    <row r="1798" ht="13.5" customHeight="1">
      <c r="A1798" s="1" t="s">
        <v>2385</v>
      </c>
      <c r="B1798" s="2">
        <v>45684.0</v>
      </c>
      <c r="C1798" s="9" t="s">
        <v>2281</v>
      </c>
      <c r="D1798" s="1" t="s">
        <v>2386</v>
      </c>
      <c r="E1798" s="4">
        <v>39700.0</v>
      </c>
      <c r="F1798" s="4"/>
      <c r="G1798" s="4"/>
      <c r="H1798" s="4">
        <f>'data on outstanding creditors'!$E1798-'data on outstanding creditors'!$F1798-'data on outstanding creditors'!$G1798</f>
        <v>39700</v>
      </c>
      <c r="I1798" s="2"/>
      <c r="J1798" s="1" t="s">
        <v>646</v>
      </c>
      <c r="K1798" s="2">
        <v>45846.0</v>
      </c>
      <c r="L1798" s="5"/>
      <c r="M1798" s="9" t="s">
        <v>43</v>
      </c>
      <c r="N1798" s="9" t="s">
        <v>44</v>
      </c>
      <c r="O1798" s="10">
        <f>'data on outstanding creditors'!$E1798*100/107</f>
        <v>37102.80374</v>
      </c>
      <c r="P1798" s="10">
        <f>'data on outstanding creditors'!$E1798-'data on outstanding creditors'!$O1798</f>
        <v>2597.196262</v>
      </c>
      <c r="Q1798" s="7">
        <f>DAY('data on outstanding creditors'!$B1798)</f>
        <v>27</v>
      </c>
      <c r="R1798" s="7">
        <f>MONTH('data on outstanding creditors'!$B1798)</f>
        <v>1</v>
      </c>
      <c r="S1798" s="7">
        <f>YEAR('data on outstanding creditors'!$B1798)</f>
        <v>2025</v>
      </c>
      <c r="T1798" s="11" t="str">
        <f>'data on outstanding creditors'!$C1798&amp;" "&amp;'data on outstanding creditors'!$D1798&amp;" "&amp;TEXT('data on outstanding creditors'!$E1798,"#,##0.00")</f>
        <v>หจก.พีเอส เมทริก IH2412005 39,700.00</v>
      </c>
      <c r="U1798" s="12"/>
    </row>
    <row r="1799" ht="13.5" customHeight="1">
      <c r="A1799" s="1"/>
      <c r="B1799" s="2">
        <v>45688.0</v>
      </c>
      <c r="C1799" s="9" t="s">
        <v>2387</v>
      </c>
      <c r="D1799" s="1" t="s">
        <v>2388</v>
      </c>
      <c r="E1799" s="4">
        <v>50000.0</v>
      </c>
      <c r="F1799" s="4"/>
      <c r="G1799" s="4"/>
      <c r="H1799" s="4">
        <f>'data on outstanding creditors'!$E1799-'data on outstanding creditors'!$F1799-'data on outstanding creditors'!$G1799</f>
        <v>50000</v>
      </c>
      <c r="I1799" s="2"/>
      <c r="J1799" s="1" t="s">
        <v>646</v>
      </c>
      <c r="K1799" s="2">
        <v>45877.0</v>
      </c>
      <c r="L1799" s="5"/>
      <c r="M1799" s="9" t="s">
        <v>43</v>
      </c>
      <c r="N1799" s="9" t="s">
        <v>23</v>
      </c>
      <c r="O1799" s="10">
        <f>'data on outstanding creditors'!$E1799*100/107</f>
        <v>46728.97196</v>
      </c>
      <c r="P1799" s="10">
        <f>'data on outstanding creditors'!$E1799-'data on outstanding creditors'!$O1799</f>
        <v>3271.028037</v>
      </c>
      <c r="Q1799" s="7">
        <f>DAY('data on outstanding creditors'!$B1799)</f>
        <v>31</v>
      </c>
      <c r="R1799" s="7">
        <f>MONTH('data on outstanding creditors'!$B1799)</f>
        <v>1</v>
      </c>
      <c r="S1799" s="7">
        <f>YEAR('data on outstanding creditors'!$B1799)</f>
        <v>2025</v>
      </c>
      <c r="T1799" s="11" t="str">
        <f>'data on outstanding creditors'!$C1799&amp;" "&amp;'data on outstanding creditors'!$D1799&amp;" "&amp;TEXT('data on outstanding creditors'!$E1799,"#,##0.00")</f>
        <v>บ.บุนย์วานิช อินเตอร์เนชั่นแนล FM680088 50,000.00</v>
      </c>
      <c r="U1799" s="12"/>
    </row>
    <row r="1800" ht="13.5" customHeight="1">
      <c r="A1800" s="1"/>
      <c r="B1800" s="2">
        <v>45688.0</v>
      </c>
      <c r="C1800" s="9" t="s">
        <v>2389</v>
      </c>
      <c r="D1800" s="1" t="s">
        <v>2390</v>
      </c>
      <c r="E1800" s="4">
        <v>17100.0</v>
      </c>
      <c r="F1800" s="4"/>
      <c r="G1800" s="4"/>
      <c r="H1800" s="4">
        <f>'data on outstanding creditors'!$E1800-'data on outstanding creditors'!$F1800-'data on outstanding creditors'!$G1800</f>
        <v>17100</v>
      </c>
      <c r="I1800" s="2"/>
      <c r="J1800" s="1" t="s">
        <v>646</v>
      </c>
      <c r="K1800" s="2">
        <v>45928.0</v>
      </c>
      <c r="L1800" s="5"/>
      <c r="M1800" s="9" t="s">
        <v>43</v>
      </c>
      <c r="N1800" s="9" t="s">
        <v>49</v>
      </c>
      <c r="O1800" s="10">
        <f>'data on outstanding creditors'!$E1800*100/107</f>
        <v>15981.30841</v>
      </c>
      <c r="P1800" s="10">
        <f>'data on outstanding creditors'!$E1800-'data on outstanding creditors'!$O1800</f>
        <v>1118.691589</v>
      </c>
      <c r="Q1800" s="7">
        <f>DAY('data on outstanding creditors'!$B1800)</f>
        <v>31</v>
      </c>
      <c r="R1800" s="7">
        <f>MONTH('data on outstanding creditors'!$B1800)</f>
        <v>1</v>
      </c>
      <c r="S1800" s="7">
        <f>YEAR('data on outstanding creditors'!$B1800)</f>
        <v>2025</v>
      </c>
      <c r="T1800" s="11" t="str">
        <f>'data on outstanding creditors'!$C1800&amp;" "&amp;'data on outstanding creditors'!$D1800&amp;" "&amp;TEXT('data on outstanding creditors'!$E1800,"#,##0.00")</f>
        <v>บ.ซี วี พี เมดิคอล เทคโนโลยี SI01/68010239 17,100.00</v>
      </c>
      <c r="U1800" s="12"/>
    </row>
    <row r="1801" ht="13.5" customHeight="1">
      <c r="A1801" s="1"/>
      <c r="B1801" s="2">
        <v>45688.0</v>
      </c>
      <c r="C1801" s="9" t="s">
        <v>2389</v>
      </c>
      <c r="D1801" s="1" t="s">
        <v>2391</v>
      </c>
      <c r="E1801" s="4">
        <v>27700.0</v>
      </c>
      <c r="F1801" s="4"/>
      <c r="G1801" s="4"/>
      <c r="H1801" s="4">
        <f>'data on outstanding creditors'!$E1801-'data on outstanding creditors'!$F1801-'data on outstanding creditors'!$G1801</f>
        <v>27700</v>
      </c>
      <c r="I1801" s="2"/>
      <c r="J1801" s="1" t="s">
        <v>646</v>
      </c>
      <c r="K1801" s="2">
        <v>45928.0</v>
      </c>
      <c r="L1801" s="5"/>
      <c r="M1801" s="9" t="s">
        <v>43</v>
      </c>
      <c r="N1801" s="9" t="s">
        <v>49</v>
      </c>
      <c r="O1801" s="10">
        <f>'data on outstanding creditors'!$E1801*100/107</f>
        <v>25887.85047</v>
      </c>
      <c r="P1801" s="10">
        <f>'data on outstanding creditors'!$E1801-'data on outstanding creditors'!$O1801</f>
        <v>1812.149533</v>
      </c>
      <c r="Q1801" s="7">
        <f>DAY('data on outstanding creditors'!$B1801)</f>
        <v>31</v>
      </c>
      <c r="R1801" s="7">
        <f>MONTH('data on outstanding creditors'!$B1801)</f>
        <v>1</v>
      </c>
      <c r="S1801" s="7">
        <f>YEAR('data on outstanding creditors'!$B1801)</f>
        <v>2025</v>
      </c>
      <c r="T1801" s="11" t="str">
        <f>'data on outstanding creditors'!$C1801&amp;" "&amp;'data on outstanding creditors'!$D1801&amp;" "&amp;TEXT('data on outstanding creditors'!$E1801,"#,##0.00")</f>
        <v>บ.ซี วี พี เมดิคอล เทคโนโลยี SI01/68010299 27,700.00</v>
      </c>
      <c r="U1801" s="12"/>
    </row>
    <row r="1802" ht="13.5" customHeight="1">
      <c r="A1802" s="1"/>
      <c r="B1802" s="2">
        <v>45691.0</v>
      </c>
      <c r="C1802" s="9" t="s">
        <v>2323</v>
      </c>
      <c r="D1802" s="1" t="s">
        <v>2392</v>
      </c>
      <c r="E1802" s="4">
        <v>33000.0</v>
      </c>
      <c r="F1802" s="4"/>
      <c r="G1802" s="4"/>
      <c r="H1802" s="4">
        <f>'data on outstanding creditors'!$E1802-'data on outstanding creditors'!$F1802-'data on outstanding creditors'!$G1802</f>
        <v>33000</v>
      </c>
      <c r="I1802" s="2"/>
      <c r="J1802" s="1" t="s">
        <v>757</v>
      </c>
      <c r="K1802" s="2">
        <v>45785.0</v>
      </c>
      <c r="L1802" s="5"/>
      <c r="M1802" s="9" t="s">
        <v>43</v>
      </c>
      <c r="N1802" s="9" t="s">
        <v>49</v>
      </c>
      <c r="O1802" s="10">
        <f>'data on outstanding creditors'!$E1802*100/107</f>
        <v>30841.1215</v>
      </c>
      <c r="P1802" s="10">
        <f>'data on outstanding creditors'!$E1802-'data on outstanding creditors'!$O1802</f>
        <v>2158.878505</v>
      </c>
      <c r="Q1802" s="7">
        <f>DAY('data on outstanding creditors'!$B1802)</f>
        <v>3</v>
      </c>
      <c r="R1802" s="7">
        <f>MONTH('data on outstanding creditors'!$B1802)</f>
        <v>2</v>
      </c>
      <c r="S1802" s="7">
        <f>YEAR('data on outstanding creditors'!$B1802)</f>
        <v>2025</v>
      </c>
      <c r="T1802" s="11" t="str">
        <f>'data on outstanding creditors'!$C1802&amp;" "&amp;'data on outstanding creditors'!$D1802&amp;" "&amp;TEXT('data on outstanding creditors'!$E1802,"#,##0.00")</f>
        <v>บ.ไซเอนซ์ เมด SM68/0100663 33,000.00</v>
      </c>
      <c r="U1802" s="12"/>
    </row>
    <row r="1803" ht="13.5" customHeight="1">
      <c r="A1803" s="1" t="s">
        <v>2393</v>
      </c>
      <c r="B1803" s="2">
        <v>45691.0</v>
      </c>
      <c r="C1803" s="9" t="s">
        <v>2394</v>
      </c>
      <c r="D1803" s="1" t="s">
        <v>2395</v>
      </c>
      <c r="E1803" s="4">
        <v>2950.0</v>
      </c>
      <c r="F1803" s="4"/>
      <c r="G1803" s="4"/>
      <c r="H1803" s="4">
        <f>'data on outstanding creditors'!$E1803-'data on outstanding creditors'!$F1803-'data on outstanding creditors'!$G1803</f>
        <v>2950</v>
      </c>
      <c r="I1803" s="2"/>
      <c r="J1803" s="1" t="s">
        <v>757</v>
      </c>
      <c r="K1803" s="2">
        <v>45765.0</v>
      </c>
      <c r="L1803" s="5"/>
      <c r="M1803" s="9" t="s">
        <v>43</v>
      </c>
      <c r="N1803" s="9" t="s">
        <v>49</v>
      </c>
      <c r="O1803" s="10">
        <f>'data on outstanding creditors'!$E1803*100/107</f>
        <v>2757.009346</v>
      </c>
      <c r="P1803" s="10">
        <f>'data on outstanding creditors'!$E1803-'data on outstanding creditors'!$O1803</f>
        <v>192.9906542</v>
      </c>
      <c r="Q1803" s="7">
        <f>DAY('data on outstanding creditors'!$B1803)</f>
        <v>3</v>
      </c>
      <c r="R1803" s="7">
        <f>MONTH('data on outstanding creditors'!$B1803)</f>
        <v>2</v>
      </c>
      <c r="S1803" s="7">
        <f>YEAR('data on outstanding creditors'!$B1803)</f>
        <v>2025</v>
      </c>
      <c r="T1803" s="11" t="str">
        <f>'data on outstanding creditors'!$C1803&amp;" "&amp;'data on outstanding creditors'!$D1803&amp;" "&amp;TEXT('data on outstanding creditors'!$E1803,"#,##0.00")</f>
        <v>บ.เมดวิท D-Q24121617 2,950.00</v>
      </c>
      <c r="U1803" s="12"/>
    </row>
    <row r="1804" ht="13.5" customHeight="1">
      <c r="A1804" s="1"/>
      <c r="B1804" s="2">
        <v>45691.0</v>
      </c>
      <c r="C1804" s="9" t="s">
        <v>2396</v>
      </c>
      <c r="D1804" s="1" t="s">
        <v>2397</v>
      </c>
      <c r="E1804" s="4">
        <v>25680.0</v>
      </c>
      <c r="F1804" s="4"/>
      <c r="G1804" s="4"/>
      <c r="H1804" s="4">
        <f>'data on outstanding creditors'!$E1804-'data on outstanding creditors'!$F1804-'data on outstanding creditors'!$G1804</f>
        <v>25680</v>
      </c>
      <c r="I1804" s="2"/>
      <c r="J1804" s="1" t="s">
        <v>646</v>
      </c>
      <c r="K1804" s="2">
        <v>45843.0</v>
      </c>
      <c r="L1804" s="5"/>
      <c r="M1804" s="9" t="s">
        <v>43</v>
      </c>
      <c r="N1804" s="9" t="s">
        <v>49</v>
      </c>
      <c r="O1804" s="10">
        <f>'data on outstanding creditors'!$E1804*100/107</f>
        <v>24000</v>
      </c>
      <c r="P1804" s="10">
        <f>'data on outstanding creditors'!$E1804-'data on outstanding creditors'!$O1804</f>
        <v>1680</v>
      </c>
      <c r="Q1804" s="7">
        <f>DAY('data on outstanding creditors'!$B1804)</f>
        <v>3</v>
      </c>
      <c r="R1804" s="7">
        <f>MONTH('data on outstanding creditors'!$B1804)</f>
        <v>2</v>
      </c>
      <c r="S1804" s="7">
        <f>YEAR('data on outstanding creditors'!$B1804)</f>
        <v>2025</v>
      </c>
      <c r="T1804" s="11" t="str">
        <f>'data on outstanding creditors'!$C1804&amp;" "&amp;'data on outstanding creditors'!$D1804&amp;" "&amp;TEXT('data on outstanding creditors'!$E1804,"#,##0.00")</f>
        <v>บ.โมเดิร์นไลน์ เมิคอล IV6800016 25,680.00</v>
      </c>
      <c r="U1804" s="12"/>
    </row>
    <row r="1805" ht="13.5" customHeight="1">
      <c r="A1805" s="1"/>
      <c r="B1805" s="2">
        <v>45691.0</v>
      </c>
      <c r="C1805" s="9" t="s">
        <v>2398</v>
      </c>
      <c r="D1805" s="1" t="s">
        <v>2399</v>
      </c>
      <c r="E1805" s="4">
        <v>53238.5</v>
      </c>
      <c r="F1805" s="4"/>
      <c r="G1805" s="4"/>
      <c r="H1805" s="4">
        <f>'data on outstanding creditors'!$E1805-'data on outstanding creditors'!$F1805-'data on outstanding creditors'!$G1805</f>
        <v>53238.5</v>
      </c>
      <c r="I1805" s="2"/>
      <c r="J1805" s="1" t="s">
        <v>646</v>
      </c>
      <c r="K1805" s="2">
        <v>45843.0</v>
      </c>
      <c r="L1805" s="5"/>
      <c r="M1805" s="9" t="s">
        <v>43</v>
      </c>
      <c r="N1805" s="9" t="s">
        <v>49</v>
      </c>
      <c r="O1805" s="10">
        <f>'data on outstanding creditors'!$E1805*100/107</f>
        <v>49755.60748</v>
      </c>
      <c r="P1805" s="10">
        <f>'data on outstanding creditors'!$E1805-'data on outstanding creditors'!$O1805</f>
        <v>3482.892523</v>
      </c>
      <c r="Q1805" s="7">
        <f>DAY('data on outstanding creditors'!$B1805)</f>
        <v>3</v>
      </c>
      <c r="R1805" s="7">
        <f>MONTH('data on outstanding creditors'!$B1805)</f>
        <v>2</v>
      </c>
      <c r="S1805" s="7">
        <f>YEAR('data on outstanding creditors'!$B1805)</f>
        <v>2025</v>
      </c>
      <c r="T1805" s="11" t="str">
        <f>'data on outstanding creditors'!$C1805&amp;" "&amp;'data on outstanding creditors'!$D1805&amp;" "&amp;TEXT('data on outstanding creditors'!$E1805,"#,##0.00")</f>
        <v>บ.ไลฟ์ โกรท เมดิคอล แอนด์ ซัพพลาย INV2025010036 53,238.50</v>
      </c>
      <c r="U1805" s="12"/>
    </row>
    <row r="1806" ht="13.5" customHeight="1">
      <c r="A1806" s="1"/>
      <c r="B1806" s="2">
        <v>45691.0</v>
      </c>
      <c r="C1806" s="9" t="s">
        <v>1029</v>
      </c>
      <c r="D1806" s="1" t="s">
        <v>2400</v>
      </c>
      <c r="E1806" s="4">
        <v>16520.0</v>
      </c>
      <c r="F1806" s="4"/>
      <c r="G1806" s="4"/>
      <c r="H1806" s="4">
        <f>'data on outstanding creditors'!$E1806-'data on outstanding creditors'!$F1806-'data on outstanding creditors'!$G1806</f>
        <v>16520</v>
      </c>
      <c r="I1806" s="2"/>
      <c r="J1806" s="1" t="s">
        <v>646</v>
      </c>
      <c r="K1806" s="2">
        <v>45843.0</v>
      </c>
      <c r="L1806" s="5"/>
      <c r="M1806" s="9" t="s">
        <v>43</v>
      </c>
      <c r="N1806" s="9" t="s">
        <v>49</v>
      </c>
      <c r="O1806" s="10">
        <f>'data on outstanding creditors'!$E1806*100/107</f>
        <v>15439.25234</v>
      </c>
      <c r="P1806" s="10">
        <f>'data on outstanding creditors'!$E1806-'data on outstanding creditors'!$O1806</f>
        <v>1080.747664</v>
      </c>
      <c r="Q1806" s="7">
        <f>DAY('data on outstanding creditors'!$B1806)</f>
        <v>3</v>
      </c>
      <c r="R1806" s="7">
        <f>MONTH('data on outstanding creditors'!$B1806)</f>
        <v>2</v>
      </c>
      <c r="S1806" s="7">
        <f>YEAR('data on outstanding creditors'!$B1806)</f>
        <v>2025</v>
      </c>
      <c r="T1806" s="11" t="str">
        <f>'data on outstanding creditors'!$C1806&amp;" "&amp;'data on outstanding creditors'!$D1806&amp;" "&amp;TEXT('data on outstanding creditors'!$E1806,"#,##0.00")</f>
        <v>บ.เอเทค เมดิคอล IV6801562 16,520.00</v>
      </c>
      <c r="U1806" s="12"/>
    </row>
    <row r="1807" ht="13.5" customHeight="1">
      <c r="A1807" s="1"/>
      <c r="B1807" s="2">
        <v>45692.0</v>
      </c>
      <c r="C1807" s="9" t="s">
        <v>2301</v>
      </c>
      <c r="D1807" s="1" t="s">
        <v>2401</v>
      </c>
      <c r="E1807" s="4">
        <v>4600.0</v>
      </c>
      <c r="F1807" s="4"/>
      <c r="G1807" s="4"/>
      <c r="H1807" s="4">
        <f>'data on outstanding creditors'!$E1807-'data on outstanding creditors'!$F1807-'data on outstanding creditors'!$G1807</f>
        <v>4600</v>
      </c>
      <c r="I1807" s="2"/>
      <c r="J1807" s="1" t="s">
        <v>757</v>
      </c>
      <c r="K1807" s="2">
        <v>45740.0</v>
      </c>
      <c r="L1807" s="5"/>
      <c r="M1807" s="9" t="s">
        <v>43</v>
      </c>
      <c r="N1807" s="9" t="s">
        <v>23</v>
      </c>
      <c r="O1807" s="10">
        <f>'data on outstanding creditors'!$E1807*100/107</f>
        <v>4299.065421</v>
      </c>
      <c r="P1807" s="10">
        <f>'data on outstanding creditors'!$E1807-'data on outstanding creditors'!$O1807</f>
        <v>300.9345794</v>
      </c>
      <c r="Q1807" s="7">
        <f>DAY('data on outstanding creditors'!$B1807)</f>
        <v>4</v>
      </c>
      <c r="R1807" s="7">
        <f>MONTH('data on outstanding creditors'!$B1807)</f>
        <v>2</v>
      </c>
      <c r="S1807" s="7">
        <f>YEAR('data on outstanding creditors'!$B1807)</f>
        <v>2025</v>
      </c>
      <c r="T1807" s="11" t="str">
        <f>'data on outstanding creditors'!$C1807&amp;" "&amp;'data on outstanding creditors'!$D1807&amp;" "&amp;TEXT('data on outstanding creditors'!$E1807,"#,##0.00")</f>
        <v>บ.เค เค เมดิคอล 10813 4,600.00</v>
      </c>
      <c r="U1807" s="12"/>
    </row>
    <row r="1808" ht="13.5" customHeight="1">
      <c r="A1808" s="1"/>
      <c r="B1808" s="2">
        <v>45692.0</v>
      </c>
      <c r="C1808" s="9" t="s">
        <v>2402</v>
      </c>
      <c r="D1808" s="1" t="s">
        <v>2403</v>
      </c>
      <c r="E1808" s="4">
        <v>5000.0</v>
      </c>
      <c r="F1808" s="4"/>
      <c r="G1808" s="4"/>
      <c r="H1808" s="4">
        <f>'data on outstanding creditors'!$E1808-'data on outstanding creditors'!$F1808-'data on outstanding creditors'!$G1808</f>
        <v>5000</v>
      </c>
      <c r="I1808" s="2"/>
      <c r="J1808" s="1" t="s">
        <v>646</v>
      </c>
      <c r="K1808" s="2">
        <v>45887.0</v>
      </c>
      <c r="L1808" s="5"/>
      <c r="M1808" s="9" t="s">
        <v>43</v>
      </c>
      <c r="N1808" s="9" t="s">
        <v>23</v>
      </c>
      <c r="O1808" s="10">
        <f>'data on outstanding creditors'!$E1808*100/107</f>
        <v>4672.897196</v>
      </c>
      <c r="P1808" s="10">
        <f>'data on outstanding creditors'!$E1808-'data on outstanding creditors'!$O1808</f>
        <v>327.1028037</v>
      </c>
      <c r="Q1808" s="7">
        <f>DAY('data on outstanding creditors'!$B1808)</f>
        <v>4</v>
      </c>
      <c r="R1808" s="7">
        <f>MONTH('data on outstanding creditors'!$B1808)</f>
        <v>2</v>
      </c>
      <c r="S1808" s="7">
        <f>YEAR('data on outstanding creditors'!$B1808)</f>
        <v>2025</v>
      </c>
      <c r="T1808" s="11" t="str">
        <f>'data on outstanding creditors'!$C1808&amp;" "&amp;'data on outstanding creditors'!$D1808&amp;" "&amp;TEXT('data on outstanding creditors'!$E1808,"#,##0.00")</f>
        <v>บ.แมคคา โปรดักชั่น 0380/68 5,000.00</v>
      </c>
      <c r="U1808" s="12"/>
    </row>
    <row r="1809" ht="13.5" customHeight="1">
      <c r="A1809" s="1"/>
      <c r="B1809" s="2">
        <v>45693.0</v>
      </c>
      <c r="C1809" s="9" t="s">
        <v>2404</v>
      </c>
      <c r="D1809" s="1" t="s">
        <v>2405</v>
      </c>
      <c r="E1809" s="4">
        <v>48600.0</v>
      </c>
      <c r="F1809" s="4"/>
      <c r="G1809" s="4"/>
      <c r="H1809" s="4">
        <f>'data on outstanding creditors'!$E1809-'data on outstanding creditors'!$F1809-'data on outstanding creditors'!$G1809</f>
        <v>48600</v>
      </c>
      <c r="I1809" s="2"/>
      <c r="J1809" s="1" t="s">
        <v>646</v>
      </c>
      <c r="K1809" s="2">
        <v>45843.0</v>
      </c>
      <c r="L1809" s="5"/>
      <c r="M1809" s="9" t="s">
        <v>43</v>
      </c>
      <c r="N1809" s="9" t="s">
        <v>49</v>
      </c>
      <c r="O1809" s="10">
        <f>'data on outstanding creditors'!$E1809*100/107</f>
        <v>45420.56075</v>
      </c>
      <c r="P1809" s="10">
        <f>'data on outstanding creditors'!$E1809-'data on outstanding creditors'!$O1809</f>
        <v>3179.439252</v>
      </c>
      <c r="Q1809" s="7">
        <f>DAY('data on outstanding creditors'!$B1809)</f>
        <v>5</v>
      </c>
      <c r="R1809" s="7">
        <f>MONTH('data on outstanding creditors'!$B1809)</f>
        <v>2</v>
      </c>
      <c r="S1809" s="7">
        <f>YEAR('data on outstanding creditors'!$B1809)</f>
        <v>2025</v>
      </c>
      <c r="T1809" s="11" t="str">
        <f>'data on outstanding creditors'!$C1809&amp;" "&amp;'data on outstanding creditors'!$D1809&amp;" "&amp;TEXT('data on outstanding creditors'!$E1809,"#,##0.00")</f>
        <v>บ.โกสินทร์เวชภัณฑ์ KS672020 48,600.00</v>
      </c>
      <c r="U1809" s="12"/>
    </row>
    <row r="1810" ht="13.5" customHeight="1">
      <c r="A1810" s="1"/>
      <c r="B1810" s="2">
        <v>45693.0</v>
      </c>
      <c r="C1810" s="9" t="s">
        <v>2406</v>
      </c>
      <c r="D1810" s="1" t="s">
        <v>2407</v>
      </c>
      <c r="E1810" s="4">
        <v>35000.0</v>
      </c>
      <c r="F1810" s="4"/>
      <c r="G1810" s="4"/>
      <c r="H1810" s="4">
        <f>'data on outstanding creditors'!$E1810-'data on outstanding creditors'!$F1810-'data on outstanding creditors'!$G1810</f>
        <v>35000</v>
      </c>
      <c r="I1810" s="2"/>
      <c r="J1810" s="1" t="s">
        <v>646</v>
      </c>
      <c r="K1810" s="2">
        <v>45843.0</v>
      </c>
      <c r="L1810" s="5"/>
      <c r="M1810" s="9" t="s">
        <v>43</v>
      </c>
      <c r="N1810" s="9" t="s">
        <v>49</v>
      </c>
      <c r="O1810" s="10">
        <f>'data on outstanding creditors'!$E1810*100/107</f>
        <v>32710.28037</v>
      </c>
      <c r="P1810" s="10">
        <f>'data on outstanding creditors'!$E1810-'data on outstanding creditors'!$O1810</f>
        <v>2289.719626</v>
      </c>
      <c r="Q1810" s="7">
        <f>DAY('data on outstanding creditors'!$B1810)</f>
        <v>5</v>
      </c>
      <c r="R1810" s="7">
        <f>MONTH('data on outstanding creditors'!$B1810)</f>
        <v>2</v>
      </c>
      <c r="S1810" s="7">
        <f>YEAR('data on outstanding creditors'!$B1810)</f>
        <v>2025</v>
      </c>
      <c r="T1810" s="11" t="str">
        <f>'data on outstanding creditors'!$C1810&amp;" "&amp;'data on outstanding creditors'!$D1810&amp;" "&amp;TEXT('data on outstanding creditors'!$E1810,"#,##0.00")</f>
        <v>บ.เฟิร์สท อาย เซอร์จิคัล 680222104 35,000.00</v>
      </c>
      <c r="U1810" s="12"/>
    </row>
    <row r="1811" ht="13.5" customHeight="1">
      <c r="A1811" s="1"/>
      <c r="B1811" s="2">
        <v>45698.0</v>
      </c>
      <c r="C1811" s="9" t="s">
        <v>2408</v>
      </c>
      <c r="D1811" s="1" t="s">
        <v>2409</v>
      </c>
      <c r="E1811" s="4">
        <v>15060.52</v>
      </c>
      <c r="F1811" s="4"/>
      <c r="G1811" s="4"/>
      <c r="H1811" s="4">
        <f>'data on outstanding creditors'!$E1811-'data on outstanding creditors'!$F1811-'data on outstanding creditors'!$G1811</f>
        <v>15060.52</v>
      </c>
      <c r="I1811" s="2"/>
      <c r="J1811" s="1" t="s">
        <v>646</v>
      </c>
      <c r="K1811" s="2">
        <v>45856.0</v>
      </c>
      <c r="L1811" s="5"/>
      <c r="M1811" s="9" t="s">
        <v>43</v>
      </c>
      <c r="N1811" s="9" t="s">
        <v>49</v>
      </c>
      <c r="O1811" s="10">
        <f>'data on outstanding creditors'!$E1811*100/107</f>
        <v>14075.25234</v>
      </c>
      <c r="P1811" s="10">
        <f>'data on outstanding creditors'!$E1811-'data on outstanding creditors'!$O1811</f>
        <v>985.2676636</v>
      </c>
      <c r="Q1811" s="7">
        <f>DAY('data on outstanding creditors'!$B1811)</f>
        <v>10</v>
      </c>
      <c r="R1811" s="7">
        <f>MONTH('data on outstanding creditors'!$B1811)</f>
        <v>2</v>
      </c>
      <c r="S1811" s="7">
        <f>YEAR('data on outstanding creditors'!$B1811)</f>
        <v>2025</v>
      </c>
      <c r="T1811" s="11" t="str">
        <f>'data on outstanding creditors'!$C1811&amp;" "&amp;'data on outstanding creditors'!$D1811&amp;" "&amp;TEXT('data on outstanding creditors'!$E1811,"#,##0.00")</f>
        <v>บ.จอห์นสัน แอนด์ จอห์นสัน(ประเทศไทย) 998507119 15,060.52</v>
      </c>
      <c r="U1811" s="12"/>
    </row>
    <row r="1812" ht="13.5" customHeight="1">
      <c r="A1812" s="1" t="s">
        <v>2410</v>
      </c>
      <c r="B1812" s="2">
        <v>45698.0</v>
      </c>
      <c r="C1812" s="9" t="s">
        <v>2352</v>
      </c>
      <c r="D1812" s="1" t="s">
        <v>2411</v>
      </c>
      <c r="E1812" s="4">
        <v>9500.0</v>
      </c>
      <c r="F1812" s="4"/>
      <c r="G1812" s="4"/>
      <c r="H1812" s="4">
        <f>'data on outstanding creditors'!$E1812-'data on outstanding creditors'!$F1812-'data on outstanding creditors'!$G1812</f>
        <v>9500</v>
      </c>
      <c r="I1812" s="2"/>
      <c r="J1812" s="1" t="s">
        <v>646</v>
      </c>
      <c r="K1812" s="2">
        <v>45843.0</v>
      </c>
      <c r="L1812" s="5"/>
      <c r="M1812" s="9" t="s">
        <v>43</v>
      </c>
      <c r="N1812" s="9" t="s">
        <v>49</v>
      </c>
      <c r="O1812" s="10">
        <f>'data on outstanding creditors'!$E1812*100/107</f>
        <v>8878.504673</v>
      </c>
      <c r="P1812" s="10">
        <f>'data on outstanding creditors'!$E1812-'data on outstanding creditors'!$O1812</f>
        <v>621.4953271</v>
      </c>
      <c r="Q1812" s="7">
        <f>DAY('data on outstanding creditors'!$B1812)</f>
        <v>10</v>
      </c>
      <c r="R1812" s="7">
        <f>MONTH('data on outstanding creditors'!$B1812)</f>
        <v>2</v>
      </c>
      <c r="S1812" s="7">
        <f>YEAR('data on outstanding creditors'!$B1812)</f>
        <v>2025</v>
      </c>
      <c r="T1812" s="11" t="str">
        <f>'data on outstanding creditors'!$C1812&amp;" "&amp;'data on outstanding creditors'!$D1812&amp;" "&amp;TEXT('data on outstanding creditors'!$E1812,"#,##0.00")</f>
        <v>บ.สเวนนอร่า เมด SVM2502027 9,500.00</v>
      </c>
      <c r="U1812" s="12"/>
    </row>
    <row r="1813" ht="13.5" customHeight="1">
      <c r="A1813" s="1" t="s">
        <v>2412</v>
      </c>
      <c r="B1813" s="2">
        <v>45698.0</v>
      </c>
      <c r="C1813" s="9" t="s">
        <v>1029</v>
      </c>
      <c r="D1813" s="1" t="s">
        <v>2413</v>
      </c>
      <c r="E1813" s="4">
        <v>15800.0</v>
      </c>
      <c r="F1813" s="4"/>
      <c r="G1813" s="4"/>
      <c r="H1813" s="4">
        <f>'data on outstanding creditors'!$E1813-'data on outstanding creditors'!$F1813-'data on outstanding creditors'!$G1813</f>
        <v>15800</v>
      </c>
      <c r="I1813" s="2"/>
      <c r="J1813" s="1" t="s">
        <v>646</v>
      </c>
      <c r="K1813" s="2">
        <v>45843.0</v>
      </c>
      <c r="L1813" s="5"/>
      <c r="M1813" s="9" t="s">
        <v>43</v>
      </c>
      <c r="N1813" s="9" t="s">
        <v>49</v>
      </c>
      <c r="O1813" s="10">
        <f>'data on outstanding creditors'!$E1813*100/107</f>
        <v>14766.35514</v>
      </c>
      <c r="P1813" s="10">
        <f>'data on outstanding creditors'!$E1813-'data on outstanding creditors'!$O1813</f>
        <v>1033.64486</v>
      </c>
      <c r="Q1813" s="7">
        <f>DAY('data on outstanding creditors'!$B1813)</f>
        <v>10</v>
      </c>
      <c r="R1813" s="7">
        <f>MONTH('data on outstanding creditors'!$B1813)</f>
        <v>2</v>
      </c>
      <c r="S1813" s="7">
        <f>YEAR('data on outstanding creditors'!$B1813)</f>
        <v>2025</v>
      </c>
      <c r="T1813" s="11" t="str">
        <f>'data on outstanding creditors'!$C1813&amp;" "&amp;'data on outstanding creditors'!$D1813&amp;" "&amp;TEXT('data on outstanding creditors'!$E1813,"#,##0.00")</f>
        <v>บ.เอเทค เมดิคอล IV6802217 15,800.00</v>
      </c>
      <c r="U1813" s="12"/>
    </row>
    <row r="1814" ht="13.5" customHeight="1">
      <c r="A1814" s="1"/>
      <c r="B1814" s="2">
        <v>45698.0</v>
      </c>
      <c r="C1814" s="9" t="s">
        <v>2310</v>
      </c>
      <c r="D1814" s="1" t="s">
        <v>2414</v>
      </c>
      <c r="E1814" s="4">
        <v>50000.0</v>
      </c>
      <c r="F1814" s="4"/>
      <c r="G1814" s="4"/>
      <c r="H1814" s="4">
        <f>'data on outstanding creditors'!$E1814-'data on outstanding creditors'!$F1814-'data on outstanding creditors'!$G1814</f>
        <v>50000</v>
      </c>
      <c r="I1814" s="2"/>
      <c r="J1814" s="1" t="s">
        <v>646</v>
      </c>
      <c r="K1814" s="2">
        <v>45877.0</v>
      </c>
      <c r="L1814" s="5"/>
      <c r="M1814" s="9" t="s">
        <v>43</v>
      </c>
      <c r="N1814" s="9" t="s">
        <v>49</v>
      </c>
      <c r="O1814" s="10">
        <f>'data on outstanding creditors'!$E1814*100/107</f>
        <v>46728.97196</v>
      </c>
      <c r="P1814" s="10">
        <f>'data on outstanding creditors'!$E1814-'data on outstanding creditors'!$O1814</f>
        <v>3271.028037</v>
      </c>
      <c r="Q1814" s="7">
        <f>DAY('data on outstanding creditors'!$B1814)</f>
        <v>10</v>
      </c>
      <c r="R1814" s="7">
        <f>MONTH('data on outstanding creditors'!$B1814)</f>
        <v>2</v>
      </c>
      <c r="S1814" s="7">
        <f>YEAR('data on outstanding creditors'!$B1814)</f>
        <v>2025</v>
      </c>
      <c r="T1814" s="11" t="str">
        <f>'data on outstanding creditors'!$C1814&amp;" "&amp;'data on outstanding creditors'!$D1814&amp;" "&amp;TEXT('data on outstanding creditors'!$E1814,"#,##0.00")</f>
        <v>บ.เอ็นจี โปรเกรสซีฟ 024.02.68 50,000.00</v>
      </c>
      <c r="U1814" s="12"/>
    </row>
    <row r="1815" ht="13.5" customHeight="1">
      <c r="A1815" s="1"/>
      <c r="B1815" s="2">
        <v>45699.0</v>
      </c>
      <c r="C1815" s="9" t="s">
        <v>2334</v>
      </c>
      <c r="D1815" s="1" t="s">
        <v>2415</v>
      </c>
      <c r="E1815" s="4">
        <v>176000.0</v>
      </c>
      <c r="F1815" s="4"/>
      <c r="G1815" s="4"/>
      <c r="H1815" s="4">
        <f>'data on outstanding creditors'!$E1815-'data on outstanding creditors'!$F1815-'data on outstanding creditors'!$G1815</f>
        <v>176000</v>
      </c>
      <c r="I1815" s="2"/>
      <c r="J1815" s="1" t="s">
        <v>757</v>
      </c>
      <c r="K1815" s="2">
        <v>45832.0</v>
      </c>
      <c r="L1815" s="5"/>
      <c r="M1815" s="9" t="s">
        <v>43</v>
      </c>
      <c r="N1815" s="9" t="s">
        <v>49</v>
      </c>
      <c r="O1815" s="10">
        <f>'data on outstanding creditors'!$E1815*100/107</f>
        <v>164485.9813</v>
      </c>
      <c r="P1815" s="10">
        <f>'data on outstanding creditors'!$E1815-'data on outstanding creditors'!$O1815</f>
        <v>11514.01869</v>
      </c>
      <c r="Q1815" s="7">
        <f>DAY('data on outstanding creditors'!$B1815)</f>
        <v>11</v>
      </c>
      <c r="R1815" s="7">
        <f>MONTH('data on outstanding creditors'!$B1815)</f>
        <v>2</v>
      </c>
      <c r="S1815" s="7">
        <f>YEAR('data on outstanding creditors'!$B1815)</f>
        <v>2025</v>
      </c>
      <c r="T1815" s="11" t="str">
        <f>'data on outstanding creditors'!$C1815&amp;" "&amp;'data on outstanding creditors'!$D1815&amp;" "&amp;TEXT('data on outstanding creditors'!$E1815,"#,##0.00")</f>
        <v>บ.ไทยก๊อส IV6805873 176,000.00</v>
      </c>
      <c r="U1815" s="12"/>
    </row>
    <row r="1816" ht="13.5" customHeight="1">
      <c r="A1816" s="1"/>
      <c r="B1816" s="2">
        <v>45701.0</v>
      </c>
      <c r="C1816" s="9" t="s">
        <v>2294</v>
      </c>
      <c r="D1816" s="1" t="s">
        <v>2416</v>
      </c>
      <c r="E1816" s="4">
        <v>9340.0</v>
      </c>
      <c r="F1816" s="4"/>
      <c r="G1816" s="4"/>
      <c r="H1816" s="4">
        <f>'data on outstanding creditors'!$E1816-'data on outstanding creditors'!$F1816-'data on outstanding creditors'!$G1816</f>
        <v>9340</v>
      </c>
      <c r="I1816" s="2"/>
      <c r="J1816" s="1" t="s">
        <v>646</v>
      </c>
      <c r="K1816" s="2">
        <v>45815.0</v>
      </c>
      <c r="L1816" s="5"/>
      <c r="M1816" s="9" t="s">
        <v>43</v>
      </c>
      <c r="N1816" s="9" t="s">
        <v>23</v>
      </c>
      <c r="O1816" s="10">
        <f>'data on outstanding creditors'!$E1816*100/107</f>
        <v>8728.971963</v>
      </c>
      <c r="P1816" s="10">
        <f>'data on outstanding creditors'!$E1816-'data on outstanding creditors'!$O1816</f>
        <v>611.0280374</v>
      </c>
      <c r="Q1816" s="7">
        <f>DAY('data on outstanding creditors'!$B1816)</f>
        <v>13</v>
      </c>
      <c r="R1816" s="7">
        <f>MONTH('data on outstanding creditors'!$B1816)</f>
        <v>2</v>
      </c>
      <c r="S1816" s="7">
        <f>YEAR('data on outstanding creditors'!$B1816)</f>
        <v>2025</v>
      </c>
      <c r="T1816" s="11" t="str">
        <f>'data on outstanding creditors'!$C1816&amp;" "&amp;'data on outstanding creditors'!$D1816&amp;" "&amp;TEXT('data on outstanding creditors'!$E1816,"#,##0.00")</f>
        <v>บ.แอสเซ้นท์ เมดิคอล IV2025020054 9,340.00</v>
      </c>
      <c r="U1816" s="12"/>
    </row>
    <row r="1817" ht="13.5" customHeight="1">
      <c r="A1817" s="1"/>
      <c r="B1817" s="2">
        <v>45701.0</v>
      </c>
      <c r="C1817" s="9" t="s">
        <v>2398</v>
      </c>
      <c r="D1817" s="1" t="s">
        <v>2417</v>
      </c>
      <c r="E1817" s="4">
        <v>3338.4</v>
      </c>
      <c r="F1817" s="4"/>
      <c r="G1817" s="4"/>
      <c r="H1817" s="4">
        <f>'data on outstanding creditors'!$E1817-'data on outstanding creditors'!$F1817-'data on outstanding creditors'!$G1817</f>
        <v>3338.4</v>
      </c>
      <c r="I1817" s="2"/>
      <c r="J1817" s="1" t="s">
        <v>646</v>
      </c>
      <c r="K1817" s="2">
        <v>45843.0</v>
      </c>
      <c r="L1817" s="5"/>
      <c r="M1817" s="9" t="s">
        <v>43</v>
      </c>
      <c r="N1817" s="9" t="s">
        <v>49</v>
      </c>
      <c r="O1817" s="10">
        <f>'data on outstanding creditors'!$E1817*100/107</f>
        <v>3120</v>
      </c>
      <c r="P1817" s="10">
        <f>'data on outstanding creditors'!$E1817-'data on outstanding creditors'!$O1817</f>
        <v>218.4</v>
      </c>
      <c r="Q1817" s="7">
        <f>DAY('data on outstanding creditors'!$B1817)</f>
        <v>13</v>
      </c>
      <c r="R1817" s="7">
        <f>MONTH('data on outstanding creditors'!$B1817)</f>
        <v>2</v>
      </c>
      <c r="S1817" s="7">
        <f>YEAR('data on outstanding creditors'!$B1817)</f>
        <v>2025</v>
      </c>
      <c r="T1817" s="11" t="str">
        <f>'data on outstanding creditors'!$C1817&amp;" "&amp;'data on outstanding creditors'!$D1817&amp;" "&amp;TEXT('data on outstanding creditors'!$E1817,"#,##0.00")</f>
        <v>บ.ไลฟ์ โกรท เมดิคอล แอนด์ ซัพพลาย INV2025020009 3,338.40</v>
      </c>
      <c r="U1817" s="12"/>
    </row>
    <row r="1818" ht="13.5" customHeight="1">
      <c r="A1818" s="1" t="s">
        <v>2418</v>
      </c>
      <c r="B1818" s="2">
        <v>45702.0</v>
      </c>
      <c r="C1818" s="9" t="s">
        <v>2343</v>
      </c>
      <c r="D1818" s="1" t="s">
        <v>2419</v>
      </c>
      <c r="E1818" s="4">
        <v>16220.0</v>
      </c>
      <c r="F1818" s="4"/>
      <c r="G1818" s="4"/>
      <c r="H1818" s="4">
        <f>'data on outstanding creditors'!$E1818-'data on outstanding creditors'!$F1818-'data on outstanding creditors'!$G1818</f>
        <v>16220</v>
      </c>
      <c r="I1818" s="2"/>
      <c r="J1818" s="1" t="s">
        <v>646</v>
      </c>
      <c r="K1818" s="2">
        <v>45843.0</v>
      </c>
      <c r="L1818" s="5"/>
      <c r="M1818" s="9" t="s">
        <v>43</v>
      </c>
      <c r="N1818" s="9" t="s">
        <v>49</v>
      </c>
      <c r="O1818" s="10">
        <f>'data on outstanding creditors'!$E1818*100/107</f>
        <v>15158.8785</v>
      </c>
      <c r="P1818" s="10">
        <f>'data on outstanding creditors'!$E1818-'data on outstanding creditors'!$O1818</f>
        <v>1061.121495</v>
      </c>
      <c r="Q1818" s="7">
        <f>DAY('data on outstanding creditors'!$B1818)</f>
        <v>14</v>
      </c>
      <c r="R1818" s="7">
        <f>MONTH('data on outstanding creditors'!$B1818)</f>
        <v>2</v>
      </c>
      <c r="S1818" s="7">
        <f>YEAR('data on outstanding creditors'!$B1818)</f>
        <v>2025</v>
      </c>
      <c r="T1818" s="11" t="str">
        <f>'data on outstanding creditors'!$C1818&amp;" "&amp;'data on outstanding creditors'!$D1818&amp;" "&amp;TEXT('data on outstanding creditors'!$E1818,"#,##0.00")</f>
        <v>บ.ทริมเมอร์ IV250200336 16,220.00</v>
      </c>
      <c r="U1818" s="12"/>
    </row>
    <row r="1819" ht="13.5" customHeight="1">
      <c r="A1819" s="1"/>
      <c r="B1819" s="2">
        <v>45702.0</v>
      </c>
      <c r="C1819" s="9" t="s">
        <v>1637</v>
      </c>
      <c r="D1819" s="1" t="s">
        <v>2420</v>
      </c>
      <c r="E1819" s="4">
        <v>10500.0</v>
      </c>
      <c r="F1819" s="4"/>
      <c r="G1819" s="4"/>
      <c r="H1819" s="4">
        <f>'data on outstanding creditors'!$E1819-'data on outstanding creditors'!$F1819-'data on outstanding creditors'!$G1819</f>
        <v>10500</v>
      </c>
      <c r="I1819" s="2"/>
      <c r="J1819" s="1" t="s">
        <v>646</v>
      </c>
      <c r="K1819" s="2">
        <v>45789.0</v>
      </c>
      <c r="L1819" s="5"/>
      <c r="M1819" s="9" t="s">
        <v>43</v>
      </c>
      <c r="N1819" s="9" t="s">
        <v>23</v>
      </c>
      <c r="O1819" s="10">
        <f>'data on outstanding creditors'!$E1819*100/107</f>
        <v>9813.084112</v>
      </c>
      <c r="P1819" s="10">
        <f>'data on outstanding creditors'!$E1819-'data on outstanding creditors'!$O1819</f>
        <v>686.9158879</v>
      </c>
      <c r="Q1819" s="7">
        <f>DAY('data on outstanding creditors'!$B1819)</f>
        <v>14</v>
      </c>
      <c r="R1819" s="7">
        <f>MONTH('data on outstanding creditors'!$B1819)</f>
        <v>2</v>
      </c>
      <c r="S1819" s="7">
        <f>YEAR('data on outstanding creditors'!$B1819)</f>
        <v>2025</v>
      </c>
      <c r="T1819" s="11" t="str">
        <f>'data on outstanding creditors'!$C1819&amp;" "&amp;'data on outstanding creditors'!$D1819&amp;" "&amp;TEXT('data on outstanding creditors'!$E1819,"#,##0.00")</f>
        <v>บ.บีเจเอช เมดิคอล 330257400479 10,500.00</v>
      </c>
      <c r="U1819" s="12"/>
    </row>
    <row r="1820" ht="13.5" customHeight="1">
      <c r="A1820" s="1"/>
      <c r="B1820" s="2">
        <v>45702.0</v>
      </c>
      <c r="C1820" s="9" t="s">
        <v>2292</v>
      </c>
      <c r="D1820" s="1" t="s">
        <v>2421</v>
      </c>
      <c r="E1820" s="4">
        <v>26700.0</v>
      </c>
      <c r="F1820" s="4"/>
      <c r="G1820" s="4"/>
      <c r="H1820" s="4">
        <f>'data on outstanding creditors'!$E1820-'data on outstanding creditors'!$F1820-'data on outstanding creditors'!$G1820</f>
        <v>26700</v>
      </c>
      <c r="I1820" s="2"/>
      <c r="J1820" s="1" t="s">
        <v>646</v>
      </c>
      <c r="K1820" s="2">
        <v>45928.0</v>
      </c>
      <c r="L1820" s="5"/>
      <c r="M1820" s="9" t="s">
        <v>43</v>
      </c>
      <c r="N1820" s="9" t="s">
        <v>49</v>
      </c>
      <c r="O1820" s="10">
        <f>'data on outstanding creditors'!$E1820*100/107</f>
        <v>24953.27103</v>
      </c>
      <c r="P1820" s="10">
        <f>'data on outstanding creditors'!$E1820-'data on outstanding creditors'!$O1820</f>
        <v>1746.728972</v>
      </c>
      <c r="Q1820" s="7">
        <f>DAY('data on outstanding creditors'!$B1820)</f>
        <v>14</v>
      </c>
      <c r="R1820" s="7">
        <f>MONTH('data on outstanding creditors'!$B1820)</f>
        <v>2</v>
      </c>
      <c r="S1820" s="7">
        <f>YEAR('data on outstanding creditors'!$B1820)</f>
        <v>2025</v>
      </c>
      <c r="T1820" s="11" t="str">
        <f>'data on outstanding creditors'!$C1820&amp;" "&amp;'data on outstanding creditors'!$D1820&amp;" "&amp;TEXT('data on outstanding creditors'!$E1820,"#,##0.00")</f>
        <v>บ.ไบโอคอททอน IV25001428 26,700.00</v>
      </c>
      <c r="U1820" s="12"/>
    </row>
    <row r="1821" ht="13.5" customHeight="1">
      <c r="A1821" s="1" t="s">
        <v>2422</v>
      </c>
      <c r="B1821" s="2">
        <v>45702.0</v>
      </c>
      <c r="C1821" s="9" t="s">
        <v>281</v>
      </c>
      <c r="D1821" s="1" t="s">
        <v>2423</v>
      </c>
      <c r="E1821" s="4">
        <v>16050.0</v>
      </c>
      <c r="F1821" s="4"/>
      <c r="G1821" s="4"/>
      <c r="H1821" s="4">
        <f>'data on outstanding creditors'!$E1821-'data on outstanding creditors'!$F1821-'data on outstanding creditors'!$G1821</f>
        <v>16050</v>
      </c>
      <c r="I1821" s="2"/>
      <c r="J1821" s="1" t="s">
        <v>646</v>
      </c>
      <c r="K1821" s="2">
        <v>45843.0</v>
      </c>
      <c r="L1821" s="5"/>
      <c r="M1821" s="9" t="s">
        <v>43</v>
      </c>
      <c r="N1821" s="9" t="s">
        <v>49</v>
      </c>
      <c r="O1821" s="10">
        <f>'data on outstanding creditors'!$E1821*100/107</f>
        <v>15000</v>
      </c>
      <c r="P1821" s="10">
        <f>'data on outstanding creditors'!$E1821-'data on outstanding creditors'!$O1821</f>
        <v>1050</v>
      </c>
      <c r="Q1821" s="7">
        <f>DAY('data on outstanding creditors'!$B1821)</f>
        <v>14</v>
      </c>
      <c r="R1821" s="7">
        <f>MONTH('data on outstanding creditors'!$B1821)</f>
        <v>2</v>
      </c>
      <c r="S1821" s="7">
        <f>YEAR('data on outstanding creditors'!$B1821)</f>
        <v>2025</v>
      </c>
      <c r="T1821" s="11" t="str">
        <f>'data on outstanding creditors'!$C1821&amp;" "&amp;'data on outstanding creditors'!$D1821&amp;" "&amp;TEXT('data on outstanding creditors'!$E1821,"#,##0.00")</f>
        <v>บ.เมดิทอป 1547873 16,050.00</v>
      </c>
      <c r="U1821" s="12"/>
    </row>
    <row r="1822" ht="13.5" customHeight="1">
      <c r="A1822" s="1"/>
      <c r="B1822" s="2">
        <v>45702.0</v>
      </c>
      <c r="C1822" s="9" t="s">
        <v>1029</v>
      </c>
      <c r="D1822" s="1" t="s">
        <v>2424</v>
      </c>
      <c r="E1822" s="4">
        <v>6600.0</v>
      </c>
      <c r="F1822" s="4"/>
      <c r="G1822" s="4"/>
      <c r="H1822" s="4">
        <f>'data on outstanding creditors'!$E1822-'data on outstanding creditors'!$F1822-'data on outstanding creditors'!$G1822</f>
        <v>6600</v>
      </c>
      <c r="I1822" s="2"/>
      <c r="J1822" s="1" t="s">
        <v>646</v>
      </c>
      <c r="K1822" s="2">
        <v>45843.0</v>
      </c>
      <c r="L1822" s="5"/>
      <c r="M1822" s="9" t="s">
        <v>43</v>
      </c>
      <c r="N1822" s="9" t="s">
        <v>49</v>
      </c>
      <c r="O1822" s="10">
        <f>'data on outstanding creditors'!$E1822*100/107</f>
        <v>6168.224299</v>
      </c>
      <c r="P1822" s="10">
        <f>'data on outstanding creditors'!$E1822-'data on outstanding creditors'!$O1822</f>
        <v>431.7757009</v>
      </c>
      <c r="Q1822" s="7">
        <f>DAY('data on outstanding creditors'!$B1822)</f>
        <v>14</v>
      </c>
      <c r="R1822" s="7">
        <f>MONTH('data on outstanding creditors'!$B1822)</f>
        <v>2</v>
      </c>
      <c r="S1822" s="7">
        <f>YEAR('data on outstanding creditors'!$B1822)</f>
        <v>2025</v>
      </c>
      <c r="T1822" s="11" t="str">
        <f>'data on outstanding creditors'!$C1822&amp;" "&amp;'data on outstanding creditors'!$D1822&amp;" "&amp;TEXT('data on outstanding creditors'!$E1822,"#,##0.00")</f>
        <v>บ.เอเทค เมดิคอล IV6802228 6,600.00</v>
      </c>
      <c r="U1822" s="12"/>
    </row>
    <row r="1823" ht="13.5" customHeight="1">
      <c r="A1823" s="1"/>
      <c r="B1823" s="2">
        <v>45702.0</v>
      </c>
      <c r="C1823" s="9" t="s">
        <v>1059</v>
      </c>
      <c r="D1823" s="1" t="s">
        <v>2425</v>
      </c>
      <c r="E1823" s="4">
        <v>60000.0</v>
      </c>
      <c r="F1823" s="4"/>
      <c r="G1823" s="4"/>
      <c r="H1823" s="4">
        <f>'data on outstanding creditors'!$E1823-'data on outstanding creditors'!$F1823-'data on outstanding creditors'!$G1823</f>
        <v>60000</v>
      </c>
      <c r="I1823" s="2"/>
      <c r="J1823" s="1" t="s">
        <v>646</v>
      </c>
      <c r="K1823" s="2">
        <v>45866.0</v>
      </c>
      <c r="L1823" s="5"/>
      <c r="M1823" s="9" t="s">
        <v>43</v>
      </c>
      <c r="N1823" s="9" t="s">
        <v>49</v>
      </c>
      <c r="O1823" s="10">
        <f>'data on outstanding creditors'!$E1823*100/107</f>
        <v>56074.76636</v>
      </c>
      <c r="P1823" s="10">
        <f>'data on outstanding creditors'!$E1823-'data on outstanding creditors'!$O1823</f>
        <v>3925.233645</v>
      </c>
      <c r="Q1823" s="7">
        <f>DAY('data on outstanding creditors'!$B1823)</f>
        <v>14</v>
      </c>
      <c r="R1823" s="7">
        <f>MONTH('data on outstanding creditors'!$B1823)</f>
        <v>2</v>
      </c>
      <c r="S1823" s="7">
        <f>YEAR('data on outstanding creditors'!$B1823)</f>
        <v>2025</v>
      </c>
      <c r="T1823" s="11" t="str">
        <f>'data on outstanding creditors'!$C1823&amp;" "&amp;'data on outstanding creditors'!$D1823&amp;" "&amp;TEXT('data on outstanding creditors'!$E1823,"#,##0.00")</f>
        <v>หจก.ภาสิน 60806 60,000.00</v>
      </c>
      <c r="U1823" s="12"/>
    </row>
    <row r="1824" ht="13.5" customHeight="1">
      <c r="A1824" s="1" t="s">
        <v>2426</v>
      </c>
      <c r="B1824" s="2">
        <v>45705.0</v>
      </c>
      <c r="C1824" s="9" t="s">
        <v>1029</v>
      </c>
      <c r="D1824" s="1" t="s">
        <v>2427</v>
      </c>
      <c r="E1824" s="4">
        <v>17300.0</v>
      </c>
      <c r="F1824" s="4"/>
      <c r="G1824" s="4"/>
      <c r="H1824" s="4">
        <f>'data on outstanding creditors'!$E1824-'data on outstanding creditors'!$F1824-'data on outstanding creditors'!$G1824</f>
        <v>17300</v>
      </c>
      <c r="I1824" s="2"/>
      <c r="J1824" s="1" t="s">
        <v>646</v>
      </c>
      <c r="K1824" s="2">
        <v>45843.0</v>
      </c>
      <c r="L1824" s="5"/>
      <c r="M1824" s="9" t="s">
        <v>43</v>
      </c>
      <c r="N1824" s="9" t="s">
        <v>49</v>
      </c>
      <c r="O1824" s="10">
        <f>'data on outstanding creditors'!$E1824*100/107</f>
        <v>16168.2243</v>
      </c>
      <c r="P1824" s="10">
        <f>'data on outstanding creditors'!$E1824-'data on outstanding creditors'!$O1824</f>
        <v>1131.775701</v>
      </c>
      <c r="Q1824" s="7">
        <f>DAY('data on outstanding creditors'!$B1824)</f>
        <v>17</v>
      </c>
      <c r="R1824" s="7">
        <f>MONTH('data on outstanding creditors'!$B1824)</f>
        <v>2</v>
      </c>
      <c r="S1824" s="7">
        <f>YEAR('data on outstanding creditors'!$B1824)</f>
        <v>2025</v>
      </c>
      <c r="T1824" s="11" t="str">
        <f>'data on outstanding creditors'!$C1824&amp;" "&amp;'data on outstanding creditors'!$D1824&amp;" "&amp;TEXT('data on outstanding creditors'!$E1824,"#,##0.00")</f>
        <v>บ.เอเทค เมดิคอล IV6802341 17,300.00</v>
      </c>
      <c r="U1824" s="12"/>
    </row>
    <row r="1825" ht="13.5" customHeight="1">
      <c r="A1825" s="1"/>
      <c r="B1825" s="2">
        <v>45706.0</v>
      </c>
      <c r="C1825" s="9" t="s">
        <v>2294</v>
      </c>
      <c r="D1825" s="1" t="s">
        <v>2428</v>
      </c>
      <c r="E1825" s="4">
        <v>4500.0</v>
      </c>
      <c r="F1825" s="4"/>
      <c r="G1825" s="4"/>
      <c r="H1825" s="4">
        <f>'data on outstanding creditors'!$E1825-'data on outstanding creditors'!$F1825-'data on outstanding creditors'!$G1825</f>
        <v>4500</v>
      </c>
      <c r="I1825" s="2"/>
      <c r="J1825" s="1" t="s">
        <v>646</v>
      </c>
      <c r="K1825" s="2">
        <v>45815.0</v>
      </c>
      <c r="L1825" s="5"/>
      <c r="M1825" s="9" t="s">
        <v>43</v>
      </c>
      <c r="N1825" s="9" t="s">
        <v>23</v>
      </c>
      <c r="O1825" s="10">
        <f>'data on outstanding creditors'!$E1825*100/107</f>
        <v>4205.607477</v>
      </c>
      <c r="P1825" s="10">
        <f>'data on outstanding creditors'!$E1825-'data on outstanding creditors'!$O1825</f>
        <v>294.3925234</v>
      </c>
      <c r="Q1825" s="7">
        <f>DAY('data on outstanding creditors'!$B1825)</f>
        <v>18</v>
      </c>
      <c r="R1825" s="7">
        <f>MONTH('data on outstanding creditors'!$B1825)</f>
        <v>2</v>
      </c>
      <c r="S1825" s="7">
        <f>YEAR('data on outstanding creditors'!$B1825)</f>
        <v>2025</v>
      </c>
      <c r="T1825" s="11" t="str">
        <f>'data on outstanding creditors'!$C1825&amp;" "&amp;'data on outstanding creditors'!$D1825&amp;" "&amp;TEXT('data on outstanding creditors'!$E1825,"#,##0.00")</f>
        <v>บ.แอสเซ้นท์ เมดิคอล IV2025020132 4,500.00</v>
      </c>
      <c r="U1825" s="12"/>
    </row>
    <row r="1826" ht="13.5" customHeight="1">
      <c r="A1826" s="1"/>
      <c r="B1826" s="2">
        <v>45706.0</v>
      </c>
      <c r="C1826" s="9" t="s">
        <v>2389</v>
      </c>
      <c r="D1826" s="1" t="s">
        <v>2429</v>
      </c>
      <c r="E1826" s="4">
        <v>29500.0</v>
      </c>
      <c r="F1826" s="4"/>
      <c r="G1826" s="4"/>
      <c r="H1826" s="4">
        <f>'data on outstanding creditors'!$E1826-'data on outstanding creditors'!$F1826-'data on outstanding creditors'!$G1826</f>
        <v>29500</v>
      </c>
      <c r="I1826" s="2"/>
      <c r="J1826" s="1" t="s">
        <v>646</v>
      </c>
      <c r="K1826" s="2">
        <v>45928.0</v>
      </c>
      <c r="L1826" s="5"/>
      <c r="M1826" s="9" t="s">
        <v>43</v>
      </c>
      <c r="N1826" s="9" t="s">
        <v>49</v>
      </c>
      <c r="O1826" s="10">
        <f>'data on outstanding creditors'!$E1826*100/107</f>
        <v>27570.09346</v>
      </c>
      <c r="P1826" s="10">
        <f>'data on outstanding creditors'!$E1826-'data on outstanding creditors'!$O1826</f>
        <v>1929.906542</v>
      </c>
      <c r="Q1826" s="7">
        <f>DAY('data on outstanding creditors'!$B1826)</f>
        <v>18</v>
      </c>
      <c r="R1826" s="7">
        <f>MONTH('data on outstanding creditors'!$B1826)</f>
        <v>2</v>
      </c>
      <c r="S1826" s="7">
        <f>YEAR('data on outstanding creditors'!$B1826)</f>
        <v>2025</v>
      </c>
      <c r="T1826" s="11" t="str">
        <f>'data on outstanding creditors'!$C1826&amp;" "&amp;'data on outstanding creditors'!$D1826&amp;" "&amp;TEXT('data on outstanding creditors'!$E1826,"#,##0.00")</f>
        <v>บ.ซี วี พี เมดิคอล เทคโนโลยี SI01/68020155 29,500.00</v>
      </c>
      <c r="U1826" s="12"/>
    </row>
    <row r="1827" ht="13.5" customHeight="1">
      <c r="A1827" s="1" t="s">
        <v>2430</v>
      </c>
      <c r="B1827" s="2">
        <v>45706.0</v>
      </c>
      <c r="C1827" s="9" t="s">
        <v>1029</v>
      </c>
      <c r="D1827" s="1" t="s">
        <v>2431</v>
      </c>
      <c r="E1827" s="4">
        <v>10400.0</v>
      </c>
      <c r="F1827" s="4"/>
      <c r="G1827" s="4"/>
      <c r="H1827" s="4">
        <f>'data on outstanding creditors'!$E1827-'data on outstanding creditors'!$F1827-'data on outstanding creditors'!$G1827</f>
        <v>10400</v>
      </c>
      <c r="I1827" s="2"/>
      <c r="J1827" s="1" t="s">
        <v>646</v>
      </c>
      <c r="K1827" s="2">
        <v>45843.0</v>
      </c>
      <c r="L1827" s="5"/>
      <c r="M1827" s="9" t="s">
        <v>43</v>
      </c>
      <c r="N1827" s="9" t="s">
        <v>49</v>
      </c>
      <c r="O1827" s="10">
        <f>'data on outstanding creditors'!$E1827*100/107</f>
        <v>9719.626168</v>
      </c>
      <c r="P1827" s="10">
        <f>'data on outstanding creditors'!$E1827-'data on outstanding creditors'!$O1827</f>
        <v>680.3738318</v>
      </c>
      <c r="Q1827" s="7">
        <f>DAY('data on outstanding creditors'!$B1827)</f>
        <v>18</v>
      </c>
      <c r="R1827" s="7">
        <f>MONTH('data on outstanding creditors'!$B1827)</f>
        <v>2</v>
      </c>
      <c r="S1827" s="7">
        <f>YEAR('data on outstanding creditors'!$B1827)</f>
        <v>2025</v>
      </c>
      <c r="T1827" s="11" t="str">
        <f>'data on outstanding creditors'!$C1827&amp;" "&amp;'data on outstanding creditors'!$D1827&amp;" "&amp;TEXT('data on outstanding creditors'!$E1827,"#,##0.00")</f>
        <v>บ.เอเทค เมดิคอล IV6802340 10,400.00</v>
      </c>
      <c r="U1827" s="12"/>
    </row>
    <row r="1828" ht="13.5" customHeight="1">
      <c r="A1828" s="1" t="s">
        <v>2432</v>
      </c>
      <c r="B1828" s="2">
        <v>45709.0</v>
      </c>
      <c r="C1828" s="9" t="s">
        <v>2433</v>
      </c>
      <c r="D1828" s="1" t="s">
        <v>2434</v>
      </c>
      <c r="E1828" s="4">
        <v>64200.0</v>
      </c>
      <c r="F1828" s="4"/>
      <c r="G1828" s="4"/>
      <c r="H1828" s="4">
        <f>'data on outstanding creditors'!$E1828-'data on outstanding creditors'!$F1828-'data on outstanding creditors'!$G1828</f>
        <v>64200</v>
      </c>
      <c r="I1828" s="2"/>
      <c r="J1828" s="1" t="s">
        <v>646</v>
      </c>
      <c r="K1828" s="2">
        <v>45906.0</v>
      </c>
      <c r="L1828" s="5"/>
      <c r="M1828" s="9" t="s">
        <v>43</v>
      </c>
      <c r="N1828" s="9" t="s">
        <v>49</v>
      </c>
      <c r="O1828" s="10">
        <f>'data on outstanding creditors'!$E1828*100/107</f>
        <v>60000</v>
      </c>
      <c r="P1828" s="10">
        <f>'data on outstanding creditors'!$E1828-'data on outstanding creditors'!$O1828</f>
        <v>4200</v>
      </c>
      <c r="Q1828" s="7">
        <f>DAY('data on outstanding creditors'!$B1828)</f>
        <v>21</v>
      </c>
      <c r="R1828" s="7">
        <f>MONTH('data on outstanding creditors'!$B1828)</f>
        <v>2</v>
      </c>
      <c r="S1828" s="7">
        <f>YEAR('data on outstanding creditors'!$B1828)</f>
        <v>2025</v>
      </c>
      <c r="T1828" s="11" t="str">
        <f>'data on outstanding creditors'!$C1828&amp;" "&amp;'data on outstanding creditors'!$D1828&amp;" "&amp;TEXT('data on outstanding creditors'!$E1828,"#,##0.00")</f>
        <v>บ.เมด-ไอคอน 24-12-162 64,200.00</v>
      </c>
      <c r="U1828" s="12"/>
    </row>
    <row r="1829" ht="13.5" customHeight="1">
      <c r="A1829" s="1" t="s">
        <v>2435</v>
      </c>
      <c r="B1829" s="2">
        <v>45709.0</v>
      </c>
      <c r="C1829" s="9" t="s">
        <v>2433</v>
      </c>
      <c r="D1829" s="1" t="s">
        <v>2436</v>
      </c>
      <c r="E1829" s="4">
        <v>34200.0</v>
      </c>
      <c r="F1829" s="4"/>
      <c r="G1829" s="4"/>
      <c r="H1829" s="4">
        <f>'data on outstanding creditors'!$E1829-'data on outstanding creditors'!$F1829-'data on outstanding creditors'!$G1829</f>
        <v>34200</v>
      </c>
      <c r="I1829" s="2"/>
      <c r="J1829" s="1" t="s">
        <v>646</v>
      </c>
      <c r="K1829" s="2">
        <v>45906.0</v>
      </c>
      <c r="L1829" s="5"/>
      <c r="M1829" s="9" t="s">
        <v>43</v>
      </c>
      <c r="N1829" s="9" t="s">
        <v>49</v>
      </c>
      <c r="O1829" s="10">
        <f>'data on outstanding creditors'!$E1829*100/107</f>
        <v>31962.61682</v>
      </c>
      <c r="P1829" s="10">
        <f>'data on outstanding creditors'!$E1829-'data on outstanding creditors'!$O1829</f>
        <v>2237.383178</v>
      </c>
      <c r="Q1829" s="7">
        <f>DAY('data on outstanding creditors'!$B1829)</f>
        <v>21</v>
      </c>
      <c r="R1829" s="7">
        <f>MONTH('data on outstanding creditors'!$B1829)</f>
        <v>2</v>
      </c>
      <c r="S1829" s="7">
        <f>YEAR('data on outstanding creditors'!$B1829)</f>
        <v>2025</v>
      </c>
      <c r="T1829" s="11" t="str">
        <f>'data on outstanding creditors'!$C1829&amp;" "&amp;'data on outstanding creditors'!$D1829&amp;" "&amp;TEXT('data on outstanding creditors'!$E1829,"#,##0.00")</f>
        <v>บ.เมด-ไอคอน 24-12-163 34,200.00</v>
      </c>
      <c r="U1829" s="12"/>
    </row>
    <row r="1830" ht="13.5" customHeight="1">
      <c r="A1830" s="1" t="s">
        <v>2437</v>
      </c>
      <c r="B1830" s="2">
        <v>45712.0</v>
      </c>
      <c r="C1830" s="9" t="s">
        <v>1029</v>
      </c>
      <c r="D1830" s="1" t="s">
        <v>2438</v>
      </c>
      <c r="E1830" s="4">
        <v>8600.0</v>
      </c>
      <c r="F1830" s="4"/>
      <c r="G1830" s="4"/>
      <c r="H1830" s="4">
        <f>'data on outstanding creditors'!$E1830-'data on outstanding creditors'!$F1830-'data on outstanding creditors'!$G1830</f>
        <v>8600</v>
      </c>
      <c r="I1830" s="2"/>
      <c r="J1830" s="1" t="s">
        <v>646</v>
      </c>
      <c r="K1830" s="2">
        <v>45843.0</v>
      </c>
      <c r="L1830" s="5"/>
      <c r="M1830" s="9" t="s">
        <v>43</v>
      </c>
      <c r="N1830" s="9" t="s">
        <v>49</v>
      </c>
      <c r="O1830" s="10">
        <f>'data on outstanding creditors'!$E1830*100/107</f>
        <v>8037.383178</v>
      </c>
      <c r="P1830" s="10">
        <f>'data on outstanding creditors'!$E1830-'data on outstanding creditors'!$O1830</f>
        <v>562.6168224</v>
      </c>
      <c r="Q1830" s="7">
        <f>DAY('data on outstanding creditors'!$B1830)</f>
        <v>24</v>
      </c>
      <c r="R1830" s="7">
        <f>MONTH('data on outstanding creditors'!$B1830)</f>
        <v>2</v>
      </c>
      <c r="S1830" s="7">
        <f>YEAR('data on outstanding creditors'!$B1830)</f>
        <v>2025</v>
      </c>
      <c r="T1830" s="11" t="str">
        <f>'data on outstanding creditors'!$C1830&amp;" "&amp;'data on outstanding creditors'!$D1830&amp;" "&amp;TEXT('data on outstanding creditors'!$E1830,"#,##0.00")</f>
        <v>บ.เอเทค เมดิคอล IV6802501 8,600.00</v>
      </c>
      <c r="U1830" s="12"/>
    </row>
    <row r="1831" ht="13.5" customHeight="1">
      <c r="A1831" s="1" t="s">
        <v>2439</v>
      </c>
      <c r="B1831" s="2">
        <v>45712.0</v>
      </c>
      <c r="C1831" s="9" t="s">
        <v>2440</v>
      </c>
      <c r="D1831" s="1" t="s">
        <v>2441</v>
      </c>
      <c r="E1831" s="4">
        <v>13640.0</v>
      </c>
      <c r="F1831" s="4"/>
      <c r="G1831" s="4"/>
      <c r="H1831" s="4">
        <f>'data on outstanding creditors'!$E1831-'data on outstanding creditors'!$F1831-'data on outstanding creditors'!$G1831</f>
        <v>13640</v>
      </c>
      <c r="I1831" s="2"/>
      <c r="J1831" s="1" t="s">
        <v>646</v>
      </c>
      <c r="K1831" s="2">
        <v>45843.0</v>
      </c>
      <c r="L1831" s="5"/>
      <c r="M1831" s="9" t="s">
        <v>43</v>
      </c>
      <c r="N1831" s="9" t="s">
        <v>49</v>
      </c>
      <c r="O1831" s="10">
        <f>'data on outstanding creditors'!$E1831*100/107</f>
        <v>12747.66355</v>
      </c>
      <c r="P1831" s="10">
        <f>'data on outstanding creditors'!$E1831-'data on outstanding creditors'!$O1831</f>
        <v>892.3364486</v>
      </c>
      <c r="Q1831" s="7">
        <f>DAY('data on outstanding creditors'!$B1831)</f>
        <v>24</v>
      </c>
      <c r="R1831" s="7">
        <f>MONTH('data on outstanding creditors'!$B1831)</f>
        <v>2</v>
      </c>
      <c r="S1831" s="7">
        <f>YEAR('data on outstanding creditors'!$B1831)</f>
        <v>2025</v>
      </c>
      <c r="T1831" s="11" t="str">
        <f>'data on outstanding creditors'!$C1831&amp;" "&amp;'data on outstanding creditors'!$D1831&amp;" "&amp;TEXT('data on outstanding creditors'!$E1831,"#,##0.00")</f>
        <v>บ.เออร์วิง คอร์ปอเรชั่น 1600044284 13,640.00</v>
      </c>
      <c r="U1831" s="12"/>
    </row>
    <row r="1832" ht="13.5" customHeight="1">
      <c r="A1832" s="1"/>
      <c r="B1832" s="2">
        <v>45713.0</v>
      </c>
      <c r="C1832" s="9" t="s">
        <v>2301</v>
      </c>
      <c r="D1832" s="1" t="s">
        <v>2442</v>
      </c>
      <c r="E1832" s="4">
        <v>11500.0</v>
      </c>
      <c r="F1832" s="4"/>
      <c r="G1832" s="4"/>
      <c r="H1832" s="4">
        <f>'data on outstanding creditors'!$E1832-'data on outstanding creditors'!$F1832-'data on outstanding creditors'!$G1832</f>
        <v>11500</v>
      </c>
      <c r="I1832" s="2"/>
      <c r="J1832" s="1" t="s">
        <v>757</v>
      </c>
      <c r="K1832" s="2">
        <v>45790.0</v>
      </c>
      <c r="L1832" s="5"/>
      <c r="M1832" s="9" t="s">
        <v>43</v>
      </c>
      <c r="N1832" s="9" t="s">
        <v>23</v>
      </c>
      <c r="O1832" s="10">
        <f>'data on outstanding creditors'!$E1832*100/107</f>
        <v>10747.66355</v>
      </c>
      <c r="P1832" s="10">
        <f>'data on outstanding creditors'!$E1832-'data on outstanding creditors'!$O1832</f>
        <v>752.3364486</v>
      </c>
      <c r="Q1832" s="7">
        <f>DAY('data on outstanding creditors'!$B1832)</f>
        <v>25</v>
      </c>
      <c r="R1832" s="7">
        <f>MONTH('data on outstanding creditors'!$B1832)</f>
        <v>2</v>
      </c>
      <c r="S1832" s="7">
        <f>YEAR('data on outstanding creditors'!$B1832)</f>
        <v>2025</v>
      </c>
      <c r="T1832" s="11" t="str">
        <f>'data on outstanding creditors'!$C1832&amp;" "&amp;'data on outstanding creditors'!$D1832&amp;" "&amp;TEXT('data on outstanding creditors'!$E1832,"#,##0.00")</f>
        <v>บ.เค เค เมดิคอล 10821 11,500.00</v>
      </c>
      <c r="U1832" s="12"/>
    </row>
    <row r="1833" ht="13.5" customHeight="1">
      <c r="A1833" s="1" t="s">
        <v>2443</v>
      </c>
      <c r="B1833" s="2">
        <v>45714.0</v>
      </c>
      <c r="C1833" s="9" t="s">
        <v>1029</v>
      </c>
      <c r="D1833" s="1" t="s">
        <v>2444</v>
      </c>
      <c r="E1833" s="4">
        <v>17600.0</v>
      </c>
      <c r="F1833" s="4"/>
      <c r="G1833" s="4"/>
      <c r="H1833" s="4">
        <f>'data on outstanding creditors'!$E1833-'data on outstanding creditors'!$F1833-'data on outstanding creditors'!$G1833</f>
        <v>17600</v>
      </c>
      <c r="I1833" s="2"/>
      <c r="J1833" s="1" t="s">
        <v>646</v>
      </c>
      <c r="K1833" s="2">
        <v>45843.0</v>
      </c>
      <c r="L1833" s="5"/>
      <c r="M1833" s="9" t="s">
        <v>43</v>
      </c>
      <c r="N1833" s="9" t="s">
        <v>49</v>
      </c>
      <c r="O1833" s="10">
        <f>'data on outstanding creditors'!$E1833*100/107</f>
        <v>16448.59813</v>
      </c>
      <c r="P1833" s="10">
        <f>'data on outstanding creditors'!$E1833-'data on outstanding creditors'!$O1833</f>
        <v>1151.401869</v>
      </c>
      <c r="Q1833" s="7">
        <f>DAY('data on outstanding creditors'!$B1833)</f>
        <v>26</v>
      </c>
      <c r="R1833" s="7">
        <f>MONTH('data on outstanding creditors'!$B1833)</f>
        <v>2</v>
      </c>
      <c r="S1833" s="7">
        <f>YEAR('data on outstanding creditors'!$B1833)</f>
        <v>2025</v>
      </c>
      <c r="T1833" s="11" t="str">
        <f>'data on outstanding creditors'!$C1833&amp;" "&amp;'data on outstanding creditors'!$D1833&amp;" "&amp;TEXT('data on outstanding creditors'!$E1833,"#,##0.00")</f>
        <v>บ.เอเทค เมดิคอล IV6802535 17,600.00</v>
      </c>
      <c r="U1833" s="12"/>
    </row>
    <row r="1834" ht="13.5" customHeight="1">
      <c r="A1834" s="1" t="s">
        <v>2445</v>
      </c>
      <c r="B1834" s="2">
        <v>45714.0</v>
      </c>
      <c r="C1834" s="9" t="s">
        <v>1029</v>
      </c>
      <c r="D1834" s="1" t="s">
        <v>2446</v>
      </c>
      <c r="E1834" s="4">
        <v>16400.0</v>
      </c>
      <c r="F1834" s="4"/>
      <c r="G1834" s="4"/>
      <c r="H1834" s="4">
        <f>'data on outstanding creditors'!$E1834-'data on outstanding creditors'!$F1834-'data on outstanding creditors'!$G1834</f>
        <v>16400</v>
      </c>
      <c r="I1834" s="2"/>
      <c r="J1834" s="1" t="s">
        <v>646</v>
      </c>
      <c r="K1834" s="2">
        <v>45843.0</v>
      </c>
      <c r="L1834" s="5"/>
      <c r="M1834" s="9" t="s">
        <v>43</v>
      </c>
      <c r="N1834" s="9" t="s">
        <v>49</v>
      </c>
      <c r="O1834" s="10">
        <f>'data on outstanding creditors'!$E1834*100/107</f>
        <v>15327.1028</v>
      </c>
      <c r="P1834" s="10">
        <f>'data on outstanding creditors'!$E1834-'data on outstanding creditors'!$O1834</f>
        <v>1072.897196</v>
      </c>
      <c r="Q1834" s="7">
        <f>DAY('data on outstanding creditors'!$B1834)</f>
        <v>26</v>
      </c>
      <c r="R1834" s="7">
        <f>MONTH('data on outstanding creditors'!$B1834)</f>
        <v>2</v>
      </c>
      <c r="S1834" s="7">
        <f>YEAR('data on outstanding creditors'!$B1834)</f>
        <v>2025</v>
      </c>
      <c r="T1834" s="11" t="str">
        <f>'data on outstanding creditors'!$C1834&amp;" "&amp;'data on outstanding creditors'!$D1834&amp;" "&amp;TEXT('data on outstanding creditors'!$E1834,"#,##0.00")</f>
        <v>บ.เอเทค เมดิคอล IV6802552 16,400.00</v>
      </c>
      <c r="U1834" s="12"/>
    </row>
    <row r="1835" ht="13.5" customHeight="1">
      <c r="A1835" s="1" t="s">
        <v>2447</v>
      </c>
      <c r="B1835" s="2">
        <v>45714.0</v>
      </c>
      <c r="C1835" s="9" t="s">
        <v>2381</v>
      </c>
      <c r="D1835" s="1" t="s">
        <v>2448</v>
      </c>
      <c r="E1835" s="4">
        <v>28210.0</v>
      </c>
      <c r="F1835" s="4"/>
      <c r="G1835" s="4"/>
      <c r="H1835" s="4">
        <f>'data on outstanding creditors'!$E1835-'data on outstanding creditors'!$F1835-'data on outstanding creditors'!$G1835</f>
        <v>28210</v>
      </c>
      <c r="I1835" s="2"/>
      <c r="J1835" s="1" t="s">
        <v>646</v>
      </c>
      <c r="K1835" s="2">
        <v>45843.0</v>
      </c>
      <c r="L1835" s="5"/>
      <c r="M1835" s="9" t="s">
        <v>43</v>
      </c>
      <c r="N1835" s="9" t="s">
        <v>44</v>
      </c>
      <c r="O1835" s="10">
        <f>'data on outstanding creditors'!$E1835*100/107</f>
        <v>26364.48598</v>
      </c>
      <c r="P1835" s="10">
        <f>'data on outstanding creditors'!$E1835-'data on outstanding creditors'!$O1835</f>
        <v>1845.514019</v>
      </c>
      <c r="Q1835" s="7">
        <f>DAY('data on outstanding creditors'!$B1835)</f>
        <v>26</v>
      </c>
      <c r="R1835" s="7">
        <f>MONTH('data on outstanding creditors'!$B1835)</f>
        <v>2</v>
      </c>
      <c r="S1835" s="7">
        <f>YEAR('data on outstanding creditors'!$B1835)</f>
        <v>2025</v>
      </c>
      <c r="T1835" s="11" t="str">
        <f>'data on outstanding creditors'!$C1835&amp;" "&amp;'data on outstanding creditors'!$D1835&amp;" "&amp;TEXT('data on outstanding creditors'!$E1835,"#,##0.00")</f>
        <v>หจก.วีอาร์ ซัพพอร์ต IV6802017 28,210.00</v>
      </c>
      <c r="U1835" s="12"/>
    </row>
    <row r="1836" ht="13.5" customHeight="1">
      <c r="A1836" s="1" t="s">
        <v>2449</v>
      </c>
      <c r="B1836" s="2">
        <v>45715.0</v>
      </c>
      <c r="C1836" s="9" t="s">
        <v>1029</v>
      </c>
      <c r="D1836" s="1" t="s">
        <v>2450</v>
      </c>
      <c r="E1836" s="4">
        <v>19400.0</v>
      </c>
      <c r="F1836" s="4"/>
      <c r="G1836" s="4"/>
      <c r="H1836" s="4">
        <f>'data on outstanding creditors'!$E1836-'data on outstanding creditors'!$F1836-'data on outstanding creditors'!$G1836</f>
        <v>19400</v>
      </c>
      <c r="I1836" s="2"/>
      <c r="J1836" s="1" t="s">
        <v>646</v>
      </c>
      <c r="K1836" s="2">
        <v>45843.0</v>
      </c>
      <c r="L1836" s="5"/>
      <c r="M1836" s="9" t="s">
        <v>43</v>
      </c>
      <c r="N1836" s="9" t="s">
        <v>49</v>
      </c>
      <c r="O1836" s="10">
        <f>'data on outstanding creditors'!$E1836*100/107</f>
        <v>18130.84112</v>
      </c>
      <c r="P1836" s="10">
        <f>'data on outstanding creditors'!$E1836-'data on outstanding creditors'!$O1836</f>
        <v>1269.158879</v>
      </c>
      <c r="Q1836" s="7">
        <f>DAY('data on outstanding creditors'!$B1836)</f>
        <v>27</v>
      </c>
      <c r="R1836" s="7">
        <f>MONTH('data on outstanding creditors'!$B1836)</f>
        <v>2</v>
      </c>
      <c r="S1836" s="7">
        <f>YEAR('data on outstanding creditors'!$B1836)</f>
        <v>2025</v>
      </c>
      <c r="T1836" s="11" t="str">
        <f>'data on outstanding creditors'!$C1836&amp;" "&amp;'data on outstanding creditors'!$D1836&amp;" "&amp;TEXT('data on outstanding creditors'!$E1836,"#,##0.00")</f>
        <v>บ.เอเทค เมดิคอล IV6802555 19,400.00</v>
      </c>
      <c r="U1836" s="12"/>
    </row>
    <row r="1837" ht="13.5" customHeight="1">
      <c r="A1837" s="1" t="s">
        <v>2451</v>
      </c>
      <c r="B1837" s="2">
        <v>45715.0</v>
      </c>
      <c r="C1837" s="9" t="s">
        <v>1029</v>
      </c>
      <c r="D1837" s="1" t="s">
        <v>2452</v>
      </c>
      <c r="E1837" s="4">
        <v>17600.0</v>
      </c>
      <c r="F1837" s="4"/>
      <c r="G1837" s="4"/>
      <c r="H1837" s="4">
        <f>'data on outstanding creditors'!$E1837-'data on outstanding creditors'!$F1837-'data on outstanding creditors'!$G1837</f>
        <v>17600</v>
      </c>
      <c r="I1837" s="2"/>
      <c r="J1837" s="1" t="s">
        <v>646</v>
      </c>
      <c r="K1837" s="2">
        <v>45843.0</v>
      </c>
      <c r="L1837" s="5"/>
      <c r="M1837" s="9" t="s">
        <v>43</v>
      </c>
      <c r="N1837" s="9" t="s">
        <v>49</v>
      </c>
      <c r="O1837" s="10">
        <f>'data on outstanding creditors'!$E1837*100/107</f>
        <v>16448.59813</v>
      </c>
      <c r="P1837" s="10">
        <f>'data on outstanding creditors'!$E1837-'data on outstanding creditors'!$O1837</f>
        <v>1151.401869</v>
      </c>
      <c r="Q1837" s="7">
        <f>DAY('data on outstanding creditors'!$B1837)</f>
        <v>27</v>
      </c>
      <c r="R1837" s="7">
        <f>MONTH('data on outstanding creditors'!$B1837)</f>
        <v>2</v>
      </c>
      <c r="S1837" s="7">
        <f>YEAR('data on outstanding creditors'!$B1837)</f>
        <v>2025</v>
      </c>
      <c r="T1837" s="11" t="str">
        <f>'data on outstanding creditors'!$C1837&amp;" "&amp;'data on outstanding creditors'!$D1837&amp;" "&amp;TEXT('data on outstanding creditors'!$E1837,"#,##0.00")</f>
        <v>บ.เอเทค เมดิคอล IV6802554 17,600.00</v>
      </c>
      <c r="U1837" s="12"/>
    </row>
    <row r="1838" ht="13.5" customHeight="1">
      <c r="A1838" s="1" t="s">
        <v>2453</v>
      </c>
      <c r="B1838" s="2">
        <v>45719.0</v>
      </c>
      <c r="C1838" s="9" t="s">
        <v>2389</v>
      </c>
      <c r="D1838" s="1" t="s">
        <v>2454</v>
      </c>
      <c r="E1838" s="4">
        <v>46600.0</v>
      </c>
      <c r="F1838" s="4"/>
      <c r="G1838" s="4"/>
      <c r="H1838" s="4">
        <f>'data on outstanding creditors'!$E1838-'data on outstanding creditors'!$F1838-'data on outstanding creditors'!$G1838</f>
        <v>46600</v>
      </c>
      <c r="I1838" s="2"/>
      <c r="J1838" s="1" t="s">
        <v>646</v>
      </c>
      <c r="K1838" s="2">
        <v>45928.0</v>
      </c>
      <c r="L1838" s="5"/>
      <c r="M1838" s="9" t="s">
        <v>43</v>
      </c>
      <c r="N1838" s="9" t="s">
        <v>49</v>
      </c>
      <c r="O1838" s="10">
        <f>'data on outstanding creditors'!$E1838*100/107</f>
        <v>43551.40187</v>
      </c>
      <c r="P1838" s="10">
        <f>'data on outstanding creditors'!$E1838-'data on outstanding creditors'!$O1838</f>
        <v>3048.598131</v>
      </c>
      <c r="Q1838" s="7">
        <f>DAY('data on outstanding creditors'!$B1838)</f>
        <v>3</v>
      </c>
      <c r="R1838" s="7">
        <f>MONTH('data on outstanding creditors'!$B1838)</f>
        <v>3</v>
      </c>
      <c r="S1838" s="7">
        <f>YEAR('data on outstanding creditors'!$B1838)</f>
        <v>2025</v>
      </c>
      <c r="T1838" s="11" t="str">
        <f>'data on outstanding creditors'!$C1838&amp;" "&amp;'data on outstanding creditors'!$D1838&amp;" "&amp;TEXT('data on outstanding creditors'!$E1838,"#,##0.00")</f>
        <v>บ.ซี วี พี เมดิคอล เทคโนโลยี SI01/68020263 46,600.00</v>
      </c>
      <c r="U1838" s="12"/>
    </row>
    <row r="1839" ht="13.5" customHeight="1">
      <c r="A1839" s="1" t="s">
        <v>2455</v>
      </c>
      <c r="B1839" s="2">
        <v>45719.0</v>
      </c>
      <c r="C1839" s="9" t="s">
        <v>2389</v>
      </c>
      <c r="D1839" s="1" t="s">
        <v>2456</v>
      </c>
      <c r="E1839" s="4">
        <v>28500.0</v>
      </c>
      <c r="F1839" s="4"/>
      <c r="G1839" s="4"/>
      <c r="H1839" s="4">
        <f>'data on outstanding creditors'!$E1839-'data on outstanding creditors'!$F1839-'data on outstanding creditors'!$G1839</f>
        <v>28500</v>
      </c>
      <c r="I1839" s="2"/>
      <c r="J1839" s="1" t="s">
        <v>646</v>
      </c>
      <c r="K1839" s="2">
        <v>45928.0</v>
      </c>
      <c r="L1839" s="5"/>
      <c r="M1839" s="9" t="s">
        <v>43</v>
      </c>
      <c r="N1839" s="9" t="s">
        <v>49</v>
      </c>
      <c r="O1839" s="10">
        <f>'data on outstanding creditors'!$E1839*100/107</f>
        <v>26635.51402</v>
      </c>
      <c r="P1839" s="10">
        <f>'data on outstanding creditors'!$E1839-'data on outstanding creditors'!$O1839</f>
        <v>1864.485981</v>
      </c>
      <c r="Q1839" s="7">
        <f>DAY('data on outstanding creditors'!$B1839)</f>
        <v>3</v>
      </c>
      <c r="R1839" s="7">
        <f>MONTH('data on outstanding creditors'!$B1839)</f>
        <v>3</v>
      </c>
      <c r="S1839" s="7">
        <f>YEAR('data on outstanding creditors'!$B1839)</f>
        <v>2025</v>
      </c>
      <c r="T1839" s="11" t="str">
        <f>'data on outstanding creditors'!$C1839&amp;" "&amp;'data on outstanding creditors'!$D1839&amp;" "&amp;TEXT('data on outstanding creditors'!$E1839,"#,##0.00")</f>
        <v>บ.ซี วี พี เมดิคอล เทคโนโลยี SI01/68020262 28,500.00</v>
      </c>
      <c r="U1839" s="12"/>
    </row>
    <row r="1840" ht="13.5" customHeight="1">
      <c r="A1840" s="1" t="s">
        <v>2457</v>
      </c>
      <c r="B1840" s="2">
        <v>45719.0</v>
      </c>
      <c r="C1840" s="9" t="s">
        <v>2406</v>
      </c>
      <c r="D1840" s="1" t="s">
        <v>2458</v>
      </c>
      <c r="E1840" s="4">
        <v>290000.0</v>
      </c>
      <c r="F1840" s="4"/>
      <c r="G1840" s="4"/>
      <c r="H1840" s="4">
        <f>'data on outstanding creditors'!$E1840-'data on outstanding creditors'!$F1840-'data on outstanding creditors'!$G1840</f>
        <v>290000</v>
      </c>
      <c r="I1840" s="2"/>
      <c r="J1840" s="1" t="s">
        <v>646</v>
      </c>
      <c r="K1840" s="2">
        <v>45866.0</v>
      </c>
      <c r="L1840" s="5"/>
      <c r="M1840" s="9" t="s">
        <v>43</v>
      </c>
      <c r="N1840" s="9" t="s">
        <v>49</v>
      </c>
      <c r="O1840" s="10">
        <f>'data on outstanding creditors'!$E1840*100/107</f>
        <v>271028.0374</v>
      </c>
      <c r="P1840" s="10">
        <f>'data on outstanding creditors'!$E1840-'data on outstanding creditors'!$O1840</f>
        <v>18971.96262</v>
      </c>
      <c r="Q1840" s="7">
        <f>DAY('data on outstanding creditors'!$B1840)</f>
        <v>3</v>
      </c>
      <c r="R1840" s="7">
        <f>MONTH('data on outstanding creditors'!$B1840)</f>
        <v>3</v>
      </c>
      <c r="S1840" s="7">
        <f>YEAR('data on outstanding creditors'!$B1840)</f>
        <v>2025</v>
      </c>
      <c r="T1840" s="11" t="str">
        <f>'data on outstanding creditors'!$C1840&amp;" "&amp;'data on outstanding creditors'!$D1840&amp;" "&amp;TEXT('data on outstanding creditors'!$E1840,"#,##0.00")</f>
        <v>บ.เฟิร์สท อาย เซอร์จิคัล 680222249 290,000.00</v>
      </c>
      <c r="U1840" s="12"/>
    </row>
    <row r="1841" ht="13.5" customHeight="1">
      <c r="A1841" s="1" t="s">
        <v>2459</v>
      </c>
      <c r="B1841" s="2">
        <v>45719.0</v>
      </c>
      <c r="C1841" s="9" t="s">
        <v>1029</v>
      </c>
      <c r="D1841" s="1" t="s">
        <v>2460</v>
      </c>
      <c r="E1841" s="4">
        <v>19100.0</v>
      </c>
      <c r="F1841" s="4"/>
      <c r="G1841" s="4"/>
      <c r="H1841" s="4">
        <f>'data on outstanding creditors'!$E1841-'data on outstanding creditors'!$F1841-'data on outstanding creditors'!$G1841</f>
        <v>19100</v>
      </c>
      <c r="I1841" s="2"/>
      <c r="J1841" s="1" t="s">
        <v>646</v>
      </c>
      <c r="K1841" s="2">
        <v>45843.0</v>
      </c>
      <c r="L1841" s="5"/>
      <c r="M1841" s="9" t="s">
        <v>43</v>
      </c>
      <c r="N1841" s="9" t="s">
        <v>49</v>
      </c>
      <c r="O1841" s="10">
        <f>'data on outstanding creditors'!$E1841*100/107</f>
        <v>17850.46729</v>
      </c>
      <c r="P1841" s="10">
        <f>'data on outstanding creditors'!$E1841-'data on outstanding creditors'!$O1841</f>
        <v>1249.53271</v>
      </c>
      <c r="Q1841" s="7">
        <f>DAY('data on outstanding creditors'!$B1841)</f>
        <v>3</v>
      </c>
      <c r="R1841" s="7">
        <f>MONTH('data on outstanding creditors'!$B1841)</f>
        <v>3</v>
      </c>
      <c r="S1841" s="7">
        <f>YEAR('data on outstanding creditors'!$B1841)</f>
        <v>2025</v>
      </c>
      <c r="T1841" s="11" t="str">
        <f>'data on outstanding creditors'!$C1841&amp;" "&amp;'data on outstanding creditors'!$D1841&amp;" "&amp;TEXT('data on outstanding creditors'!$E1841,"#,##0.00")</f>
        <v>บ.เอเทค เมดิคอล IV6803275 19,100.00</v>
      </c>
      <c r="U1841" s="12"/>
    </row>
    <row r="1842" ht="13.5" customHeight="1">
      <c r="A1842" s="1" t="s">
        <v>2461</v>
      </c>
      <c r="B1842" s="2">
        <v>45719.0</v>
      </c>
      <c r="C1842" s="9" t="s">
        <v>1029</v>
      </c>
      <c r="D1842" s="1" t="s">
        <v>2462</v>
      </c>
      <c r="E1842" s="4">
        <v>17600.0</v>
      </c>
      <c r="F1842" s="4"/>
      <c r="G1842" s="4"/>
      <c r="H1842" s="4">
        <f>'data on outstanding creditors'!$E1842-'data on outstanding creditors'!$F1842-'data on outstanding creditors'!$G1842</f>
        <v>17600</v>
      </c>
      <c r="I1842" s="2"/>
      <c r="J1842" s="1" t="s">
        <v>646</v>
      </c>
      <c r="K1842" s="2">
        <v>45843.0</v>
      </c>
      <c r="L1842" s="5"/>
      <c r="M1842" s="9" t="s">
        <v>43</v>
      </c>
      <c r="N1842" s="9" t="s">
        <v>49</v>
      </c>
      <c r="O1842" s="10">
        <f>'data on outstanding creditors'!$E1842*100/107</f>
        <v>16448.59813</v>
      </c>
      <c r="P1842" s="10">
        <f>'data on outstanding creditors'!$E1842-'data on outstanding creditors'!$O1842</f>
        <v>1151.401869</v>
      </c>
      <c r="Q1842" s="7">
        <f>DAY('data on outstanding creditors'!$B1842)</f>
        <v>3</v>
      </c>
      <c r="R1842" s="7">
        <f>MONTH('data on outstanding creditors'!$B1842)</f>
        <v>3</v>
      </c>
      <c r="S1842" s="7">
        <f>YEAR('data on outstanding creditors'!$B1842)</f>
        <v>2025</v>
      </c>
      <c r="T1842" s="11" t="str">
        <f>'data on outstanding creditors'!$C1842&amp;" "&amp;'data on outstanding creditors'!$D1842&amp;" "&amp;TEXT('data on outstanding creditors'!$E1842,"#,##0.00")</f>
        <v>บ.เอเทค เมดิคอล IV6803276 17,600.00</v>
      </c>
      <c r="U1842" s="12"/>
    </row>
    <row r="1843" ht="13.5" customHeight="1">
      <c r="A1843" s="1" t="s">
        <v>2463</v>
      </c>
      <c r="B1843" s="2">
        <v>45719.0</v>
      </c>
      <c r="C1843" s="9" t="s">
        <v>2337</v>
      </c>
      <c r="D1843" s="1" t="s">
        <v>2464</v>
      </c>
      <c r="E1843" s="4">
        <v>13000.0</v>
      </c>
      <c r="F1843" s="4"/>
      <c r="G1843" s="4"/>
      <c r="H1843" s="4">
        <f>'data on outstanding creditors'!$E1843-'data on outstanding creditors'!$F1843-'data on outstanding creditors'!$G1843</f>
        <v>13000</v>
      </c>
      <c r="I1843" s="2"/>
      <c r="J1843" s="1" t="s">
        <v>757</v>
      </c>
      <c r="K1843" s="2">
        <v>45790.0</v>
      </c>
      <c r="L1843" s="5"/>
      <c r="M1843" s="9" t="s">
        <v>43</v>
      </c>
      <c r="N1843" s="9" t="s">
        <v>49</v>
      </c>
      <c r="O1843" s="10">
        <f>'data on outstanding creditors'!$E1843*100/107</f>
        <v>12149.53271</v>
      </c>
      <c r="P1843" s="10">
        <f>'data on outstanding creditors'!$E1843-'data on outstanding creditors'!$O1843</f>
        <v>850.4672897</v>
      </c>
      <c r="Q1843" s="7">
        <f>DAY('data on outstanding creditors'!$B1843)</f>
        <v>3</v>
      </c>
      <c r="R1843" s="7">
        <f>MONTH('data on outstanding creditors'!$B1843)</f>
        <v>3</v>
      </c>
      <c r="S1843" s="7">
        <f>YEAR('data on outstanding creditors'!$B1843)</f>
        <v>2025</v>
      </c>
      <c r="T1843" s="11" t="str">
        <f>'data on outstanding creditors'!$C1843&amp;" "&amp;'data on outstanding creditors'!$D1843&amp;" "&amp;TEXT('data on outstanding creditors'!$E1843,"#,##0.00")</f>
        <v>บ.อิสโก้ 68101 13,000.00</v>
      </c>
      <c r="U1843" s="12"/>
    </row>
    <row r="1844" ht="13.5" customHeight="1">
      <c r="A1844" s="1" t="s">
        <v>2465</v>
      </c>
      <c r="B1844" s="2">
        <v>45721.0</v>
      </c>
      <c r="C1844" s="9" t="s">
        <v>1029</v>
      </c>
      <c r="D1844" s="1" t="s">
        <v>2466</v>
      </c>
      <c r="E1844" s="4">
        <v>15800.0</v>
      </c>
      <c r="F1844" s="4"/>
      <c r="G1844" s="4"/>
      <c r="H1844" s="4">
        <f>'data on outstanding creditors'!$E1844-'data on outstanding creditors'!$F1844-'data on outstanding creditors'!$G1844</f>
        <v>15800</v>
      </c>
      <c r="I1844" s="2"/>
      <c r="J1844" s="1" t="s">
        <v>646</v>
      </c>
      <c r="K1844" s="2">
        <v>45843.0</v>
      </c>
      <c r="L1844" s="5"/>
      <c r="M1844" s="9" t="s">
        <v>43</v>
      </c>
      <c r="N1844" s="9" t="s">
        <v>49</v>
      </c>
      <c r="O1844" s="10">
        <f>'data on outstanding creditors'!$E1844*100/107</f>
        <v>14766.35514</v>
      </c>
      <c r="P1844" s="10">
        <f>'data on outstanding creditors'!$E1844-'data on outstanding creditors'!$O1844</f>
        <v>1033.64486</v>
      </c>
      <c r="Q1844" s="7">
        <f>DAY('data on outstanding creditors'!$B1844)</f>
        <v>5</v>
      </c>
      <c r="R1844" s="7">
        <f>MONTH('data on outstanding creditors'!$B1844)</f>
        <v>3</v>
      </c>
      <c r="S1844" s="7">
        <f>YEAR('data on outstanding creditors'!$B1844)</f>
        <v>2025</v>
      </c>
      <c r="T1844" s="11" t="str">
        <f>'data on outstanding creditors'!$C1844&amp;" "&amp;'data on outstanding creditors'!$D1844&amp;" "&amp;TEXT('data on outstanding creditors'!$E1844,"#,##0.00")</f>
        <v>บ.เอเทค เมดิคอล IV6803094 15,800.00</v>
      </c>
      <c r="U1844" s="12"/>
    </row>
    <row r="1845" ht="13.5" customHeight="1">
      <c r="A1845" s="1" t="s">
        <v>2467</v>
      </c>
      <c r="B1845" s="2">
        <v>45721.0</v>
      </c>
      <c r="C1845" s="9" t="s">
        <v>1029</v>
      </c>
      <c r="D1845" s="1" t="s">
        <v>2468</v>
      </c>
      <c r="E1845" s="4">
        <v>20300.0</v>
      </c>
      <c r="F1845" s="4"/>
      <c r="G1845" s="4"/>
      <c r="H1845" s="4">
        <f>'data on outstanding creditors'!$E1845-'data on outstanding creditors'!$F1845-'data on outstanding creditors'!$G1845</f>
        <v>20300</v>
      </c>
      <c r="I1845" s="2"/>
      <c r="J1845" s="1" t="s">
        <v>646</v>
      </c>
      <c r="K1845" s="2">
        <v>45843.0</v>
      </c>
      <c r="L1845" s="5"/>
      <c r="M1845" s="9" t="s">
        <v>43</v>
      </c>
      <c r="N1845" s="9" t="s">
        <v>49</v>
      </c>
      <c r="O1845" s="10">
        <f>'data on outstanding creditors'!$E1845*100/107</f>
        <v>18971.96262</v>
      </c>
      <c r="P1845" s="10">
        <f>'data on outstanding creditors'!$E1845-'data on outstanding creditors'!$O1845</f>
        <v>1328.037383</v>
      </c>
      <c r="Q1845" s="7">
        <f>DAY('data on outstanding creditors'!$B1845)</f>
        <v>5</v>
      </c>
      <c r="R1845" s="7">
        <f>MONTH('data on outstanding creditors'!$B1845)</f>
        <v>3</v>
      </c>
      <c r="S1845" s="7">
        <f>YEAR('data on outstanding creditors'!$B1845)</f>
        <v>2025</v>
      </c>
      <c r="T1845" s="11" t="str">
        <f>'data on outstanding creditors'!$C1845&amp;" "&amp;'data on outstanding creditors'!$D1845&amp;" "&amp;TEXT('data on outstanding creditors'!$E1845,"#,##0.00")</f>
        <v>บ.เอเทค เมดิคอล IV6803092 20,300.00</v>
      </c>
      <c r="U1845" s="12"/>
    </row>
    <row r="1846" ht="13.5" customHeight="1">
      <c r="A1846" s="1" t="s">
        <v>2469</v>
      </c>
      <c r="B1846" s="2">
        <v>45721.0</v>
      </c>
      <c r="C1846" s="9" t="s">
        <v>1029</v>
      </c>
      <c r="D1846" s="1" t="s">
        <v>2470</v>
      </c>
      <c r="E1846" s="4">
        <v>17300.0</v>
      </c>
      <c r="F1846" s="4"/>
      <c r="G1846" s="4"/>
      <c r="H1846" s="4">
        <f>'data on outstanding creditors'!$E1846-'data on outstanding creditors'!$F1846-'data on outstanding creditors'!$G1846</f>
        <v>17300</v>
      </c>
      <c r="I1846" s="2"/>
      <c r="J1846" s="1" t="s">
        <v>646</v>
      </c>
      <c r="K1846" s="2">
        <v>45843.0</v>
      </c>
      <c r="L1846" s="5"/>
      <c r="M1846" s="9" t="s">
        <v>43</v>
      </c>
      <c r="N1846" s="9" t="s">
        <v>49</v>
      </c>
      <c r="O1846" s="10">
        <f>'data on outstanding creditors'!$E1846*100/107</f>
        <v>16168.2243</v>
      </c>
      <c r="P1846" s="10">
        <f>'data on outstanding creditors'!$E1846-'data on outstanding creditors'!$O1846</f>
        <v>1131.775701</v>
      </c>
      <c r="Q1846" s="7">
        <f>DAY('data on outstanding creditors'!$B1846)</f>
        <v>5</v>
      </c>
      <c r="R1846" s="7">
        <f>MONTH('data on outstanding creditors'!$B1846)</f>
        <v>3</v>
      </c>
      <c r="S1846" s="7">
        <f>YEAR('data on outstanding creditors'!$B1846)</f>
        <v>2025</v>
      </c>
      <c r="T1846" s="11" t="str">
        <f>'data on outstanding creditors'!$C1846&amp;" "&amp;'data on outstanding creditors'!$D1846&amp;" "&amp;TEXT('data on outstanding creditors'!$E1846,"#,##0.00")</f>
        <v>บ.เอเทค เมดิคอล IV6803110 17,300.00</v>
      </c>
      <c r="U1846" s="12"/>
    </row>
    <row r="1847" ht="13.5" customHeight="1">
      <c r="A1847" s="1" t="s">
        <v>2471</v>
      </c>
      <c r="B1847" s="2">
        <v>45722.0</v>
      </c>
      <c r="C1847" s="9" t="s">
        <v>2472</v>
      </c>
      <c r="D1847" s="1" t="s">
        <v>2473</v>
      </c>
      <c r="E1847" s="4">
        <v>32000.0</v>
      </c>
      <c r="F1847" s="4"/>
      <c r="G1847" s="4"/>
      <c r="H1847" s="4">
        <f>'data on outstanding creditors'!$E1847-'data on outstanding creditors'!$F1847-'data on outstanding creditors'!$G1847</f>
        <v>32000</v>
      </c>
      <c r="I1847" s="2"/>
      <c r="J1847" s="1" t="s">
        <v>646</v>
      </c>
      <c r="K1847" s="2">
        <v>45894.0</v>
      </c>
      <c r="L1847" s="5"/>
      <c r="M1847" s="9" t="s">
        <v>43</v>
      </c>
      <c r="N1847" s="9" t="s">
        <v>49</v>
      </c>
      <c r="O1847" s="10">
        <f>'data on outstanding creditors'!$E1847*100/107</f>
        <v>29906.54206</v>
      </c>
      <c r="P1847" s="10">
        <f>'data on outstanding creditors'!$E1847-'data on outstanding creditors'!$O1847</f>
        <v>2093.457944</v>
      </c>
      <c r="Q1847" s="7">
        <f>DAY('data on outstanding creditors'!$B1847)</f>
        <v>6</v>
      </c>
      <c r="R1847" s="7">
        <f>MONTH('data on outstanding creditors'!$B1847)</f>
        <v>3</v>
      </c>
      <c r="S1847" s="7">
        <f>YEAR('data on outstanding creditors'!$B1847)</f>
        <v>2025</v>
      </c>
      <c r="T1847" s="11" t="str">
        <f>'data on outstanding creditors'!$C1847&amp;" "&amp;'data on outstanding creditors'!$D1847&amp;" "&amp;TEXT('data on outstanding creditors'!$E1847,"#,##0.00")</f>
        <v>บ.เอเมอร์สัน กรุ๊ป IV6803082 32,000.00</v>
      </c>
      <c r="U1847" s="12"/>
    </row>
    <row r="1848" ht="13.5" customHeight="1">
      <c r="A1848" s="1" t="s">
        <v>2474</v>
      </c>
      <c r="B1848" s="2">
        <v>45722.0</v>
      </c>
      <c r="C1848" s="9" t="s">
        <v>1114</v>
      </c>
      <c r="D1848" s="1" t="s">
        <v>2475</v>
      </c>
      <c r="E1848" s="4">
        <v>16600.0</v>
      </c>
      <c r="F1848" s="4"/>
      <c r="G1848" s="4"/>
      <c r="H1848" s="4">
        <f>'data on outstanding creditors'!$E1848-'data on outstanding creditors'!$F1848-'data on outstanding creditors'!$G1848</f>
        <v>16600</v>
      </c>
      <c r="I1848" s="2"/>
      <c r="J1848" s="1" t="s">
        <v>646</v>
      </c>
      <c r="K1848" s="2">
        <v>45827.0</v>
      </c>
      <c r="L1848" s="5"/>
      <c r="M1848" s="9" t="s">
        <v>43</v>
      </c>
      <c r="N1848" s="9" t="s">
        <v>49</v>
      </c>
      <c r="O1848" s="10">
        <f>'data on outstanding creditors'!$E1848*100/107</f>
        <v>15514.01869</v>
      </c>
      <c r="P1848" s="10">
        <f>'data on outstanding creditors'!$E1848-'data on outstanding creditors'!$O1848</f>
        <v>1085.981308</v>
      </c>
      <c r="Q1848" s="7">
        <f>DAY('data on outstanding creditors'!$B1848)</f>
        <v>6</v>
      </c>
      <c r="R1848" s="7">
        <f>MONTH('data on outstanding creditors'!$B1848)</f>
        <v>3</v>
      </c>
      <c r="S1848" s="7">
        <f>YEAR('data on outstanding creditors'!$B1848)</f>
        <v>2025</v>
      </c>
      <c r="T1848" s="11" t="str">
        <f>'data on outstanding creditors'!$C1848&amp;" "&amp;'data on outstanding creditors'!$D1848&amp;" "&amp;TEXT('data on outstanding creditors'!$E1848,"#,##0.00")</f>
        <v>หจก.อิเลฟเว่น พลัซ EL680304059 16,600.00</v>
      </c>
      <c r="U1848" s="12"/>
    </row>
    <row r="1849" ht="13.5" customHeight="1">
      <c r="A1849" s="1" t="s">
        <v>2476</v>
      </c>
      <c r="B1849" s="2">
        <v>45722.0</v>
      </c>
      <c r="C1849" s="9" t="s">
        <v>2343</v>
      </c>
      <c r="D1849" s="1" t="s">
        <v>2477</v>
      </c>
      <c r="E1849" s="4">
        <v>12400.0</v>
      </c>
      <c r="F1849" s="4"/>
      <c r="G1849" s="4"/>
      <c r="H1849" s="4">
        <f>'data on outstanding creditors'!$E1849-'data on outstanding creditors'!$F1849-'data on outstanding creditors'!$G1849</f>
        <v>12400</v>
      </c>
      <c r="I1849" s="2"/>
      <c r="J1849" s="1" t="s">
        <v>646</v>
      </c>
      <c r="K1849" s="2">
        <v>45843.0</v>
      </c>
      <c r="L1849" s="5"/>
      <c r="M1849" s="9" t="s">
        <v>43</v>
      </c>
      <c r="N1849" s="9" t="s">
        <v>49</v>
      </c>
      <c r="O1849" s="10">
        <f>'data on outstanding creditors'!$E1849*100/107</f>
        <v>11588.78505</v>
      </c>
      <c r="P1849" s="10">
        <f>'data on outstanding creditors'!$E1849-'data on outstanding creditors'!$O1849</f>
        <v>811.2149533</v>
      </c>
      <c r="Q1849" s="7">
        <f>DAY('data on outstanding creditors'!$B1849)</f>
        <v>6</v>
      </c>
      <c r="R1849" s="7">
        <f>MONTH('data on outstanding creditors'!$B1849)</f>
        <v>3</v>
      </c>
      <c r="S1849" s="7">
        <f>YEAR('data on outstanding creditors'!$B1849)</f>
        <v>2025</v>
      </c>
      <c r="T1849" s="11" t="str">
        <f>'data on outstanding creditors'!$C1849&amp;" "&amp;'data on outstanding creditors'!$D1849&amp;" "&amp;TEXT('data on outstanding creditors'!$E1849,"#,##0.00")</f>
        <v>บ.ทริมเมอร์ IV250200623 12,400.00</v>
      </c>
      <c r="U1849" s="12"/>
    </row>
    <row r="1850" ht="13.5" customHeight="1">
      <c r="A1850" s="1" t="s">
        <v>2478</v>
      </c>
      <c r="B1850" s="2">
        <v>45722.0</v>
      </c>
      <c r="C1850" s="9" t="s">
        <v>1029</v>
      </c>
      <c r="D1850" s="1" t="s">
        <v>2479</v>
      </c>
      <c r="E1850" s="4">
        <v>19395.0</v>
      </c>
      <c r="F1850" s="4"/>
      <c r="G1850" s="4"/>
      <c r="H1850" s="4">
        <f>'data on outstanding creditors'!$E1850-'data on outstanding creditors'!$F1850-'data on outstanding creditors'!$G1850</f>
        <v>19395</v>
      </c>
      <c r="I1850" s="2"/>
      <c r="J1850" s="1" t="s">
        <v>646</v>
      </c>
      <c r="K1850" s="2">
        <v>45843.0</v>
      </c>
      <c r="L1850" s="5"/>
      <c r="M1850" s="9" t="s">
        <v>43</v>
      </c>
      <c r="N1850" s="9" t="s">
        <v>49</v>
      </c>
      <c r="O1850" s="10">
        <f>'data on outstanding creditors'!$E1850*100/107</f>
        <v>18126.16822</v>
      </c>
      <c r="P1850" s="10">
        <f>'data on outstanding creditors'!$E1850-'data on outstanding creditors'!$O1850</f>
        <v>1268.831776</v>
      </c>
      <c r="Q1850" s="7">
        <f>DAY('data on outstanding creditors'!$B1850)</f>
        <v>6</v>
      </c>
      <c r="R1850" s="7">
        <f>MONTH('data on outstanding creditors'!$B1850)</f>
        <v>3</v>
      </c>
      <c r="S1850" s="7">
        <f>YEAR('data on outstanding creditors'!$B1850)</f>
        <v>2025</v>
      </c>
      <c r="T1850" s="11" t="str">
        <f>'data on outstanding creditors'!$C1850&amp;" "&amp;'data on outstanding creditors'!$D1850&amp;" "&amp;TEXT('data on outstanding creditors'!$E1850,"#,##0.00")</f>
        <v>บ.เอเทค เมดิคอล IV6803093 19,395.00</v>
      </c>
      <c r="U1850" s="12"/>
    </row>
    <row r="1851" ht="13.5" customHeight="1">
      <c r="A1851" s="1" t="s">
        <v>2480</v>
      </c>
      <c r="B1851" s="2">
        <v>45722.0</v>
      </c>
      <c r="C1851" s="9" t="s">
        <v>2270</v>
      </c>
      <c r="D1851" s="1" t="s">
        <v>2481</v>
      </c>
      <c r="E1851" s="4">
        <v>20800.0</v>
      </c>
      <c r="F1851" s="4"/>
      <c r="G1851" s="4"/>
      <c r="H1851" s="4">
        <f>'data on outstanding creditors'!$E1851-'data on outstanding creditors'!$F1851-'data on outstanding creditors'!$G1851</f>
        <v>20800</v>
      </c>
      <c r="I1851" s="2"/>
      <c r="J1851" s="1" t="s">
        <v>646</v>
      </c>
      <c r="K1851" s="2">
        <v>45843.0</v>
      </c>
      <c r="L1851" s="5"/>
      <c r="M1851" s="9" t="s">
        <v>43</v>
      </c>
      <c r="N1851" s="9" t="s">
        <v>49</v>
      </c>
      <c r="O1851" s="10">
        <f>'data on outstanding creditors'!$E1851*100/107</f>
        <v>19439.25234</v>
      </c>
      <c r="P1851" s="10">
        <f>'data on outstanding creditors'!$E1851-'data on outstanding creditors'!$O1851</f>
        <v>1360.747664</v>
      </c>
      <c r="Q1851" s="7">
        <f>DAY('data on outstanding creditors'!$B1851)</f>
        <v>6</v>
      </c>
      <c r="R1851" s="7">
        <f>MONTH('data on outstanding creditors'!$B1851)</f>
        <v>3</v>
      </c>
      <c r="S1851" s="7">
        <f>YEAR('data on outstanding creditors'!$B1851)</f>
        <v>2025</v>
      </c>
      <c r="T1851" s="11" t="str">
        <f>'data on outstanding creditors'!$C1851&amp;" "&amp;'data on outstanding creditors'!$D1851&amp;" "&amp;TEXT('data on outstanding creditors'!$E1851,"#,##0.00")</f>
        <v>บ.เอ็ม.เอ.ซี.อินฟอร์เมชั่น 202502-010 20,800.00</v>
      </c>
      <c r="U1851" s="12"/>
    </row>
    <row r="1852" ht="13.5" customHeight="1">
      <c r="A1852" s="1" t="s">
        <v>2482</v>
      </c>
      <c r="B1852" s="2">
        <v>45723.0</v>
      </c>
      <c r="C1852" s="9" t="s">
        <v>1029</v>
      </c>
      <c r="D1852" s="1" t="s">
        <v>2483</v>
      </c>
      <c r="E1852" s="4">
        <v>11400.0</v>
      </c>
      <c r="F1852" s="4"/>
      <c r="G1852" s="4"/>
      <c r="H1852" s="4">
        <f>'data on outstanding creditors'!$E1852-'data on outstanding creditors'!$F1852-'data on outstanding creditors'!$G1852</f>
        <v>11400</v>
      </c>
      <c r="I1852" s="2"/>
      <c r="J1852" s="1" t="s">
        <v>646</v>
      </c>
      <c r="K1852" s="2">
        <v>45843.0</v>
      </c>
      <c r="L1852" s="5"/>
      <c r="M1852" s="9" t="s">
        <v>43</v>
      </c>
      <c r="N1852" s="9" t="s">
        <v>49</v>
      </c>
      <c r="O1852" s="10">
        <f>'data on outstanding creditors'!$E1852*100/107</f>
        <v>10654.20561</v>
      </c>
      <c r="P1852" s="10">
        <f>'data on outstanding creditors'!$E1852-'data on outstanding creditors'!$O1852</f>
        <v>745.7943925</v>
      </c>
      <c r="Q1852" s="7">
        <f>DAY('data on outstanding creditors'!$B1852)</f>
        <v>7</v>
      </c>
      <c r="R1852" s="7">
        <f>MONTH('data on outstanding creditors'!$B1852)</f>
        <v>3</v>
      </c>
      <c r="S1852" s="7">
        <f>YEAR('data on outstanding creditors'!$B1852)</f>
        <v>2025</v>
      </c>
      <c r="T1852" s="11" t="str">
        <f>'data on outstanding creditors'!$C1852&amp;" "&amp;'data on outstanding creditors'!$D1852&amp;" "&amp;TEXT('data on outstanding creditors'!$E1852,"#,##0.00")</f>
        <v>บ.เอเทค เมดิคอล IV6803197 11,400.00</v>
      </c>
      <c r="U1852" s="12"/>
    </row>
    <row r="1853" ht="13.5" customHeight="1">
      <c r="A1853" s="1"/>
      <c r="B1853" s="2">
        <v>45726.0</v>
      </c>
      <c r="C1853" s="9" t="s">
        <v>2363</v>
      </c>
      <c r="D1853" s="1" t="s">
        <v>2484</v>
      </c>
      <c r="E1853" s="4">
        <v>12000.0</v>
      </c>
      <c r="F1853" s="4"/>
      <c r="G1853" s="4"/>
      <c r="H1853" s="4">
        <f>'data on outstanding creditors'!$E1853-'data on outstanding creditors'!$F1853-'data on outstanding creditors'!$G1853</f>
        <v>12000</v>
      </c>
      <c r="I1853" s="2"/>
      <c r="J1853" s="1" t="s">
        <v>646</v>
      </c>
      <c r="K1853" s="2">
        <v>45855.0</v>
      </c>
      <c r="L1853" s="5"/>
      <c r="M1853" s="9" t="s">
        <v>43</v>
      </c>
      <c r="N1853" s="9" t="s">
        <v>23</v>
      </c>
      <c r="O1853" s="10">
        <f>'data on outstanding creditors'!$E1853*100/107</f>
        <v>11214.95327</v>
      </c>
      <c r="P1853" s="10">
        <f>'data on outstanding creditors'!$E1853-'data on outstanding creditors'!$O1853</f>
        <v>785.046729</v>
      </c>
      <c r="Q1853" s="7">
        <f>DAY('data on outstanding creditors'!$B1853)</f>
        <v>10</v>
      </c>
      <c r="R1853" s="7">
        <f>MONTH('data on outstanding creditors'!$B1853)</f>
        <v>3</v>
      </c>
      <c r="S1853" s="7">
        <f>YEAR('data on outstanding creditors'!$B1853)</f>
        <v>2025</v>
      </c>
      <c r="T1853" s="11" t="str">
        <f>'data on outstanding creditors'!$C1853&amp;" "&amp;'data on outstanding creditors'!$D1853&amp;" "&amp;TEXT('data on outstanding creditors'!$E1853,"#,##0.00")</f>
        <v>บ.บีเวอร์ เมดิคอล อินดัสตรี้ 682083 12,000.00</v>
      </c>
      <c r="U1853" s="12"/>
    </row>
    <row r="1854" ht="13.5" customHeight="1">
      <c r="A1854" s="1"/>
      <c r="B1854" s="2">
        <v>45726.0</v>
      </c>
      <c r="C1854" s="9" t="s">
        <v>2363</v>
      </c>
      <c r="D1854" s="1" t="s">
        <v>2485</v>
      </c>
      <c r="E1854" s="4">
        <v>30100.0</v>
      </c>
      <c r="F1854" s="4"/>
      <c r="G1854" s="4"/>
      <c r="H1854" s="4">
        <f>'data on outstanding creditors'!$E1854-'data on outstanding creditors'!$F1854-'data on outstanding creditors'!$G1854</f>
        <v>30100</v>
      </c>
      <c r="I1854" s="2"/>
      <c r="J1854" s="1" t="s">
        <v>646</v>
      </c>
      <c r="K1854" s="2">
        <v>45855.0</v>
      </c>
      <c r="L1854" s="5"/>
      <c r="M1854" s="9" t="s">
        <v>43</v>
      </c>
      <c r="N1854" s="9" t="s">
        <v>23</v>
      </c>
      <c r="O1854" s="10">
        <f>'data on outstanding creditors'!$E1854*100/107</f>
        <v>28130.84112</v>
      </c>
      <c r="P1854" s="10">
        <f>'data on outstanding creditors'!$E1854-'data on outstanding creditors'!$O1854</f>
        <v>1969.158879</v>
      </c>
      <c r="Q1854" s="7">
        <f>DAY('data on outstanding creditors'!$B1854)</f>
        <v>10</v>
      </c>
      <c r="R1854" s="7">
        <f>MONTH('data on outstanding creditors'!$B1854)</f>
        <v>3</v>
      </c>
      <c r="S1854" s="7">
        <f>YEAR('data on outstanding creditors'!$B1854)</f>
        <v>2025</v>
      </c>
      <c r="T1854" s="11" t="str">
        <f>'data on outstanding creditors'!$C1854&amp;" "&amp;'data on outstanding creditors'!$D1854&amp;" "&amp;TEXT('data on outstanding creditors'!$E1854,"#,##0.00")</f>
        <v>บ.บีเวอร์ เมดิคอล อินดัสตรี้ 681328 30,100.00</v>
      </c>
      <c r="U1854" s="12"/>
    </row>
    <row r="1855" ht="13.5" customHeight="1">
      <c r="A1855" s="1"/>
      <c r="B1855" s="2">
        <v>45727.0</v>
      </c>
      <c r="C1855" s="9" t="s">
        <v>2486</v>
      </c>
      <c r="D1855" s="1" t="s">
        <v>2487</v>
      </c>
      <c r="E1855" s="4">
        <v>93000.0</v>
      </c>
      <c r="F1855" s="4"/>
      <c r="G1855" s="4"/>
      <c r="H1855" s="4">
        <f>'data on outstanding creditors'!$E1855-'data on outstanding creditors'!$F1855-'data on outstanding creditors'!$G1855</f>
        <v>93000</v>
      </c>
      <c r="I1855" s="2"/>
      <c r="J1855" s="1" t="s">
        <v>646</v>
      </c>
      <c r="K1855" s="2">
        <v>45843.0</v>
      </c>
      <c r="L1855" s="5"/>
      <c r="M1855" s="9" t="s">
        <v>43</v>
      </c>
      <c r="N1855" s="9" t="s">
        <v>23</v>
      </c>
      <c r="O1855" s="10">
        <f>'data on outstanding creditors'!$E1855*100/107</f>
        <v>86915.88785</v>
      </c>
      <c r="P1855" s="10">
        <f>'data on outstanding creditors'!$E1855-'data on outstanding creditors'!$O1855</f>
        <v>6084.11215</v>
      </c>
      <c r="Q1855" s="7">
        <f>DAY('data on outstanding creditors'!$B1855)</f>
        <v>11</v>
      </c>
      <c r="R1855" s="7">
        <f>MONTH('data on outstanding creditors'!$B1855)</f>
        <v>3</v>
      </c>
      <c r="S1855" s="7">
        <f>YEAR('data on outstanding creditors'!$B1855)</f>
        <v>2025</v>
      </c>
      <c r="T1855" s="11" t="str">
        <f>'data on outstanding creditors'!$C1855&amp;" "&amp;'data on outstanding creditors'!$D1855&amp;" "&amp;TEXT('data on outstanding creditors'!$E1855,"#,##0.00")</f>
        <v>บ.ไทยเพียวดีไวซ์ 68/02521 93,000.00</v>
      </c>
      <c r="U1855" s="12"/>
    </row>
    <row r="1856" ht="13.5" customHeight="1">
      <c r="A1856" s="1" t="s">
        <v>2488</v>
      </c>
      <c r="B1856" s="2">
        <v>45727.0</v>
      </c>
      <c r="C1856" s="9" t="s">
        <v>1029</v>
      </c>
      <c r="D1856" s="1" t="s">
        <v>2489</v>
      </c>
      <c r="E1856" s="4">
        <v>17600.0</v>
      </c>
      <c r="F1856" s="4"/>
      <c r="G1856" s="4"/>
      <c r="H1856" s="4">
        <f>'data on outstanding creditors'!$E1856-'data on outstanding creditors'!$F1856-'data on outstanding creditors'!$G1856</f>
        <v>17600</v>
      </c>
      <c r="I1856" s="2"/>
      <c r="J1856" s="1" t="s">
        <v>646</v>
      </c>
      <c r="K1856" s="2">
        <v>45843.0</v>
      </c>
      <c r="L1856" s="5"/>
      <c r="M1856" s="9" t="s">
        <v>43</v>
      </c>
      <c r="N1856" s="9" t="s">
        <v>49</v>
      </c>
      <c r="O1856" s="10">
        <f>'data on outstanding creditors'!$E1856*100/107</f>
        <v>16448.59813</v>
      </c>
      <c r="P1856" s="10">
        <f>'data on outstanding creditors'!$E1856-'data on outstanding creditors'!$O1856</f>
        <v>1151.401869</v>
      </c>
      <c r="Q1856" s="7">
        <f>DAY('data on outstanding creditors'!$B1856)</f>
        <v>11</v>
      </c>
      <c r="R1856" s="7">
        <f>MONTH('data on outstanding creditors'!$B1856)</f>
        <v>3</v>
      </c>
      <c r="S1856" s="7">
        <f>YEAR('data on outstanding creditors'!$B1856)</f>
        <v>2025</v>
      </c>
      <c r="T1856" s="11" t="str">
        <f>'data on outstanding creditors'!$C1856&amp;" "&amp;'data on outstanding creditors'!$D1856&amp;" "&amp;TEXT('data on outstanding creditors'!$E1856,"#,##0.00")</f>
        <v>บ.เอเทค เมดิคอล IV6803250 17,600.00</v>
      </c>
      <c r="U1856" s="12"/>
    </row>
    <row r="1857" ht="13.5" customHeight="1">
      <c r="A1857" s="1" t="s">
        <v>2490</v>
      </c>
      <c r="B1857" s="2">
        <v>45727.0</v>
      </c>
      <c r="C1857" s="9" t="s">
        <v>2343</v>
      </c>
      <c r="D1857" s="1" t="s">
        <v>2491</v>
      </c>
      <c r="E1857" s="4">
        <v>2880.0</v>
      </c>
      <c r="F1857" s="4"/>
      <c r="G1857" s="4"/>
      <c r="H1857" s="4">
        <f>'data on outstanding creditors'!$E1857-'data on outstanding creditors'!$F1857-'data on outstanding creditors'!$G1857</f>
        <v>2880</v>
      </c>
      <c r="I1857" s="2"/>
      <c r="J1857" s="1" t="s">
        <v>646</v>
      </c>
      <c r="K1857" s="2">
        <v>45843.0</v>
      </c>
      <c r="L1857" s="5"/>
      <c r="M1857" s="9" t="s">
        <v>43</v>
      </c>
      <c r="N1857" s="9" t="s">
        <v>49</v>
      </c>
      <c r="O1857" s="10">
        <f>'data on outstanding creditors'!$E1857*100/107</f>
        <v>2691.588785</v>
      </c>
      <c r="P1857" s="10">
        <f>'data on outstanding creditors'!$E1857-'data on outstanding creditors'!$O1857</f>
        <v>188.411215</v>
      </c>
      <c r="Q1857" s="7">
        <f>DAY('data on outstanding creditors'!$B1857)</f>
        <v>11</v>
      </c>
      <c r="R1857" s="7">
        <f>MONTH('data on outstanding creditors'!$B1857)</f>
        <v>3</v>
      </c>
      <c r="S1857" s="7">
        <f>YEAR('data on outstanding creditors'!$B1857)</f>
        <v>2025</v>
      </c>
      <c r="T1857" s="11" t="str">
        <f>'data on outstanding creditors'!$C1857&amp;" "&amp;'data on outstanding creditors'!$D1857&amp;" "&amp;TEXT('data on outstanding creditors'!$E1857,"#,##0.00")</f>
        <v>บ.ทริมเมอร์ IV250300681 2,880.00</v>
      </c>
      <c r="U1857" s="12"/>
    </row>
    <row r="1858" ht="13.5" customHeight="1">
      <c r="A1858" s="1" t="s">
        <v>2492</v>
      </c>
      <c r="B1858" s="2">
        <v>45727.0</v>
      </c>
      <c r="C1858" s="9" t="s">
        <v>2343</v>
      </c>
      <c r="D1858" s="1" t="s">
        <v>2493</v>
      </c>
      <c r="E1858" s="4">
        <v>19300.0</v>
      </c>
      <c r="F1858" s="4"/>
      <c r="G1858" s="4"/>
      <c r="H1858" s="4">
        <f>'data on outstanding creditors'!$E1858-'data on outstanding creditors'!$F1858-'data on outstanding creditors'!$G1858</f>
        <v>19300</v>
      </c>
      <c r="I1858" s="2"/>
      <c r="J1858" s="1" t="s">
        <v>646</v>
      </c>
      <c r="K1858" s="2">
        <v>45843.0</v>
      </c>
      <c r="L1858" s="5"/>
      <c r="M1858" s="9" t="s">
        <v>43</v>
      </c>
      <c r="N1858" s="9" t="s">
        <v>49</v>
      </c>
      <c r="O1858" s="10">
        <f>'data on outstanding creditors'!$E1858*100/107</f>
        <v>18037.38318</v>
      </c>
      <c r="P1858" s="10">
        <f>'data on outstanding creditors'!$E1858-'data on outstanding creditors'!$O1858</f>
        <v>1262.616822</v>
      </c>
      <c r="Q1858" s="7">
        <f>DAY('data on outstanding creditors'!$B1858)</f>
        <v>11</v>
      </c>
      <c r="R1858" s="7">
        <f>MONTH('data on outstanding creditors'!$B1858)</f>
        <v>3</v>
      </c>
      <c r="S1858" s="7">
        <f>YEAR('data on outstanding creditors'!$B1858)</f>
        <v>2025</v>
      </c>
      <c r="T1858" s="11" t="str">
        <f>'data on outstanding creditors'!$C1858&amp;" "&amp;'data on outstanding creditors'!$D1858&amp;" "&amp;TEXT('data on outstanding creditors'!$E1858,"#,##0.00")</f>
        <v>บ.ทริมเมอร์ IV250300691 19,300.00</v>
      </c>
      <c r="U1858" s="12"/>
    </row>
    <row r="1859" ht="13.5" customHeight="1">
      <c r="A1859" s="1" t="s">
        <v>2494</v>
      </c>
      <c r="B1859" s="2">
        <v>45728.0</v>
      </c>
      <c r="C1859" s="9" t="s">
        <v>2343</v>
      </c>
      <c r="D1859" s="1" t="s">
        <v>2495</v>
      </c>
      <c r="E1859" s="4">
        <v>1800.0</v>
      </c>
      <c r="F1859" s="4"/>
      <c r="G1859" s="4"/>
      <c r="H1859" s="4">
        <f>'data on outstanding creditors'!$E1859-'data on outstanding creditors'!$F1859-'data on outstanding creditors'!$G1859</f>
        <v>1800</v>
      </c>
      <c r="I1859" s="2"/>
      <c r="J1859" s="1" t="s">
        <v>646</v>
      </c>
      <c r="K1859" s="2">
        <v>45843.0</v>
      </c>
      <c r="L1859" s="5"/>
      <c r="M1859" s="9" t="s">
        <v>43</v>
      </c>
      <c r="N1859" s="9" t="s">
        <v>49</v>
      </c>
      <c r="O1859" s="10">
        <f>'data on outstanding creditors'!$E1859*100/107</f>
        <v>1682.242991</v>
      </c>
      <c r="P1859" s="10">
        <f>'data on outstanding creditors'!$E1859-'data on outstanding creditors'!$O1859</f>
        <v>117.7570093</v>
      </c>
      <c r="Q1859" s="7">
        <f>DAY('data on outstanding creditors'!$B1859)</f>
        <v>12</v>
      </c>
      <c r="R1859" s="7">
        <f>MONTH('data on outstanding creditors'!$B1859)</f>
        <v>3</v>
      </c>
      <c r="S1859" s="7">
        <f>YEAR('data on outstanding creditors'!$B1859)</f>
        <v>2025</v>
      </c>
      <c r="T1859" s="11" t="str">
        <f>'data on outstanding creditors'!$C1859&amp;" "&amp;'data on outstanding creditors'!$D1859&amp;" "&amp;TEXT('data on outstanding creditors'!$E1859,"#,##0.00")</f>
        <v>บ.ทริมเมอร์ IV250300730 1,800.00</v>
      </c>
      <c r="U1859" s="12"/>
    </row>
    <row r="1860" ht="13.5" customHeight="1">
      <c r="A1860" s="1" t="s">
        <v>2496</v>
      </c>
      <c r="B1860" s="2">
        <v>45730.0</v>
      </c>
      <c r="C1860" s="9" t="s">
        <v>2339</v>
      </c>
      <c r="D1860" s="1" t="s">
        <v>2497</v>
      </c>
      <c r="E1860" s="4">
        <v>63000.0</v>
      </c>
      <c r="F1860" s="4"/>
      <c r="G1860" s="4"/>
      <c r="H1860" s="4">
        <f>'data on outstanding creditors'!$E1860-'data on outstanding creditors'!$F1860-'data on outstanding creditors'!$G1860</f>
        <v>63000</v>
      </c>
      <c r="I1860" s="2"/>
      <c r="J1860" s="1" t="s">
        <v>646</v>
      </c>
      <c r="K1860" s="2">
        <v>45855.0</v>
      </c>
      <c r="L1860" s="5"/>
      <c r="M1860" s="9" t="s">
        <v>43</v>
      </c>
      <c r="N1860" s="9" t="s">
        <v>49</v>
      </c>
      <c r="O1860" s="10">
        <f>'data on outstanding creditors'!$E1860*100/107</f>
        <v>58878.50467</v>
      </c>
      <c r="P1860" s="10">
        <f>'data on outstanding creditors'!$E1860-'data on outstanding creditors'!$O1860</f>
        <v>4121.495327</v>
      </c>
      <c r="Q1860" s="7">
        <f>DAY('data on outstanding creditors'!$B1860)</f>
        <v>14</v>
      </c>
      <c r="R1860" s="7">
        <f>MONTH('data on outstanding creditors'!$B1860)</f>
        <v>3</v>
      </c>
      <c r="S1860" s="7">
        <f>YEAR('data on outstanding creditors'!$B1860)</f>
        <v>2025</v>
      </c>
      <c r="T1860" s="11" t="str">
        <f>'data on outstanding creditors'!$C1860&amp;" "&amp;'data on outstanding creditors'!$D1860&amp;" "&amp;TEXT('data on outstanding creditors'!$E1860,"#,##0.00")</f>
        <v>บ.ไอแคร์ เมดิคัล BL68-03/192 63,000.00</v>
      </c>
      <c r="U1860" s="12"/>
    </row>
    <row r="1861" ht="13.5" customHeight="1">
      <c r="A1861" s="1"/>
      <c r="B1861" s="2">
        <v>45730.0</v>
      </c>
      <c r="C1861" s="9" t="s">
        <v>2292</v>
      </c>
      <c r="D1861" s="1" t="s">
        <v>2498</v>
      </c>
      <c r="E1861" s="4">
        <v>75840.0</v>
      </c>
      <c r="F1861" s="4"/>
      <c r="G1861" s="4"/>
      <c r="H1861" s="4">
        <f>'data on outstanding creditors'!$E1861-'data on outstanding creditors'!$F1861-'data on outstanding creditors'!$G1861</f>
        <v>75840</v>
      </c>
      <c r="I1861" s="2"/>
      <c r="J1861" s="1" t="s">
        <v>646</v>
      </c>
      <c r="K1861" s="2">
        <v>45866.0</v>
      </c>
      <c r="L1861" s="5"/>
      <c r="M1861" s="9" t="s">
        <v>43</v>
      </c>
      <c r="N1861" s="9" t="s">
        <v>23</v>
      </c>
      <c r="O1861" s="10">
        <f>'data on outstanding creditors'!$E1861*100/107</f>
        <v>70878.50467</v>
      </c>
      <c r="P1861" s="10">
        <f>'data on outstanding creditors'!$E1861-'data on outstanding creditors'!$O1861</f>
        <v>4961.495327</v>
      </c>
      <c r="Q1861" s="7">
        <f>DAY('data on outstanding creditors'!$B1861)</f>
        <v>14</v>
      </c>
      <c r="R1861" s="7">
        <f>MONTH('data on outstanding creditors'!$B1861)</f>
        <v>3</v>
      </c>
      <c r="S1861" s="7">
        <f>YEAR('data on outstanding creditors'!$B1861)</f>
        <v>2025</v>
      </c>
      <c r="T1861" s="11" t="str">
        <f>'data on outstanding creditors'!$C1861&amp;" "&amp;'data on outstanding creditors'!$D1861&amp;" "&amp;TEXT('data on outstanding creditors'!$E1861,"#,##0.00")</f>
        <v>บ.ไบโอคอททอน IV25001227 75,840.00</v>
      </c>
      <c r="U1861" s="12"/>
    </row>
    <row r="1862" ht="13.5" customHeight="1">
      <c r="A1862" s="1" t="s">
        <v>2499</v>
      </c>
      <c r="B1862" s="2">
        <v>45733.0</v>
      </c>
      <c r="C1862" s="9" t="s">
        <v>2408</v>
      </c>
      <c r="D1862" s="1" t="s">
        <v>2500</v>
      </c>
      <c r="E1862" s="4">
        <v>12840.0</v>
      </c>
      <c r="F1862" s="4"/>
      <c r="G1862" s="4"/>
      <c r="H1862" s="4">
        <f>'data on outstanding creditors'!$E1862-'data on outstanding creditors'!$F1862-'data on outstanding creditors'!$G1862</f>
        <v>12840</v>
      </c>
      <c r="I1862" s="2"/>
      <c r="J1862" s="1" t="s">
        <v>646</v>
      </c>
      <c r="K1862" s="2">
        <v>45856.0</v>
      </c>
      <c r="L1862" s="5"/>
      <c r="M1862" s="9" t="s">
        <v>43</v>
      </c>
      <c r="N1862" s="9" t="s">
        <v>49</v>
      </c>
      <c r="O1862" s="10">
        <f>'data on outstanding creditors'!$E1862*100/107</f>
        <v>12000</v>
      </c>
      <c r="P1862" s="10">
        <f>'data on outstanding creditors'!$E1862-'data on outstanding creditors'!$O1862</f>
        <v>840</v>
      </c>
      <c r="Q1862" s="7">
        <f>DAY('data on outstanding creditors'!$B1862)</f>
        <v>17</v>
      </c>
      <c r="R1862" s="7">
        <f>MONTH('data on outstanding creditors'!$B1862)</f>
        <v>3</v>
      </c>
      <c r="S1862" s="7">
        <f>YEAR('data on outstanding creditors'!$B1862)</f>
        <v>2025</v>
      </c>
      <c r="T1862" s="11" t="str">
        <f>'data on outstanding creditors'!$C1862&amp;" "&amp;'data on outstanding creditors'!$D1862&amp;" "&amp;TEXT('data on outstanding creditors'!$E1862,"#,##0.00")</f>
        <v>บ.จอห์นสัน แอนด์ จอห์นสัน(ประเทศไทย) 998520691 12,840.00</v>
      </c>
      <c r="U1862" s="12"/>
    </row>
    <row r="1863" ht="13.5" customHeight="1">
      <c r="A1863" s="1" t="s">
        <v>2501</v>
      </c>
      <c r="B1863" s="2">
        <v>45733.0</v>
      </c>
      <c r="C1863" s="9" t="s">
        <v>1029</v>
      </c>
      <c r="D1863" s="1" t="s">
        <v>2502</v>
      </c>
      <c r="E1863" s="4">
        <v>19100.0</v>
      </c>
      <c r="F1863" s="4"/>
      <c r="G1863" s="4"/>
      <c r="H1863" s="4">
        <f>'data on outstanding creditors'!$E1863-'data on outstanding creditors'!$F1863-'data on outstanding creditors'!$G1863</f>
        <v>19100</v>
      </c>
      <c r="I1863" s="2"/>
      <c r="J1863" s="1" t="s">
        <v>646</v>
      </c>
      <c r="K1863" s="2">
        <v>45843.0</v>
      </c>
      <c r="L1863" s="5"/>
      <c r="M1863" s="9" t="s">
        <v>43</v>
      </c>
      <c r="N1863" s="9" t="s">
        <v>49</v>
      </c>
      <c r="O1863" s="10">
        <f>'data on outstanding creditors'!$E1863*100/107</f>
        <v>17850.46729</v>
      </c>
      <c r="P1863" s="10">
        <f>'data on outstanding creditors'!$E1863-'data on outstanding creditors'!$O1863</f>
        <v>1249.53271</v>
      </c>
      <c r="Q1863" s="7">
        <f>DAY('data on outstanding creditors'!$B1863)</f>
        <v>17</v>
      </c>
      <c r="R1863" s="7">
        <f>MONTH('data on outstanding creditors'!$B1863)</f>
        <v>3</v>
      </c>
      <c r="S1863" s="7">
        <f>YEAR('data on outstanding creditors'!$B1863)</f>
        <v>2025</v>
      </c>
      <c r="T1863" s="11" t="str">
        <f>'data on outstanding creditors'!$C1863&amp;" "&amp;'data on outstanding creditors'!$D1863&amp;" "&amp;TEXT('data on outstanding creditors'!$E1863,"#,##0.00")</f>
        <v>บ.เอเทค เมดิคอล IV6803383 19,100.00</v>
      </c>
      <c r="U1863" s="12"/>
    </row>
    <row r="1864" ht="13.5" customHeight="1">
      <c r="A1864" s="1" t="s">
        <v>2503</v>
      </c>
      <c r="B1864" s="2">
        <v>45733.0</v>
      </c>
      <c r="C1864" s="9" t="s">
        <v>1029</v>
      </c>
      <c r="D1864" s="1" t="s">
        <v>2504</v>
      </c>
      <c r="E1864" s="4">
        <v>17300.0</v>
      </c>
      <c r="F1864" s="4"/>
      <c r="G1864" s="4"/>
      <c r="H1864" s="4">
        <f>'data on outstanding creditors'!$E1864-'data on outstanding creditors'!$F1864-'data on outstanding creditors'!$G1864</f>
        <v>17300</v>
      </c>
      <c r="I1864" s="2"/>
      <c r="J1864" s="1" t="s">
        <v>646</v>
      </c>
      <c r="K1864" s="2">
        <v>45843.0</v>
      </c>
      <c r="L1864" s="5"/>
      <c r="M1864" s="9" t="s">
        <v>43</v>
      </c>
      <c r="N1864" s="9" t="s">
        <v>49</v>
      </c>
      <c r="O1864" s="10">
        <f>'data on outstanding creditors'!$E1864*100/107</f>
        <v>16168.2243</v>
      </c>
      <c r="P1864" s="10">
        <f>'data on outstanding creditors'!$E1864-'data on outstanding creditors'!$O1864</f>
        <v>1131.775701</v>
      </c>
      <c r="Q1864" s="7">
        <f>DAY('data on outstanding creditors'!$B1864)</f>
        <v>17</v>
      </c>
      <c r="R1864" s="7">
        <f>MONTH('data on outstanding creditors'!$B1864)</f>
        <v>3</v>
      </c>
      <c r="S1864" s="7">
        <f>YEAR('data on outstanding creditors'!$B1864)</f>
        <v>2025</v>
      </c>
      <c r="T1864" s="11" t="str">
        <f>'data on outstanding creditors'!$C1864&amp;" "&amp;'data on outstanding creditors'!$D1864&amp;" "&amp;TEXT('data on outstanding creditors'!$E1864,"#,##0.00")</f>
        <v>บ.เอเทค เมดิคอล IV6803356 17,300.00</v>
      </c>
      <c r="U1864" s="12"/>
    </row>
    <row r="1865" ht="13.5" customHeight="1">
      <c r="A1865" s="1" t="s">
        <v>2505</v>
      </c>
      <c r="B1865" s="2">
        <v>45733.0</v>
      </c>
      <c r="C1865" s="9" t="s">
        <v>1029</v>
      </c>
      <c r="D1865" s="1" t="s">
        <v>2506</v>
      </c>
      <c r="E1865" s="4">
        <v>17600.0</v>
      </c>
      <c r="F1865" s="4"/>
      <c r="G1865" s="4"/>
      <c r="H1865" s="4">
        <f>'data on outstanding creditors'!$E1865-'data on outstanding creditors'!$F1865-'data on outstanding creditors'!$G1865</f>
        <v>17600</v>
      </c>
      <c r="I1865" s="2"/>
      <c r="J1865" s="1" t="s">
        <v>646</v>
      </c>
      <c r="K1865" s="2">
        <v>45843.0</v>
      </c>
      <c r="L1865" s="5"/>
      <c r="M1865" s="9" t="s">
        <v>43</v>
      </c>
      <c r="N1865" s="9" t="s">
        <v>49</v>
      </c>
      <c r="O1865" s="10">
        <f>'data on outstanding creditors'!$E1865*100/107</f>
        <v>16448.59813</v>
      </c>
      <c r="P1865" s="10">
        <f>'data on outstanding creditors'!$E1865-'data on outstanding creditors'!$O1865</f>
        <v>1151.401869</v>
      </c>
      <c r="Q1865" s="7">
        <f>DAY('data on outstanding creditors'!$B1865)</f>
        <v>17</v>
      </c>
      <c r="R1865" s="7">
        <f>MONTH('data on outstanding creditors'!$B1865)</f>
        <v>3</v>
      </c>
      <c r="S1865" s="7">
        <f>YEAR('data on outstanding creditors'!$B1865)</f>
        <v>2025</v>
      </c>
      <c r="T1865" s="11" t="str">
        <f>'data on outstanding creditors'!$C1865&amp;" "&amp;'data on outstanding creditors'!$D1865&amp;" "&amp;TEXT('data on outstanding creditors'!$E1865,"#,##0.00")</f>
        <v>บ.เอเทค เมดิคอล IV6803359 17,600.00</v>
      </c>
      <c r="U1865" s="12"/>
    </row>
    <row r="1866" ht="13.5" customHeight="1">
      <c r="A1866" s="1" t="s">
        <v>2507</v>
      </c>
      <c r="B1866" s="2">
        <v>45734.0</v>
      </c>
      <c r="C1866" s="9" t="s">
        <v>1029</v>
      </c>
      <c r="D1866" s="1" t="s">
        <v>2508</v>
      </c>
      <c r="E1866" s="4">
        <v>16700.0</v>
      </c>
      <c r="F1866" s="4"/>
      <c r="G1866" s="4"/>
      <c r="H1866" s="4">
        <f>'data on outstanding creditors'!$E1866-'data on outstanding creditors'!$F1866-'data on outstanding creditors'!$G1866</f>
        <v>16700</v>
      </c>
      <c r="I1866" s="2"/>
      <c r="J1866" s="1" t="s">
        <v>646</v>
      </c>
      <c r="K1866" s="2">
        <v>45843.0</v>
      </c>
      <c r="L1866" s="5"/>
      <c r="M1866" s="9" t="s">
        <v>43</v>
      </c>
      <c r="N1866" s="9" t="s">
        <v>49</v>
      </c>
      <c r="O1866" s="10">
        <f>'data on outstanding creditors'!$E1866*100/107</f>
        <v>15607.47664</v>
      </c>
      <c r="P1866" s="10">
        <f>'data on outstanding creditors'!$E1866-'data on outstanding creditors'!$O1866</f>
        <v>1092.523364</v>
      </c>
      <c r="Q1866" s="7">
        <f>DAY('data on outstanding creditors'!$B1866)</f>
        <v>18</v>
      </c>
      <c r="R1866" s="7">
        <f>MONTH('data on outstanding creditors'!$B1866)</f>
        <v>3</v>
      </c>
      <c r="S1866" s="7">
        <f>YEAR('data on outstanding creditors'!$B1866)</f>
        <v>2025</v>
      </c>
      <c r="T1866" s="11" t="str">
        <f>'data on outstanding creditors'!$C1866&amp;" "&amp;'data on outstanding creditors'!$D1866&amp;" "&amp;TEXT('data on outstanding creditors'!$E1866,"#,##0.00")</f>
        <v>บ.เอเทค เมดิคอล IV6803403 16,700.00</v>
      </c>
      <c r="U1866" s="12"/>
    </row>
    <row r="1867" ht="13.5" customHeight="1">
      <c r="A1867" s="1"/>
      <c r="B1867" s="2">
        <v>45734.0</v>
      </c>
      <c r="C1867" s="9" t="s">
        <v>1114</v>
      </c>
      <c r="D1867" s="1" t="s">
        <v>2509</v>
      </c>
      <c r="E1867" s="4">
        <v>37200.0</v>
      </c>
      <c r="F1867" s="4"/>
      <c r="G1867" s="4"/>
      <c r="H1867" s="4">
        <f>'data on outstanding creditors'!$E1867-'data on outstanding creditors'!$F1867-'data on outstanding creditors'!$G1867</f>
        <v>37200</v>
      </c>
      <c r="I1867" s="2"/>
      <c r="J1867" s="1" t="s">
        <v>646</v>
      </c>
      <c r="K1867" s="2">
        <v>45815.0</v>
      </c>
      <c r="L1867" s="5"/>
      <c r="M1867" s="9" t="s">
        <v>43</v>
      </c>
      <c r="N1867" s="9" t="s">
        <v>23</v>
      </c>
      <c r="O1867" s="10">
        <f>'data on outstanding creditors'!$E1867*100/107</f>
        <v>34766.35514</v>
      </c>
      <c r="P1867" s="10">
        <f>'data on outstanding creditors'!$E1867-'data on outstanding creditors'!$O1867</f>
        <v>2433.64486</v>
      </c>
      <c r="Q1867" s="7">
        <f>DAY('data on outstanding creditors'!$B1867)</f>
        <v>18</v>
      </c>
      <c r="R1867" s="7">
        <f>MONTH('data on outstanding creditors'!$B1867)</f>
        <v>3</v>
      </c>
      <c r="S1867" s="7">
        <f>YEAR('data on outstanding creditors'!$B1867)</f>
        <v>2025</v>
      </c>
      <c r="T1867" s="11" t="str">
        <f>'data on outstanding creditors'!$C1867&amp;" "&amp;'data on outstanding creditors'!$D1867&amp;" "&amp;TEXT('data on outstanding creditors'!$E1867,"#,##0.00")</f>
        <v>หจก.อิเลฟเว่น พลัซ EL680311106 37,200.00</v>
      </c>
      <c r="U1867" s="12"/>
    </row>
    <row r="1868" ht="13.5" customHeight="1">
      <c r="A1868" s="1"/>
      <c r="B1868" s="2">
        <v>45734.0</v>
      </c>
      <c r="C1868" s="9" t="s">
        <v>2510</v>
      </c>
      <c r="D1868" s="1" t="s">
        <v>2511</v>
      </c>
      <c r="E1868" s="4">
        <v>19800.0</v>
      </c>
      <c r="F1868" s="4"/>
      <c r="G1868" s="4"/>
      <c r="H1868" s="4">
        <f>'data on outstanding creditors'!$E1868-'data on outstanding creditors'!$F1868-'data on outstanding creditors'!$G1868</f>
        <v>19800</v>
      </c>
      <c r="I1868" s="2"/>
      <c r="J1868" s="1" t="s">
        <v>646</v>
      </c>
      <c r="K1868" s="2">
        <v>45843.0</v>
      </c>
      <c r="L1868" s="5"/>
      <c r="M1868" s="9" t="s">
        <v>43</v>
      </c>
      <c r="N1868" s="9" t="s">
        <v>23</v>
      </c>
      <c r="O1868" s="10">
        <f>'data on outstanding creditors'!$E1868*100/107</f>
        <v>18504.6729</v>
      </c>
      <c r="P1868" s="10">
        <f>'data on outstanding creditors'!$E1868-'data on outstanding creditors'!$O1868</f>
        <v>1295.327103</v>
      </c>
      <c r="Q1868" s="7">
        <f>DAY('data on outstanding creditors'!$B1868)</f>
        <v>18</v>
      </c>
      <c r="R1868" s="7">
        <f>MONTH('data on outstanding creditors'!$B1868)</f>
        <v>3</v>
      </c>
      <c r="S1868" s="7">
        <f>YEAR('data on outstanding creditors'!$B1868)</f>
        <v>2025</v>
      </c>
      <c r="T1868" s="11" t="str">
        <f>'data on outstanding creditors'!$C1868&amp;" "&amp;'data on outstanding creditors'!$D1868&amp;" "&amp;TEXT('data on outstanding creditors'!$E1868,"#,##0.00")</f>
        <v>บ.อินเตอร์ เมดิคอล 6801248 19,800.00</v>
      </c>
      <c r="U1868" s="12"/>
    </row>
    <row r="1869" ht="13.5" customHeight="1">
      <c r="A1869" s="1" t="s">
        <v>2512</v>
      </c>
      <c r="B1869" s="2">
        <v>45735.0</v>
      </c>
      <c r="C1869" s="9" t="s">
        <v>1029</v>
      </c>
      <c r="D1869" s="1" t="s">
        <v>2513</v>
      </c>
      <c r="E1869" s="4">
        <v>4104.0</v>
      </c>
      <c r="F1869" s="4"/>
      <c r="G1869" s="4"/>
      <c r="H1869" s="4">
        <f>'data on outstanding creditors'!$E1869-'data on outstanding creditors'!$F1869-'data on outstanding creditors'!$G1869</f>
        <v>4104</v>
      </c>
      <c r="I1869" s="2"/>
      <c r="J1869" s="1" t="s">
        <v>646</v>
      </c>
      <c r="K1869" s="2">
        <v>45843.0</v>
      </c>
      <c r="L1869" s="5"/>
      <c r="M1869" s="9" t="s">
        <v>43</v>
      </c>
      <c r="N1869" s="9" t="s">
        <v>49</v>
      </c>
      <c r="O1869" s="10">
        <f>'data on outstanding creditors'!$E1869*100/107</f>
        <v>3835.514019</v>
      </c>
      <c r="P1869" s="10">
        <f>'data on outstanding creditors'!$E1869-'data on outstanding creditors'!$O1869</f>
        <v>268.4859813</v>
      </c>
      <c r="Q1869" s="7">
        <f>DAY('data on outstanding creditors'!$B1869)</f>
        <v>19</v>
      </c>
      <c r="R1869" s="7">
        <f>MONTH('data on outstanding creditors'!$B1869)</f>
        <v>3</v>
      </c>
      <c r="S1869" s="7">
        <f>YEAR('data on outstanding creditors'!$B1869)</f>
        <v>2025</v>
      </c>
      <c r="T1869" s="11" t="str">
        <f>'data on outstanding creditors'!$C1869&amp;" "&amp;'data on outstanding creditors'!$D1869&amp;" "&amp;TEXT('data on outstanding creditors'!$E1869,"#,##0.00")</f>
        <v>บ.เอเทค เมดิคอล IV6803114 4,104.00</v>
      </c>
      <c r="U1869" s="12"/>
    </row>
    <row r="1870" ht="13.5" customHeight="1">
      <c r="A1870" s="1" t="s">
        <v>2514</v>
      </c>
      <c r="B1870" s="2">
        <v>45735.0</v>
      </c>
      <c r="C1870" s="9" t="s">
        <v>1029</v>
      </c>
      <c r="D1870" s="1" t="s">
        <v>2515</v>
      </c>
      <c r="E1870" s="4">
        <v>18500.0</v>
      </c>
      <c r="F1870" s="4"/>
      <c r="G1870" s="4"/>
      <c r="H1870" s="4">
        <f>'data on outstanding creditors'!$E1870-'data on outstanding creditors'!$F1870-'data on outstanding creditors'!$G1870</f>
        <v>18500</v>
      </c>
      <c r="I1870" s="2"/>
      <c r="J1870" s="1" t="s">
        <v>646</v>
      </c>
      <c r="K1870" s="2">
        <v>45843.0</v>
      </c>
      <c r="L1870" s="5"/>
      <c r="M1870" s="9" t="s">
        <v>43</v>
      </c>
      <c r="N1870" s="9" t="s">
        <v>49</v>
      </c>
      <c r="O1870" s="10">
        <f>'data on outstanding creditors'!$E1870*100/107</f>
        <v>17289.71963</v>
      </c>
      <c r="P1870" s="10">
        <f>'data on outstanding creditors'!$E1870-'data on outstanding creditors'!$O1870</f>
        <v>1210.280374</v>
      </c>
      <c r="Q1870" s="7">
        <f>DAY('data on outstanding creditors'!$B1870)</f>
        <v>19</v>
      </c>
      <c r="R1870" s="7">
        <f>MONTH('data on outstanding creditors'!$B1870)</f>
        <v>3</v>
      </c>
      <c r="S1870" s="7">
        <f>YEAR('data on outstanding creditors'!$B1870)</f>
        <v>2025</v>
      </c>
      <c r="T1870" s="11" t="str">
        <f>'data on outstanding creditors'!$C1870&amp;" "&amp;'data on outstanding creditors'!$D1870&amp;" "&amp;TEXT('data on outstanding creditors'!$E1870,"#,##0.00")</f>
        <v>บ.เอเทค เมดิคอล IV6803413 18,500.00</v>
      </c>
      <c r="U1870" s="12"/>
    </row>
    <row r="1871" ht="13.5" customHeight="1">
      <c r="A1871" s="1" t="s">
        <v>2516</v>
      </c>
      <c r="B1871" s="2">
        <v>45735.0</v>
      </c>
      <c r="C1871" s="9" t="s">
        <v>1029</v>
      </c>
      <c r="D1871" s="1" t="s">
        <v>2517</v>
      </c>
      <c r="E1871" s="4">
        <v>20000.0</v>
      </c>
      <c r="F1871" s="4"/>
      <c r="G1871" s="4"/>
      <c r="H1871" s="4">
        <f>'data on outstanding creditors'!$E1871-'data on outstanding creditors'!$F1871-'data on outstanding creditors'!$G1871</f>
        <v>20000</v>
      </c>
      <c r="I1871" s="2"/>
      <c r="J1871" s="1" t="s">
        <v>646</v>
      </c>
      <c r="K1871" s="2">
        <v>45843.0</v>
      </c>
      <c r="L1871" s="5"/>
      <c r="M1871" s="9" t="s">
        <v>43</v>
      </c>
      <c r="N1871" s="9" t="s">
        <v>49</v>
      </c>
      <c r="O1871" s="10">
        <f>'data on outstanding creditors'!$E1871*100/107</f>
        <v>18691.58879</v>
      </c>
      <c r="P1871" s="10">
        <f>'data on outstanding creditors'!$E1871-'data on outstanding creditors'!$O1871</f>
        <v>1308.411215</v>
      </c>
      <c r="Q1871" s="7">
        <f>DAY('data on outstanding creditors'!$B1871)</f>
        <v>19</v>
      </c>
      <c r="R1871" s="7">
        <f>MONTH('data on outstanding creditors'!$B1871)</f>
        <v>3</v>
      </c>
      <c r="S1871" s="7">
        <f>YEAR('data on outstanding creditors'!$B1871)</f>
        <v>2025</v>
      </c>
      <c r="T1871" s="11" t="str">
        <f>'data on outstanding creditors'!$C1871&amp;" "&amp;'data on outstanding creditors'!$D1871&amp;" "&amp;TEXT('data on outstanding creditors'!$E1871,"#,##0.00")</f>
        <v>บ.เอเทค เมดิคอล IV6803412 20,000.00</v>
      </c>
      <c r="U1871" s="12"/>
    </row>
    <row r="1872" ht="13.5" customHeight="1">
      <c r="A1872" s="1" t="s">
        <v>2518</v>
      </c>
      <c r="B1872" s="2">
        <v>45736.0</v>
      </c>
      <c r="C1872" s="9" t="s">
        <v>1059</v>
      </c>
      <c r="D1872" s="1" t="s">
        <v>2519</v>
      </c>
      <c r="E1872" s="4">
        <v>29450.0</v>
      </c>
      <c r="F1872" s="4"/>
      <c r="G1872" s="4"/>
      <c r="H1872" s="4">
        <f>'data on outstanding creditors'!$E1872-'data on outstanding creditors'!$F1872-'data on outstanding creditors'!$G1872</f>
        <v>29450</v>
      </c>
      <c r="I1872" s="2"/>
      <c r="J1872" s="1" t="s">
        <v>646</v>
      </c>
      <c r="K1872" s="2">
        <v>45866.0</v>
      </c>
      <c r="L1872" s="5"/>
      <c r="M1872" s="9" t="s">
        <v>43</v>
      </c>
      <c r="N1872" s="9" t="s">
        <v>49</v>
      </c>
      <c r="O1872" s="10">
        <f>'data on outstanding creditors'!$E1872*100/107</f>
        <v>27523.36449</v>
      </c>
      <c r="P1872" s="10">
        <f>'data on outstanding creditors'!$E1872-'data on outstanding creditors'!$O1872</f>
        <v>1926.635514</v>
      </c>
      <c r="Q1872" s="7">
        <f>DAY('data on outstanding creditors'!$B1872)</f>
        <v>20</v>
      </c>
      <c r="R1872" s="7">
        <f>MONTH('data on outstanding creditors'!$B1872)</f>
        <v>3</v>
      </c>
      <c r="S1872" s="7">
        <f>YEAR('data on outstanding creditors'!$B1872)</f>
        <v>2025</v>
      </c>
      <c r="T1872" s="11" t="str">
        <f>'data on outstanding creditors'!$C1872&amp;" "&amp;'data on outstanding creditors'!$D1872&amp;" "&amp;TEXT('data on outstanding creditors'!$E1872,"#,##0.00")</f>
        <v>หจก.ภาสิน 61227 29,450.00</v>
      </c>
      <c r="U1872" s="12"/>
    </row>
    <row r="1873" ht="13.5" customHeight="1">
      <c r="A1873" s="1" t="s">
        <v>2520</v>
      </c>
      <c r="B1873" s="2">
        <v>45736.0</v>
      </c>
      <c r="C1873" s="9" t="s">
        <v>2334</v>
      </c>
      <c r="D1873" s="1" t="s">
        <v>2521</v>
      </c>
      <c r="E1873" s="4">
        <v>96000.0</v>
      </c>
      <c r="F1873" s="4"/>
      <c r="G1873" s="4"/>
      <c r="H1873" s="4">
        <f>'data on outstanding creditors'!$E1873-'data on outstanding creditors'!$F1873-'data on outstanding creditors'!$G1873</f>
        <v>96000</v>
      </c>
      <c r="I1873" s="2"/>
      <c r="J1873" s="1" t="s">
        <v>757</v>
      </c>
      <c r="K1873" s="2">
        <v>45832.0</v>
      </c>
      <c r="L1873" s="5"/>
      <c r="M1873" s="9" t="s">
        <v>43</v>
      </c>
      <c r="N1873" s="9" t="s">
        <v>49</v>
      </c>
      <c r="O1873" s="10">
        <f>'data on outstanding creditors'!$E1873*100/107</f>
        <v>89719.62617</v>
      </c>
      <c r="P1873" s="10">
        <f>'data on outstanding creditors'!$E1873-'data on outstanding creditors'!$O1873</f>
        <v>6280.373832</v>
      </c>
      <c r="Q1873" s="7">
        <f>DAY('data on outstanding creditors'!$B1873)</f>
        <v>20</v>
      </c>
      <c r="R1873" s="7">
        <f>MONTH('data on outstanding creditors'!$B1873)</f>
        <v>3</v>
      </c>
      <c r="S1873" s="7">
        <f>YEAR('data on outstanding creditors'!$B1873)</f>
        <v>2025</v>
      </c>
      <c r="T1873" s="11" t="str">
        <f>'data on outstanding creditors'!$C1873&amp;" "&amp;'data on outstanding creditors'!$D1873&amp;" "&amp;TEXT('data on outstanding creditors'!$E1873,"#,##0.00")</f>
        <v>บ.ไทยก๊อส IV6811404 96,000.00</v>
      </c>
      <c r="U1873" s="12"/>
    </row>
    <row r="1874" ht="13.5" customHeight="1">
      <c r="A1874" s="1" t="s">
        <v>2522</v>
      </c>
      <c r="B1874" s="2">
        <v>45736.0</v>
      </c>
      <c r="C1874" s="9" t="s">
        <v>1029</v>
      </c>
      <c r="D1874" s="1" t="s">
        <v>2523</v>
      </c>
      <c r="E1874" s="4">
        <v>21200.0</v>
      </c>
      <c r="F1874" s="4"/>
      <c r="G1874" s="4"/>
      <c r="H1874" s="4">
        <f>'data on outstanding creditors'!$E1874-'data on outstanding creditors'!$F1874-'data on outstanding creditors'!$G1874</f>
        <v>21200</v>
      </c>
      <c r="I1874" s="2"/>
      <c r="J1874" s="1" t="s">
        <v>646</v>
      </c>
      <c r="K1874" s="2">
        <v>45843.0</v>
      </c>
      <c r="L1874" s="5"/>
      <c r="M1874" s="9" t="s">
        <v>43</v>
      </c>
      <c r="N1874" s="9" t="s">
        <v>49</v>
      </c>
      <c r="O1874" s="10">
        <f>'data on outstanding creditors'!$E1874*100/107</f>
        <v>19813.08411</v>
      </c>
      <c r="P1874" s="10">
        <f>'data on outstanding creditors'!$E1874-'data on outstanding creditors'!$O1874</f>
        <v>1386.915888</v>
      </c>
      <c r="Q1874" s="7">
        <f>DAY('data on outstanding creditors'!$B1874)</f>
        <v>20</v>
      </c>
      <c r="R1874" s="7">
        <f>MONTH('data on outstanding creditors'!$B1874)</f>
        <v>3</v>
      </c>
      <c r="S1874" s="7">
        <f>YEAR('data on outstanding creditors'!$B1874)</f>
        <v>2025</v>
      </c>
      <c r="T1874" s="11" t="str">
        <f>'data on outstanding creditors'!$C1874&amp;" "&amp;'data on outstanding creditors'!$D1874&amp;" "&amp;TEXT('data on outstanding creditors'!$E1874,"#,##0.00")</f>
        <v>บ.เอเทค เมดิคอล IV6803494 21,200.00</v>
      </c>
      <c r="U1874" s="12"/>
    </row>
    <row r="1875" ht="13.5" customHeight="1">
      <c r="A1875" s="1"/>
      <c r="B1875" s="2">
        <v>45737.0</v>
      </c>
      <c r="C1875" s="9" t="s">
        <v>2301</v>
      </c>
      <c r="D1875" s="1" t="s">
        <v>2524</v>
      </c>
      <c r="E1875" s="4">
        <v>11500.0</v>
      </c>
      <c r="F1875" s="4"/>
      <c r="G1875" s="4"/>
      <c r="H1875" s="4">
        <f>'data on outstanding creditors'!$E1875-'data on outstanding creditors'!$F1875-'data on outstanding creditors'!$G1875</f>
        <v>11500</v>
      </c>
      <c r="I1875" s="2"/>
      <c r="J1875" s="1" t="s">
        <v>757</v>
      </c>
      <c r="K1875" s="2">
        <v>45807.0</v>
      </c>
      <c r="L1875" s="5"/>
      <c r="M1875" s="9" t="s">
        <v>43</v>
      </c>
      <c r="N1875" s="9" t="s">
        <v>23</v>
      </c>
      <c r="O1875" s="10">
        <f>'data on outstanding creditors'!$E1875*100/107</f>
        <v>10747.66355</v>
      </c>
      <c r="P1875" s="10">
        <f>'data on outstanding creditors'!$E1875-'data on outstanding creditors'!$O1875</f>
        <v>752.3364486</v>
      </c>
      <c r="Q1875" s="7">
        <f>DAY('data on outstanding creditors'!$B1875)</f>
        <v>21</v>
      </c>
      <c r="R1875" s="7">
        <f>MONTH('data on outstanding creditors'!$B1875)</f>
        <v>3</v>
      </c>
      <c r="S1875" s="7">
        <f>YEAR('data on outstanding creditors'!$B1875)</f>
        <v>2025</v>
      </c>
      <c r="T1875" s="11" t="str">
        <f>'data on outstanding creditors'!$C1875&amp;" "&amp;'data on outstanding creditors'!$D1875&amp;" "&amp;TEXT('data on outstanding creditors'!$E1875,"#,##0.00")</f>
        <v>บ.เค เค เมดิคอล 10834 11,500.00</v>
      </c>
      <c r="U1875" s="12"/>
    </row>
    <row r="1876" ht="13.5" customHeight="1">
      <c r="A1876" s="1"/>
      <c r="B1876" s="2">
        <v>45737.0</v>
      </c>
      <c r="C1876" s="9" t="s">
        <v>2294</v>
      </c>
      <c r="D1876" s="1" t="s">
        <v>2525</v>
      </c>
      <c r="E1876" s="4">
        <v>30500.0</v>
      </c>
      <c r="F1876" s="4"/>
      <c r="G1876" s="4"/>
      <c r="H1876" s="4">
        <f>'data on outstanding creditors'!$E1876-'data on outstanding creditors'!$F1876-'data on outstanding creditors'!$G1876</f>
        <v>30500</v>
      </c>
      <c r="I1876" s="2"/>
      <c r="J1876" s="1" t="s">
        <v>646</v>
      </c>
      <c r="K1876" s="2">
        <v>45894.0</v>
      </c>
      <c r="L1876" s="5"/>
      <c r="M1876" s="9" t="s">
        <v>43</v>
      </c>
      <c r="N1876" s="9" t="s">
        <v>23</v>
      </c>
      <c r="O1876" s="10">
        <f>'data on outstanding creditors'!$E1876*100/107</f>
        <v>28504.6729</v>
      </c>
      <c r="P1876" s="10">
        <f>'data on outstanding creditors'!$E1876-'data on outstanding creditors'!$O1876</f>
        <v>1995.327103</v>
      </c>
      <c r="Q1876" s="7">
        <f>DAY('data on outstanding creditors'!$B1876)</f>
        <v>21</v>
      </c>
      <c r="R1876" s="7">
        <f>MONTH('data on outstanding creditors'!$B1876)</f>
        <v>3</v>
      </c>
      <c r="S1876" s="7">
        <f>YEAR('data on outstanding creditors'!$B1876)</f>
        <v>2025</v>
      </c>
      <c r="T1876" s="11" t="str">
        <f>'data on outstanding creditors'!$C1876&amp;" "&amp;'data on outstanding creditors'!$D1876&amp;" "&amp;TEXT('data on outstanding creditors'!$E1876,"#,##0.00")</f>
        <v>บ.แอสเซ้นท์ เมดิคอล IV2025030127 30,500.00</v>
      </c>
      <c r="U1876" s="12"/>
    </row>
    <row r="1877" ht="13.5" customHeight="1">
      <c r="A1877" s="1"/>
      <c r="B1877" s="2">
        <v>45737.0</v>
      </c>
      <c r="C1877" s="9" t="s">
        <v>965</v>
      </c>
      <c r="D1877" s="1" t="s">
        <v>2526</v>
      </c>
      <c r="E1877" s="4">
        <v>80000.0</v>
      </c>
      <c r="F1877" s="4"/>
      <c r="G1877" s="4"/>
      <c r="H1877" s="4">
        <f>'data on outstanding creditors'!$E1877-'data on outstanding creditors'!$F1877-'data on outstanding creditors'!$G1877</f>
        <v>80000</v>
      </c>
      <c r="I1877" s="2"/>
      <c r="J1877" s="1" t="s">
        <v>646</v>
      </c>
      <c r="K1877" s="2">
        <v>45843.0</v>
      </c>
      <c r="L1877" s="5"/>
      <c r="M1877" s="9" t="s">
        <v>43</v>
      </c>
      <c r="N1877" s="9" t="s">
        <v>23</v>
      </c>
      <c r="O1877" s="10">
        <f>'data on outstanding creditors'!$E1877*100/107</f>
        <v>74766.35514</v>
      </c>
      <c r="P1877" s="10">
        <f>'data on outstanding creditors'!$E1877-'data on outstanding creditors'!$O1877</f>
        <v>5233.64486</v>
      </c>
      <c r="Q1877" s="7">
        <f>DAY('data on outstanding creditors'!$B1877)</f>
        <v>21</v>
      </c>
      <c r="R1877" s="7">
        <f>MONTH('data on outstanding creditors'!$B1877)</f>
        <v>3</v>
      </c>
      <c r="S1877" s="7">
        <f>YEAR('data on outstanding creditors'!$B1877)</f>
        <v>2025</v>
      </c>
      <c r="T1877" s="11" t="str">
        <f>'data on outstanding creditors'!$C1877&amp;" "&amp;'data on outstanding creditors'!$D1877&amp;" "&amp;TEXT('data on outstanding creditors'!$E1877,"#,##0.00")</f>
        <v>บ.แปซิฟิค เฮลธ์แคร์(ไทยแลนด์) 68015072 80,000.00</v>
      </c>
      <c r="U1877" s="12"/>
    </row>
    <row r="1878" ht="13.5" customHeight="1">
      <c r="A1878" s="1"/>
      <c r="B1878" s="2">
        <v>45737.0</v>
      </c>
      <c r="C1878" s="9" t="s">
        <v>1637</v>
      </c>
      <c r="D1878" s="1" t="s">
        <v>2527</v>
      </c>
      <c r="E1878" s="4">
        <v>14000.0</v>
      </c>
      <c r="F1878" s="4"/>
      <c r="G1878" s="4"/>
      <c r="H1878" s="4">
        <f>'data on outstanding creditors'!$E1878-'data on outstanding creditors'!$F1878-'data on outstanding creditors'!$G1878</f>
        <v>14000</v>
      </c>
      <c r="I1878" s="2"/>
      <c r="J1878" s="1" t="s">
        <v>646</v>
      </c>
      <c r="K1878" s="2">
        <v>45856.0</v>
      </c>
      <c r="L1878" s="5"/>
      <c r="M1878" s="9" t="s">
        <v>43</v>
      </c>
      <c r="N1878" s="9" t="s">
        <v>23</v>
      </c>
      <c r="O1878" s="10">
        <f>'data on outstanding creditors'!$E1878*100/107</f>
        <v>13084.11215</v>
      </c>
      <c r="P1878" s="10">
        <f>'data on outstanding creditors'!$E1878-'data on outstanding creditors'!$O1878</f>
        <v>915.8878505</v>
      </c>
      <c r="Q1878" s="7">
        <f>DAY('data on outstanding creditors'!$B1878)</f>
        <v>21</v>
      </c>
      <c r="R1878" s="7">
        <f>MONTH('data on outstanding creditors'!$B1878)</f>
        <v>3</v>
      </c>
      <c r="S1878" s="7">
        <f>YEAR('data on outstanding creditors'!$B1878)</f>
        <v>2025</v>
      </c>
      <c r="T1878" s="11" t="str">
        <f>'data on outstanding creditors'!$C1878&amp;" "&amp;'data on outstanding creditors'!$D1878&amp;" "&amp;TEXT('data on outstanding creditors'!$E1878,"#,##0.00")</f>
        <v>บ.บีเจเอช เมดิคอล 330337400917 14,000.00</v>
      </c>
      <c r="U1878" s="12"/>
    </row>
    <row r="1879" ht="13.5" customHeight="1">
      <c r="A1879" s="1" t="s">
        <v>2528</v>
      </c>
      <c r="B1879" s="2">
        <v>45737.0</v>
      </c>
      <c r="C1879" s="9" t="s">
        <v>1029</v>
      </c>
      <c r="D1879" s="1" t="s">
        <v>2529</v>
      </c>
      <c r="E1879" s="4">
        <v>19400.0</v>
      </c>
      <c r="F1879" s="4"/>
      <c r="G1879" s="4"/>
      <c r="H1879" s="4">
        <f>'data on outstanding creditors'!$E1879-'data on outstanding creditors'!$F1879-'data on outstanding creditors'!$G1879</f>
        <v>19400</v>
      </c>
      <c r="I1879" s="2"/>
      <c r="J1879" s="1" t="s">
        <v>646</v>
      </c>
      <c r="K1879" s="2">
        <v>45843.0</v>
      </c>
      <c r="L1879" s="5"/>
      <c r="M1879" s="9" t="s">
        <v>43</v>
      </c>
      <c r="N1879" s="9" t="s">
        <v>49</v>
      </c>
      <c r="O1879" s="10">
        <f>'data on outstanding creditors'!$E1879*100/107</f>
        <v>18130.84112</v>
      </c>
      <c r="P1879" s="10">
        <f>'data on outstanding creditors'!$E1879-'data on outstanding creditors'!$O1879</f>
        <v>1269.158879</v>
      </c>
      <c r="Q1879" s="7">
        <f>DAY('data on outstanding creditors'!$B1879)</f>
        <v>21</v>
      </c>
      <c r="R1879" s="7">
        <f>MONTH('data on outstanding creditors'!$B1879)</f>
        <v>3</v>
      </c>
      <c r="S1879" s="7">
        <f>YEAR('data on outstanding creditors'!$B1879)</f>
        <v>2025</v>
      </c>
      <c r="T1879" s="11" t="str">
        <f>'data on outstanding creditors'!$C1879&amp;" "&amp;'data on outstanding creditors'!$D1879&amp;" "&amp;TEXT('data on outstanding creditors'!$E1879,"#,##0.00")</f>
        <v>บ.เอเทค เมดิคอล IV6803446 19,400.00</v>
      </c>
      <c r="U1879" s="12"/>
    </row>
    <row r="1880" ht="13.5" customHeight="1">
      <c r="A1880" s="1" t="s">
        <v>2530</v>
      </c>
      <c r="B1880" s="2">
        <v>45737.0</v>
      </c>
      <c r="C1880" s="9" t="s">
        <v>1029</v>
      </c>
      <c r="D1880" s="1" t="s">
        <v>2531</v>
      </c>
      <c r="E1880" s="4">
        <v>18200.0</v>
      </c>
      <c r="F1880" s="4"/>
      <c r="G1880" s="4"/>
      <c r="H1880" s="4">
        <f>'data on outstanding creditors'!$E1880-'data on outstanding creditors'!$F1880-'data on outstanding creditors'!$G1880</f>
        <v>18200</v>
      </c>
      <c r="I1880" s="2"/>
      <c r="J1880" s="1" t="s">
        <v>646</v>
      </c>
      <c r="K1880" s="2">
        <v>45843.0</v>
      </c>
      <c r="L1880" s="5"/>
      <c r="M1880" s="9" t="s">
        <v>43</v>
      </c>
      <c r="N1880" s="9" t="s">
        <v>49</v>
      </c>
      <c r="O1880" s="10">
        <f>'data on outstanding creditors'!$E1880*100/107</f>
        <v>17009.34579</v>
      </c>
      <c r="P1880" s="10">
        <f>'data on outstanding creditors'!$E1880-'data on outstanding creditors'!$O1880</f>
        <v>1190.654206</v>
      </c>
      <c r="Q1880" s="7">
        <f>DAY('data on outstanding creditors'!$B1880)</f>
        <v>21</v>
      </c>
      <c r="R1880" s="7">
        <f>MONTH('data on outstanding creditors'!$B1880)</f>
        <v>3</v>
      </c>
      <c r="S1880" s="7">
        <f>YEAR('data on outstanding creditors'!$B1880)</f>
        <v>2025</v>
      </c>
      <c r="T1880" s="11" t="str">
        <f>'data on outstanding creditors'!$C1880&amp;" "&amp;'data on outstanding creditors'!$D1880&amp;" "&amp;TEXT('data on outstanding creditors'!$E1880,"#,##0.00")</f>
        <v>บ.เอเทค เมดิคอล IV6803434 18,200.00</v>
      </c>
      <c r="U1880" s="12"/>
    </row>
    <row r="1881" ht="13.5" customHeight="1">
      <c r="A1881" s="1" t="s">
        <v>2532</v>
      </c>
      <c r="B1881" s="2">
        <v>45737.0</v>
      </c>
      <c r="C1881" s="9" t="s">
        <v>2389</v>
      </c>
      <c r="D1881" s="1" t="s">
        <v>2533</v>
      </c>
      <c r="E1881" s="4">
        <v>41300.0</v>
      </c>
      <c r="F1881" s="4"/>
      <c r="G1881" s="4"/>
      <c r="H1881" s="4">
        <f>'data on outstanding creditors'!$E1881-'data on outstanding creditors'!$F1881-'data on outstanding creditors'!$G1881</f>
        <v>41300</v>
      </c>
      <c r="I1881" s="2"/>
      <c r="J1881" s="1" t="s">
        <v>646</v>
      </c>
      <c r="K1881" s="2">
        <v>45928.0</v>
      </c>
      <c r="L1881" s="5"/>
      <c r="M1881" s="9" t="s">
        <v>43</v>
      </c>
      <c r="N1881" s="9" t="s">
        <v>49</v>
      </c>
      <c r="O1881" s="10">
        <f>'data on outstanding creditors'!$E1881*100/107</f>
        <v>38598.13084</v>
      </c>
      <c r="P1881" s="10">
        <f>'data on outstanding creditors'!$E1881-'data on outstanding creditors'!$O1881</f>
        <v>2701.869159</v>
      </c>
      <c r="Q1881" s="7">
        <f>DAY('data on outstanding creditors'!$B1881)</f>
        <v>21</v>
      </c>
      <c r="R1881" s="7">
        <f>MONTH('data on outstanding creditors'!$B1881)</f>
        <v>3</v>
      </c>
      <c r="S1881" s="7">
        <f>YEAR('data on outstanding creditors'!$B1881)</f>
        <v>2025</v>
      </c>
      <c r="T1881" s="11" t="str">
        <f>'data on outstanding creditors'!$C1881&amp;" "&amp;'data on outstanding creditors'!$D1881&amp;" "&amp;TEXT('data on outstanding creditors'!$E1881,"#,##0.00")</f>
        <v>บ.ซี วี พี เมดิคอล เทคโนโลยี SI01/68040408 41,300.00</v>
      </c>
      <c r="U1881" s="12"/>
    </row>
    <row r="1882" ht="13.5" customHeight="1">
      <c r="A1882" s="1" t="s">
        <v>2534</v>
      </c>
      <c r="B1882" s="2">
        <v>45740.0</v>
      </c>
      <c r="C1882" s="9" t="s">
        <v>2343</v>
      </c>
      <c r="D1882" s="1" t="s">
        <v>2535</v>
      </c>
      <c r="E1882" s="4">
        <v>1737.0</v>
      </c>
      <c r="F1882" s="4"/>
      <c r="G1882" s="4"/>
      <c r="H1882" s="4">
        <f>'data on outstanding creditors'!$E1882-'data on outstanding creditors'!$F1882-'data on outstanding creditors'!$G1882</f>
        <v>1737</v>
      </c>
      <c r="I1882" s="2"/>
      <c r="J1882" s="1" t="s">
        <v>646</v>
      </c>
      <c r="K1882" s="2">
        <v>45843.0</v>
      </c>
      <c r="L1882" s="5"/>
      <c r="M1882" s="9" t="s">
        <v>43</v>
      </c>
      <c r="N1882" s="9" t="s">
        <v>49</v>
      </c>
      <c r="O1882" s="10">
        <f>'data on outstanding creditors'!$E1882*100/107</f>
        <v>1623.364486</v>
      </c>
      <c r="P1882" s="10">
        <f>'data on outstanding creditors'!$E1882-'data on outstanding creditors'!$O1882</f>
        <v>113.635514</v>
      </c>
      <c r="Q1882" s="7">
        <f>DAY('data on outstanding creditors'!$B1882)</f>
        <v>24</v>
      </c>
      <c r="R1882" s="7">
        <f>MONTH('data on outstanding creditors'!$B1882)</f>
        <v>3</v>
      </c>
      <c r="S1882" s="7">
        <f>YEAR('data on outstanding creditors'!$B1882)</f>
        <v>2025</v>
      </c>
      <c r="T1882" s="11" t="str">
        <f>'data on outstanding creditors'!$C1882&amp;" "&amp;'data on outstanding creditors'!$D1882&amp;" "&amp;TEXT('data on outstanding creditors'!$E1882,"#,##0.00")</f>
        <v>บ.ทริมเมอร์ IV250300867 1,737.00</v>
      </c>
      <c r="U1882" s="12"/>
    </row>
    <row r="1883" ht="13.5" customHeight="1">
      <c r="A1883" s="1" t="s">
        <v>2536</v>
      </c>
      <c r="B1883" s="2">
        <v>45740.0</v>
      </c>
      <c r="C1883" s="9" t="s">
        <v>2283</v>
      </c>
      <c r="D1883" s="1" t="s">
        <v>2537</v>
      </c>
      <c r="E1883" s="4">
        <v>26900.0</v>
      </c>
      <c r="F1883" s="4"/>
      <c r="G1883" s="4"/>
      <c r="H1883" s="4">
        <f>'data on outstanding creditors'!$E1883-'data on outstanding creditors'!$F1883-'data on outstanding creditors'!$G1883</f>
        <v>26900</v>
      </c>
      <c r="I1883" s="2"/>
      <c r="J1883" s="1" t="s">
        <v>757</v>
      </c>
      <c r="K1883" s="2">
        <v>45814.0</v>
      </c>
      <c r="L1883" s="5"/>
      <c r="M1883" s="9" t="s">
        <v>43</v>
      </c>
      <c r="N1883" s="9" t="s">
        <v>49</v>
      </c>
      <c r="O1883" s="10">
        <f>'data on outstanding creditors'!$E1883*100/107</f>
        <v>25140.18692</v>
      </c>
      <c r="P1883" s="10">
        <f>'data on outstanding creditors'!$E1883-'data on outstanding creditors'!$O1883</f>
        <v>1759.813084</v>
      </c>
      <c r="Q1883" s="7">
        <f>DAY('data on outstanding creditors'!$B1883)</f>
        <v>24</v>
      </c>
      <c r="R1883" s="7">
        <f>MONTH('data on outstanding creditors'!$B1883)</f>
        <v>3</v>
      </c>
      <c r="S1883" s="7">
        <f>YEAR('data on outstanding creditors'!$B1883)</f>
        <v>2025</v>
      </c>
      <c r="T1883" s="11" t="str">
        <f>'data on outstanding creditors'!$C1883&amp;" "&amp;'data on outstanding creditors'!$D1883&amp;" "&amp;TEXT('data on outstanding creditors'!$E1883,"#,##0.00")</f>
        <v>บ.ยูนิเมด 6800418 26,900.00</v>
      </c>
      <c r="U1883" s="12"/>
    </row>
    <row r="1884" ht="13.5" customHeight="1">
      <c r="A1884" s="1" t="s">
        <v>2538</v>
      </c>
      <c r="B1884" s="2">
        <v>45741.0</v>
      </c>
      <c r="C1884" s="9" t="s">
        <v>2334</v>
      </c>
      <c r="D1884" s="1" t="s">
        <v>2539</v>
      </c>
      <c r="E1884" s="4">
        <v>92000.0</v>
      </c>
      <c r="F1884" s="4"/>
      <c r="G1884" s="4"/>
      <c r="H1884" s="4">
        <f>'data on outstanding creditors'!$E1884-'data on outstanding creditors'!$F1884-'data on outstanding creditors'!$G1884</f>
        <v>92000</v>
      </c>
      <c r="I1884" s="2"/>
      <c r="J1884" s="1" t="s">
        <v>757</v>
      </c>
      <c r="K1884" s="2">
        <v>45832.0</v>
      </c>
      <c r="L1884" s="5"/>
      <c r="M1884" s="9" t="s">
        <v>43</v>
      </c>
      <c r="N1884" s="9" t="s">
        <v>49</v>
      </c>
      <c r="O1884" s="10">
        <f>'data on outstanding creditors'!$E1884*100/107</f>
        <v>85981.30841</v>
      </c>
      <c r="P1884" s="10">
        <f>'data on outstanding creditors'!$E1884-'data on outstanding creditors'!$O1884</f>
        <v>6018.691589</v>
      </c>
      <c r="Q1884" s="7">
        <f>DAY('data on outstanding creditors'!$B1884)</f>
        <v>25</v>
      </c>
      <c r="R1884" s="7">
        <f>MONTH('data on outstanding creditors'!$B1884)</f>
        <v>3</v>
      </c>
      <c r="S1884" s="7">
        <f>YEAR('data on outstanding creditors'!$B1884)</f>
        <v>2025</v>
      </c>
      <c r="T1884" s="11" t="str">
        <f>'data on outstanding creditors'!$C1884&amp;" "&amp;'data on outstanding creditors'!$D1884&amp;" "&amp;TEXT('data on outstanding creditors'!$E1884,"#,##0.00")</f>
        <v>บ.ไทยก๊อส IV68012026 92,000.00</v>
      </c>
      <c r="U1884" s="12"/>
    </row>
    <row r="1885" ht="13.5" customHeight="1">
      <c r="A1885" s="1" t="s">
        <v>2540</v>
      </c>
      <c r="B1885" s="2">
        <v>45741.0</v>
      </c>
      <c r="C1885" s="9" t="s">
        <v>1029</v>
      </c>
      <c r="D1885" s="1" t="s">
        <v>2541</v>
      </c>
      <c r="E1885" s="4">
        <v>18500.0</v>
      </c>
      <c r="F1885" s="4"/>
      <c r="G1885" s="4"/>
      <c r="H1885" s="4">
        <f>'data on outstanding creditors'!$E1885-'data on outstanding creditors'!$F1885-'data on outstanding creditors'!$G1885</f>
        <v>18500</v>
      </c>
      <c r="I1885" s="2"/>
      <c r="J1885" s="1" t="s">
        <v>646</v>
      </c>
      <c r="K1885" s="2">
        <v>45843.0</v>
      </c>
      <c r="L1885" s="5"/>
      <c r="M1885" s="9" t="s">
        <v>43</v>
      </c>
      <c r="N1885" s="9" t="s">
        <v>49</v>
      </c>
      <c r="O1885" s="10">
        <f>'data on outstanding creditors'!$E1885*100/107</f>
        <v>17289.71963</v>
      </c>
      <c r="P1885" s="10">
        <f>'data on outstanding creditors'!$E1885-'data on outstanding creditors'!$O1885</f>
        <v>1210.280374</v>
      </c>
      <c r="Q1885" s="7">
        <f>DAY('data on outstanding creditors'!$B1885)</f>
        <v>25</v>
      </c>
      <c r="R1885" s="7">
        <f>MONTH('data on outstanding creditors'!$B1885)</f>
        <v>3</v>
      </c>
      <c r="S1885" s="7">
        <f>YEAR('data on outstanding creditors'!$B1885)</f>
        <v>2025</v>
      </c>
      <c r="T1885" s="11" t="str">
        <f>'data on outstanding creditors'!$C1885&amp;" "&amp;'data on outstanding creditors'!$D1885&amp;" "&amp;TEXT('data on outstanding creditors'!$E1885,"#,##0.00")</f>
        <v>บ.เอเทค เมดิคอล IV6803530 18,500.00</v>
      </c>
      <c r="U1885" s="12"/>
    </row>
    <row r="1886" ht="13.5" customHeight="1">
      <c r="A1886" s="1"/>
      <c r="B1886" s="2">
        <v>45742.0</v>
      </c>
      <c r="C1886" s="9" t="s">
        <v>2381</v>
      </c>
      <c r="D1886" s="1" t="s">
        <v>2542</v>
      </c>
      <c r="E1886" s="4">
        <v>13870.0</v>
      </c>
      <c r="F1886" s="4"/>
      <c r="G1886" s="4"/>
      <c r="H1886" s="4">
        <f>'data on outstanding creditors'!$E1886-'data on outstanding creditors'!$F1886-'data on outstanding creditors'!$G1886</f>
        <v>13870</v>
      </c>
      <c r="I1886" s="2"/>
      <c r="J1886" s="1" t="s">
        <v>646</v>
      </c>
      <c r="K1886" s="2">
        <v>45843.0</v>
      </c>
      <c r="L1886" s="5"/>
      <c r="M1886" s="9" t="s">
        <v>43</v>
      </c>
      <c r="N1886" s="9" t="s">
        <v>44</v>
      </c>
      <c r="O1886" s="10">
        <f>'data on outstanding creditors'!$E1886*100/107</f>
        <v>12962.61682</v>
      </c>
      <c r="P1886" s="10">
        <f>'data on outstanding creditors'!$E1886-'data on outstanding creditors'!$O1886</f>
        <v>907.3831776</v>
      </c>
      <c r="Q1886" s="7">
        <f>DAY('data on outstanding creditors'!$B1886)</f>
        <v>26</v>
      </c>
      <c r="R1886" s="7">
        <f>MONTH('data on outstanding creditors'!$B1886)</f>
        <v>3</v>
      </c>
      <c r="S1886" s="7">
        <f>YEAR('data on outstanding creditors'!$B1886)</f>
        <v>2025</v>
      </c>
      <c r="T1886" s="11" t="str">
        <f>'data on outstanding creditors'!$C1886&amp;" "&amp;'data on outstanding creditors'!$D1886&amp;" "&amp;TEXT('data on outstanding creditors'!$E1886,"#,##0.00")</f>
        <v>หจก.วีอาร์ ซัพพอร์ต IV6802984 13,870.00</v>
      </c>
      <c r="U1886" s="12"/>
    </row>
    <row r="1887" ht="13.5" customHeight="1">
      <c r="A1887" s="1"/>
      <c r="B1887" s="2">
        <v>45742.0</v>
      </c>
      <c r="C1887" s="9" t="s">
        <v>2543</v>
      </c>
      <c r="D1887" s="1" t="s">
        <v>2544</v>
      </c>
      <c r="E1887" s="4">
        <v>42000.0</v>
      </c>
      <c r="F1887" s="4"/>
      <c r="G1887" s="4"/>
      <c r="H1887" s="4">
        <f>'data on outstanding creditors'!$E1887-'data on outstanding creditors'!$F1887-'data on outstanding creditors'!$G1887</f>
        <v>42000</v>
      </c>
      <c r="I1887" s="2"/>
      <c r="J1887" s="1" t="s">
        <v>646</v>
      </c>
      <c r="K1887" s="2">
        <v>45827.0</v>
      </c>
      <c r="L1887" s="5"/>
      <c r="M1887" s="9" t="s">
        <v>43</v>
      </c>
      <c r="N1887" s="9" t="s">
        <v>23</v>
      </c>
      <c r="O1887" s="10">
        <f>'data on outstanding creditors'!$E1887*100/107</f>
        <v>39252.33645</v>
      </c>
      <c r="P1887" s="10">
        <f>'data on outstanding creditors'!$E1887-'data on outstanding creditors'!$O1887</f>
        <v>2747.663551</v>
      </c>
      <c r="Q1887" s="7">
        <f>DAY('data on outstanding creditors'!$B1887)</f>
        <v>26</v>
      </c>
      <c r="R1887" s="7">
        <f>MONTH('data on outstanding creditors'!$B1887)</f>
        <v>3</v>
      </c>
      <c r="S1887" s="7">
        <f>YEAR('data on outstanding creditors'!$B1887)</f>
        <v>2025</v>
      </c>
      <c r="T1887" s="11" t="str">
        <f>'data on outstanding creditors'!$C1887&amp;" "&amp;'data on outstanding creditors'!$D1887&amp;" "&amp;TEXT('data on outstanding creditors'!$E1887,"#,##0.00")</f>
        <v>บ.ไฮแวน เมดิคอล HV6801676 42,000.00</v>
      </c>
      <c r="U1887" s="12"/>
    </row>
    <row r="1888" ht="13.5" customHeight="1">
      <c r="A1888" s="1" t="s">
        <v>2545</v>
      </c>
      <c r="B1888" s="2">
        <v>45742.0</v>
      </c>
      <c r="C1888" s="9" t="s">
        <v>1029</v>
      </c>
      <c r="D1888" s="1" t="s">
        <v>2546</v>
      </c>
      <c r="E1888" s="4">
        <v>11700.0</v>
      </c>
      <c r="F1888" s="4"/>
      <c r="G1888" s="4"/>
      <c r="H1888" s="4">
        <f>'data on outstanding creditors'!$E1888-'data on outstanding creditors'!$F1888-'data on outstanding creditors'!$G1888</f>
        <v>11700</v>
      </c>
      <c r="I1888" s="2"/>
      <c r="J1888" s="1" t="s">
        <v>646</v>
      </c>
      <c r="K1888" s="2">
        <v>45843.0</v>
      </c>
      <c r="L1888" s="5"/>
      <c r="M1888" s="9" t="s">
        <v>43</v>
      </c>
      <c r="N1888" s="9" t="s">
        <v>49</v>
      </c>
      <c r="O1888" s="10">
        <f>'data on outstanding creditors'!$E1888*100/107</f>
        <v>10934.57944</v>
      </c>
      <c r="P1888" s="10">
        <f>'data on outstanding creditors'!$E1888-'data on outstanding creditors'!$O1888</f>
        <v>765.4205607</v>
      </c>
      <c r="Q1888" s="7">
        <f>DAY('data on outstanding creditors'!$B1888)</f>
        <v>26</v>
      </c>
      <c r="R1888" s="7">
        <f>MONTH('data on outstanding creditors'!$B1888)</f>
        <v>3</v>
      </c>
      <c r="S1888" s="7">
        <f>YEAR('data on outstanding creditors'!$B1888)</f>
        <v>2025</v>
      </c>
      <c r="T1888" s="11" t="str">
        <f>'data on outstanding creditors'!$C1888&amp;" "&amp;'data on outstanding creditors'!$D1888&amp;" "&amp;TEXT('data on outstanding creditors'!$E1888,"#,##0.00")</f>
        <v>บ.เอเทค เมดิคอล IV6803548 11,700.00</v>
      </c>
      <c r="U1888" s="12"/>
    </row>
    <row r="1889" ht="13.5" customHeight="1">
      <c r="A1889" s="1" t="s">
        <v>2547</v>
      </c>
      <c r="B1889" s="2">
        <v>45742.0</v>
      </c>
      <c r="C1889" s="9" t="s">
        <v>1029</v>
      </c>
      <c r="D1889" s="1" t="s">
        <v>2548</v>
      </c>
      <c r="E1889" s="4">
        <v>19100.0</v>
      </c>
      <c r="F1889" s="4"/>
      <c r="G1889" s="4"/>
      <c r="H1889" s="4">
        <f>'data on outstanding creditors'!$E1889-'data on outstanding creditors'!$F1889-'data on outstanding creditors'!$G1889</f>
        <v>19100</v>
      </c>
      <c r="I1889" s="2"/>
      <c r="J1889" s="1" t="s">
        <v>646</v>
      </c>
      <c r="K1889" s="2">
        <v>45843.0</v>
      </c>
      <c r="L1889" s="5"/>
      <c r="M1889" s="9" t="s">
        <v>43</v>
      </c>
      <c r="N1889" s="9" t="s">
        <v>49</v>
      </c>
      <c r="O1889" s="10">
        <f>'data on outstanding creditors'!$E1889*100/107</f>
        <v>17850.46729</v>
      </c>
      <c r="P1889" s="10">
        <f>'data on outstanding creditors'!$E1889-'data on outstanding creditors'!$O1889</f>
        <v>1249.53271</v>
      </c>
      <c r="Q1889" s="7">
        <f>DAY('data on outstanding creditors'!$B1889)</f>
        <v>26</v>
      </c>
      <c r="R1889" s="7">
        <f>MONTH('data on outstanding creditors'!$B1889)</f>
        <v>3</v>
      </c>
      <c r="S1889" s="7">
        <f>YEAR('data on outstanding creditors'!$B1889)</f>
        <v>2025</v>
      </c>
      <c r="T1889" s="11" t="str">
        <f>'data on outstanding creditors'!$C1889&amp;" "&amp;'data on outstanding creditors'!$D1889&amp;" "&amp;TEXT('data on outstanding creditors'!$E1889,"#,##0.00")</f>
        <v>บ.เอเทค เมดิคอล IV6803564 19,100.00</v>
      </c>
      <c r="U1889" s="12"/>
    </row>
    <row r="1890" ht="13.5" customHeight="1">
      <c r="A1890" s="1" t="s">
        <v>2549</v>
      </c>
      <c r="B1890" s="2">
        <v>45743.0</v>
      </c>
      <c r="C1890" s="9" t="s">
        <v>2281</v>
      </c>
      <c r="D1890" s="1" t="s">
        <v>2550</v>
      </c>
      <c r="E1890" s="4">
        <v>63400.0</v>
      </c>
      <c r="F1890" s="4"/>
      <c r="G1890" s="4"/>
      <c r="H1890" s="4">
        <f>'data on outstanding creditors'!$E1890-'data on outstanding creditors'!$F1890-'data on outstanding creditors'!$G1890</f>
        <v>63400</v>
      </c>
      <c r="I1890" s="2"/>
      <c r="J1890" s="1" t="s">
        <v>646</v>
      </c>
      <c r="K1890" s="2">
        <v>45843.0</v>
      </c>
      <c r="L1890" s="5"/>
      <c r="M1890" s="9" t="s">
        <v>43</v>
      </c>
      <c r="N1890" s="9" t="s">
        <v>44</v>
      </c>
      <c r="O1890" s="10">
        <f>'data on outstanding creditors'!$E1890*100/107</f>
        <v>59252.33645</v>
      </c>
      <c r="P1890" s="10">
        <f>'data on outstanding creditors'!$E1890-'data on outstanding creditors'!$O1890</f>
        <v>4147.663551</v>
      </c>
      <c r="Q1890" s="7">
        <f>DAY('data on outstanding creditors'!$B1890)</f>
        <v>27</v>
      </c>
      <c r="R1890" s="7">
        <f>MONTH('data on outstanding creditors'!$B1890)</f>
        <v>3</v>
      </c>
      <c r="S1890" s="7">
        <f>YEAR('data on outstanding creditors'!$B1890)</f>
        <v>2025</v>
      </c>
      <c r="T1890" s="11" t="str">
        <f>'data on outstanding creditors'!$C1890&amp;" "&amp;'data on outstanding creditors'!$D1890&amp;" "&amp;TEXT('data on outstanding creditors'!$E1890,"#,##0.00")</f>
        <v>หจก.พีเอส เมทริก IH2503004 63,400.00</v>
      </c>
      <c r="U1890" s="12"/>
    </row>
    <row r="1891" ht="13.5" customHeight="1">
      <c r="A1891" s="1"/>
      <c r="B1891" s="2">
        <v>45743.0</v>
      </c>
      <c r="C1891" s="9" t="s">
        <v>2387</v>
      </c>
      <c r="D1891" s="1" t="s">
        <v>2551</v>
      </c>
      <c r="E1891" s="4">
        <v>50000.0</v>
      </c>
      <c r="F1891" s="4"/>
      <c r="G1891" s="4"/>
      <c r="H1891" s="4">
        <f>'data on outstanding creditors'!$E1891-'data on outstanding creditors'!$F1891-'data on outstanding creditors'!$G1891</f>
        <v>50000</v>
      </c>
      <c r="I1891" s="2"/>
      <c r="J1891" s="1" t="s">
        <v>646</v>
      </c>
      <c r="K1891" s="2">
        <v>45877.0</v>
      </c>
      <c r="L1891" s="5"/>
      <c r="M1891" s="9" t="s">
        <v>43</v>
      </c>
      <c r="N1891" s="9" t="s">
        <v>23</v>
      </c>
      <c r="O1891" s="10">
        <f>'data on outstanding creditors'!$E1891*100/107</f>
        <v>46728.97196</v>
      </c>
      <c r="P1891" s="10">
        <f>'data on outstanding creditors'!$E1891-'data on outstanding creditors'!$O1891</f>
        <v>3271.028037</v>
      </c>
      <c r="Q1891" s="7">
        <f>DAY('data on outstanding creditors'!$B1891)</f>
        <v>27</v>
      </c>
      <c r="R1891" s="7">
        <f>MONTH('data on outstanding creditors'!$B1891)</f>
        <v>3</v>
      </c>
      <c r="S1891" s="7">
        <f>YEAR('data on outstanding creditors'!$B1891)</f>
        <v>2025</v>
      </c>
      <c r="T1891" s="11" t="str">
        <f>'data on outstanding creditors'!$C1891&amp;" "&amp;'data on outstanding creditors'!$D1891&amp;" "&amp;TEXT('data on outstanding creditors'!$E1891,"#,##0.00")</f>
        <v>บ.บุนย์วานิช อินเตอร์เนชั่นแนล FM680267 50,000.00</v>
      </c>
      <c r="U1891" s="12"/>
    </row>
    <row r="1892" ht="13.5" customHeight="1">
      <c r="A1892" s="1"/>
      <c r="B1892" s="2">
        <v>45743.0</v>
      </c>
      <c r="C1892" s="9" t="s">
        <v>2363</v>
      </c>
      <c r="D1892" s="1" t="s">
        <v>2552</v>
      </c>
      <c r="E1892" s="4">
        <v>29000.0</v>
      </c>
      <c r="F1892" s="4"/>
      <c r="G1892" s="4"/>
      <c r="H1892" s="4">
        <f>'data on outstanding creditors'!$E1892-'data on outstanding creditors'!$F1892-'data on outstanding creditors'!$G1892</f>
        <v>29000</v>
      </c>
      <c r="I1892" s="2"/>
      <c r="J1892" s="1" t="s">
        <v>646</v>
      </c>
      <c r="K1892" s="2">
        <v>45855.0</v>
      </c>
      <c r="L1892" s="5"/>
      <c r="M1892" s="9" t="s">
        <v>43</v>
      </c>
      <c r="N1892" s="9" t="s">
        <v>23</v>
      </c>
      <c r="O1892" s="10">
        <f>'data on outstanding creditors'!$E1892*100/107</f>
        <v>27102.80374</v>
      </c>
      <c r="P1892" s="10">
        <f>'data on outstanding creditors'!$E1892-'data on outstanding creditors'!$O1892</f>
        <v>1897.196262</v>
      </c>
      <c r="Q1892" s="7">
        <f>DAY('data on outstanding creditors'!$B1892)</f>
        <v>27</v>
      </c>
      <c r="R1892" s="7">
        <f>MONTH('data on outstanding creditors'!$B1892)</f>
        <v>3</v>
      </c>
      <c r="S1892" s="7">
        <f>YEAR('data on outstanding creditors'!$B1892)</f>
        <v>2025</v>
      </c>
      <c r="T1892" s="11" t="str">
        <f>'data on outstanding creditors'!$C1892&amp;" "&amp;'data on outstanding creditors'!$D1892&amp;" "&amp;TEXT('data on outstanding creditors'!$E1892,"#,##0.00")</f>
        <v>บ.บีเวอร์ เมดิคอล อินดัสตรี้ 682427 29,000.00</v>
      </c>
      <c r="U1892" s="12"/>
    </row>
    <row r="1893" ht="13.5" customHeight="1">
      <c r="A1893" s="1"/>
      <c r="B1893" s="2">
        <v>45743.0</v>
      </c>
      <c r="C1893" s="9" t="s">
        <v>1114</v>
      </c>
      <c r="D1893" s="1" t="s">
        <v>2553</v>
      </c>
      <c r="E1893" s="4">
        <v>7800.0</v>
      </c>
      <c r="F1893" s="4"/>
      <c r="G1893" s="4"/>
      <c r="H1893" s="4">
        <f>'data on outstanding creditors'!$E1893-'data on outstanding creditors'!$F1893-'data on outstanding creditors'!$G1893</f>
        <v>7800</v>
      </c>
      <c r="I1893" s="2"/>
      <c r="J1893" s="1" t="s">
        <v>646</v>
      </c>
      <c r="K1893" s="2">
        <v>45815.0</v>
      </c>
      <c r="L1893" s="5"/>
      <c r="M1893" s="9" t="s">
        <v>43</v>
      </c>
      <c r="N1893" s="9" t="s">
        <v>23</v>
      </c>
      <c r="O1893" s="10">
        <f>'data on outstanding creditors'!$E1893*100/107</f>
        <v>7289.719626</v>
      </c>
      <c r="P1893" s="10">
        <f>'data on outstanding creditors'!$E1893-'data on outstanding creditors'!$O1893</f>
        <v>510.2803738</v>
      </c>
      <c r="Q1893" s="7">
        <f>DAY('data on outstanding creditors'!$B1893)</f>
        <v>27</v>
      </c>
      <c r="R1893" s="7">
        <f>MONTH('data on outstanding creditors'!$B1893)</f>
        <v>3</v>
      </c>
      <c r="S1893" s="7">
        <f>YEAR('data on outstanding creditors'!$B1893)</f>
        <v>2025</v>
      </c>
      <c r="T1893" s="11" t="str">
        <f>'data on outstanding creditors'!$C1893&amp;" "&amp;'data on outstanding creditors'!$D1893&amp;" "&amp;TEXT('data on outstanding creditors'!$E1893,"#,##0.00")</f>
        <v>หจก.อิเลฟเว่น พลัซ EL680317147 7,800.00</v>
      </c>
      <c r="U1893" s="12"/>
    </row>
    <row r="1894" ht="13.5" customHeight="1">
      <c r="A1894" s="1"/>
      <c r="B1894" s="2">
        <v>45743.0</v>
      </c>
      <c r="C1894" s="9" t="s">
        <v>2294</v>
      </c>
      <c r="D1894" s="1" t="s">
        <v>2554</v>
      </c>
      <c r="E1894" s="4">
        <v>7050.0</v>
      </c>
      <c r="F1894" s="4"/>
      <c r="G1894" s="4"/>
      <c r="H1894" s="4">
        <f>'data on outstanding creditors'!$E1894-'data on outstanding creditors'!$F1894-'data on outstanding creditors'!$G1894</f>
        <v>7050</v>
      </c>
      <c r="I1894" s="2"/>
      <c r="J1894" s="1" t="s">
        <v>646</v>
      </c>
      <c r="K1894" s="2">
        <v>45894.0</v>
      </c>
      <c r="L1894" s="5"/>
      <c r="M1894" s="9" t="s">
        <v>43</v>
      </c>
      <c r="N1894" s="9" t="s">
        <v>23</v>
      </c>
      <c r="O1894" s="10">
        <f>'data on outstanding creditors'!$E1894*100/107</f>
        <v>6588.785047</v>
      </c>
      <c r="P1894" s="10">
        <f>'data on outstanding creditors'!$E1894-'data on outstanding creditors'!$O1894</f>
        <v>461.2149533</v>
      </c>
      <c r="Q1894" s="7">
        <f>DAY('data on outstanding creditors'!$B1894)</f>
        <v>27</v>
      </c>
      <c r="R1894" s="7">
        <f>MONTH('data on outstanding creditors'!$B1894)</f>
        <v>3</v>
      </c>
      <c r="S1894" s="7">
        <f>YEAR('data on outstanding creditors'!$B1894)</f>
        <v>2025</v>
      </c>
      <c r="T1894" s="11" t="str">
        <f>'data on outstanding creditors'!$C1894&amp;" "&amp;'data on outstanding creditors'!$D1894&amp;" "&amp;TEXT('data on outstanding creditors'!$E1894,"#,##0.00")</f>
        <v>บ.แอสเซ้นท์ เมดิคอล IV2025030225 7,050.00</v>
      </c>
      <c r="U1894" s="12"/>
    </row>
    <row r="1895" ht="13.5" customHeight="1">
      <c r="A1895" s="1"/>
      <c r="B1895" s="2">
        <v>45743.0</v>
      </c>
      <c r="C1895" s="9" t="s">
        <v>2543</v>
      </c>
      <c r="D1895" s="1" t="s">
        <v>2555</v>
      </c>
      <c r="E1895" s="4">
        <v>75240.0</v>
      </c>
      <c r="F1895" s="4"/>
      <c r="G1895" s="4"/>
      <c r="H1895" s="4">
        <f>'data on outstanding creditors'!$E1895-'data on outstanding creditors'!$F1895-'data on outstanding creditors'!$G1895</f>
        <v>75240</v>
      </c>
      <c r="I1895" s="2"/>
      <c r="J1895" s="1" t="s">
        <v>646</v>
      </c>
      <c r="K1895" s="2">
        <v>45827.0</v>
      </c>
      <c r="L1895" s="5"/>
      <c r="M1895" s="9" t="s">
        <v>43</v>
      </c>
      <c r="N1895" s="9" t="s">
        <v>23</v>
      </c>
      <c r="O1895" s="10">
        <f>'data on outstanding creditors'!$E1895*100/107</f>
        <v>70317.75701</v>
      </c>
      <c r="P1895" s="10">
        <f>'data on outstanding creditors'!$E1895-'data on outstanding creditors'!$O1895</f>
        <v>4922.242991</v>
      </c>
      <c r="Q1895" s="7">
        <f>DAY('data on outstanding creditors'!$B1895)</f>
        <v>27</v>
      </c>
      <c r="R1895" s="7">
        <f>MONTH('data on outstanding creditors'!$B1895)</f>
        <v>3</v>
      </c>
      <c r="S1895" s="7">
        <f>YEAR('data on outstanding creditors'!$B1895)</f>
        <v>2025</v>
      </c>
      <c r="T1895" s="11" t="str">
        <f>'data on outstanding creditors'!$C1895&amp;" "&amp;'data on outstanding creditors'!$D1895&amp;" "&amp;TEXT('data on outstanding creditors'!$E1895,"#,##0.00")</f>
        <v>บ.ไฮแวน เมดิคอล HV6801839 75,240.00</v>
      </c>
      <c r="U1895" s="12"/>
    </row>
    <row r="1896" ht="13.5" customHeight="1">
      <c r="A1896" s="1"/>
      <c r="B1896" s="2">
        <v>45743.0</v>
      </c>
      <c r="C1896" s="9" t="s">
        <v>2363</v>
      </c>
      <c r="D1896" s="1" t="s">
        <v>2556</v>
      </c>
      <c r="E1896" s="4">
        <v>3500.0</v>
      </c>
      <c r="F1896" s="4"/>
      <c r="G1896" s="4"/>
      <c r="H1896" s="4">
        <f>'data on outstanding creditors'!$E1896-'data on outstanding creditors'!$F1896-'data on outstanding creditors'!$G1896</f>
        <v>3500</v>
      </c>
      <c r="I1896" s="2"/>
      <c r="J1896" s="1" t="s">
        <v>646</v>
      </c>
      <c r="K1896" s="2">
        <v>45855.0</v>
      </c>
      <c r="L1896" s="5"/>
      <c r="M1896" s="9" t="s">
        <v>43</v>
      </c>
      <c r="N1896" s="9" t="s">
        <v>23</v>
      </c>
      <c r="O1896" s="10">
        <f>'data on outstanding creditors'!$E1896*100/107</f>
        <v>3271.028037</v>
      </c>
      <c r="P1896" s="10">
        <f>'data on outstanding creditors'!$E1896-'data on outstanding creditors'!$O1896</f>
        <v>228.9719626</v>
      </c>
      <c r="Q1896" s="7">
        <f>DAY('data on outstanding creditors'!$B1896)</f>
        <v>27</v>
      </c>
      <c r="R1896" s="7">
        <f>MONTH('data on outstanding creditors'!$B1896)</f>
        <v>3</v>
      </c>
      <c r="S1896" s="7">
        <f>YEAR('data on outstanding creditors'!$B1896)</f>
        <v>2025</v>
      </c>
      <c r="T1896" s="11" t="str">
        <f>'data on outstanding creditors'!$C1896&amp;" "&amp;'data on outstanding creditors'!$D1896&amp;" "&amp;TEXT('data on outstanding creditors'!$E1896,"#,##0.00")</f>
        <v>บ.บีเวอร์ เมดิคอล อินดัสตรี้ 682573 3,500.00</v>
      </c>
      <c r="U1896" s="12"/>
    </row>
    <row r="1897" ht="13.5" customHeight="1">
      <c r="A1897" s="1"/>
      <c r="B1897" s="2">
        <v>45743.0</v>
      </c>
      <c r="C1897" s="9" t="s">
        <v>2363</v>
      </c>
      <c r="D1897" s="1" t="s">
        <v>2557</v>
      </c>
      <c r="E1897" s="4">
        <v>30000.0</v>
      </c>
      <c r="F1897" s="4"/>
      <c r="G1897" s="4"/>
      <c r="H1897" s="4">
        <f>'data on outstanding creditors'!$E1897-'data on outstanding creditors'!$F1897-'data on outstanding creditors'!$G1897</f>
        <v>30000</v>
      </c>
      <c r="I1897" s="2"/>
      <c r="J1897" s="1" t="s">
        <v>646</v>
      </c>
      <c r="K1897" s="2">
        <v>45855.0</v>
      </c>
      <c r="L1897" s="5"/>
      <c r="M1897" s="9" t="s">
        <v>43</v>
      </c>
      <c r="N1897" s="9" t="s">
        <v>23</v>
      </c>
      <c r="O1897" s="10">
        <f>'data on outstanding creditors'!$E1897*100/107</f>
        <v>28037.38318</v>
      </c>
      <c r="P1897" s="10">
        <f>'data on outstanding creditors'!$E1897-'data on outstanding creditors'!$O1897</f>
        <v>1962.616822</v>
      </c>
      <c r="Q1897" s="7">
        <f>DAY('data on outstanding creditors'!$B1897)</f>
        <v>27</v>
      </c>
      <c r="R1897" s="7">
        <f>MONTH('data on outstanding creditors'!$B1897)</f>
        <v>3</v>
      </c>
      <c r="S1897" s="7">
        <f>YEAR('data on outstanding creditors'!$B1897)</f>
        <v>2025</v>
      </c>
      <c r="T1897" s="11" t="str">
        <f>'data on outstanding creditors'!$C1897&amp;" "&amp;'data on outstanding creditors'!$D1897&amp;" "&amp;TEXT('data on outstanding creditors'!$E1897,"#,##0.00")</f>
        <v>บ.บีเวอร์ เมดิคอล อินดัสตรี้ 682222 30,000.00</v>
      </c>
      <c r="U1897" s="12"/>
    </row>
    <row r="1898" ht="13.5" customHeight="1">
      <c r="A1898" s="1" t="s">
        <v>2558</v>
      </c>
      <c r="B1898" s="2">
        <v>45744.0</v>
      </c>
      <c r="C1898" s="9" t="s">
        <v>1029</v>
      </c>
      <c r="D1898" s="1" t="s">
        <v>2559</v>
      </c>
      <c r="E1898" s="4">
        <v>17300.0</v>
      </c>
      <c r="F1898" s="4"/>
      <c r="G1898" s="4"/>
      <c r="H1898" s="4">
        <f>'data on outstanding creditors'!$E1898-'data on outstanding creditors'!$F1898-'data on outstanding creditors'!$G1898</f>
        <v>17300</v>
      </c>
      <c r="I1898" s="2"/>
      <c r="J1898" s="1" t="s">
        <v>646</v>
      </c>
      <c r="K1898" s="2">
        <v>45843.0</v>
      </c>
      <c r="L1898" s="5"/>
      <c r="M1898" s="9" t="s">
        <v>43</v>
      </c>
      <c r="N1898" s="9" t="s">
        <v>49</v>
      </c>
      <c r="O1898" s="10">
        <f>'data on outstanding creditors'!$E1898*100/107</f>
        <v>16168.2243</v>
      </c>
      <c r="P1898" s="10">
        <f>'data on outstanding creditors'!$E1898-'data on outstanding creditors'!$O1898</f>
        <v>1131.775701</v>
      </c>
      <c r="Q1898" s="7">
        <f>DAY('data on outstanding creditors'!$B1898)</f>
        <v>28</v>
      </c>
      <c r="R1898" s="7">
        <f>MONTH('data on outstanding creditors'!$B1898)</f>
        <v>3</v>
      </c>
      <c r="S1898" s="7">
        <f>YEAR('data on outstanding creditors'!$B1898)</f>
        <v>2025</v>
      </c>
      <c r="T1898" s="11" t="str">
        <f>'data on outstanding creditors'!$C1898&amp;" "&amp;'data on outstanding creditors'!$D1898&amp;" "&amp;TEXT('data on outstanding creditors'!$E1898,"#,##0.00")</f>
        <v>บ.เอเทค เมดิคอล IV6804117 17,300.00</v>
      </c>
      <c r="U1898" s="12"/>
    </row>
    <row r="1899" ht="13.5" customHeight="1">
      <c r="A1899" s="1" t="s">
        <v>2560</v>
      </c>
      <c r="B1899" s="2">
        <v>45744.0</v>
      </c>
      <c r="C1899" s="9" t="s">
        <v>1029</v>
      </c>
      <c r="D1899" s="1" t="s">
        <v>2561</v>
      </c>
      <c r="E1899" s="4">
        <v>9800.0</v>
      </c>
      <c r="F1899" s="4"/>
      <c r="G1899" s="4"/>
      <c r="H1899" s="4">
        <f>'data on outstanding creditors'!$E1899-'data on outstanding creditors'!$F1899-'data on outstanding creditors'!$G1899</f>
        <v>9800</v>
      </c>
      <c r="I1899" s="2"/>
      <c r="J1899" s="1" t="s">
        <v>646</v>
      </c>
      <c r="K1899" s="2">
        <v>45843.0</v>
      </c>
      <c r="L1899" s="5"/>
      <c r="M1899" s="9" t="s">
        <v>43</v>
      </c>
      <c r="N1899" s="9" t="s">
        <v>49</v>
      </c>
      <c r="O1899" s="10">
        <f>'data on outstanding creditors'!$E1899*100/107</f>
        <v>9158.878505</v>
      </c>
      <c r="P1899" s="10">
        <f>'data on outstanding creditors'!$E1899-'data on outstanding creditors'!$O1899</f>
        <v>641.1214953</v>
      </c>
      <c r="Q1899" s="7">
        <f>DAY('data on outstanding creditors'!$B1899)</f>
        <v>28</v>
      </c>
      <c r="R1899" s="7">
        <f>MONTH('data on outstanding creditors'!$B1899)</f>
        <v>3</v>
      </c>
      <c r="S1899" s="7">
        <f>YEAR('data on outstanding creditors'!$B1899)</f>
        <v>2025</v>
      </c>
      <c r="T1899" s="11" t="str">
        <f>'data on outstanding creditors'!$C1899&amp;" "&amp;'data on outstanding creditors'!$D1899&amp;" "&amp;TEXT('data on outstanding creditors'!$E1899,"#,##0.00")</f>
        <v>บ.เอเทค เมดิคอล IV6804118 9,800.00</v>
      </c>
      <c r="U1899" s="12"/>
    </row>
    <row r="1900" ht="13.5" customHeight="1">
      <c r="A1900" s="1" t="s">
        <v>2562</v>
      </c>
      <c r="B1900" s="2">
        <v>45744.0</v>
      </c>
      <c r="C1900" s="9" t="s">
        <v>1029</v>
      </c>
      <c r="D1900" s="1" t="s">
        <v>2563</v>
      </c>
      <c r="E1900" s="4">
        <v>300.0</v>
      </c>
      <c r="F1900" s="4"/>
      <c r="G1900" s="4"/>
      <c r="H1900" s="4">
        <f>'data on outstanding creditors'!$E1900-'data on outstanding creditors'!$F1900-'data on outstanding creditors'!$G1900</f>
        <v>300</v>
      </c>
      <c r="I1900" s="2"/>
      <c r="J1900" s="1" t="s">
        <v>646</v>
      </c>
      <c r="K1900" s="2">
        <v>45843.0</v>
      </c>
      <c r="L1900" s="5"/>
      <c r="M1900" s="9" t="s">
        <v>43</v>
      </c>
      <c r="N1900" s="9" t="s">
        <v>49</v>
      </c>
      <c r="O1900" s="10">
        <f>'data on outstanding creditors'!$E1900*100/107</f>
        <v>280.3738318</v>
      </c>
      <c r="P1900" s="10">
        <f>'data on outstanding creditors'!$E1900-'data on outstanding creditors'!$O1900</f>
        <v>19.62616822</v>
      </c>
      <c r="Q1900" s="7">
        <f>DAY('data on outstanding creditors'!$B1900)</f>
        <v>28</v>
      </c>
      <c r="R1900" s="7">
        <f>MONTH('data on outstanding creditors'!$B1900)</f>
        <v>3</v>
      </c>
      <c r="S1900" s="7">
        <f>YEAR('data on outstanding creditors'!$B1900)</f>
        <v>2025</v>
      </c>
      <c r="T1900" s="11" t="str">
        <f>'data on outstanding creditors'!$C1900&amp;" "&amp;'data on outstanding creditors'!$D1900&amp;" "&amp;TEXT('data on outstanding creditors'!$E1900,"#,##0.00")</f>
        <v>บ.เอเทค เมดิคอล IV6804119 300.00</v>
      </c>
      <c r="U1900" s="12"/>
    </row>
    <row r="1901" ht="13.5" customHeight="1">
      <c r="A1901" s="1" t="s">
        <v>2564</v>
      </c>
      <c r="B1901" s="2">
        <v>45747.0</v>
      </c>
      <c r="C1901" s="9" t="s">
        <v>1029</v>
      </c>
      <c r="D1901" s="1" t="s">
        <v>2565</v>
      </c>
      <c r="E1901" s="4">
        <v>18200.0</v>
      </c>
      <c r="F1901" s="4"/>
      <c r="G1901" s="4"/>
      <c r="H1901" s="4">
        <f>'data on outstanding creditors'!$E1901-'data on outstanding creditors'!$F1901-'data on outstanding creditors'!$G1901</f>
        <v>18200</v>
      </c>
      <c r="I1901" s="2"/>
      <c r="J1901" s="1" t="s">
        <v>646</v>
      </c>
      <c r="K1901" s="2">
        <v>45843.0</v>
      </c>
      <c r="L1901" s="5"/>
      <c r="M1901" s="9" t="s">
        <v>43</v>
      </c>
      <c r="N1901" s="9" t="s">
        <v>49</v>
      </c>
      <c r="O1901" s="10">
        <f>'data on outstanding creditors'!$E1901*100/107</f>
        <v>17009.34579</v>
      </c>
      <c r="P1901" s="10">
        <f>'data on outstanding creditors'!$E1901-'data on outstanding creditors'!$O1901</f>
        <v>1190.654206</v>
      </c>
      <c r="Q1901" s="7">
        <f>DAY('data on outstanding creditors'!$B1901)</f>
        <v>31</v>
      </c>
      <c r="R1901" s="7">
        <f>MONTH('data on outstanding creditors'!$B1901)</f>
        <v>3</v>
      </c>
      <c r="S1901" s="7">
        <f>YEAR('data on outstanding creditors'!$B1901)</f>
        <v>2025</v>
      </c>
      <c r="T1901" s="11" t="str">
        <f>'data on outstanding creditors'!$C1901&amp;" "&amp;'data on outstanding creditors'!$D1901&amp;" "&amp;TEXT('data on outstanding creditors'!$E1901,"#,##0.00")</f>
        <v>บ.เอเทค เมดิคอล IV6803621 18,200.00</v>
      </c>
      <c r="U1901" s="12"/>
    </row>
    <row r="1902" ht="13.5" customHeight="1">
      <c r="A1902" s="1" t="s">
        <v>2566</v>
      </c>
      <c r="B1902" s="2">
        <v>45747.0</v>
      </c>
      <c r="C1902" s="9" t="s">
        <v>1029</v>
      </c>
      <c r="D1902" s="1" t="s">
        <v>2567</v>
      </c>
      <c r="E1902" s="4">
        <v>13200.0</v>
      </c>
      <c r="F1902" s="4"/>
      <c r="G1902" s="4"/>
      <c r="H1902" s="4">
        <f>'data on outstanding creditors'!$E1902-'data on outstanding creditors'!$F1902-'data on outstanding creditors'!$G1902</f>
        <v>13200</v>
      </c>
      <c r="I1902" s="2"/>
      <c r="J1902" s="1" t="s">
        <v>646</v>
      </c>
      <c r="K1902" s="2">
        <v>45843.0</v>
      </c>
      <c r="L1902" s="5"/>
      <c r="M1902" s="9" t="s">
        <v>43</v>
      </c>
      <c r="N1902" s="9" t="s">
        <v>49</v>
      </c>
      <c r="O1902" s="10">
        <f>'data on outstanding creditors'!$E1902*100/107</f>
        <v>12336.4486</v>
      </c>
      <c r="P1902" s="10">
        <f>'data on outstanding creditors'!$E1902-'data on outstanding creditors'!$O1902</f>
        <v>863.5514019</v>
      </c>
      <c r="Q1902" s="7">
        <f>DAY('data on outstanding creditors'!$B1902)</f>
        <v>31</v>
      </c>
      <c r="R1902" s="7">
        <f>MONTH('data on outstanding creditors'!$B1902)</f>
        <v>3</v>
      </c>
      <c r="S1902" s="7">
        <f>YEAR('data on outstanding creditors'!$B1902)</f>
        <v>2025</v>
      </c>
      <c r="T1902" s="11" t="str">
        <f>'data on outstanding creditors'!$C1902&amp;" "&amp;'data on outstanding creditors'!$D1902&amp;" "&amp;TEXT('data on outstanding creditors'!$E1902,"#,##0.00")</f>
        <v>บ.เอเทค เมดิคอล IV6803620 13,200.00</v>
      </c>
      <c r="U1902" s="12"/>
    </row>
    <row r="1903" ht="13.5" customHeight="1">
      <c r="A1903" s="1" t="s">
        <v>2568</v>
      </c>
      <c r="B1903" s="2">
        <v>45747.0</v>
      </c>
      <c r="C1903" s="9" t="s">
        <v>1029</v>
      </c>
      <c r="D1903" s="1" t="s">
        <v>2569</v>
      </c>
      <c r="E1903" s="4">
        <v>20000.0</v>
      </c>
      <c r="F1903" s="4"/>
      <c r="G1903" s="4"/>
      <c r="H1903" s="4">
        <f>'data on outstanding creditors'!$E1903-'data on outstanding creditors'!$F1903-'data on outstanding creditors'!$G1903</f>
        <v>20000</v>
      </c>
      <c r="I1903" s="2"/>
      <c r="J1903" s="1" t="s">
        <v>646</v>
      </c>
      <c r="K1903" s="2">
        <v>45843.0</v>
      </c>
      <c r="L1903" s="5"/>
      <c r="M1903" s="9" t="s">
        <v>43</v>
      </c>
      <c r="N1903" s="9" t="s">
        <v>49</v>
      </c>
      <c r="O1903" s="10">
        <f>'data on outstanding creditors'!$E1903*100/107</f>
        <v>18691.58879</v>
      </c>
      <c r="P1903" s="10">
        <f>'data on outstanding creditors'!$E1903-'data on outstanding creditors'!$O1903</f>
        <v>1308.411215</v>
      </c>
      <c r="Q1903" s="7">
        <f>DAY('data on outstanding creditors'!$B1903)</f>
        <v>31</v>
      </c>
      <c r="R1903" s="7">
        <f>MONTH('data on outstanding creditors'!$B1903)</f>
        <v>3</v>
      </c>
      <c r="S1903" s="7">
        <f>YEAR('data on outstanding creditors'!$B1903)</f>
        <v>2025</v>
      </c>
      <c r="T1903" s="11" t="str">
        <f>'data on outstanding creditors'!$C1903&amp;" "&amp;'data on outstanding creditors'!$D1903&amp;" "&amp;TEXT('data on outstanding creditors'!$E1903,"#,##0.00")</f>
        <v>บ.เอเทค เมดิคอล IV6804001 20,000.00</v>
      </c>
      <c r="U1903" s="12"/>
    </row>
    <row r="1904" ht="13.5" customHeight="1">
      <c r="A1904" s="1" t="s">
        <v>2570</v>
      </c>
      <c r="B1904" s="2">
        <v>45748.0</v>
      </c>
      <c r="C1904" s="9" t="s">
        <v>1029</v>
      </c>
      <c r="D1904" s="1" t="s">
        <v>2571</v>
      </c>
      <c r="E1904" s="4">
        <v>18500.0</v>
      </c>
      <c r="F1904" s="4"/>
      <c r="G1904" s="4"/>
      <c r="H1904" s="4">
        <f>'data on outstanding creditors'!$E1904-'data on outstanding creditors'!$F1904-'data on outstanding creditors'!$G1904</f>
        <v>18500</v>
      </c>
      <c r="I1904" s="2"/>
      <c r="J1904" s="1" t="s">
        <v>757</v>
      </c>
      <c r="K1904" s="2">
        <v>45965.0</v>
      </c>
      <c r="L1904" s="5"/>
      <c r="M1904" s="9" t="s">
        <v>43</v>
      </c>
      <c r="N1904" s="9" t="s">
        <v>49</v>
      </c>
      <c r="O1904" s="10">
        <f>'data on outstanding creditors'!$E1904*100/107</f>
        <v>17289.71963</v>
      </c>
      <c r="P1904" s="10">
        <f>'data on outstanding creditors'!$E1904-'data on outstanding creditors'!$O1904</f>
        <v>1210.280374</v>
      </c>
      <c r="Q1904" s="7">
        <f>DAY('data on outstanding creditors'!$B1904)</f>
        <v>1</v>
      </c>
      <c r="R1904" s="7">
        <f>MONTH('data on outstanding creditors'!$B1904)</f>
        <v>4</v>
      </c>
      <c r="S1904" s="7">
        <f>YEAR('data on outstanding creditors'!$B1904)</f>
        <v>2025</v>
      </c>
      <c r="T1904" s="11" t="str">
        <f>'data on outstanding creditors'!$C1904&amp;" "&amp;'data on outstanding creditors'!$D1904&amp;" "&amp;TEXT('data on outstanding creditors'!$E1904,"#,##0.00")</f>
        <v>บ.เอเทค เมดิคอล IV6804002 18,500.00</v>
      </c>
      <c r="U1904" s="12"/>
    </row>
    <row r="1905" ht="13.5" customHeight="1">
      <c r="A1905" s="1" t="s">
        <v>2572</v>
      </c>
      <c r="B1905" s="2">
        <v>45748.0</v>
      </c>
      <c r="C1905" s="9" t="s">
        <v>286</v>
      </c>
      <c r="D1905" s="1" t="s">
        <v>2573</v>
      </c>
      <c r="E1905" s="4">
        <v>20000.0</v>
      </c>
      <c r="F1905" s="4"/>
      <c r="G1905" s="4"/>
      <c r="H1905" s="4">
        <f>'data on outstanding creditors'!$E1905-'data on outstanding creditors'!$F1905-'data on outstanding creditors'!$G1905</f>
        <v>20000</v>
      </c>
      <c r="I1905" s="2"/>
      <c r="J1905" s="1" t="s">
        <v>757</v>
      </c>
      <c r="K1905" s="2">
        <v>45904.0</v>
      </c>
      <c r="L1905" s="5"/>
      <c r="M1905" s="9" t="s">
        <v>43</v>
      </c>
      <c r="N1905" s="9" t="s">
        <v>49</v>
      </c>
      <c r="O1905" s="10">
        <f>'data on outstanding creditors'!$E1905*100/107</f>
        <v>18691.58879</v>
      </c>
      <c r="P1905" s="10">
        <f>'data on outstanding creditors'!$E1905-'data on outstanding creditors'!$O1905</f>
        <v>1308.411215</v>
      </c>
      <c r="Q1905" s="7">
        <f>DAY('data on outstanding creditors'!$B1905)</f>
        <v>1</v>
      </c>
      <c r="R1905" s="7">
        <f>MONTH('data on outstanding creditors'!$B1905)</f>
        <v>4</v>
      </c>
      <c r="S1905" s="7">
        <f>YEAR('data on outstanding creditors'!$B1905)</f>
        <v>2025</v>
      </c>
      <c r="T1905" s="11" t="str">
        <f>'data on outstanding creditors'!$C1905&amp;" "&amp;'data on outstanding creditors'!$D1905&amp;" "&amp;TEXT('data on outstanding creditors'!$E1905,"#,##0.00")</f>
        <v>บ.เอ็ม ดี ซี (ประเทศไทย) IV25040049 20,000.00</v>
      </c>
      <c r="U1905" s="12"/>
    </row>
    <row r="1906" ht="13.5" customHeight="1">
      <c r="A1906" s="1" t="s">
        <v>2574</v>
      </c>
      <c r="B1906" s="2">
        <v>45748.0</v>
      </c>
      <c r="C1906" s="9" t="s">
        <v>2281</v>
      </c>
      <c r="D1906" s="1" t="s">
        <v>2575</v>
      </c>
      <c r="E1906" s="4">
        <v>76880.0</v>
      </c>
      <c r="F1906" s="4"/>
      <c r="G1906" s="4"/>
      <c r="H1906" s="4">
        <f>'data on outstanding creditors'!$E1906-'data on outstanding creditors'!$F1906-'data on outstanding creditors'!$G1906</f>
        <v>76880</v>
      </c>
      <c r="I1906" s="2"/>
      <c r="J1906" s="1" t="s">
        <v>646</v>
      </c>
      <c r="K1906" s="2">
        <v>45843.0</v>
      </c>
      <c r="L1906" s="5"/>
      <c r="M1906" s="9" t="s">
        <v>43</v>
      </c>
      <c r="N1906" s="9" t="s">
        <v>44</v>
      </c>
      <c r="O1906" s="10">
        <f>'data on outstanding creditors'!$E1906*100/107</f>
        <v>71850.46729</v>
      </c>
      <c r="P1906" s="10">
        <f>'data on outstanding creditors'!$E1906-'data on outstanding creditors'!$O1906</f>
        <v>5029.53271</v>
      </c>
      <c r="Q1906" s="7">
        <f>DAY('data on outstanding creditors'!$B1906)</f>
        <v>1</v>
      </c>
      <c r="R1906" s="7">
        <f>MONTH('data on outstanding creditors'!$B1906)</f>
        <v>4</v>
      </c>
      <c r="S1906" s="7">
        <f>YEAR('data on outstanding creditors'!$B1906)</f>
        <v>2025</v>
      </c>
      <c r="T1906" s="11" t="str">
        <f>'data on outstanding creditors'!$C1906&amp;" "&amp;'data on outstanding creditors'!$D1906&amp;" "&amp;TEXT('data on outstanding creditors'!$E1906,"#,##0.00")</f>
        <v>หจก.พีเอส เมทริก IH2502004 76,880.00</v>
      </c>
      <c r="U1906" s="12"/>
    </row>
    <row r="1907" ht="13.5" customHeight="1">
      <c r="A1907" s="1" t="s">
        <v>2576</v>
      </c>
      <c r="B1907" s="2">
        <v>45748.0</v>
      </c>
      <c r="C1907" s="9" t="s">
        <v>286</v>
      </c>
      <c r="D1907" s="1" t="s">
        <v>2577</v>
      </c>
      <c r="E1907" s="4">
        <v>20000.0</v>
      </c>
      <c r="F1907" s="4"/>
      <c r="G1907" s="4"/>
      <c r="H1907" s="4">
        <f>'data on outstanding creditors'!$E1907-'data on outstanding creditors'!$F1907-'data on outstanding creditors'!$G1907</f>
        <v>20000</v>
      </c>
      <c r="I1907" s="2"/>
      <c r="J1907" s="1" t="s">
        <v>757</v>
      </c>
      <c r="K1907" s="2">
        <v>45904.0</v>
      </c>
      <c r="L1907" s="5"/>
      <c r="M1907" s="9" t="s">
        <v>43</v>
      </c>
      <c r="N1907" s="9" t="s">
        <v>49</v>
      </c>
      <c r="O1907" s="10">
        <f>'data on outstanding creditors'!$E1907*100/107</f>
        <v>18691.58879</v>
      </c>
      <c r="P1907" s="10">
        <f>'data on outstanding creditors'!$E1907-'data on outstanding creditors'!$O1907</f>
        <v>1308.411215</v>
      </c>
      <c r="Q1907" s="7">
        <f>DAY('data on outstanding creditors'!$B1907)</f>
        <v>1</v>
      </c>
      <c r="R1907" s="7">
        <f>MONTH('data on outstanding creditors'!$B1907)</f>
        <v>4</v>
      </c>
      <c r="S1907" s="7">
        <f>YEAR('data on outstanding creditors'!$B1907)</f>
        <v>2025</v>
      </c>
      <c r="T1907" s="11" t="str">
        <f>'data on outstanding creditors'!$C1907&amp;" "&amp;'data on outstanding creditors'!$D1907&amp;" "&amp;TEXT('data on outstanding creditors'!$E1907,"#,##0.00")</f>
        <v>บ.เอ็ม ดี ซี (ประเทศไทย) IV25040262 20,000.00</v>
      </c>
      <c r="U1907" s="12"/>
    </row>
    <row r="1908" ht="13.5" customHeight="1">
      <c r="A1908" s="1"/>
      <c r="B1908" s="2">
        <v>45750.0</v>
      </c>
      <c r="C1908" s="9" t="s">
        <v>965</v>
      </c>
      <c r="D1908" s="1" t="s">
        <v>2578</v>
      </c>
      <c r="E1908" s="4">
        <v>96000.0</v>
      </c>
      <c r="F1908" s="4"/>
      <c r="G1908" s="4"/>
      <c r="H1908" s="4">
        <f>'data on outstanding creditors'!$E1908-'data on outstanding creditors'!$F1908-'data on outstanding creditors'!$G1908</f>
        <v>96000</v>
      </c>
      <c r="I1908" s="2"/>
      <c r="J1908" s="1" t="s">
        <v>646</v>
      </c>
      <c r="K1908" s="2">
        <v>45843.0</v>
      </c>
      <c r="L1908" s="5"/>
      <c r="M1908" s="9" t="s">
        <v>43</v>
      </c>
      <c r="N1908" s="9" t="s">
        <v>23</v>
      </c>
      <c r="O1908" s="10">
        <f>'data on outstanding creditors'!$E1908*100/107</f>
        <v>89719.62617</v>
      </c>
      <c r="P1908" s="10">
        <f>'data on outstanding creditors'!$E1908-'data on outstanding creditors'!$O1908</f>
        <v>6280.373832</v>
      </c>
      <c r="Q1908" s="7">
        <f>DAY('data on outstanding creditors'!$B1908)</f>
        <v>3</v>
      </c>
      <c r="R1908" s="7">
        <f>MONTH('data on outstanding creditors'!$B1908)</f>
        <v>4</v>
      </c>
      <c r="S1908" s="7">
        <f>YEAR('data on outstanding creditors'!$B1908)</f>
        <v>2025</v>
      </c>
      <c r="T1908" s="11" t="str">
        <f>'data on outstanding creditors'!$C1908&amp;" "&amp;'data on outstanding creditors'!$D1908&amp;" "&amp;TEXT('data on outstanding creditors'!$E1908,"#,##0.00")</f>
        <v>บ.แปซิฟิค เฮลธ์แคร์(ไทยแลนด์) 68016823 96,000.00</v>
      </c>
      <c r="U1908" s="12"/>
    </row>
    <row r="1909" ht="13.5" customHeight="1">
      <c r="A1909" s="1" t="s">
        <v>2579</v>
      </c>
      <c r="B1909" s="2">
        <v>45750.0</v>
      </c>
      <c r="C1909" s="9" t="s">
        <v>286</v>
      </c>
      <c r="D1909" s="1" t="s">
        <v>2580</v>
      </c>
      <c r="E1909" s="4">
        <v>20000.0</v>
      </c>
      <c r="F1909" s="4"/>
      <c r="G1909" s="4"/>
      <c r="H1909" s="4">
        <f>'data on outstanding creditors'!$E1909-'data on outstanding creditors'!$F1909-'data on outstanding creditors'!$G1909</f>
        <v>20000</v>
      </c>
      <c r="I1909" s="2"/>
      <c r="J1909" s="1" t="s">
        <v>757</v>
      </c>
      <c r="K1909" s="2">
        <v>45904.0</v>
      </c>
      <c r="L1909" s="5"/>
      <c r="M1909" s="9" t="s">
        <v>43</v>
      </c>
      <c r="N1909" s="9" t="s">
        <v>49</v>
      </c>
      <c r="O1909" s="10">
        <f>'data on outstanding creditors'!$E1909*100/107</f>
        <v>18691.58879</v>
      </c>
      <c r="P1909" s="10">
        <f>'data on outstanding creditors'!$E1909-'data on outstanding creditors'!$O1909</f>
        <v>1308.411215</v>
      </c>
      <c r="Q1909" s="7">
        <f>DAY('data on outstanding creditors'!$B1909)</f>
        <v>3</v>
      </c>
      <c r="R1909" s="7">
        <f>MONTH('data on outstanding creditors'!$B1909)</f>
        <v>4</v>
      </c>
      <c r="S1909" s="7">
        <f>YEAR('data on outstanding creditors'!$B1909)</f>
        <v>2025</v>
      </c>
      <c r="T1909" s="11" t="str">
        <f>'data on outstanding creditors'!$C1909&amp;" "&amp;'data on outstanding creditors'!$D1909&amp;" "&amp;TEXT('data on outstanding creditors'!$E1909,"#,##0.00")</f>
        <v>บ.เอ็ม ดี ซี (ประเทศไทย) IV25040118 20,000.00</v>
      </c>
      <c r="U1909" s="12"/>
    </row>
    <row r="1910" ht="13.5" customHeight="1">
      <c r="A1910" s="1" t="s">
        <v>2581</v>
      </c>
      <c r="B1910" s="2">
        <v>45750.0</v>
      </c>
      <c r="C1910" s="9" t="s">
        <v>2315</v>
      </c>
      <c r="D1910" s="1" t="s">
        <v>2582</v>
      </c>
      <c r="E1910" s="4">
        <v>3000.0</v>
      </c>
      <c r="F1910" s="4"/>
      <c r="G1910" s="4"/>
      <c r="H1910" s="4">
        <f>'data on outstanding creditors'!$E1910-'data on outstanding creditors'!$F1910-'data on outstanding creditors'!$G1910</f>
        <v>3000</v>
      </c>
      <c r="I1910" s="2"/>
      <c r="J1910" s="1" t="s">
        <v>646</v>
      </c>
      <c r="K1910" s="2">
        <v>45843.0</v>
      </c>
      <c r="L1910" s="5"/>
      <c r="M1910" s="9" t="s">
        <v>43</v>
      </c>
      <c r="N1910" s="9" t="s">
        <v>49</v>
      </c>
      <c r="O1910" s="10">
        <f>'data on outstanding creditors'!$E1910*100/107</f>
        <v>2803.738318</v>
      </c>
      <c r="P1910" s="10">
        <f>'data on outstanding creditors'!$E1910-'data on outstanding creditors'!$O1910</f>
        <v>196.2616822</v>
      </c>
      <c r="Q1910" s="7">
        <f>DAY('data on outstanding creditors'!$B1910)</f>
        <v>3</v>
      </c>
      <c r="R1910" s="7">
        <f>MONTH('data on outstanding creditors'!$B1910)</f>
        <v>4</v>
      </c>
      <c r="S1910" s="7">
        <f>YEAR('data on outstanding creditors'!$B1910)</f>
        <v>2025</v>
      </c>
      <c r="T1910" s="11" t="str">
        <f>'data on outstanding creditors'!$C1910&amp;" "&amp;'data on outstanding creditors'!$D1910&amp;" "&amp;TEXT('data on outstanding creditors'!$E1910,"#,##0.00")</f>
        <v>บ.เรียลเมดคอร์ป IV25034701 3,000.00</v>
      </c>
      <c r="U1910" s="12"/>
    </row>
    <row r="1911" ht="13.5" customHeight="1">
      <c r="A1911" s="1" t="s">
        <v>2583</v>
      </c>
      <c r="B1911" s="2">
        <v>45750.0</v>
      </c>
      <c r="C1911" s="9" t="s">
        <v>2301</v>
      </c>
      <c r="D1911" s="1" t="s">
        <v>2584</v>
      </c>
      <c r="E1911" s="4">
        <v>3700.0</v>
      </c>
      <c r="F1911" s="4"/>
      <c r="G1911" s="4"/>
      <c r="H1911" s="4">
        <f>'data on outstanding creditors'!$E1911-'data on outstanding creditors'!$F1911-'data on outstanding creditors'!$G1911</f>
        <v>3700</v>
      </c>
      <c r="I1911" s="2"/>
      <c r="J1911" s="1" t="s">
        <v>757</v>
      </c>
      <c r="K1911" s="2">
        <v>45791.0</v>
      </c>
      <c r="L1911" s="5"/>
      <c r="M1911" s="9" t="s">
        <v>43</v>
      </c>
      <c r="N1911" s="9" t="s">
        <v>49</v>
      </c>
      <c r="O1911" s="10">
        <f>'data on outstanding creditors'!$E1911*100/107</f>
        <v>3457.943925</v>
      </c>
      <c r="P1911" s="10">
        <f>'data on outstanding creditors'!$E1911-'data on outstanding creditors'!$O1911</f>
        <v>242.0560748</v>
      </c>
      <c r="Q1911" s="7">
        <f>DAY('data on outstanding creditors'!$B1911)</f>
        <v>3</v>
      </c>
      <c r="R1911" s="7">
        <f>MONTH('data on outstanding creditors'!$B1911)</f>
        <v>4</v>
      </c>
      <c r="S1911" s="7">
        <f>YEAR('data on outstanding creditors'!$B1911)</f>
        <v>2025</v>
      </c>
      <c r="T1911" s="11" t="str">
        <f>'data on outstanding creditors'!$C1911&amp;" "&amp;'data on outstanding creditors'!$D1911&amp;" "&amp;TEXT('data on outstanding creditors'!$E1911,"#,##0.00")</f>
        <v>บ.เค เค เมดิคอล 10849 3,700.00</v>
      </c>
      <c r="U1911" s="12"/>
    </row>
    <row r="1912" ht="13.5" customHeight="1">
      <c r="A1912" s="1" t="s">
        <v>2585</v>
      </c>
      <c r="B1912" s="2">
        <v>45750.0</v>
      </c>
      <c r="C1912" s="9" t="s">
        <v>2586</v>
      </c>
      <c r="D1912" s="1" t="s">
        <v>2587</v>
      </c>
      <c r="E1912" s="4">
        <v>23000.0</v>
      </c>
      <c r="F1912" s="4"/>
      <c r="G1912" s="4"/>
      <c r="H1912" s="4">
        <f>'data on outstanding creditors'!$E1912-'data on outstanding creditors'!$F1912-'data on outstanding creditors'!$G1912</f>
        <v>23000</v>
      </c>
      <c r="I1912" s="2"/>
      <c r="J1912" s="1" t="s">
        <v>646</v>
      </c>
      <c r="K1912" s="2">
        <v>45928.0</v>
      </c>
      <c r="L1912" s="5"/>
      <c r="M1912" s="9" t="s">
        <v>43</v>
      </c>
      <c r="N1912" s="9" t="s">
        <v>49</v>
      </c>
      <c r="O1912" s="10">
        <f>'data on outstanding creditors'!$E1912*100/107</f>
        <v>21495.3271</v>
      </c>
      <c r="P1912" s="10">
        <f>'data on outstanding creditors'!$E1912-'data on outstanding creditors'!$O1912</f>
        <v>1504.672897</v>
      </c>
      <c r="Q1912" s="7">
        <f>DAY('data on outstanding creditors'!$B1912)</f>
        <v>3</v>
      </c>
      <c r="R1912" s="7">
        <f>MONTH('data on outstanding creditors'!$B1912)</f>
        <v>4</v>
      </c>
      <c r="S1912" s="7">
        <f>YEAR('data on outstanding creditors'!$B1912)</f>
        <v>2025</v>
      </c>
      <c r="T1912" s="11" t="str">
        <f>'data on outstanding creditors'!$C1912&amp;" "&amp;'data on outstanding creditors'!$D1912&amp;" "&amp;TEXT('data on outstanding creditors'!$E1912,"#,##0.00")</f>
        <v>บ.ไท้เส กรุ๊ป IV25/04-084 23,000.00</v>
      </c>
      <c r="U1912" s="12"/>
    </row>
    <row r="1913" ht="13.5" customHeight="1">
      <c r="A1913" s="1" t="s">
        <v>2588</v>
      </c>
      <c r="B1913" s="2">
        <v>45751.0</v>
      </c>
      <c r="C1913" s="9" t="s">
        <v>1029</v>
      </c>
      <c r="D1913" s="1" t="s">
        <v>2589</v>
      </c>
      <c r="E1913" s="4">
        <v>17600.0</v>
      </c>
      <c r="F1913" s="4"/>
      <c r="G1913" s="4"/>
      <c r="H1913" s="4">
        <f>'data on outstanding creditors'!$E1913-'data on outstanding creditors'!$F1913-'data on outstanding creditors'!$G1913</f>
        <v>17600</v>
      </c>
      <c r="I1913" s="2"/>
      <c r="J1913" s="1"/>
      <c r="K1913" s="2"/>
      <c r="L1913" s="5"/>
      <c r="M1913" s="9" t="s">
        <v>43</v>
      </c>
      <c r="N1913" s="9" t="s">
        <v>49</v>
      </c>
      <c r="O1913" s="10">
        <f>'data on outstanding creditors'!$E1913*100/107</f>
        <v>16448.59813</v>
      </c>
      <c r="P1913" s="10">
        <f>'data on outstanding creditors'!$E1913-'data on outstanding creditors'!$O1913</f>
        <v>1151.401869</v>
      </c>
      <c r="Q1913" s="7">
        <f>DAY('data on outstanding creditors'!$B1913)</f>
        <v>4</v>
      </c>
      <c r="R1913" s="7">
        <f>MONTH('data on outstanding creditors'!$B1913)</f>
        <v>4</v>
      </c>
      <c r="S1913" s="7">
        <f>YEAR('data on outstanding creditors'!$B1913)</f>
        <v>2025</v>
      </c>
      <c r="T1913" s="11" t="str">
        <f>'data on outstanding creditors'!$C1913&amp;" "&amp;'data on outstanding creditors'!$D1913&amp;" "&amp;TEXT('data on outstanding creditors'!$E1913,"#,##0.00")</f>
        <v>บ.เอเทค เมดิคอล IV6804057 17,600.00</v>
      </c>
      <c r="U1913" s="12"/>
    </row>
    <row r="1914" ht="13.5" customHeight="1">
      <c r="A1914" s="1" t="s">
        <v>2590</v>
      </c>
      <c r="B1914" s="2">
        <v>45751.0</v>
      </c>
      <c r="C1914" s="9" t="s">
        <v>1029</v>
      </c>
      <c r="D1914" s="1" t="s">
        <v>2591</v>
      </c>
      <c r="E1914" s="4">
        <v>17600.0</v>
      </c>
      <c r="F1914" s="4"/>
      <c r="G1914" s="4"/>
      <c r="H1914" s="4">
        <f>'data on outstanding creditors'!$E1914-'data on outstanding creditors'!$F1914-'data on outstanding creditors'!$G1914</f>
        <v>17600</v>
      </c>
      <c r="I1914" s="2"/>
      <c r="J1914" s="1" t="s">
        <v>757</v>
      </c>
      <c r="K1914" s="2">
        <v>45916.0</v>
      </c>
      <c r="L1914" s="5"/>
      <c r="M1914" s="9" t="s">
        <v>43</v>
      </c>
      <c r="N1914" s="9" t="s">
        <v>49</v>
      </c>
      <c r="O1914" s="10">
        <f>'data on outstanding creditors'!$E1914*100/107</f>
        <v>16448.59813</v>
      </c>
      <c r="P1914" s="10">
        <f>'data on outstanding creditors'!$E1914-'data on outstanding creditors'!$O1914</f>
        <v>1151.401869</v>
      </c>
      <c r="Q1914" s="7">
        <f>DAY('data on outstanding creditors'!$B1914)</f>
        <v>4</v>
      </c>
      <c r="R1914" s="7">
        <f>MONTH('data on outstanding creditors'!$B1914)</f>
        <v>4</v>
      </c>
      <c r="S1914" s="7">
        <f>YEAR('data on outstanding creditors'!$B1914)</f>
        <v>2025</v>
      </c>
      <c r="T1914" s="11" t="str">
        <f>'data on outstanding creditors'!$C1914&amp;" "&amp;'data on outstanding creditors'!$D1914&amp;" "&amp;TEXT('data on outstanding creditors'!$E1914,"#,##0.00")</f>
        <v>บ.เอเทค เมดิคอล IV6804058 17,600.00</v>
      </c>
      <c r="U1914" s="12"/>
    </row>
    <row r="1915" ht="13.5" customHeight="1">
      <c r="A1915" s="1" t="s">
        <v>2592</v>
      </c>
      <c r="B1915" s="2">
        <v>45751.0</v>
      </c>
      <c r="C1915" s="9" t="s">
        <v>286</v>
      </c>
      <c r="D1915" s="1" t="s">
        <v>2593</v>
      </c>
      <c r="E1915" s="4">
        <v>20000.0</v>
      </c>
      <c r="F1915" s="4"/>
      <c r="G1915" s="4"/>
      <c r="H1915" s="4">
        <f>'data on outstanding creditors'!$E1915-'data on outstanding creditors'!$F1915-'data on outstanding creditors'!$G1915</f>
        <v>20000</v>
      </c>
      <c r="I1915" s="2"/>
      <c r="J1915" s="1" t="s">
        <v>757</v>
      </c>
      <c r="K1915" s="2">
        <v>45904.0</v>
      </c>
      <c r="L1915" s="5"/>
      <c r="M1915" s="9" t="s">
        <v>43</v>
      </c>
      <c r="N1915" s="9" t="s">
        <v>49</v>
      </c>
      <c r="O1915" s="10">
        <f>'data on outstanding creditors'!$E1915*100/107</f>
        <v>18691.58879</v>
      </c>
      <c r="P1915" s="10">
        <f>'data on outstanding creditors'!$E1915-'data on outstanding creditors'!$O1915</f>
        <v>1308.411215</v>
      </c>
      <c r="Q1915" s="7">
        <f>DAY('data on outstanding creditors'!$B1915)</f>
        <v>4</v>
      </c>
      <c r="R1915" s="7">
        <f>MONTH('data on outstanding creditors'!$B1915)</f>
        <v>4</v>
      </c>
      <c r="S1915" s="7">
        <f>YEAR('data on outstanding creditors'!$B1915)</f>
        <v>2025</v>
      </c>
      <c r="T1915" s="11" t="str">
        <f>'data on outstanding creditors'!$C1915&amp;" "&amp;'data on outstanding creditors'!$D1915&amp;" "&amp;TEXT('data on outstanding creditors'!$E1915,"#,##0.00")</f>
        <v>บ.เอ็ม ดี ซี (ประเทศไทย) IV25040166 20,000.00</v>
      </c>
      <c r="U1915" s="12"/>
    </row>
    <row r="1916" ht="13.5" customHeight="1">
      <c r="A1916" s="1" t="s">
        <v>2594</v>
      </c>
      <c r="B1916" s="2">
        <v>45751.0</v>
      </c>
      <c r="C1916" s="9" t="s">
        <v>286</v>
      </c>
      <c r="D1916" s="1" t="s">
        <v>2595</v>
      </c>
      <c r="E1916" s="4">
        <v>20000.0</v>
      </c>
      <c r="F1916" s="4"/>
      <c r="G1916" s="4"/>
      <c r="H1916" s="4">
        <f>'data on outstanding creditors'!$E1916-'data on outstanding creditors'!$F1916-'data on outstanding creditors'!$G1916</f>
        <v>20000</v>
      </c>
      <c r="I1916" s="2"/>
      <c r="J1916" s="1" t="s">
        <v>757</v>
      </c>
      <c r="K1916" s="2">
        <v>45904.0</v>
      </c>
      <c r="L1916" s="5"/>
      <c r="M1916" s="9" t="s">
        <v>43</v>
      </c>
      <c r="N1916" s="9" t="s">
        <v>49</v>
      </c>
      <c r="O1916" s="10">
        <f>'data on outstanding creditors'!$E1916*100/107</f>
        <v>18691.58879</v>
      </c>
      <c r="P1916" s="10">
        <f>'data on outstanding creditors'!$E1916-'data on outstanding creditors'!$O1916</f>
        <v>1308.411215</v>
      </c>
      <c r="Q1916" s="7">
        <f>DAY('data on outstanding creditors'!$B1916)</f>
        <v>4</v>
      </c>
      <c r="R1916" s="7">
        <f>MONTH('data on outstanding creditors'!$B1916)</f>
        <v>4</v>
      </c>
      <c r="S1916" s="7">
        <f>YEAR('data on outstanding creditors'!$B1916)</f>
        <v>2025</v>
      </c>
      <c r="T1916" s="11" t="str">
        <f>'data on outstanding creditors'!$C1916&amp;" "&amp;'data on outstanding creditors'!$D1916&amp;" "&amp;TEXT('data on outstanding creditors'!$E1916,"#,##0.00")</f>
        <v>บ.เอ็ม ดี ซี (ประเทศไทย) IV25040502 20,000.00</v>
      </c>
      <c r="U1916" s="12"/>
    </row>
    <row r="1917" ht="13.5" customHeight="1">
      <c r="A1917" s="1" t="s">
        <v>2596</v>
      </c>
      <c r="B1917" s="2">
        <v>45751.0</v>
      </c>
      <c r="C1917" s="9" t="s">
        <v>2389</v>
      </c>
      <c r="D1917" s="1" t="s">
        <v>2597</v>
      </c>
      <c r="E1917" s="4">
        <v>86700.0</v>
      </c>
      <c r="F1917" s="4"/>
      <c r="G1917" s="4"/>
      <c r="H1917" s="4">
        <f>'data on outstanding creditors'!$E1917-'data on outstanding creditors'!$F1917-'data on outstanding creditors'!$G1917</f>
        <v>86700</v>
      </c>
      <c r="I1917" s="2"/>
      <c r="J1917" s="1" t="s">
        <v>646</v>
      </c>
      <c r="K1917" s="2">
        <v>45928.0</v>
      </c>
      <c r="L1917" s="5"/>
      <c r="M1917" s="9" t="s">
        <v>43</v>
      </c>
      <c r="N1917" s="9" t="s">
        <v>49</v>
      </c>
      <c r="O1917" s="10">
        <f>'data on outstanding creditors'!$E1917*100/107</f>
        <v>81028.03738</v>
      </c>
      <c r="P1917" s="10">
        <f>'data on outstanding creditors'!$E1917-'data on outstanding creditors'!$O1917</f>
        <v>5671.962617</v>
      </c>
      <c r="Q1917" s="7">
        <f>DAY('data on outstanding creditors'!$B1917)</f>
        <v>4</v>
      </c>
      <c r="R1917" s="7">
        <f>MONTH('data on outstanding creditors'!$B1917)</f>
        <v>4</v>
      </c>
      <c r="S1917" s="7">
        <f>YEAR('data on outstanding creditors'!$B1917)</f>
        <v>2025</v>
      </c>
      <c r="T1917" s="11" t="str">
        <f>'data on outstanding creditors'!$C1917&amp;" "&amp;'data on outstanding creditors'!$D1917&amp;" "&amp;TEXT('data on outstanding creditors'!$E1917,"#,##0.00")</f>
        <v>บ.ซี วี พี เมดิคอล เทคโนโลยี SI01/68040409 86,700.00</v>
      </c>
      <c r="U1917" s="12"/>
    </row>
    <row r="1918" ht="13.5" customHeight="1">
      <c r="A1918" s="1" t="s">
        <v>2598</v>
      </c>
      <c r="B1918" s="2">
        <v>45751.0</v>
      </c>
      <c r="C1918" s="9" t="s">
        <v>2389</v>
      </c>
      <c r="D1918" s="1" t="s">
        <v>2599</v>
      </c>
      <c r="E1918" s="4">
        <v>51300.0</v>
      </c>
      <c r="F1918" s="4"/>
      <c r="G1918" s="4"/>
      <c r="H1918" s="4">
        <f>'data on outstanding creditors'!$E1918-'data on outstanding creditors'!$F1918-'data on outstanding creditors'!$G1918</f>
        <v>51300</v>
      </c>
      <c r="I1918" s="2"/>
      <c r="J1918" s="1" t="s">
        <v>646</v>
      </c>
      <c r="K1918" s="2">
        <v>45944.0</v>
      </c>
      <c r="L1918" s="5"/>
      <c r="M1918" s="9" t="s">
        <v>43</v>
      </c>
      <c r="N1918" s="9" t="s">
        <v>49</v>
      </c>
      <c r="O1918" s="10">
        <f>'data on outstanding creditors'!$E1918*100/107</f>
        <v>47943.92523</v>
      </c>
      <c r="P1918" s="10">
        <f>'data on outstanding creditors'!$E1918-'data on outstanding creditors'!$O1918</f>
        <v>3356.074766</v>
      </c>
      <c r="Q1918" s="7">
        <f>DAY('data on outstanding creditors'!$B1918)</f>
        <v>4</v>
      </c>
      <c r="R1918" s="7">
        <f>MONTH('data on outstanding creditors'!$B1918)</f>
        <v>4</v>
      </c>
      <c r="S1918" s="7">
        <f>YEAR('data on outstanding creditors'!$B1918)</f>
        <v>2025</v>
      </c>
      <c r="T1918" s="11" t="str">
        <f>'data on outstanding creditors'!$C1918&amp;" "&amp;'data on outstanding creditors'!$D1918&amp;" "&amp;TEXT('data on outstanding creditors'!$E1918,"#,##0.00")</f>
        <v>บ.ซี วี พี เมดิคอล เทคโนโลยี SI01/68040410 51,300.00</v>
      </c>
      <c r="U1918" s="12"/>
    </row>
    <row r="1919" ht="13.5" customHeight="1">
      <c r="A1919" s="1"/>
      <c r="B1919" s="2">
        <v>45755.0</v>
      </c>
      <c r="C1919" s="9" t="s">
        <v>2294</v>
      </c>
      <c r="D1919" s="1" t="s">
        <v>2600</v>
      </c>
      <c r="E1919" s="4">
        <v>3000.0</v>
      </c>
      <c r="F1919" s="4"/>
      <c r="G1919" s="4"/>
      <c r="H1919" s="4">
        <f>'data on outstanding creditors'!$E1919-'data on outstanding creditors'!$F1919-'data on outstanding creditors'!$G1919</f>
        <v>3000</v>
      </c>
      <c r="I1919" s="2"/>
      <c r="J1919" s="1" t="s">
        <v>646</v>
      </c>
      <c r="K1919" s="2">
        <v>45894.0</v>
      </c>
      <c r="L1919" s="5"/>
      <c r="M1919" s="9" t="s">
        <v>43</v>
      </c>
      <c r="N1919" s="9" t="s">
        <v>23</v>
      </c>
      <c r="O1919" s="10">
        <f>'data on outstanding creditors'!$E1919*100/107</f>
        <v>2803.738318</v>
      </c>
      <c r="P1919" s="10">
        <f>'data on outstanding creditors'!$E1919-'data on outstanding creditors'!$O1919</f>
        <v>196.2616822</v>
      </c>
      <c r="Q1919" s="7">
        <f>DAY('data on outstanding creditors'!$B1919)</f>
        <v>8</v>
      </c>
      <c r="R1919" s="7">
        <f>MONTH('data on outstanding creditors'!$B1919)</f>
        <v>4</v>
      </c>
      <c r="S1919" s="7">
        <f>YEAR('data on outstanding creditors'!$B1919)</f>
        <v>2025</v>
      </c>
      <c r="T1919" s="11" t="str">
        <f>'data on outstanding creditors'!$C1919&amp;" "&amp;'data on outstanding creditors'!$D1919&amp;" "&amp;TEXT('data on outstanding creditors'!$E1919,"#,##0.00")</f>
        <v>บ.แอสเซ้นท์ เมดิคอล IV2025040021 3,000.00</v>
      </c>
      <c r="U1919" s="12"/>
    </row>
    <row r="1920" ht="13.5" customHeight="1">
      <c r="A1920" s="1" t="s">
        <v>2601</v>
      </c>
      <c r="B1920" s="2">
        <v>45755.0</v>
      </c>
      <c r="C1920" s="9" t="s">
        <v>1029</v>
      </c>
      <c r="D1920" s="1" t="s">
        <v>2602</v>
      </c>
      <c r="E1920" s="4">
        <v>19100.0</v>
      </c>
      <c r="F1920" s="4"/>
      <c r="G1920" s="4"/>
      <c r="H1920" s="4">
        <f>'data on outstanding creditors'!$E1920-'data on outstanding creditors'!$F1920-'data on outstanding creditors'!$G1920</f>
        <v>19100</v>
      </c>
      <c r="I1920" s="2"/>
      <c r="J1920" s="1" t="s">
        <v>757</v>
      </c>
      <c r="K1920" s="2">
        <v>45916.0</v>
      </c>
      <c r="L1920" s="5"/>
      <c r="M1920" s="9" t="s">
        <v>43</v>
      </c>
      <c r="N1920" s="9" t="s">
        <v>49</v>
      </c>
      <c r="O1920" s="10">
        <f>'data on outstanding creditors'!$E1920*100/107</f>
        <v>17850.46729</v>
      </c>
      <c r="P1920" s="10">
        <f>'data on outstanding creditors'!$E1920-'data on outstanding creditors'!$O1920</f>
        <v>1249.53271</v>
      </c>
      <c r="Q1920" s="7">
        <f>DAY('data on outstanding creditors'!$B1920)</f>
        <v>8</v>
      </c>
      <c r="R1920" s="7">
        <f>MONTH('data on outstanding creditors'!$B1920)</f>
        <v>4</v>
      </c>
      <c r="S1920" s="7">
        <f>YEAR('data on outstanding creditors'!$B1920)</f>
        <v>2025</v>
      </c>
      <c r="T1920" s="11" t="str">
        <f>'data on outstanding creditors'!$C1920&amp;" "&amp;'data on outstanding creditors'!$D1920&amp;" "&amp;TEXT('data on outstanding creditors'!$E1920,"#,##0.00")</f>
        <v>บ.เอเทค เมดิคอล IV6804107 19,100.00</v>
      </c>
      <c r="U1920" s="12"/>
    </row>
    <row r="1921" ht="13.5" customHeight="1">
      <c r="A1921" s="1" t="s">
        <v>2603</v>
      </c>
      <c r="B1921" s="2">
        <v>45755.0</v>
      </c>
      <c r="C1921" s="9" t="s">
        <v>1029</v>
      </c>
      <c r="D1921" s="1" t="s">
        <v>2604</v>
      </c>
      <c r="E1921" s="4">
        <v>19100.0</v>
      </c>
      <c r="F1921" s="4"/>
      <c r="G1921" s="4"/>
      <c r="H1921" s="4">
        <f>'data on outstanding creditors'!$E1921-'data on outstanding creditors'!$F1921-'data on outstanding creditors'!$G1921</f>
        <v>19100</v>
      </c>
      <c r="I1921" s="2"/>
      <c r="J1921" s="1" t="s">
        <v>757</v>
      </c>
      <c r="K1921" s="2">
        <v>45882.0</v>
      </c>
      <c r="L1921" s="5"/>
      <c r="M1921" s="9" t="s">
        <v>43</v>
      </c>
      <c r="N1921" s="9" t="s">
        <v>49</v>
      </c>
      <c r="O1921" s="10">
        <f>'data on outstanding creditors'!$E1921*100/107</f>
        <v>17850.46729</v>
      </c>
      <c r="P1921" s="10">
        <f>'data on outstanding creditors'!$E1921-'data on outstanding creditors'!$O1921</f>
        <v>1249.53271</v>
      </c>
      <c r="Q1921" s="7">
        <f>DAY('data on outstanding creditors'!$B1921)</f>
        <v>8</v>
      </c>
      <c r="R1921" s="7">
        <f>MONTH('data on outstanding creditors'!$B1921)</f>
        <v>4</v>
      </c>
      <c r="S1921" s="7">
        <f>YEAR('data on outstanding creditors'!$B1921)</f>
        <v>2025</v>
      </c>
      <c r="T1921" s="11" t="str">
        <f>'data on outstanding creditors'!$C1921&amp;" "&amp;'data on outstanding creditors'!$D1921&amp;" "&amp;TEXT('data on outstanding creditors'!$E1921,"#,##0.00")</f>
        <v>บ.เอเทค เมดิคอล IV6804110 19,100.00</v>
      </c>
      <c r="U1921" s="12"/>
    </row>
    <row r="1922" ht="13.5" customHeight="1">
      <c r="A1922" s="1" t="s">
        <v>2605</v>
      </c>
      <c r="B1922" s="2">
        <v>45755.0</v>
      </c>
      <c r="C1922" s="9" t="s">
        <v>2472</v>
      </c>
      <c r="D1922" s="1" t="s">
        <v>2606</v>
      </c>
      <c r="E1922" s="4">
        <v>32000.0</v>
      </c>
      <c r="F1922" s="4"/>
      <c r="G1922" s="4"/>
      <c r="H1922" s="4">
        <f>'data on outstanding creditors'!$E1922-'data on outstanding creditors'!$F1922-'data on outstanding creditors'!$G1922</f>
        <v>32000</v>
      </c>
      <c r="I1922" s="2"/>
      <c r="J1922" s="1" t="s">
        <v>757</v>
      </c>
      <c r="K1922" s="2">
        <v>45917.0</v>
      </c>
      <c r="L1922" s="5"/>
      <c r="M1922" s="9" t="s">
        <v>43</v>
      </c>
      <c r="N1922" s="9" t="s">
        <v>49</v>
      </c>
      <c r="O1922" s="10">
        <f>'data on outstanding creditors'!$E1922*100/107</f>
        <v>29906.54206</v>
      </c>
      <c r="P1922" s="10">
        <f>'data on outstanding creditors'!$E1922-'data on outstanding creditors'!$O1922</f>
        <v>2093.457944</v>
      </c>
      <c r="Q1922" s="7">
        <f>DAY('data on outstanding creditors'!$B1922)</f>
        <v>8</v>
      </c>
      <c r="R1922" s="7">
        <f>MONTH('data on outstanding creditors'!$B1922)</f>
        <v>4</v>
      </c>
      <c r="S1922" s="7">
        <f>YEAR('data on outstanding creditors'!$B1922)</f>
        <v>2025</v>
      </c>
      <c r="T1922" s="11" t="str">
        <f>'data on outstanding creditors'!$C1922&amp;" "&amp;'data on outstanding creditors'!$D1922&amp;" "&amp;TEXT('data on outstanding creditors'!$E1922,"#,##0.00")</f>
        <v>บ.เอเมอร์สัน กรุ๊ป IV6804121 32,000.00</v>
      </c>
      <c r="U1922" s="12"/>
    </row>
    <row r="1923" ht="13.5" customHeight="1">
      <c r="A1923" s="1" t="s">
        <v>2607</v>
      </c>
      <c r="B1923" s="2">
        <v>45755.0</v>
      </c>
      <c r="C1923" s="9" t="s">
        <v>1320</v>
      </c>
      <c r="D1923" s="1" t="s">
        <v>2608</v>
      </c>
      <c r="E1923" s="4">
        <v>35100.0</v>
      </c>
      <c r="F1923" s="4"/>
      <c r="G1923" s="4"/>
      <c r="H1923" s="4">
        <f>'data on outstanding creditors'!$E1923-'data on outstanding creditors'!$F1923-'data on outstanding creditors'!$G1923</f>
        <v>35100</v>
      </c>
      <c r="I1923" s="2"/>
      <c r="J1923" s="1" t="s">
        <v>646</v>
      </c>
      <c r="K1923" s="2">
        <v>45928.0</v>
      </c>
      <c r="L1923" s="5"/>
      <c r="M1923" s="9" t="s">
        <v>43</v>
      </c>
      <c r="N1923" s="9" t="s">
        <v>49</v>
      </c>
      <c r="O1923" s="10">
        <f>'data on outstanding creditors'!$E1923*100/107</f>
        <v>32803.73832</v>
      </c>
      <c r="P1923" s="10">
        <f>'data on outstanding creditors'!$E1923-'data on outstanding creditors'!$O1923</f>
        <v>2296.261682</v>
      </c>
      <c r="Q1923" s="7">
        <f>DAY('data on outstanding creditors'!$B1923)</f>
        <v>8</v>
      </c>
      <c r="R1923" s="7">
        <f>MONTH('data on outstanding creditors'!$B1923)</f>
        <v>4</v>
      </c>
      <c r="S1923" s="7">
        <f>YEAR('data on outstanding creditors'!$B1923)</f>
        <v>2025</v>
      </c>
      <c r="T1923" s="11" t="str">
        <f>'data on outstanding creditors'!$C1923&amp;" "&amp;'data on outstanding creditors'!$D1923&amp;" "&amp;TEXT('data on outstanding creditors'!$E1923,"#,##0.00")</f>
        <v>บ.บี.เอ็ล.ฮั้ว 68013518 35,100.00</v>
      </c>
      <c r="U1923" s="12"/>
    </row>
    <row r="1924" ht="13.5" customHeight="1">
      <c r="A1924" s="1"/>
      <c r="B1924" s="2">
        <v>45756.0</v>
      </c>
      <c r="C1924" s="9" t="s">
        <v>2387</v>
      </c>
      <c r="D1924" s="1" t="s">
        <v>2609</v>
      </c>
      <c r="E1924" s="4">
        <v>22000.0</v>
      </c>
      <c r="F1924" s="4"/>
      <c r="G1924" s="4"/>
      <c r="H1924" s="4">
        <f>'data on outstanding creditors'!$E1924-'data on outstanding creditors'!$F1924-'data on outstanding creditors'!$G1924</f>
        <v>22000</v>
      </c>
      <c r="I1924" s="2"/>
      <c r="J1924" s="1" t="s">
        <v>646</v>
      </c>
      <c r="K1924" s="2">
        <v>45877.0</v>
      </c>
      <c r="L1924" s="5"/>
      <c r="M1924" s="9" t="s">
        <v>43</v>
      </c>
      <c r="N1924" s="9" t="s">
        <v>23</v>
      </c>
      <c r="O1924" s="10">
        <f>'data on outstanding creditors'!$E1924*100/107</f>
        <v>20560.74766</v>
      </c>
      <c r="P1924" s="10">
        <f>'data on outstanding creditors'!$E1924-'data on outstanding creditors'!$O1924</f>
        <v>1439.252336</v>
      </c>
      <c r="Q1924" s="7">
        <f>DAY('data on outstanding creditors'!$B1924)</f>
        <v>9</v>
      </c>
      <c r="R1924" s="7">
        <f>MONTH('data on outstanding creditors'!$B1924)</f>
        <v>4</v>
      </c>
      <c r="S1924" s="7">
        <f>YEAR('data on outstanding creditors'!$B1924)</f>
        <v>2025</v>
      </c>
      <c r="T1924" s="11" t="str">
        <f>'data on outstanding creditors'!$C1924&amp;" "&amp;'data on outstanding creditors'!$D1924&amp;" "&amp;TEXT('data on outstanding creditors'!$E1924,"#,##0.00")</f>
        <v>บ.บุนย์วานิช อินเตอร์เนชั่นแนล FM680307 22,000.00</v>
      </c>
      <c r="U1924" s="12"/>
    </row>
    <row r="1925" ht="13.5" customHeight="1">
      <c r="A1925" s="1"/>
      <c r="B1925" s="2">
        <v>45756.0</v>
      </c>
      <c r="C1925" s="9" t="s">
        <v>2334</v>
      </c>
      <c r="D1925" s="1" t="s">
        <v>2610</v>
      </c>
      <c r="E1925" s="4">
        <v>10800.0</v>
      </c>
      <c r="F1925" s="4"/>
      <c r="G1925" s="4"/>
      <c r="H1925" s="4">
        <f>'data on outstanding creditors'!$E1925-'data on outstanding creditors'!$F1925-'data on outstanding creditors'!$G1925</f>
        <v>10800</v>
      </c>
      <c r="I1925" s="2"/>
      <c r="J1925" s="1" t="s">
        <v>757</v>
      </c>
      <c r="K1925" s="2">
        <v>45820.0</v>
      </c>
      <c r="L1925" s="5"/>
      <c r="M1925" s="9" t="s">
        <v>43</v>
      </c>
      <c r="N1925" s="9" t="s">
        <v>23</v>
      </c>
      <c r="O1925" s="10">
        <f>'data on outstanding creditors'!$E1925*100/107</f>
        <v>10093.45794</v>
      </c>
      <c r="P1925" s="10">
        <f>'data on outstanding creditors'!$E1925-'data on outstanding creditors'!$O1925</f>
        <v>706.5420561</v>
      </c>
      <c r="Q1925" s="7">
        <f>DAY('data on outstanding creditors'!$B1925)</f>
        <v>9</v>
      </c>
      <c r="R1925" s="7">
        <f>MONTH('data on outstanding creditors'!$B1925)</f>
        <v>4</v>
      </c>
      <c r="S1925" s="7">
        <f>YEAR('data on outstanding creditors'!$B1925)</f>
        <v>2025</v>
      </c>
      <c r="T1925" s="11" t="str">
        <f>'data on outstanding creditors'!$C1925&amp;" "&amp;'data on outstanding creditors'!$D1925&amp;" "&amp;TEXT('data on outstanding creditors'!$E1925,"#,##0.00")</f>
        <v>บ.ไทยก๊อส IV6813108 10,800.00</v>
      </c>
      <c r="U1925" s="12"/>
    </row>
    <row r="1926" ht="13.5" customHeight="1">
      <c r="A1926" s="1"/>
      <c r="B1926" s="2">
        <v>45756.0</v>
      </c>
      <c r="C1926" s="9" t="s">
        <v>1114</v>
      </c>
      <c r="D1926" s="1" t="s">
        <v>2611</v>
      </c>
      <c r="E1926" s="4">
        <v>6000.0</v>
      </c>
      <c r="F1926" s="4"/>
      <c r="G1926" s="4"/>
      <c r="H1926" s="4">
        <f>'data on outstanding creditors'!$E1926-'data on outstanding creditors'!$F1926-'data on outstanding creditors'!$G1926</f>
        <v>6000</v>
      </c>
      <c r="I1926" s="2"/>
      <c r="J1926" s="1" t="s">
        <v>646</v>
      </c>
      <c r="K1926" s="2">
        <v>45843.0</v>
      </c>
      <c r="L1926" s="5"/>
      <c r="M1926" s="9" t="s">
        <v>43</v>
      </c>
      <c r="N1926" s="9" t="s">
        <v>23</v>
      </c>
      <c r="O1926" s="10">
        <f>'data on outstanding creditors'!$E1926*100/107</f>
        <v>5607.476636</v>
      </c>
      <c r="P1926" s="10">
        <f>'data on outstanding creditors'!$E1926-'data on outstanding creditors'!$O1926</f>
        <v>392.5233645</v>
      </c>
      <c r="Q1926" s="7">
        <f>DAY('data on outstanding creditors'!$B1926)</f>
        <v>9</v>
      </c>
      <c r="R1926" s="7">
        <f>MONTH('data on outstanding creditors'!$B1926)</f>
        <v>4</v>
      </c>
      <c r="S1926" s="7">
        <f>YEAR('data on outstanding creditors'!$B1926)</f>
        <v>2025</v>
      </c>
      <c r="T1926" s="11" t="str">
        <f>'data on outstanding creditors'!$C1926&amp;" "&amp;'data on outstanding creditors'!$D1926&amp;" "&amp;TEXT('data on outstanding creditors'!$E1926,"#,##0.00")</f>
        <v>หจก.อิเลฟเว่น พลัซ EL680402031 6,000.00</v>
      </c>
      <c r="U1926" s="12"/>
    </row>
    <row r="1927" ht="13.5" customHeight="1">
      <c r="A1927" s="1"/>
      <c r="B1927" s="2">
        <v>45756.0</v>
      </c>
      <c r="C1927" s="9" t="s">
        <v>2543</v>
      </c>
      <c r="D1927" s="1" t="s">
        <v>2612</v>
      </c>
      <c r="E1927" s="4">
        <v>10800.0</v>
      </c>
      <c r="F1927" s="4"/>
      <c r="G1927" s="4"/>
      <c r="H1927" s="4">
        <f>'data on outstanding creditors'!$E1927-'data on outstanding creditors'!$F1927-'data on outstanding creditors'!$G1927</f>
        <v>10800</v>
      </c>
      <c r="I1927" s="2"/>
      <c r="J1927" s="1" t="s">
        <v>646</v>
      </c>
      <c r="K1927" s="2">
        <v>45827.0</v>
      </c>
      <c r="L1927" s="5"/>
      <c r="M1927" s="9" t="s">
        <v>43</v>
      </c>
      <c r="N1927" s="9" t="s">
        <v>23</v>
      </c>
      <c r="O1927" s="10">
        <f>'data on outstanding creditors'!$E1927*100/107</f>
        <v>10093.45794</v>
      </c>
      <c r="P1927" s="10">
        <f>'data on outstanding creditors'!$E1927-'data on outstanding creditors'!$O1927</f>
        <v>706.5420561</v>
      </c>
      <c r="Q1927" s="7">
        <f>DAY('data on outstanding creditors'!$B1927)</f>
        <v>9</v>
      </c>
      <c r="R1927" s="7">
        <f>MONTH('data on outstanding creditors'!$B1927)</f>
        <v>4</v>
      </c>
      <c r="S1927" s="7">
        <f>YEAR('data on outstanding creditors'!$B1927)</f>
        <v>2025</v>
      </c>
      <c r="T1927" s="11" t="str">
        <f>'data on outstanding creditors'!$C1927&amp;" "&amp;'data on outstanding creditors'!$D1927&amp;" "&amp;TEXT('data on outstanding creditors'!$E1927,"#,##0.00")</f>
        <v>บ.ไฮแวน เมดิคอล HV6802045 10,800.00</v>
      </c>
      <c r="U1927" s="12"/>
    </row>
    <row r="1928" ht="13.5" customHeight="1">
      <c r="A1928" s="1"/>
      <c r="B1928" s="2">
        <v>45756.0</v>
      </c>
      <c r="C1928" s="9" t="s">
        <v>965</v>
      </c>
      <c r="D1928" s="1" t="s">
        <v>2613</v>
      </c>
      <c r="E1928" s="4">
        <v>16000.0</v>
      </c>
      <c r="F1928" s="4"/>
      <c r="G1928" s="4"/>
      <c r="H1928" s="4">
        <f>'data on outstanding creditors'!$E1928-'data on outstanding creditors'!$F1928-'data on outstanding creditors'!$G1928</f>
        <v>16000</v>
      </c>
      <c r="I1928" s="2"/>
      <c r="J1928" s="1" t="s">
        <v>646</v>
      </c>
      <c r="K1928" s="2">
        <v>45843.0</v>
      </c>
      <c r="L1928" s="5"/>
      <c r="M1928" s="9" t="s">
        <v>43</v>
      </c>
      <c r="N1928" s="9" t="s">
        <v>23</v>
      </c>
      <c r="O1928" s="10">
        <f>'data on outstanding creditors'!$E1928*100/107</f>
        <v>14953.27103</v>
      </c>
      <c r="P1928" s="10">
        <f>'data on outstanding creditors'!$E1928-'data on outstanding creditors'!$O1928</f>
        <v>1046.728972</v>
      </c>
      <c r="Q1928" s="7">
        <f>DAY('data on outstanding creditors'!$B1928)</f>
        <v>9</v>
      </c>
      <c r="R1928" s="7">
        <f>MONTH('data on outstanding creditors'!$B1928)</f>
        <v>4</v>
      </c>
      <c r="S1928" s="7">
        <f>YEAR('data on outstanding creditors'!$B1928)</f>
        <v>2025</v>
      </c>
      <c r="T1928" s="11" t="str">
        <f>'data on outstanding creditors'!$C1928&amp;" "&amp;'data on outstanding creditors'!$D1928&amp;" "&amp;TEXT('data on outstanding creditors'!$E1928,"#,##0.00")</f>
        <v>บ.แปซิฟิค เฮลธ์แคร์(ไทยแลนด์) 68018270 16,000.00</v>
      </c>
      <c r="U1928" s="12"/>
    </row>
    <row r="1929" ht="13.5" customHeight="1">
      <c r="A1929" s="1"/>
      <c r="B1929" s="2">
        <v>45756.0</v>
      </c>
      <c r="C1929" s="9" t="s">
        <v>2301</v>
      </c>
      <c r="D1929" s="1" t="s">
        <v>2614</v>
      </c>
      <c r="E1929" s="4">
        <v>6850.0</v>
      </c>
      <c r="F1929" s="4"/>
      <c r="G1929" s="4"/>
      <c r="H1929" s="4">
        <f>'data on outstanding creditors'!$E1929-'data on outstanding creditors'!$F1929-'data on outstanding creditors'!$G1929</f>
        <v>6850</v>
      </c>
      <c r="I1929" s="2"/>
      <c r="J1929" s="1" t="s">
        <v>757</v>
      </c>
      <c r="K1929" s="2">
        <v>45820.0</v>
      </c>
      <c r="L1929" s="5"/>
      <c r="M1929" s="9" t="s">
        <v>43</v>
      </c>
      <c r="N1929" s="9" t="s">
        <v>23</v>
      </c>
      <c r="O1929" s="10">
        <f>'data on outstanding creditors'!$E1929*100/107</f>
        <v>6401.869159</v>
      </c>
      <c r="P1929" s="10">
        <f>'data on outstanding creditors'!$E1929-'data on outstanding creditors'!$O1929</f>
        <v>448.1308411</v>
      </c>
      <c r="Q1929" s="7">
        <f>DAY('data on outstanding creditors'!$B1929)</f>
        <v>9</v>
      </c>
      <c r="R1929" s="7">
        <f>MONTH('data on outstanding creditors'!$B1929)</f>
        <v>4</v>
      </c>
      <c r="S1929" s="7">
        <f>YEAR('data on outstanding creditors'!$B1929)</f>
        <v>2025</v>
      </c>
      <c r="T1929" s="11" t="str">
        <f>'data on outstanding creditors'!$C1929&amp;" "&amp;'data on outstanding creditors'!$D1929&amp;" "&amp;TEXT('data on outstanding creditors'!$E1929,"#,##0.00")</f>
        <v>บ.เค เค เมดิคอล 10848 6,850.00</v>
      </c>
      <c r="U1929" s="12"/>
    </row>
    <row r="1930" ht="13.5" customHeight="1">
      <c r="A1930" s="1"/>
      <c r="B1930" s="2">
        <v>45756.0</v>
      </c>
      <c r="C1930" s="9" t="s">
        <v>1637</v>
      </c>
      <c r="D1930" s="1" t="s">
        <v>2615</v>
      </c>
      <c r="E1930" s="4">
        <v>7200.0</v>
      </c>
      <c r="F1930" s="4"/>
      <c r="G1930" s="4"/>
      <c r="H1930" s="4">
        <f>'data on outstanding creditors'!$E1930-'data on outstanding creditors'!$F1930-'data on outstanding creditors'!$G1930</f>
        <v>7200</v>
      </c>
      <c r="I1930" s="2"/>
      <c r="J1930" s="1" t="s">
        <v>646</v>
      </c>
      <c r="K1930" s="2">
        <v>45856.0</v>
      </c>
      <c r="L1930" s="5"/>
      <c r="M1930" s="9" t="s">
        <v>43</v>
      </c>
      <c r="N1930" s="9" t="s">
        <v>23</v>
      </c>
      <c r="O1930" s="10">
        <f>'data on outstanding creditors'!$E1930*100/107</f>
        <v>6728.971963</v>
      </c>
      <c r="P1930" s="10">
        <f>'data on outstanding creditors'!$E1930-'data on outstanding creditors'!$O1930</f>
        <v>471.0280374</v>
      </c>
      <c r="Q1930" s="7">
        <f>DAY('data on outstanding creditors'!$B1930)</f>
        <v>9</v>
      </c>
      <c r="R1930" s="7">
        <f>MONTH('data on outstanding creditors'!$B1930)</f>
        <v>4</v>
      </c>
      <c r="S1930" s="7">
        <f>YEAR('data on outstanding creditors'!$B1930)</f>
        <v>2025</v>
      </c>
      <c r="T1930" s="11" t="str">
        <f>'data on outstanding creditors'!$C1930&amp;" "&amp;'data on outstanding creditors'!$D1930&amp;" "&amp;TEXT('data on outstanding creditors'!$E1930,"#,##0.00")</f>
        <v>บ.บีเจเอช เมดิคอล 330457400048 7,200.00</v>
      </c>
      <c r="U1930" s="12"/>
    </row>
    <row r="1931" ht="13.5" customHeight="1">
      <c r="A1931" s="1" t="s">
        <v>2616</v>
      </c>
      <c r="B1931" s="2">
        <v>45756.0</v>
      </c>
      <c r="C1931" s="9" t="s">
        <v>1288</v>
      </c>
      <c r="D1931" s="1" t="s">
        <v>2617</v>
      </c>
      <c r="E1931" s="4">
        <v>1155.6</v>
      </c>
      <c r="F1931" s="4"/>
      <c r="G1931" s="4"/>
      <c r="H1931" s="4">
        <f>'data on outstanding creditors'!$E1931-'data on outstanding creditors'!$F1931-'data on outstanding creditors'!$G1931</f>
        <v>1155.6</v>
      </c>
      <c r="I1931" s="2"/>
      <c r="J1931" s="1" t="s">
        <v>646</v>
      </c>
      <c r="K1931" s="2">
        <v>45856.0</v>
      </c>
      <c r="L1931" s="5"/>
      <c r="M1931" s="9" t="s">
        <v>43</v>
      </c>
      <c r="N1931" s="9" t="s">
        <v>49</v>
      </c>
      <c r="O1931" s="10">
        <f>'data on outstanding creditors'!$E1931*100/107</f>
        <v>1080</v>
      </c>
      <c r="P1931" s="10">
        <f>'data on outstanding creditors'!$E1931-'data on outstanding creditors'!$O1931</f>
        <v>75.6</v>
      </c>
      <c r="Q1931" s="7">
        <f>DAY('data on outstanding creditors'!$B1931)</f>
        <v>9</v>
      </c>
      <c r="R1931" s="7">
        <f>MONTH('data on outstanding creditors'!$B1931)</f>
        <v>4</v>
      </c>
      <c r="S1931" s="7">
        <f>YEAR('data on outstanding creditors'!$B1931)</f>
        <v>2025</v>
      </c>
      <c r="T1931" s="11" t="str">
        <f>'data on outstanding creditors'!$C1931&amp;" "&amp;'data on outstanding creditors'!$D1931&amp;" "&amp;TEXT('data on outstanding creditors'!$E1931,"#,##0.00")</f>
        <v>บ.เจ เอส วิชั่น 200055784 1,155.60</v>
      </c>
      <c r="U1931" s="12"/>
    </row>
    <row r="1932" ht="13.5" customHeight="1">
      <c r="A1932" s="1" t="s">
        <v>2618</v>
      </c>
      <c r="B1932" s="2">
        <v>45757.0</v>
      </c>
      <c r="C1932" s="9" t="s">
        <v>2472</v>
      </c>
      <c r="D1932" s="1" t="s">
        <v>2619</v>
      </c>
      <c r="E1932" s="4">
        <v>32000.0</v>
      </c>
      <c r="F1932" s="4"/>
      <c r="G1932" s="4"/>
      <c r="H1932" s="4">
        <f>'data on outstanding creditors'!$E1932-'data on outstanding creditors'!$F1932-'data on outstanding creditors'!$G1932</f>
        <v>32000</v>
      </c>
      <c r="I1932" s="2"/>
      <c r="J1932" s="1" t="s">
        <v>757</v>
      </c>
      <c r="K1932" s="2">
        <v>45917.0</v>
      </c>
      <c r="L1932" s="5"/>
      <c r="M1932" s="9" t="s">
        <v>43</v>
      </c>
      <c r="N1932" s="9" t="s">
        <v>49</v>
      </c>
      <c r="O1932" s="10">
        <f>'data on outstanding creditors'!$E1932*100/107</f>
        <v>29906.54206</v>
      </c>
      <c r="P1932" s="10">
        <f>'data on outstanding creditors'!$E1932-'data on outstanding creditors'!$O1932</f>
        <v>2093.457944</v>
      </c>
      <c r="Q1932" s="7">
        <f>DAY('data on outstanding creditors'!$B1932)</f>
        <v>10</v>
      </c>
      <c r="R1932" s="7">
        <f>MONTH('data on outstanding creditors'!$B1932)</f>
        <v>4</v>
      </c>
      <c r="S1932" s="7">
        <f>YEAR('data on outstanding creditors'!$B1932)</f>
        <v>2025</v>
      </c>
      <c r="T1932" s="11" t="str">
        <f>'data on outstanding creditors'!$C1932&amp;" "&amp;'data on outstanding creditors'!$D1932&amp;" "&amp;TEXT('data on outstanding creditors'!$E1932,"#,##0.00")</f>
        <v>บ.เอเมอร์สัน กรุ๊ป IV6804148 32,000.00</v>
      </c>
      <c r="U1932" s="12"/>
    </row>
    <row r="1933" ht="13.5" customHeight="1">
      <c r="A1933" s="1" t="s">
        <v>2620</v>
      </c>
      <c r="B1933" s="2">
        <v>45757.0</v>
      </c>
      <c r="C1933" s="9" t="s">
        <v>1029</v>
      </c>
      <c r="D1933" s="1" t="s">
        <v>2621</v>
      </c>
      <c r="E1933" s="4">
        <v>8100.0</v>
      </c>
      <c r="F1933" s="4"/>
      <c r="G1933" s="4"/>
      <c r="H1933" s="4">
        <f>'data on outstanding creditors'!$E1933-'data on outstanding creditors'!$F1933-'data on outstanding creditors'!$G1933</f>
        <v>8100</v>
      </c>
      <c r="I1933" s="2"/>
      <c r="J1933" s="1" t="s">
        <v>757</v>
      </c>
      <c r="K1933" s="2">
        <v>45854.0</v>
      </c>
      <c r="L1933" s="5"/>
      <c r="M1933" s="9" t="s">
        <v>43</v>
      </c>
      <c r="N1933" s="9" t="s">
        <v>49</v>
      </c>
      <c r="O1933" s="10">
        <f>'data on outstanding creditors'!$E1933*100/107</f>
        <v>7570.093458</v>
      </c>
      <c r="P1933" s="10">
        <f>'data on outstanding creditors'!$E1933-'data on outstanding creditors'!$O1933</f>
        <v>529.9065421</v>
      </c>
      <c r="Q1933" s="7">
        <f>DAY('data on outstanding creditors'!$B1933)</f>
        <v>10</v>
      </c>
      <c r="R1933" s="7">
        <f>MONTH('data on outstanding creditors'!$B1933)</f>
        <v>4</v>
      </c>
      <c r="S1933" s="7">
        <f>YEAR('data on outstanding creditors'!$B1933)</f>
        <v>2025</v>
      </c>
      <c r="T1933" s="11" t="str">
        <f>'data on outstanding creditors'!$C1933&amp;" "&amp;'data on outstanding creditors'!$D1933&amp;" "&amp;TEXT('data on outstanding creditors'!$E1933,"#,##0.00")</f>
        <v>บ.เอเทค เมดิคอล IV6804116 8,100.00</v>
      </c>
      <c r="U1933" s="12"/>
    </row>
    <row r="1934" ht="13.5" customHeight="1">
      <c r="A1934" s="1" t="s">
        <v>2622</v>
      </c>
      <c r="B1934" s="2">
        <v>45758.0</v>
      </c>
      <c r="C1934" s="9" t="s">
        <v>1114</v>
      </c>
      <c r="D1934" s="1" t="s">
        <v>2623</v>
      </c>
      <c r="E1934" s="4">
        <v>700.0</v>
      </c>
      <c r="F1934" s="4"/>
      <c r="G1934" s="4"/>
      <c r="H1934" s="4">
        <f>'data on outstanding creditors'!$E1934-'data on outstanding creditors'!$F1934-'data on outstanding creditors'!$G1934</f>
        <v>700</v>
      </c>
      <c r="I1934" s="2"/>
      <c r="J1934" s="1" t="s">
        <v>646</v>
      </c>
      <c r="K1934" s="2">
        <v>45815.0</v>
      </c>
      <c r="L1934" s="5"/>
      <c r="M1934" s="9" t="s">
        <v>43</v>
      </c>
      <c r="N1934" s="9" t="s">
        <v>49</v>
      </c>
      <c r="O1934" s="10">
        <f>'data on outstanding creditors'!$E1934*100/107</f>
        <v>654.2056075</v>
      </c>
      <c r="P1934" s="10">
        <f>'data on outstanding creditors'!$E1934-'data on outstanding creditors'!$O1934</f>
        <v>45.79439252</v>
      </c>
      <c r="Q1934" s="7">
        <f>DAY('data on outstanding creditors'!$B1934)</f>
        <v>11</v>
      </c>
      <c r="R1934" s="7">
        <f>MONTH('data on outstanding creditors'!$B1934)</f>
        <v>4</v>
      </c>
      <c r="S1934" s="7">
        <f>YEAR('data on outstanding creditors'!$B1934)</f>
        <v>2025</v>
      </c>
      <c r="T1934" s="11" t="str">
        <f>'data on outstanding creditors'!$C1934&amp;" "&amp;'data on outstanding creditors'!$D1934&amp;" "&amp;TEXT('data on outstanding creditors'!$E1934,"#,##0.00")</f>
        <v>หจก.อิเลฟเว่น พลัซ EL680404079 700.00</v>
      </c>
      <c r="U1934" s="12"/>
    </row>
    <row r="1935" ht="13.5" customHeight="1">
      <c r="A1935" s="1" t="s">
        <v>2624</v>
      </c>
      <c r="B1935" s="2">
        <v>45758.0</v>
      </c>
      <c r="C1935" s="9" t="s">
        <v>2343</v>
      </c>
      <c r="D1935" s="1" t="s">
        <v>2625</v>
      </c>
      <c r="E1935" s="4">
        <v>8685.0</v>
      </c>
      <c r="F1935" s="4"/>
      <c r="G1935" s="4"/>
      <c r="H1935" s="4">
        <f>'data on outstanding creditors'!$E1935-'data on outstanding creditors'!$F1935-'data on outstanding creditors'!$G1935</f>
        <v>8685</v>
      </c>
      <c r="I1935" s="2"/>
      <c r="J1935" s="1" t="s">
        <v>646</v>
      </c>
      <c r="K1935" s="2">
        <v>45843.0</v>
      </c>
      <c r="L1935" s="5"/>
      <c r="M1935" s="9" t="s">
        <v>43</v>
      </c>
      <c r="N1935" s="9" t="s">
        <v>49</v>
      </c>
      <c r="O1935" s="10">
        <f>'data on outstanding creditors'!$E1935*100/107</f>
        <v>8116.82243</v>
      </c>
      <c r="P1935" s="10">
        <f>'data on outstanding creditors'!$E1935-'data on outstanding creditors'!$O1935</f>
        <v>568.1775701</v>
      </c>
      <c r="Q1935" s="7">
        <f>DAY('data on outstanding creditors'!$B1935)</f>
        <v>11</v>
      </c>
      <c r="R1935" s="7">
        <f>MONTH('data on outstanding creditors'!$B1935)</f>
        <v>4</v>
      </c>
      <c r="S1935" s="7">
        <f>YEAR('data on outstanding creditors'!$B1935)</f>
        <v>2025</v>
      </c>
      <c r="T1935" s="11" t="str">
        <f>'data on outstanding creditors'!$C1935&amp;" "&amp;'data on outstanding creditors'!$D1935&amp;" "&amp;TEXT('data on outstanding creditors'!$E1935,"#,##0.00")</f>
        <v>บ.ทริมเมอร์ IV250401077 8,685.00</v>
      </c>
      <c r="U1935" s="12"/>
    </row>
    <row r="1936" ht="13.5" customHeight="1">
      <c r="A1936" s="1" t="s">
        <v>2626</v>
      </c>
      <c r="B1936" s="2">
        <v>45758.0</v>
      </c>
      <c r="C1936" s="9" t="s">
        <v>2627</v>
      </c>
      <c r="D1936" s="1" t="s">
        <v>2628</v>
      </c>
      <c r="E1936" s="4">
        <v>9000.0</v>
      </c>
      <c r="F1936" s="4"/>
      <c r="G1936" s="4"/>
      <c r="H1936" s="4">
        <f>'data on outstanding creditors'!$E1936-'data on outstanding creditors'!$F1936-'data on outstanding creditors'!$G1936</f>
        <v>9000</v>
      </c>
      <c r="I1936" s="2"/>
      <c r="J1936" s="1" t="s">
        <v>646</v>
      </c>
      <c r="K1936" s="2">
        <v>45928.0</v>
      </c>
      <c r="L1936" s="5"/>
      <c r="M1936" s="9" t="s">
        <v>43</v>
      </c>
      <c r="N1936" s="9" t="s">
        <v>49</v>
      </c>
      <c r="O1936" s="10">
        <f>'data on outstanding creditors'!$E1936*100/107</f>
        <v>8411.214953</v>
      </c>
      <c r="P1936" s="10">
        <f>'data on outstanding creditors'!$E1936-'data on outstanding creditors'!$O1936</f>
        <v>588.7850467</v>
      </c>
      <c r="Q1936" s="7">
        <f>DAY('data on outstanding creditors'!$B1936)</f>
        <v>11</v>
      </c>
      <c r="R1936" s="7">
        <f>MONTH('data on outstanding creditors'!$B1936)</f>
        <v>4</v>
      </c>
      <c r="S1936" s="7">
        <f>YEAR('data on outstanding creditors'!$B1936)</f>
        <v>2025</v>
      </c>
      <c r="T1936" s="11" t="str">
        <f>'data on outstanding creditors'!$C1936&amp;" "&amp;'data on outstanding creditors'!$D1936&amp;" "&amp;TEXT('data on outstanding creditors'!$E1936,"#,##0.00")</f>
        <v>บ.อัครวินท์ อินเตอร์ไฟร์ส 68/04-0010 9,000.00</v>
      </c>
      <c r="U1936" s="12"/>
    </row>
    <row r="1937" ht="13.5" customHeight="1">
      <c r="A1937" s="1" t="s">
        <v>2629</v>
      </c>
      <c r="B1937" s="2">
        <v>45758.0</v>
      </c>
      <c r="C1937" s="9" t="s">
        <v>1029</v>
      </c>
      <c r="D1937" s="1" t="s">
        <v>2630</v>
      </c>
      <c r="E1937" s="4">
        <v>18200.0</v>
      </c>
      <c r="F1937" s="4"/>
      <c r="G1937" s="4"/>
      <c r="H1937" s="4">
        <f>'data on outstanding creditors'!$E1937-'data on outstanding creditors'!$F1937-'data on outstanding creditors'!$G1937</f>
        <v>18200</v>
      </c>
      <c r="I1937" s="2"/>
      <c r="J1937" s="1" t="s">
        <v>757</v>
      </c>
      <c r="K1937" s="2">
        <v>45904.0</v>
      </c>
      <c r="L1937" s="5"/>
      <c r="M1937" s="9" t="s">
        <v>43</v>
      </c>
      <c r="N1937" s="9" t="s">
        <v>49</v>
      </c>
      <c r="O1937" s="10">
        <f>'data on outstanding creditors'!$E1937*100/107</f>
        <v>17009.34579</v>
      </c>
      <c r="P1937" s="10">
        <f>'data on outstanding creditors'!$E1937-'data on outstanding creditors'!$O1937</f>
        <v>1190.654206</v>
      </c>
      <c r="Q1937" s="7">
        <f>DAY('data on outstanding creditors'!$B1937)</f>
        <v>11</v>
      </c>
      <c r="R1937" s="7">
        <f>MONTH('data on outstanding creditors'!$B1937)</f>
        <v>4</v>
      </c>
      <c r="S1937" s="7">
        <f>YEAR('data on outstanding creditors'!$B1937)</f>
        <v>2025</v>
      </c>
      <c r="T1937" s="11" t="str">
        <f>'data on outstanding creditors'!$C1937&amp;" "&amp;'data on outstanding creditors'!$D1937&amp;" "&amp;TEXT('data on outstanding creditors'!$E1937,"#,##0.00")</f>
        <v>บ.เอเทค เมดิคอล IV6804190 18,200.00</v>
      </c>
      <c r="U1937" s="12"/>
    </row>
    <row r="1938" ht="13.5" customHeight="1">
      <c r="A1938" s="1" t="s">
        <v>2631</v>
      </c>
      <c r="B1938" s="2">
        <v>45758.0</v>
      </c>
      <c r="C1938" s="9" t="s">
        <v>1029</v>
      </c>
      <c r="D1938" s="1" t="s">
        <v>2632</v>
      </c>
      <c r="E1938" s="4">
        <v>17600.0</v>
      </c>
      <c r="F1938" s="4"/>
      <c r="G1938" s="4"/>
      <c r="H1938" s="4">
        <f>'data on outstanding creditors'!$E1938-'data on outstanding creditors'!$F1938-'data on outstanding creditors'!$G1938</f>
        <v>17600</v>
      </c>
      <c r="I1938" s="2"/>
      <c r="J1938" s="1" t="s">
        <v>757</v>
      </c>
      <c r="K1938" s="2">
        <v>45904.0</v>
      </c>
      <c r="L1938" s="5"/>
      <c r="M1938" s="9" t="s">
        <v>43</v>
      </c>
      <c r="N1938" s="9" t="s">
        <v>49</v>
      </c>
      <c r="O1938" s="10">
        <f>'data on outstanding creditors'!$E1938*100/107</f>
        <v>16448.59813</v>
      </c>
      <c r="P1938" s="10">
        <f>'data on outstanding creditors'!$E1938-'data on outstanding creditors'!$O1938</f>
        <v>1151.401869</v>
      </c>
      <c r="Q1938" s="7">
        <f>DAY('data on outstanding creditors'!$B1938)</f>
        <v>11</v>
      </c>
      <c r="R1938" s="7">
        <f>MONTH('data on outstanding creditors'!$B1938)</f>
        <v>4</v>
      </c>
      <c r="S1938" s="7">
        <f>YEAR('data on outstanding creditors'!$B1938)</f>
        <v>2025</v>
      </c>
      <c r="T1938" s="11" t="str">
        <f>'data on outstanding creditors'!$C1938&amp;" "&amp;'data on outstanding creditors'!$D1938&amp;" "&amp;TEXT('data on outstanding creditors'!$E1938,"#,##0.00")</f>
        <v>บ.เอเทค เมดิคอล IV6804191 17,600.00</v>
      </c>
      <c r="U1938" s="12"/>
    </row>
    <row r="1939" ht="13.5" customHeight="1">
      <c r="A1939" s="1" t="s">
        <v>2633</v>
      </c>
      <c r="B1939" s="2">
        <v>45758.0</v>
      </c>
      <c r="C1939" s="9" t="s">
        <v>1114</v>
      </c>
      <c r="D1939" s="1" t="s">
        <v>2634</v>
      </c>
      <c r="E1939" s="4">
        <v>1900.0</v>
      </c>
      <c r="F1939" s="4"/>
      <c r="G1939" s="4"/>
      <c r="H1939" s="4">
        <f>'data on outstanding creditors'!$E1939-'data on outstanding creditors'!$F1939-'data on outstanding creditors'!$G1939</f>
        <v>1900</v>
      </c>
      <c r="I1939" s="2"/>
      <c r="J1939" s="1" t="s">
        <v>646</v>
      </c>
      <c r="K1939" s="2">
        <v>45877.0</v>
      </c>
      <c r="L1939" s="5"/>
      <c r="M1939" s="9" t="s">
        <v>43</v>
      </c>
      <c r="N1939" s="9" t="s">
        <v>49</v>
      </c>
      <c r="O1939" s="10">
        <f>'data on outstanding creditors'!$E1939*100/107</f>
        <v>1775.700935</v>
      </c>
      <c r="P1939" s="10">
        <f>'data on outstanding creditors'!$E1939-'data on outstanding creditors'!$O1939</f>
        <v>124.2990654</v>
      </c>
      <c r="Q1939" s="7">
        <f>DAY('data on outstanding creditors'!$B1939)</f>
        <v>11</v>
      </c>
      <c r="R1939" s="7">
        <f>MONTH('data on outstanding creditors'!$B1939)</f>
        <v>4</v>
      </c>
      <c r="S1939" s="7">
        <f>YEAR('data on outstanding creditors'!$B1939)</f>
        <v>2025</v>
      </c>
      <c r="T1939" s="11" t="str">
        <f>'data on outstanding creditors'!$C1939&amp;" "&amp;'data on outstanding creditors'!$D1939&amp;" "&amp;TEXT('data on outstanding creditors'!$E1939,"#,##0.00")</f>
        <v>หจก.อิเลฟเว่น พลัซ EL680403038 1,900.00</v>
      </c>
      <c r="U1939" s="12"/>
    </row>
    <row r="1940" ht="13.5" customHeight="1">
      <c r="A1940" s="1" t="s">
        <v>2635</v>
      </c>
      <c r="B1940" s="2">
        <v>45764.0</v>
      </c>
      <c r="C1940" s="9" t="s">
        <v>1114</v>
      </c>
      <c r="D1940" s="1" t="s">
        <v>2636</v>
      </c>
      <c r="E1940" s="4">
        <v>240.0</v>
      </c>
      <c r="F1940" s="4"/>
      <c r="G1940" s="4"/>
      <c r="H1940" s="4">
        <f>'data on outstanding creditors'!$E1940-'data on outstanding creditors'!$F1940-'data on outstanding creditors'!$G1940</f>
        <v>240</v>
      </c>
      <c r="I1940" s="2"/>
      <c r="J1940" s="1" t="s">
        <v>646</v>
      </c>
      <c r="K1940" s="2">
        <v>45815.0</v>
      </c>
      <c r="L1940" s="5"/>
      <c r="M1940" s="9" t="s">
        <v>43</v>
      </c>
      <c r="N1940" s="9" t="s">
        <v>49</v>
      </c>
      <c r="O1940" s="10">
        <f>'data on outstanding creditors'!$E1940*100/107</f>
        <v>224.2990654</v>
      </c>
      <c r="P1940" s="10">
        <f>'data on outstanding creditors'!$E1940-'data on outstanding creditors'!$O1940</f>
        <v>15.70093458</v>
      </c>
      <c r="Q1940" s="7">
        <f>DAY('data on outstanding creditors'!$B1940)</f>
        <v>17</v>
      </c>
      <c r="R1940" s="7">
        <f>MONTH('data on outstanding creditors'!$B1940)</f>
        <v>4</v>
      </c>
      <c r="S1940" s="7">
        <f>YEAR('data on outstanding creditors'!$B1940)</f>
        <v>2025</v>
      </c>
      <c r="T1940" s="11" t="str">
        <f>'data on outstanding creditors'!$C1940&amp;" "&amp;'data on outstanding creditors'!$D1940&amp;" "&amp;TEXT('data on outstanding creditors'!$E1940,"#,##0.00")</f>
        <v>หจก.อิเลฟเว่น พลัซ EL680409106 240.00</v>
      </c>
      <c r="U1940" s="12"/>
    </row>
    <row r="1941" ht="13.5" customHeight="1">
      <c r="A1941" s="1" t="s">
        <v>2637</v>
      </c>
      <c r="B1941" s="2">
        <v>45764.0</v>
      </c>
      <c r="C1941" s="9" t="s">
        <v>1114</v>
      </c>
      <c r="D1941" s="1" t="s">
        <v>2638</v>
      </c>
      <c r="E1941" s="4">
        <v>1000.0</v>
      </c>
      <c r="F1941" s="4"/>
      <c r="G1941" s="4"/>
      <c r="H1941" s="4">
        <f>'data on outstanding creditors'!$E1941-'data on outstanding creditors'!$F1941-'data on outstanding creditors'!$G1941</f>
        <v>1000</v>
      </c>
      <c r="I1941" s="2"/>
      <c r="J1941" s="1" t="s">
        <v>646</v>
      </c>
      <c r="K1941" s="2">
        <v>45877.0</v>
      </c>
      <c r="L1941" s="5"/>
      <c r="M1941" s="9" t="s">
        <v>43</v>
      </c>
      <c r="N1941" s="9" t="s">
        <v>49</v>
      </c>
      <c r="O1941" s="10">
        <f>'data on outstanding creditors'!$E1941*100/107</f>
        <v>934.5794393</v>
      </c>
      <c r="P1941" s="10">
        <f>'data on outstanding creditors'!$E1941-'data on outstanding creditors'!$O1941</f>
        <v>65.42056075</v>
      </c>
      <c r="Q1941" s="7">
        <f>DAY('data on outstanding creditors'!$B1941)</f>
        <v>17</v>
      </c>
      <c r="R1941" s="7">
        <f>MONTH('data on outstanding creditors'!$B1941)</f>
        <v>4</v>
      </c>
      <c r="S1941" s="7">
        <f>YEAR('data on outstanding creditors'!$B1941)</f>
        <v>2025</v>
      </c>
      <c r="T1941" s="11" t="str">
        <f>'data on outstanding creditors'!$C1941&amp;" "&amp;'data on outstanding creditors'!$D1941&amp;" "&amp;TEXT('data on outstanding creditors'!$E1941,"#,##0.00")</f>
        <v>หจก.อิเลฟเว่น พลัซ EL680409109 1,000.00</v>
      </c>
      <c r="U1941" s="12"/>
    </row>
    <row r="1942" ht="13.5" customHeight="1">
      <c r="A1942" s="1" t="s">
        <v>2639</v>
      </c>
      <c r="B1942" s="2">
        <v>45764.0</v>
      </c>
      <c r="C1942" s="9" t="s">
        <v>1029</v>
      </c>
      <c r="D1942" s="1" t="s">
        <v>2640</v>
      </c>
      <c r="E1942" s="4">
        <v>13200.0</v>
      </c>
      <c r="F1942" s="4"/>
      <c r="G1942" s="4"/>
      <c r="H1942" s="4">
        <f>'data on outstanding creditors'!$E1942-'data on outstanding creditors'!$F1942-'data on outstanding creditors'!$G1942</f>
        <v>13200</v>
      </c>
      <c r="I1942" s="2"/>
      <c r="J1942" s="1" t="s">
        <v>757</v>
      </c>
      <c r="K1942" s="2">
        <v>45882.0</v>
      </c>
      <c r="L1942" s="5"/>
      <c r="M1942" s="9" t="s">
        <v>43</v>
      </c>
      <c r="N1942" s="9" t="s">
        <v>49</v>
      </c>
      <c r="O1942" s="10">
        <f>'data on outstanding creditors'!$E1942*100/107</f>
        <v>12336.4486</v>
      </c>
      <c r="P1942" s="10">
        <f>'data on outstanding creditors'!$E1942-'data on outstanding creditors'!$O1942</f>
        <v>863.5514019</v>
      </c>
      <c r="Q1942" s="7">
        <f>DAY('data on outstanding creditors'!$B1942)</f>
        <v>17</v>
      </c>
      <c r="R1942" s="7">
        <f>MONTH('data on outstanding creditors'!$B1942)</f>
        <v>4</v>
      </c>
      <c r="S1942" s="7">
        <f>YEAR('data on outstanding creditors'!$B1942)</f>
        <v>2025</v>
      </c>
      <c r="T1942" s="11" t="str">
        <f>'data on outstanding creditors'!$C1942&amp;" "&amp;'data on outstanding creditors'!$D1942&amp;" "&amp;TEXT('data on outstanding creditors'!$E1942,"#,##0.00")</f>
        <v>บ.เอเทค เมดิคอล IV6804280 13,200.00</v>
      </c>
      <c r="U1942" s="12"/>
    </row>
    <row r="1943" ht="13.5" customHeight="1">
      <c r="A1943" s="1" t="s">
        <v>2641</v>
      </c>
      <c r="B1943" s="2">
        <v>45764.0</v>
      </c>
      <c r="C1943" s="9" t="s">
        <v>1029</v>
      </c>
      <c r="D1943" s="1" t="s">
        <v>2642</v>
      </c>
      <c r="E1943" s="4">
        <v>15500.0</v>
      </c>
      <c r="F1943" s="4"/>
      <c r="G1943" s="4"/>
      <c r="H1943" s="4">
        <f>'data on outstanding creditors'!$E1943-'data on outstanding creditors'!$F1943-'data on outstanding creditors'!$G1943</f>
        <v>15500</v>
      </c>
      <c r="I1943" s="2"/>
      <c r="J1943" s="1" t="s">
        <v>757</v>
      </c>
      <c r="K1943" s="2">
        <v>45875.0</v>
      </c>
      <c r="L1943" s="5"/>
      <c r="M1943" s="9" t="s">
        <v>43</v>
      </c>
      <c r="N1943" s="9" t="s">
        <v>49</v>
      </c>
      <c r="O1943" s="10">
        <f>'data on outstanding creditors'!$E1943*100/107</f>
        <v>14485.98131</v>
      </c>
      <c r="P1943" s="10">
        <f>'data on outstanding creditors'!$E1943-'data on outstanding creditors'!$O1943</f>
        <v>1014.018692</v>
      </c>
      <c r="Q1943" s="7">
        <f>DAY('data on outstanding creditors'!$B1943)</f>
        <v>17</v>
      </c>
      <c r="R1943" s="7">
        <f>MONTH('data on outstanding creditors'!$B1943)</f>
        <v>4</v>
      </c>
      <c r="S1943" s="7">
        <f>YEAR('data on outstanding creditors'!$B1943)</f>
        <v>2025</v>
      </c>
      <c r="T1943" s="11" t="str">
        <f>'data on outstanding creditors'!$C1943&amp;" "&amp;'data on outstanding creditors'!$D1943&amp;" "&amp;TEXT('data on outstanding creditors'!$E1943,"#,##0.00")</f>
        <v>บ.เอเทค เมดิคอล IV6804338 15,500.00</v>
      </c>
      <c r="U1943" s="12"/>
    </row>
    <row r="1944" ht="13.5" customHeight="1">
      <c r="A1944" s="1" t="s">
        <v>2643</v>
      </c>
      <c r="B1944" s="2">
        <v>45764.0</v>
      </c>
      <c r="C1944" s="9" t="s">
        <v>1029</v>
      </c>
      <c r="D1944" s="1" t="s">
        <v>2644</v>
      </c>
      <c r="E1944" s="4">
        <v>14600.0</v>
      </c>
      <c r="F1944" s="4"/>
      <c r="G1944" s="4"/>
      <c r="H1944" s="4">
        <f>'data on outstanding creditors'!$E1944-'data on outstanding creditors'!$F1944-'data on outstanding creditors'!$G1944</f>
        <v>14600</v>
      </c>
      <c r="I1944" s="2"/>
      <c r="J1944" s="1" t="s">
        <v>757</v>
      </c>
      <c r="K1944" s="2">
        <v>45875.0</v>
      </c>
      <c r="L1944" s="5"/>
      <c r="M1944" s="9" t="s">
        <v>43</v>
      </c>
      <c r="N1944" s="9" t="s">
        <v>49</v>
      </c>
      <c r="O1944" s="10">
        <f>'data on outstanding creditors'!$E1944*100/107</f>
        <v>13644.85981</v>
      </c>
      <c r="P1944" s="10">
        <f>'data on outstanding creditors'!$E1944-'data on outstanding creditors'!$O1944</f>
        <v>955.1401869</v>
      </c>
      <c r="Q1944" s="7">
        <f>DAY('data on outstanding creditors'!$B1944)</f>
        <v>17</v>
      </c>
      <c r="R1944" s="7">
        <f>MONTH('data on outstanding creditors'!$B1944)</f>
        <v>4</v>
      </c>
      <c r="S1944" s="7">
        <f>YEAR('data on outstanding creditors'!$B1944)</f>
        <v>2025</v>
      </c>
      <c r="T1944" s="11" t="str">
        <f>'data on outstanding creditors'!$C1944&amp;" "&amp;'data on outstanding creditors'!$D1944&amp;" "&amp;TEXT('data on outstanding creditors'!$E1944,"#,##0.00")</f>
        <v>บ.เอเทค เมดิคอล IV6804337 14,600.00</v>
      </c>
      <c r="U1944" s="12"/>
    </row>
    <row r="1945" ht="13.5" customHeight="1">
      <c r="A1945" s="1" t="s">
        <v>2645</v>
      </c>
      <c r="B1945" s="2">
        <v>45765.0</v>
      </c>
      <c r="C1945" s="9" t="s">
        <v>2646</v>
      </c>
      <c r="D1945" s="1" t="s">
        <v>2647</v>
      </c>
      <c r="E1945" s="4">
        <v>1600.0</v>
      </c>
      <c r="F1945" s="4"/>
      <c r="G1945" s="4"/>
      <c r="H1945" s="4">
        <f>'data on outstanding creditors'!$E1945-'data on outstanding creditors'!$F1945-'data on outstanding creditors'!$G1945</f>
        <v>1600</v>
      </c>
      <c r="I1945" s="2"/>
      <c r="J1945" s="1" t="s">
        <v>646</v>
      </c>
      <c r="K1945" s="2">
        <v>45928.0</v>
      </c>
      <c r="L1945" s="5"/>
      <c r="M1945" s="9" t="s">
        <v>43</v>
      </c>
      <c r="N1945" s="9" t="s">
        <v>49</v>
      </c>
      <c r="O1945" s="10">
        <f>'data on outstanding creditors'!$E1945*100/107</f>
        <v>1495.327103</v>
      </c>
      <c r="P1945" s="10">
        <f>'data on outstanding creditors'!$E1945-'data on outstanding creditors'!$O1945</f>
        <v>104.6728972</v>
      </c>
      <c r="Q1945" s="7">
        <f>DAY('data on outstanding creditors'!$B1945)</f>
        <v>18</v>
      </c>
      <c r="R1945" s="7">
        <f>MONTH('data on outstanding creditors'!$B1945)</f>
        <v>4</v>
      </c>
      <c r="S1945" s="7">
        <f>YEAR('data on outstanding creditors'!$B1945)</f>
        <v>2025</v>
      </c>
      <c r="T1945" s="11" t="str">
        <f>'data on outstanding creditors'!$C1945&amp;" "&amp;'data on outstanding creditors'!$D1945&amp;" "&amp;TEXT('data on outstanding creditors'!$E1945,"#,##0.00")</f>
        <v>บ.ไอดีเอส เมดิคอล ซิสเต็มส์(ประเทศไทย) UG90032377 1,600.00</v>
      </c>
      <c r="U1945" s="12"/>
    </row>
    <row r="1946" ht="13.5" customHeight="1">
      <c r="A1946" s="1" t="s">
        <v>2648</v>
      </c>
      <c r="B1946" s="2">
        <v>45765.0</v>
      </c>
      <c r="C1946" s="9" t="s">
        <v>2646</v>
      </c>
      <c r="D1946" s="1" t="s">
        <v>2649</v>
      </c>
      <c r="E1946" s="4">
        <v>4000.0</v>
      </c>
      <c r="F1946" s="4"/>
      <c r="G1946" s="4"/>
      <c r="H1946" s="4">
        <f>'data on outstanding creditors'!$E1946-'data on outstanding creditors'!$F1946-'data on outstanding creditors'!$G1946</f>
        <v>4000</v>
      </c>
      <c r="I1946" s="2"/>
      <c r="J1946" s="1" t="s">
        <v>646</v>
      </c>
      <c r="K1946" s="2">
        <v>45928.0</v>
      </c>
      <c r="L1946" s="5"/>
      <c r="M1946" s="9" t="s">
        <v>43</v>
      </c>
      <c r="N1946" s="9" t="s">
        <v>49</v>
      </c>
      <c r="O1946" s="10">
        <f>'data on outstanding creditors'!$E1946*100/107</f>
        <v>3738.317757</v>
      </c>
      <c r="P1946" s="10">
        <f>'data on outstanding creditors'!$E1946-'data on outstanding creditors'!$O1946</f>
        <v>261.682243</v>
      </c>
      <c r="Q1946" s="7">
        <f>DAY('data on outstanding creditors'!$B1946)</f>
        <v>18</v>
      </c>
      <c r="R1946" s="7">
        <f>MONTH('data on outstanding creditors'!$B1946)</f>
        <v>4</v>
      </c>
      <c r="S1946" s="7">
        <f>YEAR('data on outstanding creditors'!$B1946)</f>
        <v>2025</v>
      </c>
      <c r="T1946" s="11" t="str">
        <f>'data on outstanding creditors'!$C1946&amp;" "&amp;'data on outstanding creditors'!$D1946&amp;" "&amp;TEXT('data on outstanding creditors'!$E1946,"#,##0.00")</f>
        <v>บ.ไอดีเอส เมดิคอล ซิสเต็มส์(ประเทศไทย) UG90032376 4,000.00</v>
      </c>
      <c r="U1946" s="12"/>
    </row>
    <row r="1947" ht="13.5" customHeight="1">
      <c r="A1947" s="1" t="s">
        <v>2650</v>
      </c>
      <c r="B1947" s="2">
        <v>45765.0</v>
      </c>
      <c r="C1947" s="9" t="s">
        <v>2320</v>
      </c>
      <c r="D1947" s="1" t="s">
        <v>2651</v>
      </c>
      <c r="E1947" s="4">
        <v>20000.0</v>
      </c>
      <c r="F1947" s="4"/>
      <c r="G1947" s="4"/>
      <c r="H1947" s="4">
        <f>'data on outstanding creditors'!$E1947-'data on outstanding creditors'!$F1947-'data on outstanding creditors'!$G1947</f>
        <v>20000</v>
      </c>
      <c r="I1947" s="2"/>
      <c r="J1947" s="1" t="s">
        <v>646</v>
      </c>
      <c r="K1947" s="2">
        <v>45928.0</v>
      </c>
      <c r="L1947" s="5"/>
      <c r="M1947" s="9" t="s">
        <v>43</v>
      </c>
      <c r="N1947" s="9" t="s">
        <v>49</v>
      </c>
      <c r="O1947" s="10">
        <f>'data on outstanding creditors'!$E1947*100/107</f>
        <v>18691.58879</v>
      </c>
      <c r="P1947" s="10">
        <f>'data on outstanding creditors'!$E1947-'data on outstanding creditors'!$O1947</f>
        <v>1308.411215</v>
      </c>
      <c r="Q1947" s="7">
        <f>DAY('data on outstanding creditors'!$B1947)</f>
        <v>18</v>
      </c>
      <c r="R1947" s="7">
        <f>MONTH('data on outstanding creditors'!$B1947)</f>
        <v>4</v>
      </c>
      <c r="S1947" s="7">
        <f>YEAR('data on outstanding creditors'!$B1947)</f>
        <v>2025</v>
      </c>
      <c r="T1947" s="11" t="str">
        <f>'data on outstanding creditors'!$C1947&amp;" "&amp;'data on outstanding creditors'!$D1947&amp;" "&amp;TEXT('data on outstanding creditors'!$E1947,"#,##0.00")</f>
        <v>บ.เทคโนเมดิคัล 25040828 20,000.00</v>
      </c>
      <c r="U1947" s="12"/>
    </row>
    <row r="1948" ht="13.5" customHeight="1">
      <c r="A1948" s="1" t="s">
        <v>2652</v>
      </c>
      <c r="B1948" s="2">
        <v>45765.0</v>
      </c>
      <c r="C1948" s="9" t="s">
        <v>1320</v>
      </c>
      <c r="D1948" s="1" t="s">
        <v>2653</v>
      </c>
      <c r="E1948" s="4">
        <v>39000.0</v>
      </c>
      <c r="F1948" s="4"/>
      <c r="G1948" s="4"/>
      <c r="H1948" s="4">
        <f>'data on outstanding creditors'!$E1948-'data on outstanding creditors'!$F1948-'data on outstanding creditors'!$G1948</f>
        <v>39000</v>
      </c>
      <c r="I1948" s="2"/>
      <c r="J1948" s="1" t="s">
        <v>757</v>
      </c>
      <c r="K1948" s="2">
        <v>45910.0</v>
      </c>
      <c r="L1948" s="5"/>
      <c r="M1948" s="9" t="s">
        <v>43</v>
      </c>
      <c r="N1948" s="9" t="s">
        <v>49</v>
      </c>
      <c r="O1948" s="10">
        <f>'data on outstanding creditors'!$E1948*100/107</f>
        <v>36448.59813</v>
      </c>
      <c r="P1948" s="10">
        <f>'data on outstanding creditors'!$E1948-'data on outstanding creditors'!$O1948</f>
        <v>2551.401869</v>
      </c>
      <c r="Q1948" s="7">
        <f>DAY('data on outstanding creditors'!$B1948)</f>
        <v>18</v>
      </c>
      <c r="R1948" s="7">
        <f>MONTH('data on outstanding creditors'!$B1948)</f>
        <v>4</v>
      </c>
      <c r="S1948" s="7">
        <f>YEAR('data on outstanding creditors'!$B1948)</f>
        <v>2025</v>
      </c>
      <c r="T1948" s="11" t="str">
        <f>'data on outstanding creditors'!$C1948&amp;" "&amp;'data on outstanding creditors'!$D1948&amp;" "&amp;TEXT('data on outstanding creditors'!$E1948,"#,##0.00")</f>
        <v>บ.บี.เอ็ล.ฮั้ว 68014477 39,000.00</v>
      </c>
      <c r="U1948" s="12"/>
    </row>
    <row r="1949" ht="13.5" customHeight="1">
      <c r="A1949" s="1" t="s">
        <v>2654</v>
      </c>
      <c r="B1949" s="2">
        <v>45767.0</v>
      </c>
      <c r="C1949" s="9" t="s">
        <v>2389</v>
      </c>
      <c r="D1949" s="1" t="s">
        <v>2655</v>
      </c>
      <c r="E1949" s="4">
        <v>77900.0</v>
      </c>
      <c r="F1949" s="4"/>
      <c r="G1949" s="4"/>
      <c r="H1949" s="4">
        <f>'data on outstanding creditors'!$E1949-'data on outstanding creditors'!$F1949-'data on outstanding creditors'!$G1949</f>
        <v>77900</v>
      </c>
      <c r="I1949" s="2"/>
      <c r="J1949" s="1" t="s">
        <v>646</v>
      </c>
      <c r="K1949" s="2">
        <v>45928.0</v>
      </c>
      <c r="L1949" s="5"/>
      <c r="M1949" s="9" t="s">
        <v>43</v>
      </c>
      <c r="N1949" s="9" t="s">
        <v>49</v>
      </c>
      <c r="O1949" s="10">
        <f>'data on outstanding creditors'!$E1949*100/107</f>
        <v>72803.73832</v>
      </c>
      <c r="P1949" s="10">
        <f>'data on outstanding creditors'!$E1949-'data on outstanding creditors'!$O1949</f>
        <v>5096.261682</v>
      </c>
      <c r="Q1949" s="7">
        <f>DAY('data on outstanding creditors'!$B1949)</f>
        <v>20</v>
      </c>
      <c r="R1949" s="7">
        <f>MONTH('data on outstanding creditors'!$B1949)</f>
        <v>4</v>
      </c>
      <c r="S1949" s="7">
        <f>YEAR('data on outstanding creditors'!$B1949)</f>
        <v>2025</v>
      </c>
      <c r="T1949" s="11" t="str">
        <f>'data on outstanding creditors'!$C1949&amp;" "&amp;'data on outstanding creditors'!$D1949&amp;" "&amp;TEXT('data on outstanding creditors'!$E1949,"#,##0.00")</f>
        <v>บ.ซี วี พี เมดิคอล เทคโนโลยี SI01/68050039 77,900.00</v>
      </c>
      <c r="U1949" s="12"/>
    </row>
    <row r="1950" ht="13.5" customHeight="1">
      <c r="A1950" s="1" t="s">
        <v>2656</v>
      </c>
      <c r="B1950" s="2">
        <v>45768.0</v>
      </c>
      <c r="C1950" s="9" t="s">
        <v>2330</v>
      </c>
      <c r="D1950" s="1" t="s">
        <v>2657</v>
      </c>
      <c r="E1950" s="4">
        <v>8400.0</v>
      </c>
      <c r="F1950" s="4"/>
      <c r="G1950" s="4"/>
      <c r="H1950" s="4">
        <f>'data on outstanding creditors'!$E1950-'data on outstanding creditors'!$F1950-'data on outstanding creditors'!$G1950</f>
        <v>8400</v>
      </c>
      <c r="I1950" s="2"/>
      <c r="J1950" s="1" t="s">
        <v>646</v>
      </c>
      <c r="K1950" s="2">
        <v>45944.0</v>
      </c>
      <c r="L1950" s="5"/>
      <c r="M1950" s="9" t="s">
        <v>43</v>
      </c>
      <c r="N1950" s="9" t="s">
        <v>49</v>
      </c>
      <c r="O1950" s="10">
        <f>'data on outstanding creditors'!$E1950*100/107</f>
        <v>7850.46729</v>
      </c>
      <c r="P1950" s="10">
        <f>'data on outstanding creditors'!$E1950-'data on outstanding creditors'!$O1950</f>
        <v>549.5327103</v>
      </c>
      <c r="Q1950" s="7">
        <f>DAY('data on outstanding creditors'!$B1950)</f>
        <v>21</v>
      </c>
      <c r="R1950" s="7">
        <f>MONTH('data on outstanding creditors'!$B1950)</f>
        <v>4</v>
      </c>
      <c r="S1950" s="7">
        <f>YEAR('data on outstanding creditors'!$B1950)</f>
        <v>2025</v>
      </c>
      <c r="T1950" s="11" t="str">
        <f>'data on outstanding creditors'!$C1950&amp;" "&amp;'data on outstanding creditors'!$D1950&amp;" "&amp;TEXT('data on outstanding creditors'!$E1950,"#,##0.00")</f>
        <v>บ.อี ฟอร์ แอล เอม M6804-0324 8,400.00</v>
      </c>
      <c r="U1950" s="12"/>
    </row>
    <row r="1951" ht="13.5" customHeight="1">
      <c r="A1951" s="1" t="s">
        <v>2658</v>
      </c>
      <c r="B1951" s="2">
        <v>45768.0</v>
      </c>
      <c r="C1951" s="9" t="s">
        <v>2352</v>
      </c>
      <c r="D1951" s="1" t="s">
        <v>2659</v>
      </c>
      <c r="E1951" s="4">
        <v>9500.0</v>
      </c>
      <c r="F1951" s="4"/>
      <c r="G1951" s="4"/>
      <c r="H1951" s="4">
        <f>'data on outstanding creditors'!$E1951-'data on outstanding creditors'!$F1951-'data on outstanding creditors'!$G1951</f>
        <v>9500</v>
      </c>
      <c r="I1951" s="2"/>
      <c r="J1951" s="1" t="s">
        <v>646</v>
      </c>
      <c r="K1951" s="2">
        <v>45843.0</v>
      </c>
      <c r="L1951" s="5"/>
      <c r="M1951" s="9" t="s">
        <v>43</v>
      </c>
      <c r="N1951" s="9" t="s">
        <v>49</v>
      </c>
      <c r="O1951" s="10">
        <f>'data on outstanding creditors'!$E1951*100/107</f>
        <v>8878.504673</v>
      </c>
      <c r="P1951" s="10">
        <f>'data on outstanding creditors'!$E1951-'data on outstanding creditors'!$O1951</f>
        <v>621.4953271</v>
      </c>
      <c r="Q1951" s="7">
        <f>DAY('data on outstanding creditors'!$B1951)</f>
        <v>21</v>
      </c>
      <c r="R1951" s="7">
        <f>MONTH('data on outstanding creditors'!$B1951)</f>
        <v>4</v>
      </c>
      <c r="S1951" s="7">
        <f>YEAR('data on outstanding creditors'!$B1951)</f>
        <v>2025</v>
      </c>
      <c r="T1951" s="11" t="str">
        <f>'data on outstanding creditors'!$C1951&amp;" "&amp;'data on outstanding creditors'!$D1951&amp;" "&amp;TEXT('data on outstanding creditors'!$E1951,"#,##0.00")</f>
        <v>บ.สเวนนอร่า เมด SVM2504047 9,500.00</v>
      </c>
      <c r="U1951" s="12"/>
    </row>
    <row r="1952" ht="13.5" customHeight="1">
      <c r="A1952" s="1" t="s">
        <v>2660</v>
      </c>
      <c r="B1952" s="2">
        <v>45768.0</v>
      </c>
      <c r="C1952" s="9" t="s">
        <v>2323</v>
      </c>
      <c r="D1952" s="1" t="s">
        <v>2661</v>
      </c>
      <c r="E1952" s="4">
        <v>42080.0</v>
      </c>
      <c r="F1952" s="4"/>
      <c r="G1952" s="4"/>
      <c r="H1952" s="4">
        <f>'data on outstanding creditors'!$E1952-'data on outstanding creditors'!$F1952-'data on outstanding creditors'!$G1952</f>
        <v>42080</v>
      </c>
      <c r="I1952" s="2"/>
      <c r="J1952" s="1" t="s">
        <v>757</v>
      </c>
      <c r="K1952" s="2">
        <v>45814.0</v>
      </c>
      <c r="L1952" s="5"/>
      <c r="M1952" s="9" t="s">
        <v>43</v>
      </c>
      <c r="N1952" s="9" t="s">
        <v>49</v>
      </c>
      <c r="O1952" s="10">
        <f>'data on outstanding creditors'!$E1952*100/107</f>
        <v>39327.1028</v>
      </c>
      <c r="P1952" s="10">
        <f>'data on outstanding creditors'!$E1952-'data on outstanding creditors'!$O1952</f>
        <v>2752.897196</v>
      </c>
      <c r="Q1952" s="7">
        <f>DAY('data on outstanding creditors'!$B1952)</f>
        <v>21</v>
      </c>
      <c r="R1952" s="7">
        <f>MONTH('data on outstanding creditors'!$B1952)</f>
        <v>4</v>
      </c>
      <c r="S1952" s="7">
        <f>YEAR('data on outstanding creditors'!$B1952)</f>
        <v>2025</v>
      </c>
      <c r="T1952" s="11" t="str">
        <f>'data on outstanding creditors'!$C1952&amp;" "&amp;'data on outstanding creditors'!$D1952&amp;" "&amp;TEXT('data on outstanding creditors'!$E1952,"#,##0.00")</f>
        <v>บ.ไซเอนซ์ เมด SM68/0402469 42,080.00</v>
      </c>
      <c r="U1952" s="12"/>
    </row>
    <row r="1953" ht="13.5" customHeight="1">
      <c r="A1953" s="1" t="s">
        <v>2662</v>
      </c>
      <c r="B1953" s="2">
        <v>45768.0</v>
      </c>
      <c r="C1953" s="9" t="s">
        <v>1029</v>
      </c>
      <c r="D1953" s="1" t="s">
        <v>2663</v>
      </c>
      <c r="E1953" s="4">
        <v>11700.0</v>
      </c>
      <c r="F1953" s="4"/>
      <c r="G1953" s="4"/>
      <c r="H1953" s="4">
        <f>'data on outstanding creditors'!$E1953-'data on outstanding creditors'!$F1953-'data on outstanding creditors'!$G1953</f>
        <v>11700</v>
      </c>
      <c r="I1953" s="2"/>
      <c r="J1953" s="1" t="s">
        <v>757</v>
      </c>
      <c r="K1953" s="2">
        <v>45916.0</v>
      </c>
      <c r="L1953" s="5"/>
      <c r="M1953" s="9" t="s">
        <v>43</v>
      </c>
      <c r="N1953" s="9" t="s">
        <v>49</v>
      </c>
      <c r="O1953" s="10">
        <f>'data on outstanding creditors'!$E1953*100/107</f>
        <v>10934.57944</v>
      </c>
      <c r="P1953" s="10">
        <f>'data on outstanding creditors'!$E1953-'data on outstanding creditors'!$O1953</f>
        <v>765.4205607</v>
      </c>
      <c r="Q1953" s="7">
        <f>DAY('data on outstanding creditors'!$B1953)</f>
        <v>21</v>
      </c>
      <c r="R1953" s="7">
        <f>MONTH('data on outstanding creditors'!$B1953)</f>
        <v>4</v>
      </c>
      <c r="S1953" s="7">
        <f>YEAR('data on outstanding creditors'!$B1953)</f>
        <v>2025</v>
      </c>
      <c r="T1953" s="11" t="str">
        <f>'data on outstanding creditors'!$C1953&amp;" "&amp;'data on outstanding creditors'!$D1953&amp;" "&amp;TEXT('data on outstanding creditors'!$E1953,"#,##0.00")</f>
        <v>บ.เอเทค เมดิคอล IV6804354 11,700.00</v>
      </c>
      <c r="U1953" s="12"/>
    </row>
    <row r="1954" ht="13.5" customHeight="1">
      <c r="A1954" s="1" t="s">
        <v>2664</v>
      </c>
      <c r="B1954" s="2">
        <v>45768.0</v>
      </c>
      <c r="C1954" s="9" t="s">
        <v>1029</v>
      </c>
      <c r="D1954" s="1" t="s">
        <v>2665</v>
      </c>
      <c r="E1954" s="4">
        <v>17300.0</v>
      </c>
      <c r="F1954" s="4"/>
      <c r="G1954" s="4"/>
      <c r="H1954" s="4">
        <f>'data on outstanding creditors'!$E1954-'data on outstanding creditors'!$F1954-'data on outstanding creditors'!$G1954</f>
        <v>17300</v>
      </c>
      <c r="I1954" s="2"/>
      <c r="J1954" s="1" t="s">
        <v>757</v>
      </c>
      <c r="K1954" s="2">
        <v>45904.0</v>
      </c>
      <c r="L1954" s="5"/>
      <c r="M1954" s="9" t="s">
        <v>43</v>
      </c>
      <c r="N1954" s="9" t="s">
        <v>49</v>
      </c>
      <c r="O1954" s="10">
        <f>'data on outstanding creditors'!$E1954*100/107</f>
        <v>16168.2243</v>
      </c>
      <c r="P1954" s="10">
        <f>'data on outstanding creditors'!$E1954-'data on outstanding creditors'!$O1954</f>
        <v>1131.775701</v>
      </c>
      <c r="Q1954" s="7">
        <f>DAY('data on outstanding creditors'!$B1954)</f>
        <v>21</v>
      </c>
      <c r="R1954" s="7">
        <f>MONTH('data on outstanding creditors'!$B1954)</f>
        <v>4</v>
      </c>
      <c r="S1954" s="7">
        <f>YEAR('data on outstanding creditors'!$B1954)</f>
        <v>2025</v>
      </c>
      <c r="T1954" s="11" t="str">
        <f>'data on outstanding creditors'!$C1954&amp;" "&amp;'data on outstanding creditors'!$D1954&amp;" "&amp;TEXT('data on outstanding creditors'!$E1954,"#,##0.00")</f>
        <v>บ.เอเทค เมดิคอล IV6804363 17,300.00</v>
      </c>
      <c r="U1954" s="12"/>
    </row>
    <row r="1955" ht="13.5" customHeight="1">
      <c r="A1955" s="1" t="s">
        <v>2666</v>
      </c>
      <c r="B1955" s="2">
        <v>45768.0</v>
      </c>
      <c r="C1955" s="9" t="s">
        <v>1029</v>
      </c>
      <c r="D1955" s="1" t="s">
        <v>2667</v>
      </c>
      <c r="E1955" s="4">
        <v>18500.0</v>
      </c>
      <c r="F1955" s="4"/>
      <c r="G1955" s="4"/>
      <c r="H1955" s="4">
        <f>'data on outstanding creditors'!$E1955-'data on outstanding creditors'!$F1955-'data on outstanding creditors'!$G1955</f>
        <v>18500</v>
      </c>
      <c r="I1955" s="2"/>
      <c r="J1955" s="1" t="s">
        <v>757</v>
      </c>
      <c r="K1955" s="2">
        <v>45875.0</v>
      </c>
      <c r="L1955" s="5"/>
      <c r="M1955" s="9" t="s">
        <v>43</v>
      </c>
      <c r="N1955" s="9" t="s">
        <v>49</v>
      </c>
      <c r="O1955" s="10">
        <f>'data on outstanding creditors'!$E1955*100/107</f>
        <v>17289.71963</v>
      </c>
      <c r="P1955" s="10">
        <f>'data on outstanding creditors'!$E1955-'data on outstanding creditors'!$O1955</f>
        <v>1210.280374</v>
      </c>
      <c r="Q1955" s="7">
        <f>DAY('data on outstanding creditors'!$B1955)</f>
        <v>21</v>
      </c>
      <c r="R1955" s="7">
        <f>MONTH('data on outstanding creditors'!$B1955)</f>
        <v>4</v>
      </c>
      <c r="S1955" s="7">
        <f>YEAR('data on outstanding creditors'!$B1955)</f>
        <v>2025</v>
      </c>
      <c r="T1955" s="11" t="str">
        <f>'data on outstanding creditors'!$C1955&amp;" "&amp;'data on outstanding creditors'!$D1955&amp;" "&amp;TEXT('data on outstanding creditors'!$E1955,"#,##0.00")</f>
        <v>บ.เอเทค เมดิคอล IV6804369 18,500.00</v>
      </c>
      <c r="U1955" s="12"/>
    </row>
    <row r="1956" ht="13.5" customHeight="1">
      <c r="A1956" s="1" t="s">
        <v>2668</v>
      </c>
      <c r="B1956" s="2">
        <v>45768.0</v>
      </c>
      <c r="C1956" s="9" t="s">
        <v>2315</v>
      </c>
      <c r="D1956" s="1" t="s">
        <v>2669</v>
      </c>
      <c r="E1956" s="4">
        <v>5600.0</v>
      </c>
      <c r="F1956" s="4"/>
      <c r="G1956" s="4"/>
      <c r="H1956" s="4">
        <f>'data on outstanding creditors'!$E1956-'data on outstanding creditors'!$F1956-'data on outstanding creditors'!$G1956</f>
        <v>5600</v>
      </c>
      <c r="I1956" s="2"/>
      <c r="J1956" s="1" t="s">
        <v>646</v>
      </c>
      <c r="K1956" s="2">
        <v>45843.0</v>
      </c>
      <c r="L1956" s="5"/>
      <c r="M1956" s="9" t="s">
        <v>43</v>
      </c>
      <c r="N1956" s="9" t="s">
        <v>49</v>
      </c>
      <c r="O1956" s="10">
        <f>'data on outstanding creditors'!$E1956*100/107</f>
        <v>5233.64486</v>
      </c>
      <c r="P1956" s="10">
        <f>'data on outstanding creditors'!$E1956-'data on outstanding creditors'!$O1956</f>
        <v>366.3551402</v>
      </c>
      <c r="Q1956" s="7">
        <f>DAY('data on outstanding creditors'!$B1956)</f>
        <v>21</v>
      </c>
      <c r="R1956" s="7">
        <f>MONTH('data on outstanding creditors'!$B1956)</f>
        <v>4</v>
      </c>
      <c r="S1956" s="7">
        <f>YEAR('data on outstanding creditors'!$B1956)</f>
        <v>2025</v>
      </c>
      <c r="T1956" s="11" t="str">
        <f>'data on outstanding creditors'!$C1956&amp;" "&amp;'data on outstanding creditors'!$D1956&amp;" "&amp;TEXT('data on outstanding creditors'!$E1956,"#,##0.00")</f>
        <v>บ.เรียลเมดคอร์ป IV25041817 5,600.00</v>
      </c>
      <c r="U1956" s="12"/>
    </row>
    <row r="1957" ht="13.5" customHeight="1">
      <c r="A1957" s="1"/>
      <c r="B1957" s="2">
        <v>45768.0</v>
      </c>
      <c r="C1957" s="9" t="s">
        <v>2292</v>
      </c>
      <c r="D1957" s="1" t="s">
        <v>2670</v>
      </c>
      <c r="E1957" s="4">
        <v>7120.0</v>
      </c>
      <c r="F1957" s="4"/>
      <c r="G1957" s="4"/>
      <c r="H1957" s="4">
        <f>'data on outstanding creditors'!$E1957-'data on outstanding creditors'!$F1957-'data on outstanding creditors'!$G1957</f>
        <v>7120</v>
      </c>
      <c r="I1957" s="2"/>
      <c r="J1957" s="1" t="s">
        <v>646</v>
      </c>
      <c r="K1957" s="2">
        <v>45866.0</v>
      </c>
      <c r="L1957" s="5"/>
      <c r="M1957" s="9" t="s">
        <v>43</v>
      </c>
      <c r="N1957" s="9" t="s">
        <v>23</v>
      </c>
      <c r="O1957" s="10">
        <f>'data on outstanding creditors'!$E1957*100/107</f>
        <v>6654.205607</v>
      </c>
      <c r="P1957" s="10">
        <f>'data on outstanding creditors'!$E1957-'data on outstanding creditors'!$O1957</f>
        <v>465.7943925</v>
      </c>
      <c r="Q1957" s="7">
        <f>DAY('data on outstanding creditors'!$B1957)</f>
        <v>21</v>
      </c>
      <c r="R1957" s="7">
        <f>MONTH('data on outstanding creditors'!$B1957)</f>
        <v>4</v>
      </c>
      <c r="S1957" s="7">
        <f>YEAR('data on outstanding creditors'!$B1957)</f>
        <v>2025</v>
      </c>
      <c r="T1957" s="11" t="str">
        <f>'data on outstanding creditors'!$C1957&amp;" "&amp;'data on outstanding creditors'!$D1957&amp;" "&amp;TEXT('data on outstanding creditors'!$E1957,"#,##0.00")</f>
        <v>บ.ไบโอคอททอน IV25003401 7,120.00</v>
      </c>
      <c r="U1957" s="12"/>
    </row>
    <row r="1958" ht="13.5" customHeight="1">
      <c r="A1958" s="1" t="s">
        <v>2671</v>
      </c>
      <c r="B1958" s="2">
        <v>45768.0</v>
      </c>
      <c r="C1958" s="9" t="s">
        <v>1320</v>
      </c>
      <c r="D1958" s="1" t="s">
        <v>2672</v>
      </c>
      <c r="E1958" s="4">
        <v>36000.0</v>
      </c>
      <c r="F1958" s="4"/>
      <c r="G1958" s="4"/>
      <c r="H1958" s="4">
        <f>'data on outstanding creditors'!$E1958-'data on outstanding creditors'!$F1958-'data on outstanding creditors'!$G1958</f>
        <v>36000</v>
      </c>
      <c r="I1958" s="2"/>
      <c r="J1958" s="1" t="s">
        <v>646</v>
      </c>
      <c r="K1958" s="2">
        <v>45928.0</v>
      </c>
      <c r="L1958" s="5"/>
      <c r="M1958" s="9" t="s">
        <v>43</v>
      </c>
      <c r="N1958" s="9" t="s">
        <v>49</v>
      </c>
      <c r="O1958" s="10">
        <f>'data on outstanding creditors'!$E1958*100/107</f>
        <v>33644.85981</v>
      </c>
      <c r="P1958" s="10">
        <f>'data on outstanding creditors'!$E1958-'data on outstanding creditors'!$O1958</f>
        <v>2355.140187</v>
      </c>
      <c r="Q1958" s="7">
        <f>DAY('data on outstanding creditors'!$B1958)</f>
        <v>21</v>
      </c>
      <c r="R1958" s="7">
        <f>MONTH('data on outstanding creditors'!$B1958)</f>
        <v>4</v>
      </c>
      <c r="S1958" s="7">
        <f>YEAR('data on outstanding creditors'!$B1958)</f>
        <v>2025</v>
      </c>
      <c r="T1958" s="11" t="str">
        <f>'data on outstanding creditors'!$C1958&amp;" "&amp;'data on outstanding creditors'!$D1958&amp;" "&amp;TEXT('data on outstanding creditors'!$E1958,"#,##0.00")</f>
        <v>บ.บี.เอ็ล.ฮั้ว 68014971 36,000.00</v>
      </c>
      <c r="U1958" s="12"/>
    </row>
    <row r="1959" ht="13.5" customHeight="1">
      <c r="A1959" s="1" t="s">
        <v>2673</v>
      </c>
      <c r="B1959" s="2">
        <v>45768.0</v>
      </c>
      <c r="C1959" s="9" t="s">
        <v>2389</v>
      </c>
      <c r="D1959" s="1" t="s">
        <v>2674</v>
      </c>
      <c r="E1959" s="4">
        <v>57000.0</v>
      </c>
      <c r="F1959" s="4"/>
      <c r="G1959" s="4"/>
      <c r="H1959" s="4">
        <f>'data on outstanding creditors'!$E1959-'data on outstanding creditors'!$F1959-'data on outstanding creditors'!$G1959</f>
        <v>57000</v>
      </c>
      <c r="I1959" s="2"/>
      <c r="J1959" s="1" t="s">
        <v>646</v>
      </c>
      <c r="K1959" s="2">
        <v>45944.0</v>
      </c>
      <c r="L1959" s="5"/>
      <c r="M1959" s="9" t="s">
        <v>43</v>
      </c>
      <c r="N1959" s="9" t="s">
        <v>49</v>
      </c>
      <c r="O1959" s="10">
        <f>'data on outstanding creditors'!$E1959*100/107</f>
        <v>53271.02804</v>
      </c>
      <c r="P1959" s="10">
        <f>'data on outstanding creditors'!$E1959-'data on outstanding creditors'!$O1959</f>
        <v>3728.971963</v>
      </c>
      <c r="Q1959" s="7">
        <f>DAY('data on outstanding creditors'!$B1959)</f>
        <v>21</v>
      </c>
      <c r="R1959" s="7">
        <f>MONTH('data on outstanding creditors'!$B1959)</f>
        <v>4</v>
      </c>
      <c r="S1959" s="7">
        <f>YEAR('data on outstanding creditors'!$B1959)</f>
        <v>2025</v>
      </c>
      <c r="T1959" s="11" t="str">
        <f>'data on outstanding creditors'!$C1959&amp;" "&amp;'data on outstanding creditors'!$D1959&amp;" "&amp;TEXT('data on outstanding creditors'!$E1959,"#,##0.00")</f>
        <v>บ.ซี วี พี เมดิคอล เทคโนโลยี SI01/68050040 57,000.00</v>
      </c>
      <c r="U1959" s="12"/>
    </row>
    <row r="1960" ht="13.5" customHeight="1">
      <c r="A1960" s="1" t="s">
        <v>2675</v>
      </c>
      <c r="B1960" s="2">
        <v>45769.0</v>
      </c>
      <c r="C1960" s="9" t="s">
        <v>283</v>
      </c>
      <c r="D1960" s="1" t="s">
        <v>2676</v>
      </c>
      <c r="E1960" s="4">
        <v>3000.0</v>
      </c>
      <c r="F1960" s="4"/>
      <c r="G1960" s="4"/>
      <c r="H1960" s="4">
        <f>'data on outstanding creditors'!$E1960-'data on outstanding creditors'!$F1960-'data on outstanding creditors'!$G1960</f>
        <v>3000</v>
      </c>
      <c r="I1960" s="2"/>
      <c r="J1960" s="1" t="s">
        <v>757</v>
      </c>
      <c r="K1960" s="2">
        <v>45814.0</v>
      </c>
      <c r="L1960" s="5"/>
      <c r="M1960" s="9" t="s">
        <v>43</v>
      </c>
      <c r="N1960" s="9" t="s">
        <v>49</v>
      </c>
      <c r="O1960" s="10">
        <f>'data on outstanding creditors'!$E1960*100/107</f>
        <v>2803.738318</v>
      </c>
      <c r="P1960" s="10">
        <f>'data on outstanding creditors'!$E1960-'data on outstanding creditors'!$O1960</f>
        <v>196.2616822</v>
      </c>
      <c r="Q1960" s="7">
        <f>DAY('data on outstanding creditors'!$B1960)</f>
        <v>22</v>
      </c>
      <c r="R1960" s="7">
        <f>MONTH('data on outstanding creditors'!$B1960)</f>
        <v>4</v>
      </c>
      <c r="S1960" s="7">
        <f>YEAR('data on outstanding creditors'!$B1960)</f>
        <v>2025</v>
      </c>
      <c r="T1960" s="11" t="str">
        <f>'data on outstanding creditors'!$C1960&amp;" "&amp;'data on outstanding creditors'!$D1960&amp;" "&amp;TEXT('data on outstanding creditors'!$E1960,"#,##0.00")</f>
        <v>ร้าน เฟิร์สท เทรดดิ้ง 680167 3,000.00</v>
      </c>
      <c r="U1960" s="12"/>
    </row>
    <row r="1961" ht="13.5" customHeight="1">
      <c r="A1961" s="1" t="s">
        <v>2677</v>
      </c>
      <c r="B1961" s="2">
        <v>45769.0</v>
      </c>
      <c r="C1961" s="9" t="s">
        <v>2312</v>
      </c>
      <c r="D1961" s="1" t="s">
        <v>2678</v>
      </c>
      <c r="E1961" s="4">
        <v>15000.0</v>
      </c>
      <c r="F1961" s="4"/>
      <c r="G1961" s="4"/>
      <c r="H1961" s="4">
        <f>'data on outstanding creditors'!$E1961-'data on outstanding creditors'!$F1961-'data on outstanding creditors'!$G1961</f>
        <v>15000</v>
      </c>
      <c r="I1961" s="2"/>
      <c r="J1961" s="1" t="s">
        <v>646</v>
      </c>
      <c r="K1961" s="2">
        <v>45889.0</v>
      </c>
      <c r="L1961" s="5"/>
      <c r="M1961" s="9" t="s">
        <v>43</v>
      </c>
      <c r="N1961" s="9" t="s">
        <v>49</v>
      </c>
      <c r="O1961" s="10">
        <f>'data on outstanding creditors'!$E1961*100/107</f>
        <v>14018.69159</v>
      </c>
      <c r="P1961" s="10">
        <f>'data on outstanding creditors'!$E1961-'data on outstanding creditors'!$O1961</f>
        <v>981.3084112</v>
      </c>
      <c r="Q1961" s="7">
        <f>DAY('data on outstanding creditors'!$B1961)</f>
        <v>22</v>
      </c>
      <c r="R1961" s="7">
        <f>MONTH('data on outstanding creditors'!$B1961)</f>
        <v>4</v>
      </c>
      <c r="S1961" s="7">
        <f>YEAR('data on outstanding creditors'!$B1961)</f>
        <v>2025</v>
      </c>
      <c r="T1961" s="11" t="str">
        <f>'data on outstanding creditors'!$C1961&amp;" "&amp;'data on outstanding creditors'!$D1961&amp;" "&amp;TEXT('data on outstanding creditors'!$E1961,"#,##0.00")</f>
        <v>บ.สเตอลีน เฮลท์ SH6906 15,000.00</v>
      </c>
      <c r="U1961" s="12"/>
    </row>
    <row r="1962" ht="13.5" customHeight="1">
      <c r="A1962" s="1" t="s">
        <v>2679</v>
      </c>
      <c r="B1962" s="2">
        <v>45769.0</v>
      </c>
      <c r="C1962" s="9" t="s">
        <v>1029</v>
      </c>
      <c r="D1962" s="1" t="s">
        <v>2680</v>
      </c>
      <c r="E1962" s="4">
        <v>18200.0</v>
      </c>
      <c r="F1962" s="4"/>
      <c r="G1962" s="4"/>
      <c r="H1962" s="4">
        <f>'data on outstanding creditors'!$E1962-'data on outstanding creditors'!$F1962-'data on outstanding creditors'!$G1962</f>
        <v>18200</v>
      </c>
      <c r="I1962" s="2"/>
      <c r="J1962" s="1" t="s">
        <v>757</v>
      </c>
      <c r="K1962" s="2">
        <v>45875.0</v>
      </c>
      <c r="L1962" s="5"/>
      <c r="M1962" s="9" t="s">
        <v>43</v>
      </c>
      <c r="N1962" s="9" t="s">
        <v>49</v>
      </c>
      <c r="O1962" s="10">
        <f>'data on outstanding creditors'!$E1962*100/107</f>
        <v>17009.34579</v>
      </c>
      <c r="P1962" s="10">
        <f>'data on outstanding creditors'!$E1962-'data on outstanding creditors'!$O1962</f>
        <v>1190.654206</v>
      </c>
      <c r="Q1962" s="7">
        <f>DAY('data on outstanding creditors'!$B1962)</f>
        <v>22</v>
      </c>
      <c r="R1962" s="7">
        <f>MONTH('data on outstanding creditors'!$B1962)</f>
        <v>4</v>
      </c>
      <c r="S1962" s="7">
        <f>YEAR('data on outstanding creditors'!$B1962)</f>
        <v>2025</v>
      </c>
      <c r="T1962" s="11" t="str">
        <f>'data on outstanding creditors'!$C1962&amp;" "&amp;'data on outstanding creditors'!$D1962&amp;" "&amp;TEXT('data on outstanding creditors'!$E1962,"#,##0.00")</f>
        <v>บ.เอเทค เมดิคอล IV6804378 18,200.00</v>
      </c>
      <c r="U1962" s="12"/>
    </row>
    <row r="1963" ht="13.5" customHeight="1">
      <c r="A1963" s="1" t="s">
        <v>2681</v>
      </c>
      <c r="B1963" s="2">
        <v>45769.0</v>
      </c>
      <c r="C1963" s="9" t="s">
        <v>2285</v>
      </c>
      <c r="D1963" s="1" t="s">
        <v>2682</v>
      </c>
      <c r="E1963" s="4">
        <v>1020.0</v>
      </c>
      <c r="F1963" s="4"/>
      <c r="G1963" s="4"/>
      <c r="H1963" s="4">
        <f>'data on outstanding creditors'!$E1963-'data on outstanding creditors'!$F1963-'data on outstanding creditors'!$G1963</f>
        <v>1020</v>
      </c>
      <c r="I1963" s="2"/>
      <c r="J1963" s="1" t="s">
        <v>646</v>
      </c>
      <c r="K1963" s="2">
        <v>45928.0</v>
      </c>
      <c r="L1963" s="5"/>
      <c r="M1963" s="9" t="s">
        <v>43</v>
      </c>
      <c r="N1963" s="9" t="s">
        <v>49</v>
      </c>
      <c r="O1963" s="10">
        <f>'data on outstanding creditors'!$E1963*100/107</f>
        <v>953.271028</v>
      </c>
      <c r="P1963" s="10">
        <f>'data on outstanding creditors'!$E1963-'data on outstanding creditors'!$O1963</f>
        <v>66.72897196</v>
      </c>
      <c r="Q1963" s="7">
        <f>DAY('data on outstanding creditors'!$B1963)</f>
        <v>22</v>
      </c>
      <c r="R1963" s="7">
        <f>MONTH('data on outstanding creditors'!$B1963)</f>
        <v>4</v>
      </c>
      <c r="S1963" s="7">
        <f>YEAR('data on outstanding creditors'!$B1963)</f>
        <v>2025</v>
      </c>
      <c r="T1963" s="11" t="str">
        <f>'data on outstanding creditors'!$C1963&amp;" "&amp;'data on outstanding creditors'!$D1963&amp;" "&amp;TEXT('data on outstanding creditors'!$E1963,"#,##0.00")</f>
        <v>บ.อีออนเมด INT-AOM25040370 1,020.00</v>
      </c>
      <c r="U1963" s="12"/>
    </row>
    <row r="1964" ht="13.5" customHeight="1">
      <c r="A1964" s="1" t="s">
        <v>2683</v>
      </c>
      <c r="B1964" s="2">
        <v>45770.0</v>
      </c>
      <c r="C1964" s="9" t="s">
        <v>1029</v>
      </c>
      <c r="D1964" s="1" t="s">
        <v>2684</v>
      </c>
      <c r="E1964" s="4">
        <v>20300.0</v>
      </c>
      <c r="F1964" s="4"/>
      <c r="G1964" s="4"/>
      <c r="H1964" s="4">
        <f>'data on outstanding creditors'!$E1964-'data on outstanding creditors'!$F1964-'data on outstanding creditors'!$G1964</f>
        <v>20300</v>
      </c>
      <c r="I1964" s="2"/>
      <c r="J1964" s="1" t="s">
        <v>757</v>
      </c>
      <c r="K1964" s="2">
        <v>45904.0</v>
      </c>
      <c r="L1964" s="5"/>
      <c r="M1964" s="9" t="s">
        <v>43</v>
      </c>
      <c r="N1964" s="9" t="s">
        <v>49</v>
      </c>
      <c r="O1964" s="10">
        <f>'data on outstanding creditors'!$E1964*100/107</f>
        <v>18971.96262</v>
      </c>
      <c r="P1964" s="10">
        <f>'data on outstanding creditors'!$E1964-'data on outstanding creditors'!$O1964</f>
        <v>1328.037383</v>
      </c>
      <c r="Q1964" s="7">
        <f>DAY('data on outstanding creditors'!$B1964)</f>
        <v>23</v>
      </c>
      <c r="R1964" s="7">
        <f>MONTH('data on outstanding creditors'!$B1964)</f>
        <v>4</v>
      </c>
      <c r="S1964" s="7">
        <f>YEAR('data on outstanding creditors'!$B1964)</f>
        <v>2025</v>
      </c>
      <c r="T1964" s="11" t="str">
        <f>'data on outstanding creditors'!$C1964&amp;" "&amp;'data on outstanding creditors'!$D1964&amp;" "&amp;TEXT('data on outstanding creditors'!$E1964,"#,##0.00")</f>
        <v>บ.เอเทค เมดิคอล IV6804388 20,300.00</v>
      </c>
      <c r="U1964" s="12"/>
    </row>
    <row r="1965" ht="13.5" customHeight="1">
      <c r="A1965" s="1" t="s">
        <v>2685</v>
      </c>
      <c r="B1965" s="2">
        <v>45770.0</v>
      </c>
      <c r="C1965" s="9" t="s">
        <v>1029</v>
      </c>
      <c r="D1965" s="1" t="s">
        <v>2686</v>
      </c>
      <c r="E1965" s="4">
        <v>16800.0</v>
      </c>
      <c r="F1965" s="4"/>
      <c r="G1965" s="4"/>
      <c r="H1965" s="4">
        <f>'data on outstanding creditors'!$E1965-'data on outstanding creditors'!$F1965-'data on outstanding creditors'!$G1965</f>
        <v>16800</v>
      </c>
      <c r="I1965" s="2"/>
      <c r="J1965" s="1" t="s">
        <v>757</v>
      </c>
      <c r="K1965" s="2">
        <v>45910.0</v>
      </c>
      <c r="L1965" s="5"/>
      <c r="M1965" s="9" t="s">
        <v>43</v>
      </c>
      <c r="N1965" s="9" t="s">
        <v>49</v>
      </c>
      <c r="O1965" s="10">
        <f>'data on outstanding creditors'!$E1965*100/107</f>
        <v>15700.93458</v>
      </c>
      <c r="P1965" s="10">
        <f>'data on outstanding creditors'!$E1965-'data on outstanding creditors'!$O1965</f>
        <v>1099.065421</v>
      </c>
      <c r="Q1965" s="7">
        <f>DAY('data on outstanding creditors'!$B1965)</f>
        <v>23</v>
      </c>
      <c r="R1965" s="7">
        <f>MONTH('data on outstanding creditors'!$B1965)</f>
        <v>4</v>
      </c>
      <c r="S1965" s="7">
        <f>YEAR('data on outstanding creditors'!$B1965)</f>
        <v>2025</v>
      </c>
      <c r="T1965" s="11" t="str">
        <f>'data on outstanding creditors'!$C1965&amp;" "&amp;'data on outstanding creditors'!$D1965&amp;" "&amp;TEXT('data on outstanding creditors'!$E1965,"#,##0.00")</f>
        <v>บ.เอเทค เมดิคอล IV6804389 16,800.00</v>
      </c>
      <c r="U1965" s="12"/>
    </row>
    <row r="1966" ht="13.5" customHeight="1">
      <c r="A1966" s="1" t="s">
        <v>2687</v>
      </c>
      <c r="B1966" s="2">
        <v>45770.0</v>
      </c>
      <c r="C1966" s="9" t="s">
        <v>1029</v>
      </c>
      <c r="D1966" s="1" t="s">
        <v>2688</v>
      </c>
      <c r="E1966" s="4">
        <v>18200.0</v>
      </c>
      <c r="F1966" s="4"/>
      <c r="G1966" s="4"/>
      <c r="H1966" s="4">
        <f>'data on outstanding creditors'!$E1966-'data on outstanding creditors'!$F1966-'data on outstanding creditors'!$G1966</f>
        <v>18200</v>
      </c>
      <c r="I1966" s="2"/>
      <c r="J1966" s="1" t="s">
        <v>757</v>
      </c>
      <c r="K1966" s="2">
        <v>45875.0</v>
      </c>
      <c r="L1966" s="5"/>
      <c r="M1966" s="9" t="s">
        <v>43</v>
      </c>
      <c r="N1966" s="9" t="s">
        <v>49</v>
      </c>
      <c r="O1966" s="10">
        <f>'data on outstanding creditors'!$E1966*100/107</f>
        <v>17009.34579</v>
      </c>
      <c r="P1966" s="10">
        <f>'data on outstanding creditors'!$E1966-'data on outstanding creditors'!$O1966</f>
        <v>1190.654206</v>
      </c>
      <c r="Q1966" s="7">
        <f>DAY('data on outstanding creditors'!$B1966)</f>
        <v>23</v>
      </c>
      <c r="R1966" s="7">
        <f>MONTH('data on outstanding creditors'!$B1966)</f>
        <v>4</v>
      </c>
      <c r="S1966" s="7">
        <f>YEAR('data on outstanding creditors'!$B1966)</f>
        <v>2025</v>
      </c>
      <c r="T1966" s="11" t="str">
        <f>'data on outstanding creditors'!$C1966&amp;" "&amp;'data on outstanding creditors'!$D1966&amp;" "&amp;TEXT('data on outstanding creditors'!$E1966,"#,##0.00")</f>
        <v>บ.เอเทค เมดิคอล IV6804406 18,200.00</v>
      </c>
      <c r="U1966" s="12"/>
    </row>
    <row r="1967" ht="13.5" customHeight="1">
      <c r="A1967" s="1" t="s">
        <v>2689</v>
      </c>
      <c r="B1967" s="2">
        <v>45771.0</v>
      </c>
      <c r="C1967" s="9" t="s">
        <v>1029</v>
      </c>
      <c r="D1967" s="1" t="s">
        <v>2690</v>
      </c>
      <c r="E1967" s="4">
        <v>11400.0</v>
      </c>
      <c r="F1967" s="4"/>
      <c r="G1967" s="4"/>
      <c r="H1967" s="4">
        <f>'data on outstanding creditors'!$E1967-'data on outstanding creditors'!$F1967-'data on outstanding creditors'!$G1967</f>
        <v>11400</v>
      </c>
      <c r="I1967" s="2"/>
      <c r="J1967" s="1" t="s">
        <v>757</v>
      </c>
      <c r="K1967" s="2">
        <v>45882.0</v>
      </c>
      <c r="L1967" s="5"/>
      <c r="M1967" s="9" t="s">
        <v>43</v>
      </c>
      <c r="N1967" s="9" t="s">
        <v>49</v>
      </c>
      <c r="O1967" s="10">
        <f>'data on outstanding creditors'!$E1967*100/107</f>
        <v>10654.20561</v>
      </c>
      <c r="P1967" s="10">
        <f>'data on outstanding creditors'!$E1967-'data on outstanding creditors'!$O1967</f>
        <v>745.7943925</v>
      </c>
      <c r="Q1967" s="7">
        <f>DAY('data on outstanding creditors'!$B1967)</f>
        <v>24</v>
      </c>
      <c r="R1967" s="7">
        <f>MONTH('data on outstanding creditors'!$B1967)</f>
        <v>4</v>
      </c>
      <c r="S1967" s="7">
        <f>YEAR('data on outstanding creditors'!$B1967)</f>
        <v>2025</v>
      </c>
      <c r="T1967" s="11" t="str">
        <f>'data on outstanding creditors'!$C1967&amp;" "&amp;'data on outstanding creditors'!$D1967&amp;" "&amp;TEXT('data on outstanding creditors'!$E1967,"#,##0.00")</f>
        <v>บ.เอเทค เมดิคอล IV6804405 11,400.00</v>
      </c>
      <c r="U1967" s="12"/>
    </row>
    <row r="1968" ht="13.5" customHeight="1">
      <c r="A1968" s="1" t="s">
        <v>2691</v>
      </c>
      <c r="B1968" s="2">
        <v>45771.0</v>
      </c>
      <c r="C1968" s="9" t="s">
        <v>2315</v>
      </c>
      <c r="D1968" s="1" t="s">
        <v>2692</v>
      </c>
      <c r="E1968" s="4">
        <v>9300.0</v>
      </c>
      <c r="F1968" s="4"/>
      <c r="G1968" s="4"/>
      <c r="H1968" s="4">
        <f>'data on outstanding creditors'!$E1968-'data on outstanding creditors'!$F1968-'data on outstanding creditors'!$G1968</f>
        <v>9300</v>
      </c>
      <c r="I1968" s="2"/>
      <c r="J1968" s="1" t="s">
        <v>646</v>
      </c>
      <c r="K1968" s="2">
        <v>45889.0</v>
      </c>
      <c r="L1968" s="5"/>
      <c r="M1968" s="9" t="s">
        <v>43</v>
      </c>
      <c r="N1968" s="9" t="s">
        <v>49</v>
      </c>
      <c r="O1968" s="10">
        <f>'data on outstanding creditors'!$E1968*100/107</f>
        <v>8691.588785</v>
      </c>
      <c r="P1968" s="10">
        <f>'data on outstanding creditors'!$E1968-'data on outstanding creditors'!$O1968</f>
        <v>608.411215</v>
      </c>
      <c r="Q1968" s="7">
        <f>DAY('data on outstanding creditors'!$B1968)</f>
        <v>24</v>
      </c>
      <c r="R1968" s="7">
        <f>MONTH('data on outstanding creditors'!$B1968)</f>
        <v>4</v>
      </c>
      <c r="S1968" s="7">
        <f>YEAR('data on outstanding creditors'!$B1968)</f>
        <v>2025</v>
      </c>
      <c r="T1968" s="11" t="str">
        <f>'data on outstanding creditors'!$C1968&amp;" "&amp;'data on outstanding creditors'!$D1968&amp;" "&amp;TEXT('data on outstanding creditors'!$E1968,"#,##0.00")</f>
        <v>บ.เรียลเมดคอร์ป IV25041818 9,300.00</v>
      </c>
      <c r="U1968" s="12"/>
    </row>
    <row r="1969" ht="13.5" customHeight="1">
      <c r="A1969" s="1" t="s">
        <v>2693</v>
      </c>
      <c r="B1969" s="2">
        <v>45771.0</v>
      </c>
      <c r="C1969" s="9" t="s">
        <v>2381</v>
      </c>
      <c r="D1969" s="1" t="s">
        <v>2694</v>
      </c>
      <c r="E1969" s="4">
        <v>46850.0</v>
      </c>
      <c r="F1969" s="4"/>
      <c r="G1969" s="4"/>
      <c r="H1969" s="4">
        <f>'data on outstanding creditors'!$E1969-'data on outstanding creditors'!$F1969-'data on outstanding creditors'!$G1969</f>
        <v>46850</v>
      </c>
      <c r="I1969" s="2"/>
      <c r="J1969" s="1" t="s">
        <v>646</v>
      </c>
      <c r="K1969" s="2">
        <v>45843.0</v>
      </c>
      <c r="L1969" s="5"/>
      <c r="M1969" s="9" t="s">
        <v>43</v>
      </c>
      <c r="N1969" s="9" t="s">
        <v>44</v>
      </c>
      <c r="O1969" s="10">
        <f>'data on outstanding creditors'!$E1969*100/107</f>
        <v>43785.04673</v>
      </c>
      <c r="P1969" s="10">
        <f>'data on outstanding creditors'!$E1969-'data on outstanding creditors'!$O1969</f>
        <v>3064.953271</v>
      </c>
      <c r="Q1969" s="7">
        <f>DAY('data on outstanding creditors'!$B1969)</f>
        <v>24</v>
      </c>
      <c r="R1969" s="7">
        <f>MONTH('data on outstanding creditors'!$B1969)</f>
        <v>4</v>
      </c>
      <c r="S1969" s="7">
        <f>YEAR('data on outstanding creditors'!$B1969)</f>
        <v>2025</v>
      </c>
      <c r="T1969" s="11" t="str">
        <f>'data on outstanding creditors'!$C1969&amp;" "&amp;'data on outstanding creditors'!$D1969&amp;" "&amp;TEXT('data on outstanding creditors'!$E1969,"#,##0.00")</f>
        <v>หจก.วีอาร์ ซัพพอร์ต IV6803989 46,850.00</v>
      </c>
      <c r="U1969" s="12"/>
    </row>
    <row r="1970" ht="13.5" customHeight="1">
      <c r="A1970" s="1" t="s">
        <v>2695</v>
      </c>
      <c r="B1970" s="2">
        <v>45771.0</v>
      </c>
      <c r="C1970" s="9" t="s">
        <v>1029</v>
      </c>
      <c r="D1970" s="1" t="s">
        <v>2696</v>
      </c>
      <c r="E1970" s="4">
        <v>21200.0</v>
      </c>
      <c r="F1970" s="4"/>
      <c r="G1970" s="4"/>
      <c r="H1970" s="4">
        <f>'data on outstanding creditors'!$E1970-'data on outstanding creditors'!$F1970-'data on outstanding creditors'!$G1970</f>
        <v>21200</v>
      </c>
      <c r="I1970" s="2"/>
      <c r="J1970" s="1" t="s">
        <v>757</v>
      </c>
      <c r="K1970" s="2">
        <v>45875.0</v>
      </c>
      <c r="L1970" s="5"/>
      <c r="M1970" s="9" t="s">
        <v>43</v>
      </c>
      <c r="N1970" s="9" t="s">
        <v>49</v>
      </c>
      <c r="O1970" s="10">
        <f>'data on outstanding creditors'!$E1970*100/107</f>
        <v>19813.08411</v>
      </c>
      <c r="P1970" s="10">
        <f>'data on outstanding creditors'!$E1970-'data on outstanding creditors'!$O1970</f>
        <v>1386.915888</v>
      </c>
      <c r="Q1970" s="7">
        <f>DAY('data on outstanding creditors'!$B1970)</f>
        <v>24</v>
      </c>
      <c r="R1970" s="7">
        <f>MONTH('data on outstanding creditors'!$B1970)</f>
        <v>4</v>
      </c>
      <c r="S1970" s="7">
        <f>YEAR('data on outstanding creditors'!$B1970)</f>
        <v>2025</v>
      </c>
      <c r="T1970" s="11" t="str">
        <f>'data on outstanding creditors'!$C1970&amp;" "&amp;'data on outstanding creditors'!$D1970&amp;" "&amp;TEXT('data on outstanding creditors'!$E1970,"#,##0.00")</f>
        <v>บ.เอเทค เมดิคอล IV6804501 21,200.00</v>
      </c>
      <c r="U1970" s="12"/>
    </row>
    <row r="1971" ht="13.5" customHeight="1">
      <c r="A1971" s="1" t="s">
        <v>2697</v>
      </c>
      <c r="B1971" s="2">
        <v>45772.0</v>
      </c>
      <c r="C1971" s="9" t="s">
        <v>1029</v>
      </c>
      <c r="D1971" s="1" t="s">
        <v>2698</v>
      </c>
      <c r="E1971" s="4">
        <v>6250.0</v>
      </c>
      <c r="F1971" s="4"/>
      <c r="G1971" s="4"/>
      <c r="H1971" s="4">
        <f>'data on outstanding creditors'!$E1971-'data on outstanding creditors'!$F1971-'data on outstanding creditors'!$G1971</f>
        <v>6250</v>
      </c>
      <c r="I1971" s="2"/>
      <c r="J1971" s="1" t="s">
        <v>646</v>
      </c>
      <c r="K1971" s="2">
        <v>45843.0</v>
      </c>
      <c r="L1971" s="5"/>
      <c r="M1971" s="9" t="s">
        <v>43</v>
      </c>
      <c r="N1971" s="9" t="s">
        <v>49</v>
      </c>
      <c r="O1971" s="10">
        <f>'data on outstanding creditors'!$E1971*100/107</f>
        <v>5841.121495</v>
      </c>
      <c r="P1971" s="10">
        <f>'data on outstanding creditors'!$E1971-'data on outstanding creditors'!$O1971</f>
        <v>408.8785047</v>
      </c>
      <c r="Q1971" s="7">
        <f>DAY('data on outstanding creditors'!$B1971)</f>
        <v>25</v>
      </c>
      <c r="R1971" s="7">
        <f>MONTH('data on outstanding creditors'!$B1971)</f>
        <v>4</v>
      </c>
      <c r="S1971" s="7">
        <f>YEAR('data on outstanding creditors'!$B1971)</f>
        <v>2025</v>
      </c>
      <c r="T1971" s="11" t="str">
        <f>'data on outstanding creditors'!$C1971&amp;" "&amp;'data on outstanding creditors'!$D1971&amp;" "&amp;TEXT('data on outstanding creditors'!$E1971,"#,##0.00")</f>
        <v>บ.เอเทค เมดิคอล IV6804404 6,250.00</v>
      </c>
      <c r="U1971" s="12"/>
    </row>
    <row r="1972" ht="13.5" customHeight="1">
      <c r="A1972" s="1" t="s">
        <v>2699</v>
      </c>
      <c r="B1972" s="2">
        <v>45772.0</v>
      </c>
      <c r="C1972" s="9" t="s">
        <v>2310</v>
      </c>
      <c r="D1972" s="1" t="s">
        <v>2700</v>
      </c>
      <c r="E1972" s="4">
        <v>18000.0</v>
      </c>
      <c r="F1972" s="4"/>
      <c r="G1972" s="4"/>
      <c r="H1972" s="4">
        <f>'data on outstanding creditors'!$E1972-'data on outstanding creditors'!$F1972-'data on outstanding creditors'!$G1972</f>
        <v>18000</v>
      </c>
      <c r="I1972" s="2"/>
      <c r="J1972" s="1" t="s">
        <v>646</v>
      </c>
      <c r="K1972" s="2">
        <v>45877.0</v>
      </c>
      <c r="L1972" s="5"/>
      <c r="M1972" s="9" t="s">
        <v>43</v>
      </c>
      <c r="N1972" s="9" t="s">
        <v>49</v>
      </c>
      <c r="O1972" s="10">
        <f>'data on outstanding creditors'!$E1972*100/107</f>
        <v>16822.42991</v>
      </c>
      <c r="P1972" s="10">
        <f>'data on outstanding creditors'!$E1972-'data on outstanding creditors'!$O1972</f>
        <v>1177.570093</v>
      </c>
      <c r="Q1972" s="7">
        <f>DAY('data on outstanding creditors'!$B1972)</f>
        <v>25</v>
      </c>
      <c r="R1972" s="7">
        <f>MONTH('data on outstanding creditors'!$B1972)</f>
        <v>4</v>
      </c>
      <c r="S1972" s="7">
        <f>YEAR('data on outstanding creditors'!$B1972)</f>
        <v>2025</v>
      </c>
      <c r="T1972" s="11" t="str">
        <f>'data on outstanding creditors'!$C1972&amp;" "&amp;'data on outstanding creditors'!$D1972&amp;" "&amp;TEXT('data on outstanding creditors'!$E1972,"#,##0.00")</f>
        <v>บ.เอ็นจี โปรเกรสซีฟ 109.04.68 18,000.00</v>
      </c>
      <c r="U1972" s="12"/>
    </row>
    <row r="1973" ht="13.5" customHeight="1">
      <c r="A1973" s="1" t="s">
        <v>2701</v>
      </c>
      <c r="B1973" s="2">
        <v>45772.0</v>
      </c>
      <c r="C1973" s="9" t="s">
        <v>2702</v>
      </c>
      <c r="D1973" s="1" t="s">
        <v>2703</v>
      </c>
      <c r="E1973" s="4">
        <v>16500.0</v>
      </c>
      <c r="F1973" s="4"/>
      <c r="G1973" s="4"/>
      <c r="H1973" s="4">
        <f>'data on outstanding creditors'!$E1973-'data on outstanding creditors'!$F1973-'data on outstanding creditors'!$G1973</f>
        <v>16500</v>
      </c>
      <c r="I1973" s="2"/>
      <c r="J1973" s="1" t="s">
        <v>646</v>
      </c>
      <c r="K1973" s="2">
        <v>45944.0</v>
      </c>
      <c r="L1973" s="5"/>
      <c r="M1973" s="9" t="s">
        <v>43</v>
      </c>
      <c r="N1973" s="9" t="s">
        <v>49</v>
      </c>
      <c r="O1973" s="10">
        <f>'data on outstanding creditors'!$E1973*100/107</f>
        <v>15420.56075</v>
      </c>
      <c r="P1973" s="10">
        <f>'data on outstanding creditors'!$E1973-'data on outstanding creditors'!$O1973</f>
        <v>1079.439252</v>
      </c>
      <c r="Q1973" s="7">
        <f>DAY('data on outstanding creditors'!$B1973)</f>
        <v>25</v>
      </c>
      <c r="R1973" s="7">
        <f>MONTH('data on outstanding creditors'!$B1973)</f>
        <v>4</v>
      </c>
      <c r="S1973" s="7">
        <f>YEAR('data on outstanding creditors'!$B1973)</f>
        <v>2025</v>
      </c>
      <c r="T1973" s="11" t="str">
        <f>'data on outstanding creditors'!$C1973&amp;" "&amp;'data on outstanding creditors'!$D1973&amp;" "&amp;TEXT('data on outstanding creditors'!$E1973,"#,##0.00")</f>
        <v>บ.กรุงเทพครุภัณฑ์เวชภัณฑ์ 2568/0431 16,500.00</v>
      </c>
      <c r="U1973" s="12"/>
    </row>
    <row r="1974" ht="13.5" customHeight="1">
      <c r="A1974" s="1" t="s">
        <v>2704</v>
      </c>
      <c r="B1974" s="2">
        <v>45772.0</v>
      </c>
      <c r="C1974" s="9" t="s">
        <v>2702</v>
      </c>
      <c r="D1974" s="1" t="s">
        <v>2705</v>
      </c>
      <c r="E1974" s="4">
        <v>10500.0</v>
      </c>
      <c r="F1974" s="4"/>
      <c r="G1974" s="4"/>
      <c r="H1974" s="4">
        <f>'data on outstanding creditors'!$E1974-'data on outstanding creditors'!$F1974-'data on outstanding creditors'!$G1974</f>
        <v>10500</v>
      </c>
      <c r="I1974" s="2"/>
      <c r="J1974" s="1" t="s">
        <v>646</v>
      </c>
      <c r="K1974" s="2">
        <v>45944.0</v>
      </c>
      <c r="L1974" s="5"/>
      <c r="M1974" s="9" t="s">
        <v>43</v>
      </c>
      <c r="N1974" s="9" t="s">
        <v>49</v>
      </c>
      <c r="O1974" s="10">
        <f>'data on outstanding creditors'!$E1974*100/107</f>
        <v>9813.084112</v>
      </c>
      <c r="P1974" s="10">
        <f>'data on outstanding creditors'!$E1974-'data on outstanding creditors'!$O1974</f>
        <v>686.9158879</v>
      </c>
      <c r="Q1974" s="7">
        <f>DAY('data on outstanding creditors'!$B1974)</f>
        <v>25</v>
      </c>
      <c r="R1974" s="7">
        <f>MONTH('data on outstanding creditors'!$B1974)</f>
        <v>4</v>
      </c>
      <c r="S1974" s="7">
        <f>YEAR('data on outstanding creditors'!$B1974)</f>
        <v>2025</v>
      </c>
      <c r="T1974" s="11" t="str">
        <f>'data on outstanding creditors'!$C1974&amp;" "&amp;'data on outstanding creditors'!$D1974&amp;" "&amp;TEXT('data on outstanding creditors'!$E1974,"#,##0.00")</f>
        <v>บ.กรุงเทพครุภัณฑ์เวชภัณฑ์ 2568/0374 10,500.00</v>
      </c>
      <c r="U1974" s="12"/>
    </row>
    <row r="1975" ht="13.5" customHeight="1">
      <c r="A1975" s="1" t="s">
        <v>2706</v>
      </c>
      <c r="B1975" s="2">
        <v>45772.0</v>
      </c>
      <c r="C1975" s="9" t="s">
        <v>2702</v>
      </c>
      <c r="D1975" s="1" t="s">
        <v>2707</v>
      </c>
      <c r="E1975" s="4">
        <v>17500.0</v>
      </c>
      <c r="F1975" s="4"/>
      <c r="G1975" s="4"/>
      <c r="H1975" s="4">
        <f>'data on outstanding creditors'!$E1975-'data on outstanding creditors'!$F1975-'data on outstanding creditors'!$G1975</f>
        <v>17500</v>
      </c>
      <c r="I1975" s="2"/>
      <c r="J1975" s="1" t="s">
        <v>646</v>
      </c>
      <c r="K1975" s="2">
        <v>45944.0</v>
      </c>
      <c r="L1975" s="5"/>
      <c r="M1975" s="9" t="s">
        <v>43</v>
      </c>
      <c r="N1975" s="9" t="s">
        <v>49</v>
      </c>
      <c r="O1975" s="10">
        <f>'data on outstanding creditors'!$E1975*100/107</f>
        <v>16355.14019</v>
      </c>
      <c r="P1975" s="10">
        <f>'data on outstanding creditors'!$E1975-'data on outstanding creditors'!$O1975</f>
        <v>1144.859813</v>
      </c>
      <c r="Q1975" s="7">
        <f>DAY('data on outstanding creditors'!$B1975)</f>
        <v>25</v>
      </c>
      <c r="R1975" s="7">
        <f>MONTH('data on outstanding creditors'!$B1975)</f>
        <v>4</v>
      </c>
      <c r="S1975" s="7">
        <f>YEAR('data on outstanding creditors'!$B1975)</f>
        <v>2025</v>
      </c>
      <c r="T1975" s="11" t="str">
        <f>'data on outstanding creditors'!$C1975&amp;" "&amp;'data on outstanding creditors'!$D1975&amp;" "&amp;TEXT('data on outstanding creditors'!$E1975,"#,##0.00")</f>
        <v>บ.กรุงเทพครุภัณฑ์เวชภัณฑ์ 2568/0373 17,500.00</v>
      </c>
      <c r="U1975" s="12"/>
    </row>
    <row r="1976" ht="13.5" customHeight="1">
      <c r="A1976" s="1" t="s">
        <v>2708</v>
      </c>
      <c r="B1976" s="2">
        <v>45772.0</v>
      </c>
      <c r="C1976" s="9" t="s">
        <v>1029</v>
      </c>
      <c r="D1976" s="1" t="s">
        <v>2709</v>
      </c>
      <c r="E1976" s="4">
        <v>22200.0</v>
      </c>
      <c r="F1976" s="4"/>
      <c r="G1976" s="4"/>
      <c r="H1976" s="4">
        <f>'data on outstanding creditors'!$E1976-'data on outstanding creditors'!$F1976-'data on outstanding creditors'!$G1976</f>
        <v>22200</v>
      </c>
      <c r="I1976" s="2"/>
      <c r="J1976" s="1" t="s">
        <v>757</v>
      </c>
      <c r="K1976" s="2">
        <v>45910.0</v>
      </c>
      <c r="L1976" s="5"/>
      <c r="M1976" s="9" t="s">
        <v>43</v>
      </c>
      <c r="N1976" s="9" t="s">
        <v>49</v>
      </c>
      <c r="O1976" s="10">
        <f>'data on outstanding creditors'!$E1976*100/107</f>
        <v>20747.66355</v>
      </c>
      <c r="P1976" s="10">
        <f>'data on outstanding creditors'!$E1976-'data on outstanding creditors'!$O1976</f>
        <v>1452.336449</v>
      </c>
      <c r="Q1976" s="7">
        <f>DAY('data on outstanding creditors'!$B1976)</f>
        <v>25</v>
      </c>
      <c r="R1976" s="7">
        <f>MONTH('data on outstanding creditors'!$B1976)</f>
        <v>4</v>
      </c>
      <c r="S1976" s="7">
        <f>YEAR('data on outstanding creditors'!$B1976)</f>
        <v>2025</v>
      </c>
      <c r="T1976" s="11" t="str">
        <f>'data on outstanding creditors'!$C1976&amp;" "&amp;'data on outstanding creditors'!$D1976&amp;" "&amp;TEXT('data on outstanding creditors'!$E1976,"#,##0.00")</f>
        <v>บ.เอเทค เมดิคอล IV6804467 22,200.00</v>
      </c>
      <c r="U1976" s="12"/>
    </row>
    <row r="1977" ht="13.5" customHeight="1">
      <c r="A1977" s="1" t="s">
        <v>2710</v>
      </c>
      <c r="B1977" s="2">
        <v>45772.0</v>
      </c>
      <c r="C1977" s="9" t="s">
        <v>2711</v>
      </c>
      <c r="D1977" s="1" t="s">
        <v>2712</v>
      </c>
      <c r="E1977" s="4">
        <v>8000.0</v>
      </c>
      <c r="F1977" s="4"/>
      <c r="G1977" s="4"/>
      <c r="H1977" s="4">
        <f>'data on outstanding creditors'!$E1977-'data on outstanding creditors'!$F1977-'data on outstanding creditors'!$G1977</f>
        <v>8000</v>
      </c>
      <c r="I1977" s="2"/>
      <c r="J1977" s="1" t="s">
        <v>646</v>
      </c>
      <c r="K1977" s="2">
        <v>45855.0</v>
      </c>
      <c r="L1977" s="5"/>
      <c r="M1977" s="9" t="s">
        <v>43</v>
      </c>
      <c r="N1977" s="9" t="s">
        <v>49</v>
      </c>
      <c r="O1977" s="10">
        <f>'data on outstanding creditors'!$E1977*100/107</f>
        <v>7476.635514</v>
      </c>
      <c r="P1977" s="10">
        <f>'data on outstanding creditors'!$E1977-'data on outstanding creditors'!$O1977</f>
        <v>523.364486</v>
      </c>
      <c r="Q1977" s="7">
        <f>DAY('data on outstanding creditors'!$B1977)</f>
        <v>25</v>
      </c>
      <c r="R1977" s="7">
        <f>MONTH('data on outstanding creditors'!$B1977)</f>
        <v>4</v>
      </c>
      <c r="S1977" s="7">
        <f>YEAR('data on outstanding creditors'!$B1977)</f>
        <v>2025</v>
      </c>
      <c r="T1977" s="11" t="str">
        <f>'data on outstanding creditors'!$C1977&amp;" "&amp;'data on outstanding creditors'!$D1977&amp;" "&amp;TEXT('data on outstanding creditors'!$E1977,"#,##0.00")</f>
        <v>บ.ทีเคเอ็น ซัพพลาย(ไทยแลนด์) IV2504458 8,000.00</v>
      </c>
      <c r="U1977" s="12"/>
    </row>
    <row r="1978" ht="13.5" customHeight="1">
      <c r="A1978" s="1" t="s">
        <v>2713</v>
      </c>
      <c r="B1978" s="2">
        <v>45775.0</v>
      </c>
      <c r="C1978" s="9" t="s">
        <v>1029</v>
      </c>
      <c r="D1978" s="1" t="s">
        <v>2714</v>
      </c>
      <c r="E1978" s="4">
        <v>14600.0</v>
      </c>
      <c r="F1978" s="4"/>
      <c r="G1978" s="4"/>
      <c r="H1978" s="4">
        <f>'data on outstanding creditors'!$E1978-'data on outstanding creditors'!$F1978-'data on outstanding creditors'!$G1978</f>
        <v>14600</v>
      </c>
      <c r="I1978" s="2"/>
      <c r="J1978" s="1" t="s">
        <v>757</v>
      </c>
      <c r="K1978" s="2">
        <v>45875.0</v>
      </c>
      <c r="L1978" s="5"/>
      <c r="M1978" s="9" t="s">
        <v>43</v>
      </c>
      <c r="N1978" s="9" t="s">
        <v>49</v>
      </c>
      <c r="O1978" s="10">
        <f>'data on outstanding creditors'!$E1978*100/107</f>
        <v>13644.85981</v>
      </c>
      <c r="P1978" s="10">
        <f>'data on outstanding creditors'!$E1978-'data on outstanding creditors'!$O1978</f>
        <v>955.1401869</v>
      </c>
      <c r="Q1978" s="7">
        <f>DAY('data on outstanding creditors'!$B1978)</f>
        <v>28</v>
      </c>
      <c r="R1978" s="7">
        <f>MONTH('data on outstanding creditors'!$B1978)</f>
        <v>4</v>
      </c>
      <c r="S1978" s="7">
        <f>YEAR('data on outstanding creditors'!$B1978)</f>
        <v>2025</v>
      </c>
      <c r="T1978" s="11" t="str">
        <f>'data on outstanding creditors'!$C1978&amp;" "&amp;'data on outstanding creditors'!$D1978&amp;" "&amp;TEXT('data on outstanding creditors'!$E1978,"#,##0.00")</f>
        <v>บ.เอเทค เมดิคอล IV6804476 14,600.00</v>
      </c>
      <c r="U1978" s="12"/>
    </row>
    <row r="1979" ht="13.5" customHeight="1">
      <c r="A1979" s="1" t="s">
        <v>2715</v>
      </c>
      <c r="B1979" s="2">
        <v>45775.0</v>
      </c>
      <c r="C1979" s="9" t="s">
        <v>2275</v>
      </c>
      <c r="D1979" s="1" t="s">
        <v>2716</v>
      </c>
      <c r="E1979" s="4">
        <v>3450.0</v>
      </c>
      <c r="F1979" s="4"/>
      <c r="G1979" s="4"/>
      <c r="H1979" s="4">
        <f>'data on outstanding creditors'!$E1979-'data on outstanding creditors'!$F1979-'data on outstanding creditors'!$G1979</f>
        <v>3450</v>
      </c>
      <c r="I1979" s="2"/>
      <c r="J1979" s="1" t="s">
        <v>646</v>
      </c>
      <c r="K1979" s="2">
        <v>45877.0</v>
      </c>
      <c r="L1979" s="5"/>
      <c r="M1979" s="9" t="s">
        <v>43</v>
      </c>
      <c r="N1979" s="9" t="s">
        <v>49</v>
      </c>
      <c r="O1979" s="10">
        <f>'data on outstanding creditors'!$E1979*100/107</f>
        <v>3224.299065</v>
      </c>
      <c r="P1979" s="10">
        <f>'data on outstanding creditors'!$E1979-'data on outstanding creditors'!$O1979</f>
        <v>225.7009346</v>
      </c>
      <c r="Q1979" s="7">
        <f>DAY('data on outstanding creditors'!$B1979)</f>
        <v>28</v>
      </c>
      <c r="R1979" s="7">
        <f>MONTH('data on outstanding creditors'!$B1979)</f>
        <v>4</v>
      </c>
      <c r="S1979" s="7">
        <f>YEAR('data on outstanding creditors'!$B1979)</f>
        <v>2025</v>
      </c>
      <c r="T1979" s="11" t="str">
        <f>'data on outstanding creditors'!$C1979&amp;" "&amp;'data on outstanding creditors'!$D1979&amp;" "&amp;TEXT('data on outstanding creditors'!$E1979,"#,##0.00")</f>
        <v>บ.ยู.พี.เมดิคอล ซอลเตอร์ 681253 3,450.00</v>
      </c>
      <c r="U1979" s="12"/>
    </row>
    <row r="1980" ht="13.5" customHeight="1">
      <c r="A1980" s="1" t="s">
        <v>2717</v>
      </c>
      <c r="B1980" s="2">
        <v>45775.0</v>
      </c>
      <c r="C1980" s="9" t="s">
        <v>1114</v>
      </c>
      <c r="D1980" s="1" t="s">
        <v>2718</v>
      </c>
      <c r="E1980" s="4">
        <v>2800.0</v>
      </c>
      <c r="F1980" s="4"/>
      <c r="G1980" s="4"/>
      <c r="H1980" s="4">
        <f>'data on outstanding creditors'!$E1980-'data on outstanding creditors'!$F1980-'data on outstanding creditors'!$G1980</f>
        <v>2800</v>
      </c>
      <c r="I1980" s="2"/>
      <c r="J1980" s="1" t="s">
        <v>646</v>
      </c>
      <c r="K1980" s="2">
        <v>45843.0</v>
      </c>
      <c r="L1980" s="5"/>
      <c r="M1980" s="9" t="s">
        <v>43</v>
      </c>
      <c r="N1980" s="9" t="s">
        <v>49</v>
      </c>
      <c r="O1980" s="10">
        <f>'data on outstanding creditors'!$E1980*100/107</f>
        <v>2616.82243</v>
      </c>
      <c r="P1980" s="10">
        <f>'data on outstanding creditors'!$E1980-'data on outstanding creditors'!$O1980</f>
        <v>183.1775701</v>
      </c>
      <c r="Q1980" s="7">
        <f>DAY('data on outstanding creditors'!$B1980)</f>
        <v>28</v>
      </c>
      <c r="R1980" s="7">
        <f>MONTH('data on outstanding creditors'!$B1980)</f>
        <v>4</v>
      </c>
      <c r="S1980" s="7">
        <f>YEAR('data on outstanding creditors'!$B1980)</f>
        <v>2025</v>
      </c>
      <c r="T1980" s="11" t="str">
        <f>'data on outstanding creditors'!$C1980&amp;" "&amp;'data on outstanding creditors'!$D1980&amp;" "&amp;TEXT('data on outstanding creditors'!$E1980,"#,##0.00")</f>
        <v>หจก.อิเลฟเว่น พลัซ EL680422160 2,800.00</v>
      </c>
      <c r="U1980" s="12"/>
    </row>
    <row r="1981" ht="13.5" customHeight="1">
      <c r="A1981" s="1" t="s">
        <v>2719</v>
      </c>
      <c r="B1981" s="2">
        <v>45775.0</v>
      </c>
      <c r="C1981" s="9" t="s">
        <v>1029</v>
      </c>
      <c r="D1981" s="1" t="s">
        <v>2720</v>
      </c>
      <c r="E1981" s="4">
        <v>4200.0</v>
      </c>
      <c r="F1981" s="4"/>
      <c r="G1981" s="4"/>
      <c r="H1981" s="4">
        <f>'data on outstanding creditors'!$E1981-'data on outstanding creditors'!$F1981-'data on outstanding creditors'!$G1981</f>
        <v>4200</v>
      </c>
      <c r="I1981" s="2"/>
      <c r="J1981" s="1" t="s">
        <v>757</v>
      </c>
      <c r="K1981" s="2">
        <v>45832.0</v>
      </c>
      <c r="L1981" s="5"/>
      <c r="M1981" s="9" t="s">
        <v>43</v>
      </c>
      <c r="N1981" s="9" t="s">
        <v>49</v>
      </c>
      <c r="O1981" s="10">
        <f>'data on outstanding creditors'!$E1981*100/107</f>
        <v>3925.233645</v>
      </c>
      <c r="P1981" s="10">
        <f>'data on outstanding creditors'!$E1981-'data on outstanding creditors'!$O1981</f>
        <v>274.7663551</v>
      </c>
      <c r="Q1981" s="7">
        <f>DAY('data on outstanding creditors'!$B1981)</f>
        <v>28</v>
      </c>
      <c r="R1981" s="7">
        <f>MONTH('data on outstanding creditors'!$B1981)</f>
        <v>4</v>
      </c>
      <c r="S1981" s="7">
        <f>YEAR('data on outstanding creditors'!$B1981)</f>
        <v>2025</v>
      </c>
      <c r="T1981" s="11" t="str">
        <f>'data on outstanding creditors'!$C1981&amp;" "&amp;'data on outstanding creditors'!$D1981&amp;" "&amp;TEXT('data on outstanding creditors'!$E1981,"#,##0.00")</f>
        <v>บ.เอเทค เมดิคอล IV6804456 4,200.00</v>
      </c>
      <c r="U1981" s="12"/>
    </row>
    <row r="1982" ht="13.5" customHeight="1">
      <c r="A1982" s="1" t="s">
        <v>2721</v>
      </c>
      <c r="B1982" s="2">
        <v>45775.0</v>
      </c>
      <c r="C1982" s="9" t="s">
        <v>1320</v>
      </c>
      <c r="D1982" s="1" t="s">
        <v>2722</v>
      </c>
      <c r="E1982" s="4">
        <v>45000.0</v>
      </c>
      <c r="F1982" s="4"/>
      <c r="G1982" s="4"/>
      <c r="H1982" s="4">
        <f>'data on outstanding creditors'!$E1982-'data on outstanding creditors'!$F1982-'data on outstanding creditors'!$G1982</f>
        <v>45000</v>
      </c>
      <c r="I1982" s="2"/>
      <c r="J1982" s="1" t="s">
        <v>646</v>
      </c>
      <c r="K1982" s="2">
        <v>45928.0</v>
      </c>
      <c r="L1982" s="5"/>
      <c r="M1982" s="9" t="s">
        <v>43</v>
      </c>
      <c r="N1982" s="9" t="s">
        <v>49</v>
      </c>
      <c r="O1982" s="10">
        <f>'data on outstanding creditors'!$E1982*100/107</f>
        <v>42056.07477</v>
      </c>
      <c r="P1982" s="10">
        <f>'data on outstanding creditors'!$E1982-'data on outstanding creditors'!$O1982</f>
        <v>2943.925234</v>
      </c>
      <c r="Q1982" s="7">
        <f>DAY('data on outstanding creditors'!$B1982)</f>
        <v>28</v>
      </c>
      <c r="R1982" s="7">
        <f>MONTH('data on outstanding creditors'!$B1982)</f>
        <v>4</v>
      </c>
      <c r="S1982" s="7">
        <f>YEAR('data on outstanding creditors'!$B1982)</f>
        <v>2025</v>
      </c>
      <c r="T1982" s="11" t="str">
        <f>'data on outstanding creditors'!$C1982&amp;" "&amp;'data on outstanding creditors'!$D1982&amp;" "&amp;TEXT('data on outstanding creditors'!$E1982,"#,##0.00")</f>
        <v>บ.บี.เอ็ล.ฮั้ว 68015640 45,000.00</v>
      </c>
      <c r="U1982" s="12"/>
    </row>
    <row r="1983" ht="13.5" customHeight="1">
      <c r="A1983" s="1" t="s">
        <v>2723</v>
      </c>
      <c r="B1983" s="2">
        <v>45776.0</v>
      </c>
      <c r="C1983" s="9" t="s">
        <v>1029</v>
      </c>
      <c r="D1983" s="1" t="s">
        <v>2724</v>
      </c>
      <c r="E1983" s="4">
        <v>12600.0</v>
      </c>
      <c r="F1983" s="4"/>
      <c r="G1983" s="4"/>
      <c r="H1983" s="4">
        <f>'data on outstanding creditors'!$E1983-'data on outstanding creditors'!$F1983-'data on outstanding creditors'!$G1983</f>
        <v>12600</v>
      </c>
      <c r="I1983" s="2"/>
      <c r="J1983" s="1" t="s">
        <v>757</v>
      </c>
      <c r="K1983" s="2">
        <v>45882.0</v>
      </c>
      <c r="L1983" s="5"/>
      <c r="M1983" s="9" t="s">
        <v>43</v>
      </c>
      <c r="N1983" s="9" t="s">
        <v>49</v>
      </c>
      <c r="O1983" s="10">
        <f>'data on outstanding creditors'!$E1983*100/107</f>
        <v>11775.70093</v>
      </c>
      <c r="P1983" s="10">
        <f>'data on outstanding creditors'!$E1983-'data on outstanding creditors'!$O1983</f>
        <v>824.2990654</v>
      </c>
      <c r="Q1983" s="7">
        <f>DAY('data on outstanding creditors'!$B1983)</f>
        <v>29</v>
      </c>
      <c r="R1983" s="7">
        <f>MONTH('data on outstanding creditors'!$B1983)</f>
        <v>4</v>
      </c>
      <c r="S1983" s="7">
        <f>YEAR('data on outstanding creditors'!$B1983)</f>
        <v>2025</v>
      </c>
      <c r="T1983" s="11" t="str">
        <f>'data on outstanding creditors'!$C1983&amp;" "&amp;'data on outstanding creditors'!$D1983&amp;" "&amp;TEXT('data on outstanding creditors'!$E1983,"#,##0.00")</f>
        <v>บ.เอเทค เมดิคอล IV6804511 12,600.00</v>
      </c>
      <c r="U1983" s="12"/>
    </row>
    <row r="1984" ht="13.5" customHeight="1">
      <c r="A1984" s="1" t="s">
        <v>2725</v>
      </c>
      <c r="B1984" s="2">
        <v>45776.0</v>
      </c>
      <c r="C1984" s="9" t="s">
        <v>1029</v>
      </c>
      <c r="D1984" s="1" t="s">
        <v>2726</v>
      </c>
      <c r="E1984" s="4">
        <v>14900.0</v>
      </c>
      <c r="F1984" s="4"/>
      <c r="G1984" s="4"/>
      <c r="H1984" s="4">
        <f>'data on outstanding creditors'!$E1984-'data on outstanding creditors'!$F1984-'data on outstanding creditors'!$G1984</f>
        <v>14900</v>
      </c>
      <c r="I1984" s="2"/>
      <c r="J1984" s="1" t="s">
        <v>757</v>
      </c>
      <c r="K1984" s="2">
        <v>45875.0</v>
      </c>
      <c r="L1984" s="5"/>
      <c r="M1984" s="9" t="s">
        <v>43</v>
      </c>
      <c r="N1984" s="9" t="s">
        <v>49</v>
      </c>
      <c r="O1984" s="10">
        <f>'data on outstanding creditors'!$E1984*100/107</f>
        <v>13925.23364</v>
      </c>
      <c r="P1984" s="10">
        <f>'data on outstanding creditors'!$E1984-'data on outstanding creditors'!$O1984</f>
        <v>974.7663551</v>
      </c>
      <c r="Q1984" s="7">
        <f>DAY('data on outstanding creditors'!$B1984)</f>
        <v>29</v>
      </c>
      <c r="R1984" s="7">
        <f>MONTH('data on outstanding creditors'!$B1984)</f>
        <v>4</v>
      </c>
      <c r="S1984" s="7">
        <f>YEAR('data on outstanding creditors'!$B1984)</f>
        <v>2025</v>
      </c>
      <c r="T1984" s="11" t="str">
        <f>'data on outstanding creditors'!$C1984&amp;" "&amp;'data on outstanding creditors'!$D1984&amp;" "&amp;TEXT('data on outstanding creditors'!$E1984,"#,##0.00")</f>
        <v>บ.เอเทค เมดิคอล IV6804502 14,900.00</v>
      </c>
      <c r="U1984" s="12"/>
    </row>
    <row r="1985" ht="13.5" customHeight="1">
      <c r="A1985" s="1" t="s">
        <v>2727</v>
      </c>
      <c r="B1985" s="2">
        <v>45776.0</v>
      </c>
      <c r="C1985" s="9" t="s">
        <v>1029</v>
      </c>
      <c r="D1985" s="1" t="s">
        <v>2728</v>
      </c>
      <c r="E1985" s="4">
        <v>18200.0</v>
      </c>
      <c r="F1985" s="4"/>
      <c r="G1985" s="4"/>
      <c r="H1985" s="4">
        <f>'data on outstanding creditors'!$E1985-'data on outstanding creditors'!$F1985-'data on outstanding creditors'!$G1985</f>
        <v>18200</v>
      </c>
      <c r="I1985" s="2"/>
      <c r="J1985" s="1" t="s">
        <v>757</v>
      </c>
      <c r="K1985" s="2">
        <v>45882.0</v>
      </c>
      <c r="L1985" s="5"/>
      <c r="M1985" s="9" t="s">
        <v>43</v>
      </c>
      <c r="N1985" s="9" t="s">
        <v>49</v>
      </c>
      <c r="O1985" s="10">
        <f>'data on outstanding creditors'!$E1985*100/107</f>
        <v>17009.34579</v>
      </c>
      <c r="P1985" s="10">
        <f>'data on outstanding creditors'!$E1985-'data on outstanding creditors'!$O1985</f>
        <v>1190.654206</v>
      </c>
      <c r="Q1985" s="7">
        <f>DAY('data on outstanding creditors'!$B1985)</f>
        <v>29</v>
      </c>
      <c r="R1985" s="7">
        <f>MONTH('data on outstanding creditors'!$B1985)</f>
        <v>4</v>
      </c>
      <c r="S1985" s="7">
        <f>YEAR('data on outstanding creditors'!$B1985)</f>
        <v>2025</v>
      </c>
      <c r="T1985" s="11" t="str">
        <f>'data on outstanding creditors'!$C1985&amp;" "&amp;'data on outstanding creditors'!$D1985&amp;" "&amp;TEXT('data on outstanding creditors'!$E1985,"#,##0.00")</f>
        <v>บ.เอเทค เมดิคอล IV6804529 18,200.00</v>
      </c>
      <c r="U1985" s="12"/>
    </row>
    <row r="1986" ht="13.5" customHeight="1">
      <c r="A1986" s="1" t="s">
        <v>2729</v>
      </c>
      <c r="B1986" s="2">
        <v>45777.0</v>
      </c>
      <c r="C1986" s="9" t="s">
        <v>2702</v>
      </c>
      <c r="D1986" s="1" t="s">
        <v>2730</v>
      </c>
      <c r="E1986" s="4">
        <v>23275.0</v>
      </c>
      <c r="F1986" s="4"/>
      <c r="G1986" s="4"/>
      <c r="H1986" s="4">
        <f>'data on outstanding creditors'!$E1986-'data on outstanding creditors'!$F1986-'data on outstanding creditors'!$G1986</f>
        <v>23275</v>
      </c>
      <c r="I1986" s="2"/>
      <c r="J1986" s="1" t="s">
        <v>646</v>
      </c>
      <c r="K1986" s="2">
        <v>45944.0</v>
      </c>
      <c r="L1986" s="5"/>
      <c r="M1986" s="9" t="s">
        <v>43</v>
      </c>
      <c r="N1986" s="9" t="s">
        <v>49</v>
      </c>
      <c r="O1986" s="10">
        <f>'data on outstanding creditors'!$E1986*100/107</f>
        <v>21752.33645</v>
      </c>
      <c r="P1986" s="10">
        <f>'data on outstanding creditors'!$E1986-'data on outstanding creditors'!$O1986</f>
        <v>1522.663551</v>
      </c>
      <c r="Q1986" s="7">
        <f>DAY('data on outstanding creditors'!$B1986)</f>
        <v>30</v>
      </c>
      <c r="R1986" s="7">
        <f>MONTH('data on outstanding creditors'!$B1986)</f>
        <v>4</v>
      </c>
      <c r="S1986" s="7">
        <f>YEAR('data on outstanding creditors'!$B1986)</f>
        <v>2025</v>
      </c>
      <c r="T1986" s="11" t="str">
        <f>'data on outstanding creditors'!$C1986&amp;" "&amp;'data on outstanding creditors'!$D1986&amp;" "&amp;TEXT('data on outstanding creditors'!$E1986,"#,##0.00")</f>
        <v>บ.กรุงเทพครุภัณฑ์เวชภัณฑ์ 2568/0371 23,275.00</v>
      </c>
      <c r="U1986" s="12"/>
    </row>
    <row r="1987" ht="13.5" customHeight="1">
      <c r="A1987" s="1" t="s">
        <v>2731</v>
      </c>
      <c r="B1987" s="2">
        <v>45777.0</v>
      </c>
      <c r="C1987" s="9" t="s">
        <v>2702</v>
      </c>
      <c r="D1987" s="1" t="s">
        <v>2732</v>
      </c>
      <c r="E1987" s="4">
        <v>5325.0</v>
      </c>
      <c r="F1987" s="4"/>
      <c r="G1987" s="4"/>
      <c r="H1987" s="4">
        <f>'data on outstanding creditors'!$E1987-'data on outstanding creditors'!$F1987-'data on outstanding creditors'!$G1987</f>
        <v>5325</v>
      </c>
      <c r="I1987" s="2"/>
      <c r="J1987" s="1" t="s">
        <v>646</v>
      </c>
      <c r="K1987" s="2">
        <v>45944.0</v>
      </c>
      <c r="L1987" s="5"/>
      <c r="M1987" s="9" t="s">
        <v>43</v>
      </c>
      <c r="N1987" s="9" t="s">
        <v>49</v>
      </c>
      <c r="O1987" s="10">
        <f>'data on outstanding creditors'!$E1987*100/107</f>
        <v>4976.635514</v>
      </c>
      <c r="P1987" s="10">
        <f>'data on outstanding creditors'!$E1987-'data on outstanding creditors'!$O1987</f>
        <v>348.364486</v>
      </c>
      <c r="Q1987" s="7">
        <f>DAY('data on outstanding creditors'!$B1987)</f>
        <v>30</v>
      </c>
      <c r="R1987" s="7">
        <f>MONTH('data on outstanding creditors'!$B1987)</f>
        <v>4</v>
      </c>
      <c r="S1987" s="7">
        <f>YEAR('data on outstanding creditors'!$B1987)</f>
        <v>2025</v>
      </c>
      <c r="T1987" s="11" t="str">
        <f>'data on outstanding creditors'!$C1987&amp;" "&amp;'data on outstanding creditors'!$D1987&amp;" "&amp;TEXT('data on outstanding creditors'!$E1987,"#,##0.00")</f>
        <v>บ.กรุงเทพครุภัณฑ์เวชภัณฑ์ 2568/0370 5,325.00</v>
      </c>
      <c r="U1987" s="12"/>
    </row>
    <row r="1988" ht="13.5" customHeight="1">
      <c r="A1988" s="1" t="s">
        <v>2733</v>
      </c>
      <c r="B1988" s="2">
        <v>45777.0</v>
      </c>
      <c r="C1988" s="9" t="s">
        <v>1029</v>
      </c>
      <c r="D1988" s="1" t="s">
        <v>2734</v>
      </c>
      <c r="E1988" s="4">
        <v>20300.0</v>
      </c>
      <c r="F1988" s="4"/>
      <c r="G1988" s="4"/>
      <c r="H1988" s="4">
        <f>'data on outstanding creditors'!$E1988-'data on outstanding creditors'!$F1988-'data on outstanding creditors'!$G1988</f>
        <v>20300</v>
      </c>
      <c r="I1988" s="2"/>
      <c r="J1988" s="1" t="s">
        <v>757</v>
      </c>
      <c r="K1988" s="2">
        <v>45875.0</v>
      </c>
      <c r="L1988" s="5"/>
      <c r="M1988" s="9" t="s">
        <v>43</v>
      </c>
      <c r="N1988" s="9" t="s">
        <v>49</v>
      </c>
      <c r="O1988" s="10">
        <f>'data on outstanding creditors'!$E1988*100/107</f>
        <v>18971.96262</v>
      </c>
      <c r="P1988" s="10">
        <f>'data on outstanding creditors'!$E1988-'data on outstanding creditors'!$O1988</f>
        <v>1328.037383</v>
      </c>
      <c r="Q1988" s="7">
        <f>DAY('data on outstanding creditors'!$B1988)</f>
        <v>30</v>
      </c>
      <c r="R1988" s="7">
        <f>MONTH('data on outstanding creditors'!$B1988)</f>
        <v>4</v>
      </c>
      <c r="S1988" s="7">
        <f>YEAR('data on outstanding creditors'!$B1988)</f>
        <v>2025</v>
      </c>
      <c r="T1988" s="11" t="str">
        <f>'data on outstanding creditors'!$C1988&amp;" "&amp;'data on outstanding creditors'!$D1988&amp;" "&amp;TEXT('data on outstanding creditors'!$E1988,"#,##0.00")</f>
        <v>บ.เอเทค เมดิคอล IV6805003 20,300.00</v>
      </c>
      <c r="U1988" s="12"/>
    </row>
    <row r="1989" ht="13.5" customHeight="1">
      <c r="A1989" s="1" t="s">
        <v>2735</v>
      </c>
      <c r="B1989" s="2">
        <v>45777.0</v>
      </c>
      <c r="C1989" s="9" t="s">
        <v>1029</v>
      </c>
      <c r="D1989" s="1" t="s">
        <v>2736</v>
      </c>
      <c r="E1989" s="4">
        <v>8900.0</v>
      </c>
      <c r="F1989" s="4"/>
      <c r="G1989" s="4"/>
      <c r="H1989" s="4">
        <f>'data on outstanding creditors'!$E1989-'data on outstanding creditors'!$F1989-'data on outstanding creditors'!$G1989</f>
        <v>8900</v>
      </c>
      <c r="I1989" s="2"/>
      <c r="J1989" s="1" t="s">
        <v>757</v>
      </c>
      <c r="K1989" s="2">
        <v>45875.0</v>
      </c>
      <c r="L1989" s="5"/>
      <c r="M1989" s="9" t="s">
        <v>43</v>
      </c>
      <c r="N1989" s="9" t="s">
        <v>49</v>
      </c>
      <c r="O1989" s="10">
        <f>'data on outstanding creditors'!$E1989*100/107</f>
        <v>8317.757009</v>
      </c>
      <c r="P1989" s="10">
        <f>'data on outstanding creditors'!$E1989-'data on outstanding creditors'!$O1989</f>
        <v>582.2429907</v>
      </c>
      <c r="Q1989" s="7">
        <f>DAY('data on outstanding creditors'!$B1989)</f>
        <v>30</v>
      </c>
      <c r="R1989" s="7">
        <f>MONTH('data on outstanding creditors'!$B1989)</f>
        <v>4</v>
      </c>
      <c r="S1989" s="7">
        <f>YEAR('data on outstanding creditors'!$B1989)</f>
        <v>2025</v>
      </c>
      <c r="T1989" s="11" t="str">
        <f>'data on outstanding creditors'!$C1989&amp;" "&amp;'data on outstanding creditors'!$D1989&amp;" "&amp;TEXT('data on outstanding creditors'!$E1989,"#,##0.00")</f>
        <v>บ.เอเทค เมดิคอล IV6805004 8,900.00</v>
      </c>
      <c r="U1989" s="12"/>
    </row>
    <row r="1990" ht="13.5" customHeight="1">
      <c r="A1990" s="1" t="s">
        <v>2737</v>
      </c>
      <c r="B1990" s="2">
        <v>45777.0</v>
      </c>
      <c r="C1990" s="9" t="s">
        <v>2472</v>
      </c>
      <c r="D1990" s="1" t="s">
        <v>2738</v>
      </c>
      <c r="E1990" s="4">
        <v>32000.0</v>
      </c>
      <c r="F1990" s="4"/>
      <c r="G1990" s="4"/>
      <c r="H1990" s="4">
        <f>'data on outstanding creditors'!$E1990-'data on outstanding creditors'!$F1990-'data on outstanding creditors'!$G1990</f>
        <v>32000</v>
      </c>
      <c r="I1990" s="2"/>
      <c r="J1990" s="1" t="s">
        <v>757</v>
      </c>
      <c r="K1990" s="2">
        <v>45917.0</v>
      </c>
      <c r="L1990" s="5"/>
      <c r="M1990" s="9" t="s">
        <v>43</v>
      </c>
      <c r="N1990" s="9" t="s">
        <v>49</v>
      </c>
      <c r="O1990" s="10">
        <f>'data on outstanding creditors'!$E1990*100/107</f>
        <v>29906.54206</v>
      </c>
      <c r="P1990" s="10">
        <f>'data on outstanding creditors'!$E1990-'data on outstanding creditors'!$O1990</f>
        <v>2093.457944</v>
      </c>
      <c r="Q1990" s="7">
        <f>DAY('data on outstanding creditors'!$B1990)</f>
        <v>30</v>
      </c>
      <c r="R1990" s="7">
        <f>MONTH('data on outstanding creditors'!$B1990)</f>
        <v>4</v>
      </c>
      <c r="S1990" s="7">
        <f>YEAR('data on outstanding creditors'!$B1990)</f>
        <v>2025</v>
      </c>
      <c r="T1990" s="11" t="str">
        <f>'data on outstanding creditors'!$C1990&amp;" "&amp;'data on outstanding creditors'!$D1990&amp;" "&amp;TEXT('data on outstanding creditors'!$E1990,"#,##0.00")</f>
        <v>บ.เอเมอร์สัน กรุ๊ป IV6804588 32,000.00</v>
      </c>
      <c r="U1990" s="12"/>
    </row>
    <row r="1991" ht="13.5" customHeight="1">
      <c r="A1991" s="1" t="s">
        <v>2739</v>
      </c>
      <c r="B1991" s="2">
        <v>45778.0</v>
      </c>
      <c r="C1991" s="9" t="s">
        <v>2740</v>
      </c>
      <c r="D1991" s="1" t="s">
        <v>2741</v>
      </c>
      <c r="E1991" s="4">
        <v>550.0</v>
      </c>
      <c r="F1991" s="4"/>
      <c r="G1991" s="4"/>
      <c r="H1991" s="4">
        <f>'data on outstanding creditors'!$E1991-'data on outstanding creditors'!$F1991-'data on outstanding creditors'!$G1991</f>
        <v>550</v>
      </c>
      <c r="I1991" s="2"/>
      <c r="J1991" s="1" t="s">
        <v>757</v>
      </c>
      <c r="K1991" s="2">
        <v>45833.0</v>
      </c>
      <c r="L1991" s="5"/>
      <c r="M1991" s="9" t="s">
        <v>43</v>
      </c>
      <c r="N1991" s="9" t="s">
        <v>49</v>
      </c>
      <c r="O1991" s="10">
        <f>'data on outstanding creditors'!$E1991*100/107</f>
        <v>514.0186916</v>
      </c>
      <c r="P1991" s="10">
        <f>'data on outstanding creditors'!$E1991-'data on outstanding creditors'!$O1991</f>
        <v>35.98130841</v>
      </c>
      <c r="Q1991" s="7">
        <f>DAY('data on outstanding creditors'!$B1991)</f>
        <v>1</v>
      </c>
      <c r="R1991" s="7">
        <f>MONTH('data on outstanding creditors'!$B1991)</f>
        <v>5</v>
      </c>
      <c r="S1991" s="7">
        <f>YEAR('data on outstanding creditors'!$B1991)</f>
        <v>2025</v>
      </c>
      <c r="T1991" s="11" t="str">
        <f>'data on outstanding creditors'!$C1991&amp;" "&amp;'data on outstanding creditors'!$D1991&amp;" "&amp;TEXT('data on outstanding creditors'!$E1991,"#,##0.00")</f>
        <v>บ.ไพ ออริตี้ แคร์ โปรดักส์ IV6800593 550.00</v>
      </c>
      <c r="U1991" s="12"/>
    </row>
    <row r="1992" ht="13.5" customHeight="1">
      <c r="A1992" s="1" t="s">
        <v>2742</v>
      </c>
      <c r="B1992" s="2">
        <v>45778.0</v>
      </c>
      <c r="C1992" s="9" t="s">
        <v>2740</v>
      </c>
      <c r="D1992" s="1" t="s">
        <v>2743</v>
      </c>
      <c r="E1992" s="4">
        <v>1400.0</v>
      </c>
      <c r="F1992" s="4"/>
      <c r="G1992" s="4"/>
      <c r="H1992" s="4">
        <f>'data on outstanding creditors'!$E1992-'data on outstanding creditors'!$F1992-'data on outstanding creditors'!$G1992</f>
        <v>1400</v>
      </c>
      <c r="I1992" s="2"/>
      <c r="J1992" s="1" t="s">
        <v>757</v>
      </c>
      <c r="K1992" s="2">
        <v>45843.0</v>
      </c>
      <c r="L1992" s="5"/>
      <c r="M1992" s="9" t="s">
        <v>43</v>
      </c>
      <c r="N1992" s="9" t="s">
        <v>49</v>
      </c>
      <c r="O1992" s="10">
        <f>'data on outstanding creditors'!$E1992*100/107</f>
        <v>1308.411215</v>
      </c>
      <c r="P1992" s="10">
        <f>'data on outstanding creditors'!$E1992-'data on outstanding creditors'!$O1992</f>
        <v>91.58878505</v>
      </c>
      <c r="Q1992" s="7">
        <f>DAY('data on outstanding creditors'!$B1992)</f>
        <v>1</v>
      </c>
      <c r="R1992" s="7">
        <f>MONTH('data on outstanding creditors'!$B1992)</f>
        <v>5</v>
      </c>
      <c r="S1992" s="7">
        <f>YEAR('data on outstanding creditors'!$B1992)</f>
        <v>2025</v>
      </c>
      <c r="T1992" s="11" t="str">
        <f>'data on outstanding creditors'!$C1992&amp;" "&amp;'data on outstanding creditors'!$D1992&amp;" "&amp;TEXT('data on outstanding creditors'!$E1992,"#,##0.00")</f>
        <v>บ.ไพ ออริตี้ แคร์ โปรดักส์ IV6800594 1,400.00</v>
      </c>
      <c r="U1992" s="12"/>
    </row>
    <row r="1993" ht="13.5" customHeight="1">
      <c r="A1993" s="1" t="s">
        <v>2744</v>
      </c>
      <c r="B1993" s="2">
        <v>45778.0</v>
      </c>
      <c r="C1993" s="9" t="s">
        <v>2330</v>
      </c>
      <c r="D1993" s="1" t="s">
        <v>2745</v>
      </c>
      <c r="E1993" s="4">
        <v>6000.0</v>
      </c>
      <c r="F1993" s="4"/>
      <c r="G1993" s="4"/>
      <c r="H1993" s="4">
        <f>'data on outstanding creditors'!$E1993-'data on outstanding creditors'!$F1993-'data on outstanding creditors'!$G1993</f>
        <v>6000</v>
      </c>
      <c r="I1993" s="2"/>
      <c r="J1993" s="1" t="s">
        <v>646</v>
      </c>
      <c r="K1993" s="2">
        <v>45944.0</v>
      </c>
      <c r="L1993" s="5"/>
      <c r="M1993" s="9" t="s">
        <v>43</v>
      </c>
      <c r="N1993" s="9" t="s">
        <v>49</v>
      </c>
      <c r="O1993" s="10">
        <f>'data on outstanding creditors'!$E1993*100/107</f>
        <v>5607.476636</v>
      </c>
      <c r="P1993" s="10">
        <f>'data on outstanding creditors'!$E1993-'data on outstanding creditors'!$O1993</f>
        <v>392.5233645</v>
      </c>
      <c r="Q1993" s="7">
        <f>DAY('data on outstanding creditors'!$B1993)</f>
        <v>1</v>
      </c>
      <c r="R1993" s="7">
        <f>MONTH('data on outstanding creditors'!$B1993)</f>
        <v>5</v>
      </c>
      <c r="S1993" s="7">
        <f>YEAR('data on outstanding creditors'!$B1993)</f>
        <v>2025</v>
      </c>
      <c r="T1993" s="11" t="str">
        <f>'data on outstanding creditors'!$C1993&amp;" "&amp;'data on outstanding creditors'!$D1993&amp;" "&amp;TEXT('data on outstanding creditors'!$E1993,"#,##0.00")</f>
        <v>บ.อี ฟอร์ แอล เอม M6804-0582 6,000.00</v>
      </c>
      <c r="U1993" s="12"/>
    </row>
    <row r="1994" ht="13.5" customHeight="1">
      <c r="A1994" s="1" t="s">
        <v>2746</v>
      </c>
      <c r="B1994" s="2">
        <v>45778.0</v>
      </c>
      <c r="C1994" s="9" t="s">
        <v>2747</v>
      </c>
      <c r="D1994" s="1" t="s">
        <v>2748</v>
      </c>
      <c r="E1994" s="4">
        <v>1500.0</v>
      </c>
      <c r="F1994" s="4"/>
      <c r="G1994" s="4"/>
      <c r="H1994" s="4">
        <f>'data on outstanding creditors'!$E1994-'data on outstanding creditors'!$F1994-'data on outstanding creditors'!$G1994</f>
        <v>1500</v>
      </c>
      <c r="I1994" s="2"/>
      <c r="J1994" s="1" t="s">
        <v>757</v>
      </c>
      <c r="K1994" s="2">
        <v>45843.0</v>
      </c>
      <c r="L1994" s="5"/>
      <c r="M1994" s="9" t="s">
        <v>43</v>
      </c>
      <c r="N1994" s="9" t="s">
        <v>49</v>
      </c>
      <c r="O1994" s="10">
        <f>'data on outstanding creditors'!$E1994*100/107</f>
        <v>1401.869159</v>
      </c>
      <c r="P1994" s="10">
        <f>'data on outstanding creditors'!$E1994-'data on outstanding creditors'!$O1994</f>
        <v>98.13084112</v>
      </c>
      <c r="Q1994" s="7">
        <f>DAY('data on outstanding creditors'!$B1994)</f>
        <v>1</v>
      </c>
      <c r="R1994" s="7">
        <f>MONTH('data on outstanding creditors'!$B1994)</f>
        <v>5</v>
      </c>
      <c r="S1994" s="7">
        <f>YEAR('data on outstanding creditors'!$B1994)</f>
        <v>2025</v>
      </c>
      <c r="T1994" s="11" t="str">
        <f>'data on outstanding creditors'!$C1994&amp;" "&amp;'data on outstanding creditors'!$D1994&amp;" "&amp;TEXT('data on outstanding creditors'!$E1994,"#,##0.00")</f>
        <v>หจก.มหามิตรภาพ ซัพพลาย 2505001 1,500.00</v>
      </c>
      <c r="U1994" s="12"/>
    </row>
    <row r="1995" ht="13.5" customHeight="1">
      <c r="A1995" s="1" t="s">
        <v>2749</v>
      </c>
      <c r="B1995" s="2">
        <v>45778.0</v>
      </c>
      <c r="C1995" s="9" t="s">
        <v>2747</v>
      </c>
      <c r="D1995" s="1" t="s">
        <v>2750</v>
      </c>
      <c r="E1995" s="4">
        <v>16500.0</v>
      </c>
      <c r="F1995" s="4"/>
      <c r="G1995" s="4"/>
      <c r="H1995" s="4">
        <f>'data on outstanding creditors'!$E1995-'data on outstanding creditors'!$F1995-'data on outstanding creditors'!$G1995</f>
        <v>16500</v>
      </c>
      <c r="I1995" s="2"/>
      <c r="J1995" s="1" t="s">
        <v>646</v>
      </c>
      <c r="K1995" s="2">
        <v>45889.0</v>
      </c>
      <c r="L1995" s="5"/>
      <c r="M1995" s="9" t="s">
        <v>43</v>
      </c>
      <c r="N1995" s="9" t="s">
        <v>49</v>
      </c>
      <c r="O1995" s="10">
        <f>'data on outstanding creditors'!$E1995*100/107</f>
        <v>15420.56075</v>
      </c>
      <c r="P1995" s="10">
        <f>'data on outstanding creditors'!$E1995-'data on outstanding creditors'!$O1995</f>
        <v>1079.439252</v>
      </c>
      <c r="Q1995" s="7">
        <f>DAY('data on outstanding creditors'!$B1995)</f>
        <v>1</v>
      </c>
      <c r="R1995" s="7">
        <f>MONTH('data on outstanding creditors'!$B1995)</f>
        <v>5</v>
      </c>
      <c r="S1995" s="7">
        <f>YEAR('data on outstanding creditors'!$B1995)</f>
        <v>2025</v>
      </c>
      <c r="T1995" s="11" t="str">
        <f>'data on outstanding creditors'!$C1995&amp;" "&amp;'data on outstanding creditors'!$D1995&amp;" "&amp;TEXT('data on outstanding creditors'!$E1995,"#,##0.00")</f>
        <v>หจก.มหามิตรภาพ ซัพพลาย 2504007 16,500.00</v>
      </c>
      <c r="U1995" s="12"/>
    </row>
    <row r="1996" ht="13.5" customHeight="1">
      <c r="A1996" s="1" t="s">
        <v>2751</v>
      </c>
      <c r="B1996" s="2">
        <v>45778.0</v>
      </c>
      <c r="C1996" s="9" t="s">
        <v>2752</v>
      </c>
      <c r="D1996" s="1" t="s">
        <v>2753</v>
      </c>
      <c r="E1996" s="4">
        <v>12000.0</v>
      </c>
      <c r="F1996" s="4"/>
      <c r="G1996" s="4"/>
      <c r="H1996" s="4">
        <f>'data on outstanding creditors'!$E1996-'data on outstanding creditors'!$F1996-'data on outstanding creditors'!$G1996</f>
        <v>12000</v>
      </c>
      <c r="I1996" s="2"/>
      <c r="J1996" s="1" t="s">
        <v>757</v>
      </c>
      <c r="K1996" s="2">
        <v>45832.0</v>
      </c>
      <c r="L1996" s="5"/>
      <c r="M1996" s="9" t="s">
        <v>43</v>
      </c>
      <c r="N1996" s="9" t="s">
        <v>49</v>
      </c>
      <c r="O1996" s="10">
        <f>'data on outstanding creditors'!$E1996*100/107</f>
        <v>11214.95327</v>
      </c>
      <c r="P1996" s="10">
        <f>'data on outstanding creditors'!$E1996-'data on outstanding creditors'!$O1996</f>
        <v>785.046729</v>
      </c>
      <c r="Q1996" s="7">
        <f>DAY('data on outstanding creditors'!$B1996)</f>
        <v>1</v>
      </c>
      <c r="R1996" s="7">
        <f>MONTH('data on outstanding creditors'!$B1996)</f>
        <v>5</v>
      </c>
      <c r="S1996" s="7">
        <f>YEAR('data on outstanding creditors'!$B1996)</f>
        <v>2025</v>
      </c>
      <c r="T1996" s="11" t="str">
        <f>'data on outstanding creditors'!$C1996&amp;" "&amp;'data on outstanding creditors'!$D1996&amp;" "&amp;TEXT('data on outstanding creditors'!$E1996,"#,##0.00")</f>
        <v>หจก.เอ็มมีเน้นซ์ IVD0105268 12,000.00</v>
      </c>
      <c r="U1996" s="12"/>
    </row>
    <row r="1997" ht="13.5" customHeight="1">
      <c r="A1997" s="1" t="s">
        <v>2754</v>
      </c>
      <c r="B1997" s="2">
        <v>45778.0</v>
      </c>
      <c r="C1997" s="9" t="s">
        <v>1029</v>
      </c>
      <c r="D1997" s="1" t="s">
        <v>2755</v>
      </c>
      <c r="E1997" s="4">
        <v>17300.0</v>
      </c>
      <c r="F1997" s="4"/>
      <c r="G1997" s="4"/>
      <c r="H1997" s="4">
        <f>'data on outstanding creditors'!$E1997-'data on outstanding creditors'!$F1997-'data on outstanding creditors'!$G1997</f>
        <v>17300</v>
      </c>
      <c r="I1997" s="2"/>
      <c r="J1997" s="1" t="s">
        <v>757</v>
      </c>
      <c r="K1997" s="2">
        <v>45875.0</v>
      </c>
      <c r="L1997" s="5"/>
      <c r="M1997" s="9" t="s">
        <v>43</v>
      </c>
      <c r="N1997" s="9" t="s">
        <v>49</v>
      </c>
      <c r="O1997" s="10">
        <f>'data on outstanding creditors'!$E1997*100/107</f>
        <v>16168.2243</v>
      </c>
      <c r="P1997" s="10">
        <f>'data on outstanding creditors'!$E1997-'data on outstanding creditors'!$O1997</f>
        <v>1131.775701</v>
      </c>
      <c r="Q1997" s="7">
        <f>DAY('data on outstanding creditors'!$B1997)</f>
        <v>1</v>
      </c>
      <c r="R1997" s="7">
        <f>MONTH('data on outstanding creditors'!$B1997)</f>
        <v>5</v>
      </c>
      <c r="S1997" s="7">
        <f>YEAR('data on outstanding creditors'!$B1997)</f>
        <v>2025</v>
      </c>
      <c r="T1997" s="11" t="str">
        <f>'data on outstanding creditors'!$C1997&amp;" "&amp;'data on outstanding creditors'!$D1997&amp;" "&amp;TEXT('data on outstanding creditors'!$E1997,"#,##0.00")</f>
        <v>บ.เอเทค เมดิคอล IV6805002 17,300.00</v>
      </c>
      <c r="U1997" s="12"/>
    </row>
    <row r="1998" ht="13.5" customHeight="1">
      <c r="A1998" s="1" t="s">
        <v>2756</v>
      </c>
      <c r="B1998" s="2">
        <v>45778.0</v>
      </c>
      <c r="C1998" s="9" t="s">
        <v>1029</v>
      </c>
      <c r="D1998" s="1" t="s">
        <v>2757</v>
      </c>
      <c r="E1998" s="4">
        <v>17600.0</v>
      </c>
      <c r="F1998" s="4"/>
      <c r="G1998" s="4"/>
      <c r="H1998" s="4">
        <f>'data on outstanding creditors'!$E1998-'data on outstanding creditors'!$F1998-'data on outstanding creditors'!$G1998</f>
        <v>17600</v>
      </c>
      <c r="I1998" s="2"/>
      <c r="J1998" s="1" t="s">
        <v>757</v>
      </c>
      <c r="K1998" s="2">
        <v>45875.0</v>
      </c>
      <c r="L1998" s="5"/>
      <c r="M1998" s="9" t="s">
        <v>43</v>
      </c>
      <c r="N1998" s="9" t="s">
        <v>49</v>
      </c>
      <c r="O1998" s="10">
        <f>'data on outstanding creditors'!$E1998*100/107</f>
        <v>16448.59813</v>
      </c>
      <c r="P1998" s="10">
        <f>'data on outstanding creditors'!$E1998-'data on outstanding creditors'!$O1998</f>
        <v>1151.401869</v>
      </c>
      <c r="Q1998" s="7">
        <f>DAY('data on outstanding creditors'!$B1998)</f>
        <v>1</v>
      </c>
      <c r="R1998" s="7">
        <f>MONTH('data on outstanding creditors'!$B1998)</f>
        <v>5</v>
      </c>
      <c r="S1998" s="7">
        <f>YEAR('data on outstanding creditors'!$B1998)</f>
        <v>2025</v>
      </c>
      <c r="T1998" s="11" t="str">
        <f>'data on outstanding creditors'!$C1998&amp;" "&amp;'data on outstanding creditors'!$D1998&amp;" "&amp;TEXT('data on outstanding creditors'!$E1998,"#,##0.00")</f>
        <v>บ.เอเทค เมดิคอล IV6805006 17,600.00</v>
      </c>
      <c r="U1998" s="12"/>
    </row>
    <row r="1999" ht="13.5" customHeight="1">
      <c r="A1999" s="1" t="s">
        <v>2758</v>
      </c>
      <c r="B1999" s="2">
        <v>45778.0</v>
      </c>
      <c r="C1999" s="9" t="s">
        <v>1029</v>
      </c>
      <c r="D1999" s="1" t="s">
        <v>2759</v>
      </c>
      <c r="E1999" s="4">
        <v>17300.0</v>
      </c>
      <c r="F1999" s="4"/>
      <c r="G1999" s="4"/>
      <c r="H1999" s="4">
        <f>'data on outstanding creditors'!$E1999-'data on outstanding creditors'!$F1999-'data on outstanding creditors'!$G1999</f>
        <v>17300</v>
      </c>
      <c r="I1999" s="2"/>
      <c r="J1999" s="1" t="s">
        <v>757</v>
      </c>
      <c r="K1999" s="2">
        <v>45875.0</v>
      </c>
      <c r="L1999" s="5"/>
      <c r="M1999" s="9" t="s">
        <v>43</v>
      </c>
      <c r="N1999" s="9" t="s">
        <v>49</v>
      </c>
      <c r="O1999" s="10">
        <f>'data on outstanding creditors'!$E1999*100/107</f>
        <v>16168.2243</v>
      </c>
      <c r="P1999" s="10">
        <f>'data on outstanding creditors'!$E1999-'data on outstanding creditors'!$O1999</f>
        <v>1131.775701</v>
      </c>
      <c r="Q1999" s="7">
        <f>DAY('data on outstanding creditors'!$B1999)</f>
        <v>1</v>
      </c>
      <c r="R1999" s="7">
        <f>MONTH('data on outstanding creditors'!$B1999)</f>
        <v>5</v>
      </c>
      <c r="S1999" s="7">
        <f>YEAR('data on outstanding creditors'!$B1999)</f>
        <v>2025</v>
      </c>
      <c r="T1999" s="11" t="str">
        <f>'data on outstanding creditors'!$C1999&amp;" "&amp;'data on outstanding creditors'!$D1999&amp;" "&amp;TEXT('data on outstanding creditors'!$E1999,"#,##0.00")</f>
        <v>บ.เอเทค เมดิคอล IV6805005 17,300.00</v>
      </c>
      <c r="U1999" s="12"/>
    </row>
    <row r="2000" ht="13.5" customHeight="1">
      <c r="A2000" s="1"/>
      <c r="B2000" s="2">
        <v>45778.0</v>
      </c>
      <c r="C2000" s="9" t="s">
        <v>2402</v>
      </c>
      <c r="D2000" s="1" t="s">
        <v>2760</v>
      </c>
      <c r="E2000" s="4">
        <v>5000.0</v>
      </c>
      <c r="F2000" s="4"/>
      <c r="G2000" s="4"/>
      <c r="H2000" s="4">
        <f>'data on outstanding creditors'!$E2000-'data on outstanding creditors'!$F2000-'data on outstanding creditors'!$G2000</f>
        <v>5000</v>
      </c>
      <c r="I2000" s="2"/>
      <c r="J2000" s="1" t="s">
        <v>646</v>
      </c>
      <c r="K2000" s="2">
        <v>45887.0</v>
      </c>
      <c r="L2000" s="5"/>
      <c r="M2000" s="9" t="s">
        <v>43</v>
      </c>
      <c r="N2000" s="9" t="s">
        <v>23</v>
      </c>
      <c r="O2000" s="10">
        <f>'data on outstanding creditors'!$E2000*100/107</f>
        <v>4672.897196</v>
      </c>
      <c r="P2000" s="10">
        <f>'data on outstanding creditors'!$E2000-'data on outstanding creditors'!$O2000</f>
        <v>327.1028037</v>
      </c>
      <c r="Q2000" s="7">
        <f>DAY('data on outstanding creditors'!$B2000)</f>
        <v>1</v>
      </c>
      <c r="R2000" s="7">
        <f>MONTH('data on outstanding creditors'!$B2000)</f>
        <v>5</v>
      </c>
      <c r="S2000" s="7">
        <f>YEAR('data on outstanding creditors'!$B2000)</f>
        <v>2025</v>
      </c>
      <c r="T2000" s="11" t="str">
        <f>'data on outstanding creditors'!$C2000&amp;" "&amp;'data on outstanding creditors'!$D2000&amp;" "&amp;TEXT('data on outstanding creditors'!$E2000,"#,##0.00")</f>
        <v>บ.แมคคา โปรดักชั่น 1116/68 5,000.00</v>
      </c>
      <c r="U2000" s="12"/>
    </row>
    <row r="2001" ht="13.5" customHeight="1">
      <c r="A2001" s="1"/>
      <c r="B2001" s="2">
        <v>45778.0</v>
      </c>
      <c r="C2001" s="9" t="s">
        <v>2363</v>
      </c>
      <c r="D2001" s="1" t="s">
        <v>2761</v>
      </c>
      <c r="E2001" s="4">
        <v>3500.0</v>
      </c>
      <c r="F2001" s="4"/>
      <c r="G2001" s="4"/>
      <c r="H2001" s="4">
        <f>'data on outstanding creditors'!$E2001-'data on outstanding creditors'!$F2001-'data on outstanding creditors'!$G2001</f>
        <v>3500</v>
      </c>
      <c r="I2001" s="2"/>
      <c r="J2001" s="1" t="s">
        <v>646</v>
      </c>
      <c r="K2001" s="2">
        <v>45887.0</v>
      </c>
      <c r="L2001" s="5"/>
      <c r="M2001" s="9" t="s">
        <v>43</v>
      </c>
      <c r="N2001" s="9" t="s">
        <v>23</v>
      </c>
      <c r="O2001" s="10">
        <f>'data on outstanding creditors'!$E2001*100/107</f>
        <v>3271.028037</v>
      </c>
      <c r="P2001" s="10">
        <f>'data on outstanding creditors'!$E2001-'data on outstanding creditors'!$O2001</f>
        <v>228.9719626</v>
      </c>
      <c r="Q2001" s="7">
        <f>DAY('data on outstanding creditors'!$B2001)</f>
        <v>1</v>
      </c>
      <c r="R2001" s="7">
        <f>MONTH('data on outstanding creditors'!$B2001)</f>
        <v>5</v>
      </c>
      <c r="S2001" s="7">
        <f>YEAR('data on outstanding creditors'!$B2001)</f>
        <v>2025</v>
      </c>
      <c r="T2001" s="11" t="str">
        <f>'data on outstanding creditors'!$C2001&amp;" "&amp;'data on outstanding creditors'!$D2001&amp;" "&amp;TEXT('data on outstanding creditors'!$E2001,"#,##0.00")</f>
        <v>บ.บีเวอร์ เมดิคอล อินดัสตรี้ 683145 3,500.00</v>
      </c>
      <c r="U2001" s="12"/>
    </row>
    <row r="2002" ht="13.5" customHeight="1">
      <c r="A2002" s="1"/>
      <c r="B2002" s="2">
        <v>45778.0</v>
      </c>
      <c r="C2002" s="9" t="s">
        <v>2363</v>
      </c>
      <c r="D2002" s="1" t="s">
        <v>2762</v>
      </c>
      <c r="E2002" s="4">
        <v>3500.0</v>
      </c>
      <c r="F2002" s="4"/>
      <c r="G2002" s="4"/>
      <c r="H2002" s="4">
        <f>'data on outstanding creditors'!$E2002-'data on outstanding creditors'!$F2002-'data on outstanding creditors'!$G2002</f>
        <v>3500</v>
      </c>
      <c r="I2002" s="2"/>
      <c r="J2002" s="1" t="s">
        <v>646</v>
      </c>
      <c r="K2002" s="2">
        <v>45887.0</v>
      </c>
      <c r="L2002" s="5"/>
      <c r="M2002" s="9" t="s">
        <v>43</v>
      </c>
      <c r="N2002" s="9" t="s">
        <v>23</v>
      </c>
      <c r="O2002" s="10">
        <f>'data on outstanding creditors'!$E2002*100/107</f>
        <v>3271.028037</v>
      </c>
      <c r="P2002" s="10">
        <f>'data on outstanding creditors'!$E2002-'data on outstanding creditors'!$O2002</f>
        <v>228.9719626</v>
      </c>
      <c r="Q2002" s="7">
        <f>DAY('data on outstanding creditors'!$B2002)</f>
        <v>1</v>
      </c>
      <c r="R2002" s="7">
        <f>MONTH('data on outstanding creditors'!$B2002)</f>
        <v>5</v>
      </c>
      <c r="S2002" s="7">
        <f>YEAR('data on outstanding creditors'!$B2002)</f>
        <v>2025</v>
      </c>
      <c r="T2002" s="11" t="str">
        <f>'data on outstanding creditors'!$C2002&amp;" "&amp;'data on outstanding creditors'!$D2002&amp;" "&amp;TEXT('data on outstanding creditors'!$E2002,"#,##0.00")</f>
        <v>บ.บีเวอร์ เมดิคอล อินดัสตรี้ 683625 3,500.00</v>
      </c>
      <c r="U2002" s="12"/>
    </row>
    <row r="2003" ht="13.5" customHeight="1">
      <c r="A2003" s="1"/>
      <c r="B2003" s="2">
        <v>45778.0</v>
      </c>
      <c r="C2003" s="9" t="s">
        <v>688</v>
      </c>
      <c r="D2003" s="1" t="s">
        <v>2763</v>
      </c>
      <c r="E2003" s="4">
        <v>128400.0</v>
      </c>
      <c r="F2003" s="4"/>
      <c r="G2003" s="4"/>
      <c r="H2003" s="4">
        <f>'data on outstanding creditors'!$E2003-'data on outstanding creditors'!$F2003-'data on outstanding creditors'!$G2003</f>
        <v>128400</v>
      </c>
      <c r="I2003" s="2"/>
      <c r="J2003" s="1" t="s">
        <v>646</v>
      </c>
      <c r="K2003" s="2">
        <v>45889.0</v>
      </c>
      <c r="L2003" s="5"/>
      <c r="M2003" s="9" t="s">
        <v>43</v>
      </c>
      <c r="N2003" s="9" t="s">
        <v>23</v>
      </c>
      <c r="O2003" s="10">
        <f>'data on outstanding creditors'!$E2003*100/107</f>
        <v>120000</v>
      </c>
      <c r="P2003" s="10">
        <f>'data on outstanding creditors'!$E2003-'data on outstanding creditors'!$O2003</f>
        <v>8400</v>
      </c>
      <c r="Q2003" s="7">
        <f>DAY('data on outstanding creditors'!$B2003)</f>
        <v>1</v>
      </c>
      <c r="R2003" s="7">
        <f>MONTH('data on outstanding creditors'!$B2003)</f>
        <v>5</v>
      </c>
      <c r="S2003" s="7">
        <f>YEAR('data on outstanding creditors'!$B2003)</f>
        <v>2025</v>
      </c>
      <c r="T2003" s="11" t="str">
        <f>'data on outstanding creditors'!$C2003&amp;" "&amp;'data on outstanding creditors'!$D2003&amp;" "&amp;TEXT('data on outstanding creditors'!$E2003,"#,##0.00")</f>
        <v>บ.โอเร็กซ์ เทรดดิ้ง 680403759 128,400.00</v>
      </c>
      <c r="U2003" s="12"/>
    </row>
    <row r="2004" ht="13.5" customHeight="1">
      <c r="A2004" s="1"/>
      <c r="B2004" s="2">
        <v>45778.0</v>
      </c>
      <c r="C2004" s="9" t="s">
        <v>2363</v>
      </c>
      <c r="D2004" s="1" t="s">
        <v>2764</v>
      </c>
      <c r="E2004" s="4">
        <v>12000.0</v>
      </c>
      <c r="F2004" s="4"/>
      <c r="G2004" s="4"/>
      <c r="H2004" s="4">
        <f>'data on outstanding creditors'!$E2004-'data on outstanding creditors'!$F2004-'data on outstanding creditors'!$G2004</f>
        <v>12000</v>
      </c>
      <c r="I2004" s="2"/>
      <c r="J2004" s="1" t="s">
        <v>646</v>
      </c>
      <c r="K2004" s="2">
        <v>45887.0</v>
      </c>
      <c r="L2004" s="5"/>
      <c r="M2004" s="9" t="s">
        <v>43</v>
      </c>
      <c r="N2004" s="9" t="s">
        <v>23</v>
      </c>
      <c r="O2004" s="10">
        <f>'data on outstanding creditors'!$E2004*100/107</f>
        <v>11214.95327</v>
      </c>
      <c r="P2004" s="10">
        <f>'data on outstanding creditors'!$E2004-'data on outstanding creditors'!$O2004</f>
        <v>785.046729</v>
      </c>
      <c r="Q2004" s="7">
        <f>DAY('data on outstanding creditors'!$B2004)</f>
        <v>1</v>
      </c>
      <c r="R2004" s="7">
        <f>MONTH('data on outstanding creditors'!$B2004)</f>
        <v>5</v>
      </c>
      <c r="S2004" s="7">
        <f>YEAR('data on outstanding creditors'!$B2004)</f>
        <v>2025</v>
      </c>
      <c r="T2004" s="11" t="str">
        <f>'data on outstanding creditors'!$C2004&amp;" "&amp;'data on outstanding creditors'!$D2004&amp;" "&amp;TEXT('data on outstanding creditors'!$E2004,"#,##0.00")</f>
        <v>บ.บีเวอร์ เมดิคอล อินดัสตรี้ 683610 12,000.00</v>
      </c>
      <c r="U2004" s="12"/>
    </row>
    <row r="2005" ht="13.5" customHeight="1">
      <c r="A2005" s="1"/>
      <c r="B2005" s="2">
        <v>45778.0</v>
      </c>
      <c r="C2005" s="9" t="s">
        <v>2543</v>
      </c>
      <c r="D2005" s="1" t="s">
        <v>2765</v>
      </c>
      <c r="E2005" s="4">
        <v>75240.0</v>
      </c>
      <c r="F2005" s="4"/>
      <c r="G2005" s="4"/>
      <c r="H2005" s="4">
        <f>'data on outstanding creditors'!$E2005-'data on outstanding creditors'!$F2005-'data on outstanding creditors'!$G2005</f>
        <v>75240</v>
      </c>
      <c r="I2005" s="2"/>
      <c r="J2005" s="1" t="s">
        <v>646</v>
      </c>
      <c r="K2005" s="2">
        <v>45885.0</v>
      </c>
      <c r="L2005" s="5"/>
      <c r="M2005" s="9" t="s">
        <v>43</v>
      </c>
      <c r="N2005" s="9" t="s">
        <v>23</v>
      </c>
      <c r="O2005" s="10">
        <f>'data on outstanding creditors'!$E2005*100/107</f>
        <v>70317.75701</v>
      </c>
      <c r="P2005" s="10">
        <f>'data on outstanding creditors'!$E2005-'data on outstanding creditors'!$O2005</f>
        <v>4922.242991</v>
      </c>
      <c r="Q2005" s="7">
        <f>DAY('data on outstanding creditors'!$B2005)</f>
        <v>1</v>
      </c>
      <c r="R2005" s="7">
        <f>MONTH('data on outstanding creditors'!$B2005)</f>
        <v>5</v>
      </c>
      <c r="S2005" s="7">
        <f>YEAR('data on outstanding creditors'!$B2005)</f>
        <v>2025</v>
      </c>
      <c r="T2005" s="11" t="str">
        <f>'data on outstanding creditors'!$C2005&amp;" "&amp;'data on outstanding creditors'!$D2005&amp;" "&amp;TEXT('data on outstanding creditors'!$E2005,"#,##0.00")</f>
        <v>บ.ไฮแวน เมดิคอล HV6802485 75,240.00</v>
      </c>
      <c r="U2005" s="12"/>
    </row>
    <row r="2006" ht="13.5" customHeight="1">
      <c r="A2006" s="1"/>
      <c r="B2006" s="2">
        <v>45778.0</v>
      </c>
      <c r="C2006" s="9" t="s">
        <v>2543</v>
      </c>
      <c r="D2006" s="1" t="s">
        <v>2766</v>
      </c>
      <c r="E2006" s="4">
        <v>8400.0</v>
      </c>
      <c r="F2006" s="4"/>
      <c r="G2006" s="4"/>
      <c r="H2006" s="4">
        <f>'data on outstanding creditors'!$E2006-'data on outstanding creditors'!$F2006-'data on outstanding creditors'!$G2006</f>
        <v>8400</v>
      </c>
      <c r="I2006" s="2"/>
      <c r="J2006" s="1" t="s">
        <v>646</v>
      </c>
      <c r="K2006" s="2">
        <v>45885.0</v>
      </c>
      <c r="L2006" s="5"/>
      <c r="M2006" s="9" t="s">
        <v>43</v>
      </c>
      <c r="N2006" s="9" t="s">
        <v>23</v>
      </c>
      <c r="O2006" s="10">
        <f>'data on outstanding creditors'!$E2006*100/107</f>
        <v>7850.46729</v>
      </c>
      <c r="P2006" s="10">
        <f>'data on outstanding creditors'!$E2006-'data on outstanding creditors'!$O2006</f>
        <v>549.5327103</v>
      </c>
      <c r="Q2006" s="7">
        <f>DAY('data on outstanding creditors'!$B2006)</f>
        <v>1</v>
      </c>
      <c r="R2006" s="7">
        <f>MONTH('data on outstanding creditors'!$B2006)</f>
        <v>5</v>
      </c>
      <c r="S2006" s="7">
        <f>YEAR('data on outstanding creditors'!$B2006)</f>
        <v>2025</v>
      </c>
      <c r="T2006" s="11" t="str">
        <f>'data on outstanding creditors'!$C2006&amp;" "&amp;'data on outstanding creditors'!$D2006&amp;" "&amp;TEXT('data on outstanding creditors'!$E2006,"#,##0.00")</f>
        <v>บ.ไฮแวน เมดิคอล HV6802487 8,400.00</v>
      </c>
      <c r="U2006" s="12"/>
    </row>
    <row r="2007" ht="13.5" customHeight="1">
      <c r="A2007" s="1"/>
      <c r="B2007" s="2">
        <v>45778.0</v>
      </c>
      <c r="C2007" s="9" t="s">
        <v>2334</v>
      </c>
      <c r="D2007" s="1" t="s">
        <v>2767</v>
      </c>
      <c r="E2007" s="4">
        <v>23400.0</v>
      </c>
      <c r="F2007" s="4"/>
      <c r="G2007" s="4"/>
      <c r="H2007" s="4">
        <f>'data on outstanding creditors'!$E2007-'data on outstanding creditors'!$F2007-'data on outstanding creditors'!$G2007</f>
        <v>23400</v>
      </c>
      <c r="I2007" s="2"/>
      <c r="J2007" s="1" t="s">
        <v>757</v>
      </c>
      <c r="K2007" s="2">
        <v>45842.0</v>
      </c>
      <c r="L2007" s="5"/>
      <c r="M2007" s="9" t="s">
        <v>43</v>
      </c>
      <c r="N2007" s="9" t="s">
        <v>23</v>
      </c>
      <c r="O2007" s="10">
        <f>'data on outstanding creditors'!$E2007*100/107</f>
        <v>21869.15888</v>
      </c>
      <c r="P2007" s="10">
        <f>'data on outstanding creditors'!$E2007-'data on outstanding creditors'!$O2007</f>
        <v>1530.841121</v>
      </c>
      <c r="Q2007" s="7">
        <f>DAY('data on outstanding creditors'!$B2007)</f>
        <v>1</v>
      </c>
      <c r="R2007" s="7">
        <f>MONTH('data on outstanding creditors'!$B2007)</f>
        <v>5</v>
      </c>
      <c r="S2007" s="7">
        <f>YEAR('data on outstanding creditors'!$B2007)</f>
        <v>2025</v>
      </c>
      <c r="T2007" s="11" t="str">
        <f>'data on outstanding creditors'!$C2007&amp;" "&amp;'data on outstanding creditors'!$D2007&amp;" "&amp;TEXT('data on outstanding creditors'!$E2007,"#,##0.00")</f>
        <v>บ.ไทยก๊อส IV6816839 23,400.00</v>
      </c>
      <c r="U2007" s="12"/>
    </row>
    <row r="2008" ht="13.5" customHeight="1">
      <c r="A2008" s="1" t="s">
        <v>2768</v>
      </c>
      <c r="B2008" s="2">
        <v>45778.0</v>
      </c>
      <c r="C2008" s="9" t="s">
        <v>286</v>
      </c>
      <c r="D2008" s="1" t="s">
        <v>2769</v>
      </c>
      <c r="E2008" s="4">
        <v>20000.0</v>
      </c>
      <c r="F2008" s="4"/>
      <c r="G2008" s="4"/>
      <c r="H2008" s="4">
        <f>'data on outstanding creditors'!$E2008-'data on outstanding creditors'!$F2008-'data on outstanding creditors'!$G2008</f>
        <v>20000</v>
      </c>
      <c r="I2008" s="2"/>
      <c r="J2008" s="1" t="s">
        <v>757</v>
      </c>
      <c r="K2008" s="2">
        <v>45904.0</v>
      </c>
      <c r="L2008" s="5"/>
      <c r="M2008" s="9" t="s">
        <v>43</v>
      </c>
      <c r="N2008" s="9" t="s">
        <v>49</v>
      </c>
      <c r="O2008" s="10">
        <f>'data on outstanding creditors'!$E2008*100/107</f>
        <v>18691.58879</v>
      </c>
      <c r="P2008" s="10">
        <f>'data on outstanding creditors'!$E2008-'data on outstanding creditors'!$O2008</f>
        <v>1308.411215</v>
      </c>
      <c r="Q2008" s="7">
        <f>DAY('data on outstanding creditors'!$B2008)</f>
        <v>1</v>
      </c>
      <c r="R2008" s="7">
        <f>MONTH('data on outstanding creditors'!$B2008)</f>
        <v>5</v>
      </c>
      <c r="S2008" s="7">
        <f>YEAR('data on outstanding creditors'!$B2008)</f>
        <v>2025</v>
      </c>
      <c r="T2008" s="11" t="str">
        <f>'data on outstanding creditors'!$C2008&amp;" "&amp;'data on outstanding creditors'!$D2008&amp;" "&amp;TEXT('data on outstanding creditors'!$E2008,"#,##0.00")</f>
        <v>บ.เอ็ม ดี ซี (ประเทศไทย) IV25050640 20,000.00</v>
      </c>
      <c r="U2008" s="12"/>
    </row>
    <row r="2009" ht="13.5" customHeight="1">
      <c r="A2009" s="1" t="s">
        <v>2770</v>
      </c>
      <c r="B2009" s="2">
        <v>45779.0</v>
      </c>
      <c r="C2009" s="9" t="s">
        <v>2398</v>
      </c>
      <c r="D2009" s="1" t="s">
        <v>2771</v>
      </c>
      <c r="E2009" s="4">
        <v>16478.0</v>
      </c>
      <c r="F2009" s="4"/>
      <c r="G2009" s="4"/>
      <c r="H2009" s="4">
        <f>'data on outstanding creditors'!$E2009-'data on outstanding creditors'!$F2009-'data on outstanding creditors'!$G2009</f>
        <v>16478</v>
      </c>
      <c r="I2009" s="2"/>
      <c r="J2009" s="1" t="s">
        <v>757</v>
      </c>
      <c r="K2009" s="2">
        <v>45832.0</v>
      </c>
      <c r="L2009" s="5"/>
      <c r="M2009" s="9" t="s">
        <v>43</v>
      </c>
      <c r="N2009" s="9" t="s">
        <v>49</v>
      </c>
      <c r="O2009" s="10">
        <f>'data on outstanding creditors'!$E2009*100/107</f>
        <v>15400</v>
      </c>
      <c r="P2009" s="10">
        <f>'data on outstanding creditors'!$E2009-'data on outstanding creditors'!$O2009</f>
        <v>1078</v>
      </c>
      <c r="Q2009" s="7">
        <f>DAY('data on outstanding creditors'!$B2009)</f>
        <v>2</v>
      </c>
      <c r="R2009" s="7">
        <f>MONTH('data on outstanding creditors'!$B2009)</f>
        <v>5</v>
      </c>
      <c r="S2009" s="7">
        <f>YEAR('data on outstanding creditors'!$B2009)</f>
        <v>2025</v>
      </c>
      <c r="T2009" s="11" t="str">
        <f>'data on outstanding creditors'!$C2009&amp;" "&amp;'data on outstanding creditors'!$D2009&amp;" "&amp;TEXT('data on outstanding creditors'!$E2009,"#,##0.00")</f>
        <v>บ.ไลฟ์ โกรท เมดิคอล แอนด์ ซัพพลาย INV2025040012 16,478.00</v>
      </c>
      <c r="U2009" s="12"/>
    </row>
    <row r="2010" ht="13.5" customHeight="1">
      <c r="A2010" s="1" t="s">
        <v>2772</v>
      </c>
      <c r="B2010" s="2">
        <v>45779.0</v>
      </c>
      <c r="C2010" s="9" t="s">
        <v>520</v>
      </c>
      <c r="D2010" s="1" t="s">
        <v>2773</v>
      </c>
      <c r="E2010" s="4">
        <v>44940.0</v>
      </c>
      <c r="F2010" s="4"/>
      <c r="G2010" s="4"/>
      <c r="H2010" s="4">
        <f>'data on outstanding creditors'!$E2010-'data on outstanding creditors'!$F2010-'data on outstanding creditors'!$G2010</f>
        <v>44940</v>
      </c>
      <c r="I2010" s="2"/>
      <c r="J2010" s="1"/>
      <c r="K2010" s="2"/>
      <c r="L2010" s="5"/>
      <c r="M2010" s="9" t="s">
        <v>43</v>
      </c>
      <c r="N2010" s="9" t="s">
        <v>49</v>
      </c>
      <c r="O2010" s="10">
        <f>'data on outstanding creditors'!$E2010*100/107</f>
        <v>42000</v>
      </c>
      <c r="P2010" s="10">
        <f>'data on outstanding creditors'!$E2010-'data on outstanding creditors'!$O2010</f>
        <v>2940</v>
      </c>
      <c r="Q2010" s="7">
        <f>DAY('data on outstanding creditors'!$B2010)</f>
        <v>2</v>
      </c>
      <c r="R2010" s="7">
        <f>MONTH('data on outstanding creditors'!$B2010)</f>
        <v>5</v>
      </c>
      <c r="S2010" s="7">
        <f>YEAR('data on outstanding creditors'!$B2010)</f>
        <v>2025</v>
      </c>
      <c r="T2010" s="11" t="str">
        <f>'data on outstanding creditors'!$C2010&amp;" "&amp;'data on outstanding creditors'!$D2010&amp;" "&amp;TEXT('data on outstanding creditors'!$E2010,"#,##0.00")</f>
        <v>บ.ซิลลิคฟาร์มา 1317061845 44,940.00</v>
      </c>
      <c r="U2010" s="12"/>
    </row>
    <row r="2011" ht="13.5" customHeight="1">
      <c r="A2011" s="1" t="s">
        <v>2774</v>
      </c>
      <c r="B2011" s="2">
        <v>45779.0</v>
      </c>
      <c r="C2011" s="9" t="s">
        <v>1029</v>
      </c>
      <c r="D2011" s="1" t="s">
        <v>2775</v>
      </c>
      <c r="E2011" s="4">
        <v>20000.0</v>
      </c>
      <c r="F2011" s="4"/>
      <c r="G2011" s="4"/>
      <c r="H2011" s="4">
        <f>'data on outstanding creditors'!$E2011-'data on outstanding creditors'!$F2011-'data on outstanding creditors'!$G2011</f>
        <v>20000</v>
      </c>
      <c r="I2011" s="2"/>
      <c r="J2011" s="1" t="s">
        <v>757</v>
      </c>
      <c r="K2011" s="2">
        <v>45875.0</v>
      </c>
      <c r="L2011" s="5"/>
      <c r="M2011" s="9" t="s">
        <v>43</v>
      </c>
      <c r="N2011" s="9" t="s">
        <v>49</v>
      </c>
      <c r="O2011" s="10">
        <f>'data on outstanding creditors'!$E2011*100/107</f>
        <v>18691.58879</v>
      </c>
      <c r="P2011" s="10">
        <f>'data on outstanding creditors'!$E2011-'data on outstanding creditors'!$O2011</f>
        <v>1308.411215</v>
      </c>
      <c r="Q2011" s="7">
        <f>DAY('data on outstanding creditors'!$B2011)</f>
        <v>2</v>
      </c>
      <c r="R2011" s="7">
        <f>MONTH('data on outstanding creditors'!$B2011)</f>
        <v>5</v>
      </c>
      <c r="S2011" s="7">
        <f>YEAR('data on outstanding creditors'!$B2011)</f>
        <v>2025</v>
      </c>
      <c r="T2011" s="11" t="str">
        <f>'data on outstanding creditors'!$C2011&amp;" "&amp;'data on outstanding creditors'!$D2011&amp;" "&amp;TEXT('data on outstanding creditors'!$E2011,"#,##0.00")</f>
        <v>บ.เอเทค เมดิคอล IV6805025 20,000.00</v>
      </c>
      <c r="U2011" s="12"/>
    </row>
    <row r="2012" ht="13.5" customHeight="1">
      <c r="A2012" s="1" t="s">
        <v>2776</v>
      </c>
      <c r="B2012" s="2">
        <v>45779.0</v>
      </c>
      <c r="C2012" s="9" t="s">
        <v>1029</v>
      </c>
      <c r="D2012" s="1" t="s">
        <v>2777</v>
      </c>
      <c r="E2012" s="4">
        <v>16700.0</v>
      </c>
      <c r="F2012" s="4"/>
      <c r="G2012" s="4"/>
      <c r="H2012" s="4">
        <f>'data on outstanding creditors'!$E2012-'data on outstanding creditors'!$F2012-'data on outstanding creditors'!$G2012</f>
        <v>16700</v>
      </c>
      <c r="I2012" s="2"/>
      <c r="J2012" s="1" t="s">
        <v>757</v>
      </c>
      <c r="K2012" s="2">
        <v>45875.0</v>
      </c>
      <c r="L2012" s="5"/>
      <c r="M2012" s="9" t="s">
        <v>43</v>
      </c>
      <c r="N2012" s="9" t="s">
        <v>49</v>
      </c>
      <c r="O2012" s="10">
        <f>'data on outstanding creditors'!$E2012*100/107</f>
        <v>15607.47664</v>
      </c>
      <c r="P2012" s="10">
        <f>'data on outstanding creditors'!$E2012-'data on outstanding creditors'!$O2012</f>
        <v>1092.523364</v>
      </c>
      <c r="Q2012" s="7">
        <f>DAY('data on outstanding creditors'!$B2012)</f>
        <v>2</v>
      </c>
      <c r="R2012" s="7">
        <f>MONTH('data on outstanding creditors'!$B2012)</f>
        <v>5</v>
      </c>
      <c r="S2012" s="7">
        <f>YEAR('data on outstanding creditors'!$B2012)</f>
        <v>2025</v>
      </c>
      <c r="T2012" s="11" t="str">
        <f>'data on outstanding creditors'!$C2012&amp;" "&amp;'data on outstanding creditors'!$D2012&amp;" "&amp;TEXT('data on outstanding creditors'!$E2012,"#,##0.00")</f>
        <v>บ.เอเทค เมดิคอล IV6805031 16,700.00</v>
      </c>
      <c r="U2012" s="12"/>
    </row>
    <row r="2013" ht="13.5" customHeight="1">
      <c r="A2013" s="1" t="s">
        <v>2778</v>
      </c>
      <c r="B2013" s="2">
        <v>45779.0</v>
      </c>
      <c r="C2013" s="9" t="s">
        <v>2389</v>
      </c>
      <c r="D2013" s="1" t="s">
        <v>2779</v>
      </c>
      <c r="E2013" s="4">
        <v>57000.0</v>
      </c>
      <c r="F2013" s="4"/>
      <c r="G2013" s="4"/>
      <c r="H2013" s="4">
        <f>'data on outstanding creditors'!$E2013-'data on outstanding creditors'!$F2013-'data on outstanding creditors'!$G2013</f>
        <v>57000</v>
      </c>
      <c r="I2013" s="2"/>
      <c r="J2013" s="1" t="s">
        <v>646</v>
      </c>
      <c r="K2013" s="2">
        <v>45944.0</v>
      </c>
      <c r="L2013" s="5"/>
      <c r="M2013" s="9" t="s">
        <v>43</v>
      </c>
      <c r="N2013" s="9" t="s">
        <v>49</v>
      </c>
      <c r="O2013" s="10">
        <f>'data on outstanding creditors'!$E2013*100/107</f>
        <v>53271.02804</v>
      </c>
      <c r="P2013" s="10">
        <f>'data on outstanding creditors'!$E2013-'data on outstanding creditors'!$O2013</f>
        <v>3728.971963</v>
      </c>
      <c r="Q2013" s="7">
        <f>DAY('data on outstanding creditors'!$B2013)</f>
        <v>2</v>
      </c>
      <c r="R2013" s="7">
        <f>MONTH('data on outstanding creditors'!$B2013)</f>
        <v>5</v>
      </c>
      <c r="S2013" s="7">
        <f>YEAR('data on outstanding creditors'!$B2013)</f>
        <v>2025</v>
      </c>
      <c r="T2013" s="11" t="str">
        <f>'data on outstanding creditors'!$C2013&amp;" "&amp;'data on outstanding creditors'!$D2013&amp;" "&amp;TEXT('data on outstanding creditors'!$E2013,"#,##0.00")</f>
        <v>บ.ซี วี พี เมดิคอล เทคโนโลยี SI01/68050061 57,000.00</v>
      </c>
      <c r="U2013" s="12"/>
    </row>
    <row r="2014" ht="13.5" customHeight="1">
      <c r="A2014" s="1" t="s">
        <v>2780</v>
      </c>
      <c r="B2014" s="2">
        <v>45779.0</v>
      </c>
      <c r="C2014" s="9" t="s">
        <v>2389</v>
      </c>
      <c r="D2014" s="1" t="s">
        <v>2781</v>
      </c>
      <c r="E2014" s="4">
        <v>87900.0</v>
      </c>
      <c r="F2014" s="4"/>
      <c r="G2014" s="4"/>
      <c r="H2014" s="4">
        <f>'data on outstanding creditors'!$E2014-'data on outstanding creditors'!$F2014-'data on outstanding creditors'!$G2014</f>
        <v>87900</v>
      </c>
      <c r="I2014" s="2"/>
      <c r="J2014" s="1" t="s">
        <v>646</v>
      </c>
      <c r="K2014" s="2">
        <v>45928.0</v>
      </c>
      <c r="L2014" s="5"/>
      <c r="M2014" s="9" t="s">
        <v>43</v>
      </c>
      <c r="N2014" s="9" t="s">
        <v>49</v>
      </c>
      <c r="O2014" s="10">
        <f>'data on outstanding creditors'!$E2014*100/107</f>
        <v>82149.53271</v>
      </c>
      <c r="P2014" s="10">
        <f>'data on outstanding creditors'!$E2014-'data on outstanding creditors'!$O2014</f>
        <v>5750.46729</v>
      </c>
      <c r="Q2014" s="7">
        <f>DAY('data on outstanding creditors'!$B2014)</f>
        <v>2</v>
      </c>
      <c r="R2014" s="7">
        <f>MONTH('data on outstanding creditors'!$B2014)</f>
        <v>5</v>
      </c>
      <c r="S2014" s="7">
        <f>YEAR('data on outstanding creditors'!$B2014)</f>
        <v>2025</v>
      </c>
      <c r="T2014" s="11" t="str">
        <f>'data on outstanding creditors'!$C2014&amp;" "&amp;'data on outstanding creditors'!$D2014&amp;" "&amp;TEXT('data on outstanding creditors'!$E2014,"#,##0.00")</f>
        <v>บ.ซี วี พี เมดิคอล เทคโนโลยี SI01/68050060 87,900.00</v>
      </c>
      <c r="U2014" s="12"/>
    </row>
    <row r="2015" ht="13.5" customHeight="1">
      <c r="A2015" s="1" t="s">
        <v>2782</v>
      </c>
      <c r="B2015" s="2">
        <v>45783.0</v>
      </c>
      <c r="C2015" s="9" t="s">
        <v>2359</v>
      </c>
      <c r="D2015" s="1" t="s">
        <v>2783</v>
      </c>
      <c r="E2015" s="4">
        <v>15000.0</v>
      </c>
      <c r="F2015" s="4"/>
      <c r="G2015" s="4"/>
      <c r="H2015" s="4">
        <f>'data on outstanding creditors'!$E2015-'data on outstanding creditors'!$F2015-'data on outstanding creditors'!$G2015</f>
        <v>15000</v>
      </c>
      <c r="I2015" s="2"/>
      <c r="J2015" s="1" t="s">
        <v>646</v>
      </c>
      <c r="K2015" s="2">
        <v>45928.0</v>
      </c>
      <c r="L2015" s="5"/>
      <c r="M2015" s="9" t="s">
        <v>43</v>
      </c>
      <c r="N2015" s="9" t="s">
        <v>49</v>
      </c>
      <c r="O2015" s="10">
        <f>'data on outstanding creditors'!$E2015*100/107</f>
        <v>14018.69159</v>
      </c>
      <c r="P2015" s="10">
        <f>'data on outstanding creditors'!$E2015-'data on outstanding creditors'!$O2015</f>
        <v>981.3084112</v>
      </c>
      <c r="Q2015" s="7">
        <f>DAY('data on outstanding creditors'!$B2015)</f>
        <v>6</v>
      </c>
      <c r="R2015" s="7">
        <f>MONTH('data on outstanding creditors'!$B2015)</f>
        <v>5</v>
      </c>
      <c r="S2015" s="7">
        <f>YEAR('data on outstanding creditors'!$B2015)</f>
        <v>2025</v>
      </c>
      <c r="T2015" s="11" t="str">
        <f>'data on outstanding creditors'!$C2015&amp;" "&amp;'data on outstanding creditors'!$D2015&amp;" "&amp;TEXT('data on outstanding creditors'!$E2015,"#,##0.00")</f>
        <v>หจก.เอ แอนด์ ที เมดิคอลซายด์ B6805001 15,000.00</v>
      </c>
      <c r="U2015" s="12"/>
    </row>
    <row r="2016" ht="13.5" customHeight="1">
      <c r="A2016" s="1" t="s">
        <v>2784</v>
      </c>
      <c r="B2016" s="2">
        <v>45783.0</v>
      </c>
      <c r="C2016" s="9" t="s">
        <v>1029</v>
      </c>
      <c r="D2016" s="1" t="s">
        <v>2785</v>
      </c>
      <c r="E2016" s="4">
        <v>15500.0</v>
      </c>
      <c r="F2016" s="4"/>
      <c r="G2016" s="4"/>
      <c r="H2016" s="4">
        <f>'data on outstanding creditors'!$E2016-'data on outstanding creditors'!$F2016-'data on outstanding creditors'!$G2016</f>
        <v>15500</v>
      </c>
      <c r="I2016" s="2"/>
      <c r="J2016" s="1" t="s">
        <v>757</v>
      </c>
      <c r="K2016" s="2">
        <v>45875.0</v>
      </c>
      <c r="L2016" s="5"/>
      <c r="M2016" s="9" t="s">
        <v>43</v>
      </c>
      <c r="N2016" s="9" t="s">
        <v>49</v>
      </c>
      <c r="O2016" s="10">
        <f>'data on outstanding creditors'!$E2016*100/107</f>
        <v>14485.98131</v>
      </c>
      <c r="P2016" s="10">
        <f>'data on outstanding creditors'!$E2016-'data on outstanding creditors'!$O2016</f>
        <v>1014.018692</v>
      </c>
      <c r="Q2016" s="7">
        <f>DAY('data on outstanding creditors'!$B2016)</f>
        <v>6</v>
      </c>
      <c r="R2016" s="7">
        <f>MONTH('data on outstanding creditors'!$B2016)</f>
        <v>5</v>
      </c>
      <c r="S2016" s="7">
        <f>YEAR('data on outstanding creditors'!$B2016)</f>
        <v>2025</v>
      </c>
      <c r="T2016" s="11" t="str">
        <f>'data on outstanding creditors'!$C2016&amp;" "&amp;'data on outstanding creditors'!$D2016&amp;" "&amp;TEXT('data on outstanding creditors'!$E2016,"#,##0.00")</f>
        <v>บ.เอเทค เมดิคอล IV6805091 15,500.00</v>
      </c>
      <c r="U2016" s="12"/>
    </row>
    <row r="2017" ht="13.5" customHeight="1">
      <c r="A2017" s="1" t="s">
        <v>2786</v>
      </c>
      <c r="B2017" s="2">
        <v>45783.0</v>
      </c>
      <c r="C2017" s="9" t="s">
        <v>1029</v>
      </c>
      <c r="D2017" s="1" t="s">
        <v>2787</v>
      </c>
      <c r="E2017" s="4">
        <v>17300.0</v>
      </c>
      <c r="F2017" s="4"/>
      <c r="G2017" s="4"/>
      <c r="H2017" s="4">
        <f>'data on outstanding creditors'!$E2017-'data on outstanding creditors'!$F2017-'data on outstanding creditors'!$G2017</f>
        <v>17300</v>
      </c>
      <c r="I2017" s="2"/>
      <c r="J2017" s="1" t="s">
        <v>757</v>
      </c>
      <c r="K2017" s="2">
        <v>45882.0</v>
      </c>
      <c r="L2017" s="5"/>
      <c r="M2017" s="9" t="s">
        <v>43</v>
      </c>
      <c r="N2017" s="9" t="s">
        <v>49</v>
      </c>
      <c r="O2017" s="10">
        <f>'data on outstanding creditors'!$E2017*100/107</f>
        <v>16168.2243</v>
      </c>
      <c r="P2017" s="10">
        <f>'data on outstanding creditors'!$E2017-'data on outstanding creditors'!$O2017</f>
        <v>1131.775701</v>
      </c>
      <c r="Q2017" s="7">
        <f>DAY('data on outstanding creditors'!$B2017)</f>
        <v>6</v>
      </c>
      <c r="R2017" s="7">
        <f>MONTH('data on outstanding creditors'!$B2017)</f>
        <v>5</v>
      </c>
      <c r="S2017" s="7">
        <f>YEAR('data on outstanding creditors'!$B2017)</f>
        <v>2025</v>
      </c>
      <c r="T2017" s="11" t="str">
        <f>'data on outstanding creditors'!$C2017&amp;" "&amp;'data on outstanding creditors'!$D2017&amp;" "&amp;TEXT('data on outstanding creditors'!$E2017,"#,##0.00")</f>
        <v>บ.เอเทค เมดิคอล IV6805093 17,300.00</v>
      </c>
      <c r="U2017" s="12"/>
    </row>
    <row r="2018" ht="13.5" customHeight="1">
      <c r="A2018" s="1" t="s">
        <v>2788</v>
      </c>
      <c r="B2018" s="2">
        <v>45783.0</v>
      </c>
      <c r="C2018" s="9" t="s">
        <v>1029</v>
      </c>
      <c r="D2018" s="1" t="s">
        <v>2789</v>
      </c>
      <c r="E2018" s="4">
        <v>18500.0</v>
      </c>
      <c r="F2018" s="4"/>
      <c r="G2018" s="4"/>
      <c r="H2018" s="4">
        <f>'data on outstanding creditors'!$E2018-'data on outstanding creditors'!$F2018-'data on outstanding creditors'!$G2018</f>
        <v>18500</v>
      </c>
      <c r="I2018" s="2"/>
      <c r="J2018" s="1" t="s">
        <v>757</v>
      </c>
      <c r="K2018" s="2">
        <v>45882.0</v>
      </c>
      <c r="L2018" s="5"/>
      <c r="M2018" s="9" t="s">
        <v>43</v>
      </c>
      <c r="N2018" s="9" t="s">
        <v>49</v>
      </c>
      <c r="O2018" s="10">
        <f>'data on outstanding creditors'!$E2018*100/107</f>
        <v>17289.71963</v>
      </c>
      <c r="P2018" s="10">
        <f>'data on outstanding creditors'!$E2018-'data on outstanding creditors'!$O2018</f>
        <v>1210.280374</v>
      </c>
      <c r="Q2018" s="7">
        <f>DAY('data on outstanding creditors'!$B2018)</f>
        <v>6</v>
      </c>
      <c r="R2018" s="7">
        <f>MONTH('data on outstanding creditors'!$B2018)</f>
        <v>5</v>
      </c>
      <c r="S2018" s="7">
        <f>YEAR('data on outstanding creditors'!$B2018)</f>
        <v>2025</v>
      </c>
      <c r="T2018" s="11" t="str">
        <f>'data on outstanding creditors'!$C2018&amp;" "&amp;'data on outstanding creditors'!$D2018&amp;" "&amp;TEXT('data on outstanding creditors'!$E2018,"#,##0.00")</f>
        <v>บ.เอเทค เมดิคอล IV6805094 18,500.00</v>
      </c>
      <c r="U2018" s="12"/>
    </row>
    <row r="2019" ht="13.5" customHeight="1">
      <c r="A2019" s="1" t="s">
        <v>2790</v>
      </c>
      <c r="B2019" s="2">
        <v>45783.0</v>
      </c>
      <c r="C2019" s="9" t="s">
        <v>1029</v>
      </c>
      <c r="D2019" s="1" t="s">
        <v>2791</v>
      </c>
      <c r="E2019" s="4">
        <v>20900.0</v>
      </c>
      <c r="F2019" s="4"/>
      <c r="G2019" s="4"/>
      <c r="H2019" s="4">
        <f>'data on outstanding creditors'!$E2019-'data on outstanding creditors'!$F2019-'data on outstanding creditors'!$G2019</f>
        <v>20900</v>
      </c>
      <c r="I2019" s="2"/>
      <c r="J2019" s="1" t="s">
        <v>757</v>
      </c>
      <c r="K2019" s="2">
        <v>45882.0</v>
      </c>
      <c r="L2019" s="5"/>
      <c r="M2019" s="9" t="s">
        <v>43</v>
      </c>
      <c r="N2019" s="9" t="s">
        <v>49</v>
      </c>
      <c r="O2019" s="10">
        <f>'data on outstanding creditors'!$E2019*100/107</f>
        <v>19532.71028</v>
      </c>
      <c r="P2019" s="10">
        <f>'data on outstanding creditors'!$E2019-'data on outstanding creditors'!$O2019</f>
        <v>1367.28972</v>
      </c>
      <c r="Q2019" s="7">
        <f>DAY('data on outstanding creditors'!$B2019)</f>
        <v>6</v>
      </c>
      <c r="R2019" s="7">
        <f>MONTH('data on outstanding creditors'!$B2019)</f>
        <v>5</v>
      </c>
      <c r="S2019" s="7">
        <f>YEAR('data on outstanding creditors'!$B2019)</f>
        <v>2025</v>
      </c>
      <c r="T2019" s="11" t="str">
        <f>'data on outstanding creditors'!$C2019&amp;" "&amp;'data on outstanding creditors'!$D2019&amp;" "&amp;TEXT('data on outstanding creditors'!$E2019,"#,##0.00")</f>
        <v>บ.เอเทค เมดิคอล IV6805108 20,900.00</v>
      </c>
      <c r="U2019" s="12"/>
    </row>
    <row r="2020" ht="13.5" customHeight="1">
      <c r="A2020" s="1" t="s">
        <v>2792</v>
      </c>
      <c r="B2020" s="2">
        <v>45784.0</v>
      </c>
      <c r="C2020" s="9" t="s">
        <v>1029</v>
      </c>
      <c r="D2020" s="1" t="s">
        <v>2793</v>
      </c>
      <c r="E2020" s="4">
        <v>13200.0</v>
      </c>
      <c r="F2020" s="4"/>
      <c r="G2020" s="4"/>
      <c r="H2020" s="4">
        <f>'data on outstanding creditors'!$E2020-'data on outstanding creditors'!$F2020-'data on outstanding creditors'!$G2020</f>
        <v>13200</v>
      </c>
      <c r="I2020" s="2"/>
      <c r="J2020" s="1" t="s">
        <v>757</v>
      </c>
      <c r="K2020" s="2">
        <v>45882.0</v>
      </c>
      <c r="L2020" s="5"/>
      <c r="M2020" s="9" t="s">
        <v>43</v>
      </c>
      <c r="N2020" s="9" t="s">
        <v>49</v>
      </c>
      <c r="O2020" s="10">
        <f>'data on outstanding creditors'!$E2020*100/107</f>
        <v>12336.4486</v>
      </c>
      <c r="P2020" s="10">
        <f>'data on outstanding creditors'!$E2020-'data on outstanding creditors'!$O2020</f>
        <v>863.5514019</v>
      </c>
      <c r="Q2020" s="7">
        <f>DAY('data on outstanding creditors'!$B2020)</f>
        <v>7</v>
      </c>
      <c r="R2020" s="7">
        <f>MONTH('data on outstanding creditors'!$B2020)</f>
        <v>5</v>
      </c>
      <c r="S2020" s="7">
        <f>YEAR('data on outstanding creditors'!$B2020)</f>
        <v>2025</v>
      </c>
      <c r="T2020" s="11" t="str">
        <f>'data on outstanding creditors'!$C2020&amp;" "&amp;'data on outstanding creditors'!$D2020&amp;" "&amp;TEXT('data on outstanding creditors'!$E2020,"#,##0.00")</f>
        <v>บ.เอเทค เมดิคอล IV6805107 13,200.00</v>
      </c>
      <c r="U2020" s="12"/>
    </row>
    <row r="2021" ht="13.5" customHeight="1">
      <c r="A2021" s="1" t="s">
        <v>2794</v>
      </c>
      <c r="B2021" s="2">
        <v>45784.0</v>
      </c>
      <c r="C2021" s="9" t="s">
        <v>2795</v>
      </c>
      <c r="D2021" s="1" t="s">
        <v>2796</v>
      </c>
      <c r="E2021" s="4">
        <v>6560.0</v>
      </c>
      <c r="F2021" s="4"/>
      <c r="G2021" s="4"/>
      <c r="H2021" s="4">
        <f>'data on outstanding creditors'!$E2021-'data on outstanding creditors'!$F2021-'data on outstanding creditors'!$G2021</f>
        <v>6560</v>
      </c>
      <c r="I2021" s="2"/>
      <c r="J2021" s="1" t="s">
        <v>757</v>
      </c>
      <c r="K2021" s="2">
        <v>45831.0</v>
      </c>
      <c r="L2021" s="5"/>
      <c r="M2021" s="9" t="s">
        <v>43</v>
      </c>
      <c r="N2021" s="9" t="s">
        <v>49</v>
      </c>
      <c r="O2021" s="10">
        <f>'data on outstanding creditors'!$E2021*100/107</f>
        <v>6130.841121</v>
      </c>
      <c r="P2021" s="10">
        <f>'data on outstanding creditors'!$E2021-'data on outstanding creditors'!$O2021</f>
        <v>429.1588785</v>
      </c>
      <c r="Q2021" s="7">
        <f>DAY('data on outstanding creditors'!$B2021)</f>
        <v>7</v>
      </c>
      <c r="R2021" s="7">
        <f>MONTH('data on outstanding creditors'!$B2021)</f>
        <v>5</v>
      </c>
      <c r="S2021" s="7">
        <f>YEAR('data on outstanding creditors'!$B2021)</f>
        <v>2025</v>
      </c>
      <c r="T2021" s="11" t="str">
        <f>'data on outstanding creditors'!$C2021&amp;" "&amp;'data on outstanding creditors'!$D2021&amp;" "&amp;TEXT('data on outstanding creditors'!$E2021,"#,##0.00")</f>
        <v>บ.เวชพงศ์โอสถ เทรดดิ้ง VPOT2025/000197 6,560.00</v>
      </c>
      <c r="U2021" s="12"/>
    </row>
    <row r="2022" ht="13.5" customHeight="1">
      <c r="A2022" s="1" t="s">
        <v>2797</v>
      </c>
      <c r="B2022" s="2">
        <v>45784.0</v>
      </c>
      <c r="C2022" s="9" t="s">
        <v>2795</v>
      </c>
      <c r="D2022" s="1" t="s">
        <v>2798</v>
      </c>
      <c r="E2022" s="4">
        <v>7560.0</v>
      </c>
      <c r="F2022" s="4"/>
      <c r="G2022" s="4"/>
      <c r="H2022" s="4">
        <f>'data on outstanding creditors'!$E2022-'data on outstanding creditors'!$F2022-'data on outstanding creditors'!$G2022</f>
        <v>7560</v>
      </c>
      <c r="I2022" s="2"/>
      <c r="J2022" s="1" t="s">
        <v>757</v>
      </c>
      <c r="K2022" s="2">
        <v>45831.0</v>
      </c>
      <c r="L2022" s="5"/>
      <c r="M2022" s="9" t="s">
        <v>43</v>
      </c>
      <c r="N2022" s="9" t="s">
        <v>49</v>
      </c>
      <c r="O2022" s="10">
        <f>'data on outstanding creditors'!$E2022*100/107</f>
        <v>7065.420561</v>
      </c>
      <c r="P2022" s="10">
        <f>'data on outstanding creditors'!$E2022-'data on outstanding creditors'!$O2022</f>
        <v>494.5794393</v>
      </c>
      <c r="Q2022" s="7">
        <f>DAY('data on outstanding creditors'!$B2022)</f>
        <v>7</v>
      </c>
      <c r="R2022" s="7">
        <f>MONTH('data on outstanding creditors'!$B2022)</f>
        <v>5</v>
      </c>
      <c r="S2022" s="7">
        <f>YEAR('data on outstanding creditors'!$B2022)</f>
        <v>2025</v>
      </c>
      <c r="T2022" s="11" t="str">
        <f>'data on outstanding creditors'!$C2022&amp;" "&amp;'data on outstanding creditors'!$D2022&amp;" "&amp;TEXT('data on outstanding creditors'!$E2022,"#,##0.00")</f>
        <v>บ.เวชพงศ์โอสถ เทรดดิ้ง VPOT2025/000198 7,560.00</v>
      </c>
      <c r="U2022" s="12"/>
    </row>
    <row r="2023" ht="13.5" customHeight="1">
      <c r="A2023" s="1"/>
      <c r="B2023" s="2">
        <v>45784.0</v>
      </c>
      <c r="C2023" s="9" t="s">
        <v>1114</v>
      </c>
      <c r="D2023" s="1" t="s">
        <v>2799</v>
      </c>
      <c r="E2023" s="4">
        <v>27300.0</v>
      </c>
      <c r="F2023" s="4"/>
      <c r="G2023" s="4"/>
      <c r="H2023" s="4">
        <f>'data on outstanding creditors'!$E2023-'data on outstanding creditors'!$F2023-'data on outstanding creditors'!$G2023</f>
        <v>27300</v>
      </c>
      <c r="I2023" s="2"/>
      <c r="J2023" s="1" t="s">
        <v>646</v>
      </c>
      <c r="K2023" s="2">
        <v>45877.0</v>
      </c>
      <c r="L2023" s="5"/>
      <c r="M2023" s="9" t="s">
        <v>43</v>
      </c>
      <c r="N2023" s="9" t="s">
        <v>23</v>
      </c>
      <c r="O2023" s="10">
        <f>'data on outstanding creditors'!$E2023*100/107</f>
        <v>25514.01869</v>
      </c>
      <c r="P2023" s="10">
        <f>'data on outstanding creditors'!$E2023-'data on outstanding creditors'!$O2023</f>
        <v>1785.981308</v>
      </c>
      <c r="Q2023" s="7">
        <f>DAY('data on outstanding creditors'!$B2023)</f>
        <v>7</v>
      </c>
      <c r="R2023" s="7">
        <f>MONTH('data on outstanding creditors'!$B2023)</f>
        <v>5</v>
      </c>
      <c r="S2023" s="7">
        <f>YEAR('data on outstanding creditors'!$B2023)</f>
        <v>2025</v>
      </c>
      <c r="T2023" s="11" t="str">
        <f>'data on outstanding creditors'!$C2023&amp;" "&amp;'data on outstanding creditors'!$D2023&amp;" "&amp;TEXT('data on outstanding creditors'!$E2023,"#,##0.00")</f>
        <v>หจก.อิเลฟเว่น พลัซ EL680425185 27,300.00</v>
      </c>
      <c r="U2023" s="12"/>
    </row>
    <row r="2024" ht="13.5" customHeight="1">
      <c r="A2024" s="1"/>
      <c r="B2024" s="2">
        <v>45784.0</v>
      </c>
      <c r="C2024" s="9" t="s">
        <v>1114</v>
      </c>
      <c r="D2024" s="1" t="s">
        <v>2800</v>
      </c>
      <c r="E2024" s="4">
        <v>16500.0</v>
      </c>
      <c r="F2024" s="4"/>
      <c r="G2024" s="4"/>
      <c r="H2024" s="4">
        <f>'data on outstanding creditors'!$E2024-'data on outstanding creditors'!$F2024-'data on outstanding creditors'!$G2024</f>
        <v>16500</v>
      </c>
      <c r="I2024" s="2"/>
      <c r="J2024" s="1" t="s">
        <v>646</v>
      </c>
      <c r="K2024" s="2">
        <v>45877.0</v>
      </c>
      <c r="L2024" s="5"/>
      <c r="M2024" s="9" t="s">
        <v>43</v>
      </c>
      <c r="N2024" s="9" t="s">
        <v>23</v>
      </c>
      <c r="O2024" s="10">
        <f>'data on outstanding creditors'!$E2024*100/107</f>
        <v>15420.56075</v>
      </c>
      <c r="P2024" s="10">
        <f>'data on outstanding creditors'!$E2024-'data on outstanding creditors'!$O2024</f>
        <v>1079.439252</v>
      </c>
      <c r="Q2024" s="7">
        <f>DAY('data on outstanding creditors'!$B2024)</f>
        <v>7</v>
      </c>
      <c r="R2024" s="7">
        <f>MONTH('data on outstanding creditors'!$B2024)</f>
        <v>5</v>
      </c>
      <c r="S2024" s="7">
        <f>YEAR('data on outstanding creditors'!$B2024)</f>
        <v>2025</v>
      </c>
      <c r="T2024" s="11" t="str">
        <f>'data on outstanding creditors'!$C2024&amp;" "&amp;'data on outstanding creditors'!$D2024&amp;" "&amp;TEXT('data on outstanding creditors'!$E2024,"#,##0.00")</f>
        <v>หจก.อิเลฟเว่น พลัซ EL680502003 16,500.00</v>
      </c>
      <c r="U2024" s="12"/>
    </row>
    <row r="2025" ht="13.5" customHeight="1">
      <c r="A2025" s="1"/>
      <c r="B2025" s="2">
        <v>45784.0</v>
      </c>
      <c r="C2025" s="9" t="s">
        <v>2292</v>
      </c>
      <c r="D2025" s="1" t="s">
        <v>2801</v>
      </c>
      <c r="E2025" s="4">
        <v>93640.0</v>
      </c>
      <c r="F2025" s="4"/>
      <c r="G2025" s="4"/>
      <c r="H2025" s="4">
        <f>'data on outstanding creditors'!$E2025-'data on outstanding creditors'!$F2025-'data on outstanding creditors'!$G2025</f>
        <v>93640</v>
      </c>
      <c r="I2025" s="2"/>
      <c r="J2025" s="1" t="s">
        <v>646</v>
      </c>
      <c r="K2025" s="2">
        <v>45866.0</v>
      </c>
      <c r="L2025" s="5"/>
      <c r="M2025" s="9" t="s">
        <v>43</v>
      </c>
      <c r="N2025" s="9" t="s">
        <v>23</v>
      </c>
      <c r="O2025" s="10">
        <f>'data on outstanding creditors'!$E2025*100/107</f>
        <v>87514.01869</v>
      </c>
      <c r="P2025" s="10">
        <f>'data on outstanding creditors'!$E2025-'data on outstanding creditors'!$O2025</f>
        <v>6125.981308</v>
      </c>
      <c r="Q2025" s="7">
        <f>DAY('data on outstanding creditors'!$B2025)</f>
        <v>7</v>
      </c>
      <c r="R2025" s="7">
        <f>MONTH('data on outstanding creditors'!$B2025)</f>
        <v>5</v>
      </c>
      <c r="S2025" s="7">
        <f>YEAR('data on outstanding creditors'!$B2025)</f>
        <v>2025</v>
      </c>
      <c r="T2025" s="11" t="str">
        <f>'data on outstanding creditors'!$C2025&amp;" "&amp;'data on outstanding creditors'!$D2025&amp;" "&amp;TEXT('data on outstanding creditors'!$E2025,"#,##0.00")</f>
        <v>บ.ไบโอคอททอน IV25004058 93,640.00</v>
      </c>
      <c r="U2025" s="12"/>
    </row>
    <row r="2026" ht="13.5" customHeight="1">
      <c r="A2026" s="1"/>
      <c r="B2026" s="2">
        <v>45784.0</v>
      </c>
      <c r="C2026" s="9" t="s">
        <v>688</v>
      </c>
      <c r="D2026" s="1" t="s">
        <v>2802</v>
      </c>
      <c r="E2026" s="4">
        <v>53072.0</v>
      </c>
      <c r="F2026" s="4"/>
      <c r="G2026" s="4"/>
      <c r="H2026" s="4">
        <f>'data on outstanding creditors'!$E2026-'data on outstanding creditors'!$F2026-'data on outstanding creditors'!$G2026</f>
        <v>53072</v>
      </c>
      <c r="I2026" s="2"/>
      <c r="J2026" s="1" t="s">
        <v>646</v>
      </c>
      <c r="K2026" s="2">
        <v>45889.0</v>
      </c>
      <c r="L2026" s="5"/>
      <c r="M2026" s="9" t="s">
        <v>43</v>
      </c>
      <c r="N2026" s="9" t="s">
        <v>23</v>
      </c>
      <c r="O2026" s="10">
        <f>'data on outstanding creditors'!$E2026*100/107</f>
        <v>49600</v>
      </c>
      <c r="P2026" s="10">
        <f>'data on outstanding creditors'!$E2026-'data on outstanding creditors'!$O2026</f>
        <v>3472</v>
      </c>
      <c r="Q2026" s="7">
        <f>DAY('data on outstanding creditors'!$B2026)</f>
        <v>7</v>
      </c>
      <c r="R2026" s="7">
        <f>MONTH('data on outstanding creditors'!$B2026)</f>
        <v>5</v>
      </c>
      <c r="S2026" s="7">
        <f>YEAR('data on outstanding creditors'!$B2026)</f>
        <v>2025</v>
      </c>
      <c r="T2026" s="11" t="str">
        <f>'data on outstanding creditors'!$C2026&amp;" "&amp;'data on outstanding creditors'!$D2026&amp;" "&amp;TEXT('data on outstanding creditors'!$E2026,"#,##0.00")</f>
        <v>บ.โอเร็กซ์ เทรดดิ้ง 680404508 53,072.00</v>
      </c>
      <c r="U2026" s="12"/>
    </row>
    <row r="2027" ht="13.5" customHeight="1">
      <c r="A2027" s="1" t="s">
        <v>2803</v>
      </c>
      <c r="B2027" s="2">
        <v>45784.0</v>
      </c>
      <c r="C2027" s="9" t="s">
        <v>2281</v>
      </c>
      <c r="D2027" s="1" t="s">
        <v>2804</v>
      </c>
      <c r="E2027" s="4">
        <v>51400.0</v>
      </c>
      <c r="F2027" s="4"/>
      <c r="G2027" s="4"/>
      <c r="H2027" s="4">
        <f>'data on outstanding creditors'!$E2027-'data on outstanding creditors'!$F2027-'data on outstanding creditors'!$G2027</f>
        <v>51400</v>
      </c>
      <c r="I2027" s="2"/>
      <c r="J2027" s="1" t="s">
        <v>646</v>
      </c>
      <c r="K2027" s="2">
        <v>45843.0</v>
      </c>
      <c r="L2027" s="5"/>
      <c r="M2027" s="9" t="s">
        <v>43</v>
      </c>
      <c r="N2027" s="9" t="s">
        <v>44</v>
      </c>
      <c r="O2027" s="10">
        <f>'data on outstanding creditors'!$E2027*100/107</f>
        <v>48037.38318</v>
      </c>
      <c r="P2027" s="10">
        <f>'data on outstanding creditors'!$E2027-'data on outstanding creditors'!$O2027</f>
        <v>3362.616822</v>
      </c>
      <c r="Q2027" s="7">
        <f>DAY('data on outstanding creditors'!$B2027)</f>
        <v>7</v>
      </c>
      <c r="R2027" s="7">
        <f>MONTH('data on outstanding creditors'!$B2027)</f>
        <v>5</v>
      </c>
      <c r="S2027" s="7">
        <f>YEAR('data on outstanding creditors'!$B2027)</f>
        <v>2025</v>
      </c>
      <c r="T2027" s="11" t="str">
        <f>'data on outstanding creditors'!$C2027&amp;" "&amp;'data on outstanding creditors'!$D2027&amp;" "&amp;TEXT('data on outstanding creditors'!$E2027,"#,##0.00")</f>
        <v>หจก.พีเอส เมทริก IH2504005 51,400.00</v>
      </c>
      <c r="U2027" s="12"/>
    </row>
    <row r="2028" ht="13.5" customHeight="1">
      <c r="A2028" s="1" t="s">
        <v>2805</v>
      </c>
      <c r="B2028" s="2">
        <v>45785.0</v>
      </c>
      <c r="C2028" s="9" t="s">
        <v>2343</v>
      </c>
      <c r="D2028" s="1" t="s">
        <v>2806</v>
      </c>
      <c r="E2028" s="4">
        <v>103950.0</v>
      </c>
      <c r="F2028" s="4"/>
      <c r="G2028" s="4"/>
      <c r="H2028" s="4">
        <f>'data on outstanding creditors'!$E2028-'data on outstanding creditors'!$F2028-'data on outstanding creditors'!$G2028</f>
        <v>103950</v>
      </c>
      <c r="I2028" s="2"/>
      <c r="J2028" s="1" t="s">
        <v>646</v>
      </c>
      <c r="K2028" s="2">
        <v>45843.0</v>
      </c>
      <c r="L2028" s="5"/>
      <c r="M2028" s="9" t="s">
        <v>43</v>
      </c>
      <c r="N2028" s="9" t="s">
        <v>49</v>
      </c>
      <c r="O2028" s="10">
        <f>'data on outstanding creditors'!$E2028*100/107</f>
        <v>97149.53271</v>
      </c>
      <c r="P2028" s="10">
        <f>'data on outstanding creditors'!$E2028-'data on outstanding creditors'!$O2028</f>
        <v>6800.46729</v>
      </c>
      <c r="Q2028" s="7">
        <f>DAY('data on outstanding creditors'!$B2028)</f>
        <v>8</v>
      </c>
      <c r="R2028" s="7">
        <f>MONTH('data on outstanding creditors'!$B2028)</f>
        <v>5</v>
      </c>
      <c r="S2028" s="7">
        <f>YEAR('data on outstanding creditors'!$B2028)</f>
        <v>2025</v>
      </c>
      <c r="T2028" s="11" t="str">
        <f>'data on outstanding creditors'!$C2028&amp;" "&amp;'data on outstanding creditors'!$D2028&amp;" "&amp;TEXT('data on outstanding creditors'!$E2028,"#,##0.00")</f>
        <v>บ.ทริมเมอร์ IV250501370 103,950.00</v>
      </c>
      <c r="U2028" s="12"/>
    </row>
    <row r="2029" ht="13.5" customHeight="1">
      <c r="A2029" s="1" t="s">
        <v>2807</v>
      </c>
      <c r="B2029" s="2">
        <v>45785.0</v>
      </c>
      <c r="C2029" s="9" t="s">
        <v>1029</v>
      </c>
      <c r="D2029" s="1" t="s">
        <v>2808</v>
      </c>
      <c r="E2029" s="4">
        <v>17600.0</v>
      </c>
      <c r="F2029" s="4"/>
      <c r="G2029" s="4"/>
      <c r="H2029" s="4">
        <f>'data on outstanding creditors'!$E2029-'data on outstanding creditors'!$F2029-'data on outstanding creditors'!$G2029</f>
        <v>17600</v>
      </c>
      <c r="I2029" s="2"/>
      <c r="J2029" s="1" t="s">
        <v>757</v>
      </c>
      <c r="K2029" s="2">
        <v>45904.0</v>
      </c>
      <c r="L2029" s="5"/>
      <c r="M2029" s="9" t="s">
        <v>43</v>
      </c>
      <c r="N2029" s="9" t="s">
        <v>49</v>
      </c>
      <c r="O2029" s="10">
        <f>'data on outstanding creditors'!$E2029*100/107</f>
        <v>16448.59813</v>
      </c>
      <c r="P2029" s="10">
        <f>'data on outstanding creditors'!$E2029-'data on outstanding creditors'!$O2029</f>
        <v>1151.401869</v>
      </c>
      <c r="Q2029" s="7">
        <f>DAY('data on outstanding creditors'!$B2029)</f>
        <v>8</v>
      </c>
      <c r="R2029" s="7">
        <f>MONTH('data on outstanding creditors'!$B2029)</f>
        <v>5</v>
      </c>
      <c r="S2029" s="7">
        <f>YEAR('data on outstanding creditors'!$B2029)</f>
        <v>2025</v>
      </c>
      <c r="T2029" s="11" t="str">
        <f>'data on outstanding creditors'!$C2029&amp;" "&amp;'data on outstanding creditors'!$D2029&amp;" "&amp;TEXT('data on outstanding creditors'!$E2029,"#,##0.00")</f>
        <v>บ.เอเทค เมดิคอล IV6805152 17,600.00</v>
      </c>
      <c r="U2029" s="12"/>
    </row>
    <row r="2030" ht="13.5" customHeight="1">
      <c r="A2030" s="1" t="s">
        <v>2809</v>
      </c>
      <c r="B2030" s="2">
        <v>45785.0</v>
      </c>
      <c r="C2030" s="9" t="s">
        <v>1029</v>
      </c>
      <c r="D2030" s="1" t="s">
        <v>2810</v>
      </c>
      <c r="E2030" s="4">
        <v>11400.0</v>
      </c>
      <c r="F2030" s="4"/>
      <c r="G2030" s="4"/>
      <c r="H2030" s="4">
        <f>'data on outstanding creditors'!$E2030-'data on outstanding creditors'!$F2030-'data on outstanding creditors'!$G2030</f>
        <v>11400</v>
      </c>
      <c r="I2030" s="2"/>
      <c r="J2030" s="1" t="s">
        <v>757</v>
      </c>
      <c r="K2030" s="2">
        <v>45882.0</v>
      </c>
      <c r="L2030" s="5"/>
      <c r="M2030" s="9" t="s">
        <v>43</v>
      </c>
      <c r="N2030" s="9" t="s">
        <v>49</v>
      </c>
      <c r="O2030" s="10">
        <f>'data on outstanding creditors'!$E2030*100/107</f>
        <v>10654.20561</v>
      </c>
      <c r="P2030" s="10">
        <f>'data on outstanding creditors'!$E2030-'data on outstanding creditors'!$O2030</f>
        <v>745.7943925</v>
      </c>
      <c r="Q2030" s="7">
        <f>DAY('data on outstanding creditors'!$B2030)</f>
        <v>8</v>
      </c>
      <c r="R2030" s="7">
        <f>MONTH('data on outstanding creditors'!$B2030)</f>
        <v>5</v>
      </c>
      <c r="S2030" s="7">
        <f>YEAR('data on outstanding creditors'!$B2030)</f>
        <v>2025</v>
      </c>
      <c r="T2030" s="11" t="str">
        <f>'data on outstanding creditors'!$C2030&amp;" "&amp;'data on outstanding creditors'!$D2030&amp;" "&amp;TEXT('data on outstanding creditors'!$E2030,"#,##0.00")</f>
        <v>บ.เอเทค เมดิคอล IV6805384 11,400.00</v>
      </c>
      <c r="U2030" s="12"/>
    </row>
    <row r="2031" ht="13.5" customHeight="1">
      <c r="A2031" s="1" t="s">
        <v>2811</v>
      </c>
      <c r="B2031" s="2">
        <v>45790.0</v>
      </c>
      <c r="C2031" s="9" t="s">
        <v>2408</v>
      </c>
      <c r="D2031" s="1" t="s">
        <v>2812</v>
      </c>
      <c r="E2031" s="4">
        <v>24481.6</v>
      </c>
      <c r="F2031" s="4"/>
      <c r="G2031" s="4"/>
      <c r="H2031" s="4">
        <f>'data on outstanding creditors'!$E2031-'data on outstanding creditors'!$F2031-'data on outstanding creditors'!$G2031</f>
        <v>24481.6</v>
      </c>
      <c r="I2031" s="2"/>
      <c r="J2031" s="1" t="s">
        <v>646</v>
      </c>
      <c r="K2031" s="2">
        <v>45856.0</v>
      </c>
      <c r="L2031" s="5"/>
      <c r="M2031" s="9" t="s">
        <v>43</v>
      </c>
      <c r="N2031" s="9" t="s">
        <v>49</v>
      </c>
      <c r="O2031" s="10">
        <f>'data on outstanding creditors'!$E2031*100/107</f>
        <v>22880</v>
      </c>
      <c r="P2031" s="10">
        <f>'data on outstanding creditors'!$E2031-'data on outstanding creditors'!$O2031</f>
        <v>1601.6</v>
      </c>
      <c r="Q2031" s="7">
        <f>DAY('data on outstanding creditors'!$B2031)</f>
        <v>13</v>
      </c>
      <c r="R2031" s="7">
        <f>MONTH('data on outstanding creditors'!$B2031)</f>
        <v>5</v>
      </c>
      <c r="S2031" s="7">
        <f>YEAR('data on outstanding creditors'!$B2031)</f>
        <v>2025</v>
      </c>
      <c r="T2031" s="11" t="str">
        <f>'data on outstanding creditors'!$C2031&amp;" "&amp;'data on outstanding creditors'!$D2031&amp;" "&amp;TEXT('data on outstanding creditors'!$E2031,"#,##0.00")</f>
        <v>บ.จอห์นสัน แอนด์ จอห์นสัน(ประเทศไทย) 998537752 24,481.60</v>
      </c>
      <c r="U2031" s="12"/>
    </row>
    <row r="2032" ht="13.5" customHeight="1">
      <c r="A2032" s="1" t="s">
        <v>2813</v>
      </c>
      <c r="B2032" s="2">
        <v>45790.0</v>
      </c>
      <c r="C2032" s="9" t="s">
        <v>1114</v>
      </c>
      <c r="D2032" s="1" t="s">
        <v>2814</v>
      </c>
      <c r="E2032" s="4">
        <v>7350.0</v>
      </c>
      <c r="F2032" s="4"/>
      <c r="G2032" s="4"/>
      <c r="H2032" s="4">
        <f>'data on outstanding creditors'!$E2032-'data on outstanding creditors'!$F2032-'data on outstanding creditors'!$G2032</f>
        <v>7350</v>
      </c>
      <c r="I2032" s="2"/>
      <c r="J2032" s="1" t="s">
        <v>646</v>
      </c>
      <c r="K2032" s="2">
        <v>45843.0</v>
      </c>
      <c r="L2032" s="5"/>
      <c r="M2032" s="9" t="s">
        <v>43</v>
      </c>
      <c r="N2032" s="9" t="s">
        <v>49</v>
      </c>
      <c r="O2032" s="10">
        <f>'data on outstanding creditors'!$E2032*100/107</f>
        <v>6869.158879</v>
      </c>
      <c r="P2032" s="10">
        <f>'data on outstanding creditors'!$E2032-'data on outstanding creditors'!$O2032</f>
        <v>480.8411215</v>
      </c>
      <c r="Q2032" s="7">
        <f>DAY('data on outstanding creditors'!$B2032)</f>
        <v>13</v>
      </c>
      <c r="R2032" s="7">
        <f>MONTH('data on outstanding creditors'!$B2032)</f>
        <v>5</v>
      </c>
      <c r="S2032" s="7">
        <f>YEAR('data on outstanding creditors'!$B2032)</f>
        <v>2025</v>
      </c>
      <c r="T2032" s="11" t="str">
        <f>'data on outstanding creditors'!$C2032&amp;" "&amp;'data on outstanding creditors'!$D2032&amp;" "&amp;TEXT('data on outstanding creditors'!$E2032,"#,##0.00")</f>
        <v>หจก.อิเลฟเว่น พลัซ EL680505044 7,350.00</v>
      </c>
      <c r="U2032" s="12"/>
    </row>
    <row r="2033" ht="13.5" customHeight="1">
      <c r="A2033" s="1" t="s">
        <v>2815</v>
      </c>
      <c r="B2033" s="2">
        <v>45790.0</v>
      </c>
      <c r="C2033" s="9" t="s">
        <v>2816</v>
      </c>
      <c r="D2033" s="1" t="s">
        <v>2817</v>
      </c>
      <c r="E2033" s="4">
        <v>750.0</v>
      </c>
      <c r="F2033" s="4"/>
      <c r="G2033" s="4"/>
      <c r="H2033" s="4">
        <f>'data on outstanding creditors'!$E2033-'data on outstanding creditors'!$F2033-'data on outstanding creditors'!$G2033</f>
        <v>750</v>
      </c>
      <c r="I2033" s="2"/>
      <c r="J2033" s="1" t="s">
        <v>646</v>
      </c>
      <c r="K2033" s="2">
        <v>45855.0</v>
      </c>
      <c r="L2033" s="5"/>
      <c r="M2033" s="9" t="s">
        <v>43</v>
      </c>
      <c r="N2033" s="9" t="s">
        <v>49</v>
      </c>
      <c r="O2033" s="10">
        <f>'data on outstanding creditors'!$E2033*100/107</f>
        <v>700.9345794</v>
      </c>
      <c r="P2033" s="10">
        <f>'data on outstanding creditors'!$E2033-'data on outstanding creditors'!$O2033</f>
        <v>49.06542056</v>
      </c>
      <c r="Q2033" s="7">
        <f>DAY('data on outstanding creditors'!$B2033)</f>
        <v>13</v>
      </c>
      <c r="R2033" s="7">
        <f>MONTH('data on outstanding creditors'!$B2033)</f>
        <v>5</v>
      </c>
      <c r="S2033" s="7">
        <f>YEAR('data on outstanding creditors'!$B2033)</f>
        <v>2025</v>
      </c>
      <c r="T2033" s="11" t="str">
        <f>'data on outstanding creditors'!$C2033&amp;" "&amp;'data on outstanding creditors'!$D2033&amp;" "&amp;TEXT('data on outstanding creditors'!$E2033,"#,##0.00")</f>
        <v>บ.ไทปันซัมมิท TP680506023 750.00</v>
      </c>
      <c r="U2033" s="12"/>
    </row>
    <row r="2034" ht="13.5" customHeight="1">
      <c r="A2034" s="1" t="s">
        <v>2818</v>
      </c>
      <c r="B2034" s="2">
        <v>45790.0</v>
      </c>
      <c r="C2034" s="9" t="s">
        <v>1320</v>
      </c>
      <c r="D2034" s="1" t="s">
        <v>2819</v>
      </c>
      <c r="E2034" s="4">
        <v>44400.0</v>
      </c>
      <c r="F2034" s="4"/>
      <c r="G2034" s="4"/>
      <c r="H2034" s="4">
        <f>'data on outstanding creditors'!$E2034-'data on outstanding creditors'!$F2034-'data on outstanding creditors'!$G2034</f>
        <v>44400</v>
      </c>
      <c r="I2034" s="2"/>
      <c r="J2034" s="1" t="s">
        <v>646</v>
      </c>
      <c r="K2034" s="2">
        <v>45877.0</v>
      </c>
      <c r="L2034" s="5"/>
      <c r="M2034" s="9" t="s">
        <v>43</v>
      </c>
      <c r="N2034" s="9" t="s">
        <v>49</v>
      </c>
      <c r="O2034" s="10">
        <f>'data on outstanding creditors'!$E2034*100/107</f>
        <v>41495.3271</v>
      </c>
      <c r="P2034" s="10">
        <f>'data on outstanding creditors'!$E2034-'data on outstanding creditors'!$O2034</f>
        <v>2904.672897</v>
      </c>
      <c r="Q2034" s="7">
        <f>DAY('data on outstanding creditors'!$B2034)</f>
        <v>13</v>
      </c>
      <c r="R2034" s="7">
        <f>MONTH('data on outstanding creditors'!$B2034)</f>
        <v>5</v>
      </c>
      <c r="S2034" s="7">
        <f>YEAR('data on outstanding creditors'!$B2034)</f>
        <v>2025</v>
      </c>
      <c r="T2034" s="11" t="str">
        <f>'data on outstanding creditors'!$C2034&amp;" "&amp;'data on outstanding creditors'!$D2034&amp;" "&amp;TEXT('data on outstanding creditors'!$E2034,"#,##0.00")</f>
        <v>บ.บี.เอ็ล.ฮั้ว 68015676 44,400.00</v>
      </c>
      <c r="U2034" s="12"/>
    </row>
    <row r="2035" ht="13.5" customHeight="1">
      <c r="A2035" s="1" t="s">
        <v>2820</v>
      </c>
      <c r="B2035" s="2">
        <v>45790.0</v>
      </c>
      <c r="C2035" s="9" t="s">
        <v>2312</v>
      </c>
      <c r="D2035" s="1" t="s">
        <v>2821</v>
      </c>
      <c r="E2035" s="4">
        <v>2200.0</v>
      </c>
      <c r="F2035" s="4"/>
      <c r="G2035" s="4"/>
      <c r="H2035" s="4">
        <f>'data on outstanding creditors'!$E2035-'data on outstanding creditors'!$F2035-'data on outstanding creditors'!$G2035</f>
        <v>2200</v>
      </c>
      <c r="I2035" s="2"/>
      <c r="J2035" s="1" t="s">
        <v>646</v>
      </c>
      <c r="K2035" s="2">
        <v>45889.0</v>
      </c>
      <c r="L2035" s="5"/>
      <c r="M2035" s="9" t="s">
        <v>43</v>
      </c>
      <c r="N2035" s="9" t="s">
        <v>49</v>
      </c>
      <c r="O2035" s="10">
        <f>'data on outstanding creditors'!$E2035*100/107</f>
        <v>2056.074766</v>
      </c>
      <c r="P2035" s="10">
        <f>'data on outstanding creditors'!$E2035-'data on outstanding creditors'!$O2035</f>
        <v>143.9252336</v>
      </c>
      <c r="Q2035" s="7">
        <f>DAY('data on outstanding creditors'!$B2035)</f>
        <v>13</v>
      </c>
      <c r="R2035" s="7">
        <f>MONTH('data on outstanding creditors'!$B2035)</f>
        <v>5</v>
      </c>
      <c r="S2035" s="7">
        <f>YEAR('data on outstanding creditors'!$B2035)</f>
        <v>2025</v>
      </c>
      <c r="T2035" s="11" t="str">
        <f>'data on outstanding creditors'!$C2035&amp;" "&amp;'data on outstanding creditors'!$D2035&amp;" "&amp;TEXT('data on outstanding creditors'!$E2035,"#,##0.00")</f>
        <v>บ.สเตอลีน เฮลท์ SH7111 2,200.00</v>
      </c>
      <c r="U2035" s="12"/>
    </row>
    <row r="2036" ht="13.5" customHeight="1">
      <c r="A2036" s="1" t="s">
        <v>2822</v>
      </c>
      <c r="B2036" s="2">
        <v>45790.0</v>
      </c>
      <c r="C2036" s="9" t="s">
        <v>2359</v>
      </c>
      <c r="D2036" s="1" t="s">
        <v>2823</v>
      </c>
      <c r="E2036" s="4">
        <v>21000.0</v>
      </c>
      <c r="F2036" s="4"/>
      <c r="G2036" s="4"/>
      <c r="H2036" s="4">
        <f>'data on outstanding creditors'!$E2036-'data on outstanding creditors'!$F2036-'data on outstanding creditors'!$G2036</f>
        <v>21000</v>
      </c>
      <c r="I2036" s="2"/>
      <c r="J2036" s="1" t="s">
        <v>646</v>
      </c>
      <c r="K2036" s="2">
        <v>45928.0</v>
      </c>
      <c r="L2036" s="5"/>
      <c r="M2036" s="9" t="s">
        <v>43</v>
      </c>
      <c r="N2036" s="9" t="s">
        <v>49</v>
      </c>
      <c r="O2036" s="10">
        <f>'data on outstanding creditors'!$E2036*100/107</f>
        <v>19626.16822</v>
      </c>
      <c r="P2036" s="10">
        <f>'data on outstanding creditors'!$E2036-'data on outstanding creditors'!$O2036</f>
        <v>1373.831776</v>
      </c>
      <c r="Q2036" s="7">
        <f>DAY('data on outstanding creditors'!$B2036)</f>
        <v>13</v>
      </c>
      <c r="R2036" s="7">
        <f>MONTH('data on outstanding creditors'!$B2036)</f>
        <v>5</v>
      </c>
      <c r="S2036" s="7">
        <f>YEAR('data on outstanding creditors'!$B2036)</f>
        <v>2025</v>
      </c>
      <c r="T2036" s="11" t="str">
        <f>'data on outstanding creditors'!$C2036&amp;" "&amp;'data on outstanding creditors'!$D2036&amp;" "&amp;TEXT('data on outstanding creditors'!$E2036,"#,##0.00")</f>
        <v>หจก.เอ แอนด์ ที เมดิคอลซายด์ B6804059 21,000.00</v>
      </c>
      <c r="U2036" s="12"/>
    </row>
    <row r="2037" ht="13.5" customHeight="1">
      <c r="A2037" s="1" t="s">
        <v>2824</v>
      </c>
      <c r="B2037" s="2">
        <v>45790.0</v>
      </c>
      <c r="C2037" s="9" t="s">
        <v>286</v>
      </c>
      <c r="D2037" s="1" t="s">
        <v>2825</v>
      </c>
      <c r="E2037" s="4">
        <v>20000.0</v>
      </c>
      <c r="F2037" s="4"/>
      <c r="G2037" s="4"/>
      <c r="H2037" s="4">
        <f>'data on outstanding creditors'!$E2037-'data on outstanding creditors'!$F2037-'data on outstanding creditors'!$G2037</f>
        <v>20000</v>
      </c>
      <c r="I2037" s="2"/>
      <c r="J2037" s="1" t="s">
        <v>757</v>
      </c>
      <c r="K2037" s="2">
        <v>45904.0</v>
      </c>
      <c r="L2037" s="5"/>
      <c r="M2037" s="9" t="s">
        <v>43</v>
      </c>
      <c r="N2037" s="9" t="s">
        <v>49</v>
      </c>
      <c r="O2037" s="10">
        <f>'data on outstanding creditors'!$E2037*100/107</f>
        <v>18691.58879</v>
      </c>
      <c r="P2037" s="10">
        <f>'data on outstanding creditors'!$E2037-'data on outstanding creditors'!$O2037</f>
        <v>1308.411215</v>
      </c>
      <c r="Q2037" s="7">
        <f>DAY('data on outstanding creditors'!$B2037)</f>
        <v>13</v>
      </c>
      <c r="R2037" s="7">
        <f>MONTH('data on outstanding creditors'!$B2037)</f>
        <v>5</v>
      </c>
      <c r="S2037" s="7">
        <f>YEAR('data on outstanding creditors'!$B2037)</f>
        <v>2025</v>
      </c>
      <c r="T2037" s="11" t="str">
        <f>'data on outstanding creditors'!$C2037&amp;" "&amp;'data on outstanding creditors'!$D2037&amp;" "&amp;TEXT('data on outstanding creditors'!$E2037,"#,##0.00")</f>
        <v>บ.เอ็ม ดี ซี (ประเทศไทย) IV25050272 20,000.00</v>
      </c>
      <c r="U2037" s="12"/>
    </row>
    <row r="2038" ht="13.5" customHeight="1">
      <c r="A2038" s="1" t="s">
        <v>2826</v>
      </c>
      <c r="B2038" s="2">
        <v>45790.0</v>
      </c>
      <c r="C2038" s="9" t="s">
        <v>1029</v>
      </c>
      <c r="D2038" s="1" t="s">
        <v>2827</v>
      </c>
      <c r="E2038" s="4">
        <v>18200.0</v>
      </c>
      <c r="F2038" s="4"/>
      <c r="G2038" s="4"/>
      <c r="H2038" s="4">
        <f>'data on outstanding creditors'!$E2038-'data on outstanding creditors'!$F2038-'data on outstanding creditors'!$G2038</f>
        <v>18200</v>
      </c>
      <c r="I2038" s="2"/>
      <c r="J2038" s="1" t="s">
        <v>757</v>
      </c>
      <c r="K2038" s="2">
        <v>45882.0</v>
      </c>
      <c r="L2038" s="5"/>
      <c r="M2038" s="9" t="s">
        <v>43</v>
      </c>
      <c r="N2038" s="9" t="s">
        <v>49</v>
      </c>
      <c r="O2038" s="10">
        <f>'data on outstanding creditors'!$E2038*100/107</f>
        <v>17009.34579</v>
      </c>
      <c r="P2038" s="10">
        <f>'data on outstanding creditors'!$E2038-'data on outstanding creditors'!$O2038</f>
        <v>1190.654206</v>
      </c>
      <c r="Q2038" s="7">
        <f>DAY('data on outstanding creditors'!$B2038)</f>
        <v>13</v>
      </c>
      <c r="R2038" s="7">
        <f>MONTH('data on outstanding creditors'!$B2038)</f>
        <v>5</v>
      </c>
      <c r="S2038" s="7">
        <f>YEAR('data on outstanding creditors'!$B2038)</f>
        <v>2025</v>
      </c>
      <c r="T2038" s="11" t="str">
        <f>'data on outstanding creditors'!$C2038&amp;" "&amp;'data on outstanding creditors'!$D2038&amp;" "&amp;TEXT('data on outstanding creditors'!$E2038,"#,##0.00")</f>
        <v>บ.เอเทค เมดิคอล IV6805261 18,200.00</v>
      </c>
      <c r="U2038" s="12"/>
    </row>
    <row r="2039" ht="13.5" customHeight="1">
      <c r="A2039" s="1" t="s">
        <v>2828</v>
      </c>
      <c r="B2039" s="2">
        <v>45790.0</v>
      </c>
      <c r="C2039" s="9" t="s">
        <v>2359</v>
      </c>
      <c r="D2039" s="1" t="s">
        <v>2829</v>
      </c>
      <c r="E2039" s="4">
        <v>900.0</v>
      </c>
      <c r="F2039" s="4"/>
      <c r="G2039" s="4"/>
      <c r="H2039" s="4">
        <f>'data on outstanding creditors'!$E2039-'data on outstanding creditors'!$F2039-'data on outstanding creditors'!$G2039</f>
        <v>900</v>
      </c>
      <c r="I2039" s="2"/>
      <c r="J2039" s="1" t="s">
        <v>646</v>
      </c>
      <c r="K2039" s="2">
        <v>45928.0</v>
      </c>
      <c r="L2039" s="5"/>
      <c r="M2039" s="9" t="s">
        <v>43</v>
      </c>
      <c r="N2039" s="9" t="s">
        <v>49</v>
      </c>
      <c r="O2039" s="10">
        <f>'data on outstanding creditors'!$E2039*100/107</f>
        <v>841.1214953</v>
      </c>
      <c r="P2039" s="10">
        <f>'data on outstanding creditors'!$E2039-'data on outstanding creditors'!$O2039</f>
        <v>58.87850467</v>
      </c>
      <c r="Q2039" s="7">
        <f>DAY('data on outstanding creditors'!$B2039)</f>
        <v>13</v>
      </c>
      <c r="R2039" s="7">
        <f>MONTH('data on outstanding creditors'!$B2039)</f>
        <v>5</v>
      </c>
      <c r="S2039" s="7">
        <f>YEAR('data on outstanding creditors'!$B2039)</f>
        <v>2025</v>
      </c>
      <c r="T2039" s="11" t="str">
        <f>'data on outstanding creditors'!$C2039&amp;" "&amp;'data on outstanding creditors'!$D2039&amp;" "&amp;TEXT('data on outstanding creditors'!$E2039,"#,##0.00")</f>
        <v>หจก.เอ แอนด์ ที เมดิคอลซายด์ B6805027 900.00</v>
      </c>
      <c r="U2039" s="12"/>
    </row>
    <row r="2040" ht="13.5" customHeight="1">
      <c r="A2040" s="1" t="s">
        <v>2830</v>
      </c>
      <c r="B2040" s="2">
        <v>45791.0</v>
      </c>
      <c r="C2040" s="9" t="s">
        <v>286</v>
      </c>
      <c r="D2040" s="1" t="s">
        <v>2831</v>
      </c>
      <c r="E2040" s="4">
        <v>20000.0</v>
      </c>
      <c r="F2040" s="4"/>
      <c r="G2040" s="4"/>
      <c r="H2040" s="4">
        <f>'data on outstanding creditors'!$E2040-'data on outstanding creditors'!$F2040-'data on outstanding creditors'!$G2040</f>
        <v>20000</v>
      </c>
      <c r="I2040" s="2"/>
      <c r="J2040" s="1" t="s">
        <v>757</v>
      </c>
      <c r="K2040" s="2">
        <v>45904.0</v>
      </c>
      <c r="L2040" s="5"/>
      <c r="M2040" s="9" t="s">
        <v>43</v>
      </c>
      <c r="N2040" s="9" t="s">
        <v>49</v>
      </c>
      <c r="O2040" s="10">
        <f>'data on outstanding creditors'!$E2040*100/107</f>
        <v>18691.58879</v>
      </c>
      <c r="P2040" s="10">
        <f>'data on outstanding creditors'!$E2040-'data on outstanding creditors'!$O2040</f>
        <v>1308.411215</v>
      </c>
      <c r="Q2040" s="7">
        <f>DAY('data on outstanding creditors'!$B2040)</f>
        <v>14</v>
      </c>
      <c r="R2040" s="7">
        <f>MONTH('data on outstanding creditors'!$B2040)</f>
        <v>5</v>
      </c>
      <c r="S2040" s="7">
        <f>YEAR('data on outstanding creditors'!$B2040)</f>
        <v>2025</v>
      </c>
      <c r="T2040" s="11" t="str">
        <f>'data on outstanding creditors'!$C2040&amp;" "&amp;'data on outstanding creditors'!$D2040&amp;" "&amp;TEXT('data on outstanding creditors'!$E2040,"#,##0.00")</f>
        <v>บ.เอ็ม ดี ซี (ประเทศไทย) IV25050343 20,000.00</v>
      </c>
      <c r="U2040" s="12"/>
    </row>
    <row r="2041" ht="13.5" customHeight="1">
      <c r="A2041" s="1"/>
      <c r="B2041" s="2">
        <v>45792.0</v>
      </c>
      <c r="C2041" s="9" t="s">
        <v>2325</v>
      </c>
      <c r="D2041" s="1" t="s">
        <v>2832</v>
      </c>
      <c r="E2041" s="4">
        <v>4200.0</v>
      </c>
      <c r="F2041" s="4"/>
      <c r="G2041" s="4"/>
      <c r="H2041" s="4">
        <f>'data on outstanding creditors'!$E2041-'data on outstanding creditors'!$F2041-'data on outstanding creditors'!$G2041</f>
        <v>4200</v>
      </c>
      <c r="I2041" s="2"/>
      <c r="J2041" s="1" t="s">
        <v>757</v>
      </c>
      <c r="K2041" s="2">
        <v>45842.0</v>
      </c>
      <c r="L2041" s="5"/>
      <c r="M2041" s="9" t="s">
        <v>43</v>
      </c>
      <c r="N2041" s="9" t="s">
        <v>23</v>
      </c>
      <c r="O2041" s="10">
        <f>'data on outstanding creditors'!$E2041*100/107</f>
        <v>3925.233645</v>
      </c>
      <c r="P2041" s="10">
        <f>'data on outstanding creditors'!$E2041-'data on outstanding creditors'!$O2041</f>
        <v>274.7663551</v>
      </c>
      <c r="Q2041" s="7">
        <f>DAY('data on outstanding creditors'!$B2041)</f>
        <v>15</v>
      </c>
      <c r="R2041" s="7">
        <f>MONTH('data on outstanding creditors'!$B2041)</f>
        <v>5</v>
      </c>
      <c r="S2041" s="7">
        <f>YEAR('data on outstanding creditors'!$B2041)</f>
        <v>2025</v>
      </c>
      <c r="T2041" s="11" t="str">
        <f>'data on outstanding creditors'!$C2041&amp;" "&amp;'data on outstanding creditors'!$D2041&amp;" "&amp;TEXT('data on outstanding creditors'!$E2041,"#,##0.00")</f>
        <v>บ.ดีริช เมดิคอล IN-680511002 4,200.00</v>
      </c>
      <c r="U2041" s="12"/>
    </row>
    <row r="2042" ht="13.5" customHeight="1">
      <c r="A2042" s="1"/>
      <c r="B2042" s="2">
        <v>45792.0</v>
      </c>
      <c r="C2042" s="9" t="s">
        <v>2363</v>
      </c>
      <c r="D2042" s="1" t="s">
        <v>2833</v>
      </c>
      <c r="E2042" s="4">
        <v>28000.0</v>
      </c>
      <c r="F2042" s="4"/>
      <c r="G2042" s="4"/>
      <c r="H2042" s="4">
        <f>'data on outstanding creditors'!$E2042-'data on outstanding creditors'!$F2042-'data on outstanding creditors'!$G2042</f>
        <v>28000</v>
      </c>
      <c r="I2042" s="2"/>
      <c r="J2042" s="1" t="s">
        <v>646</v>
      </c>
      <c r="K2042" s="2">
        <v>45887.0</v>
      </c>
      <c r="L2042" s="5"/>
      <c r="M2042" s="9" t="s">
        <v>43</v>
      </c>
      <c r="N2042" s="9" t="s">
        <v>23</v>
      </c>
      <c r="O2042" s="10">
        <f>'data on outstanding creditors'!$E2042*100/107</f>
        <v>26168.2243</v>
      </c>
      <c r="P2042" s="10">
        <f>'data on outstanding creditors'!$E2042-'data on outstanding creditors'!$O2042</f>
        <v>1831.775701</v>
      </c>
      <c r="Q2042" s="7">
        <f>DAY('data on outstanding creditors'!$B2042)</f>
        <v>15</v>
      </c>
      <c r="R2042" s="7">
        <f>MONTH('data on outstanding creditors'!$B2042)</f>
        <v>5</v>
      </c>
      <c r="S2042" s="7">
        <f>YEAR('data on outstanding creditors'!$B2042)</f>
        <v>2025</v>
      </c>
      <c r="T2042" s="11" t="str">
        <f>'data on outstanding creditors'!$C2042&amp;" "&amp;'data on outstanding creditors'!$D2042&amp;" "&amp;TEXT('data on outstanding creditors'!$E2042,"#,##0.00")</f>
        <v>บ.บีเวอร์ เมดิคอล อินดัสตรี้ 684028 28,000.00</v>
      </c>
      <c r="U2042" s="12"/>
    </row>
    <row r="2043" ht="13.5" customHeight="1">
      <c r="A2043" s="1"/>
      <c r="B2043" s="2">
        <v>45792.0</v>
      </c>
      <c r="C2043" s="9" t="s">
        <v>1637</v>
      </c>
      <c r="D2043" s="1" t="s">
        <v>2834</v>
      </c>
      <c r="E2043" s="4">
        <v>3500.0</v>
      </c>
      <c r="F2043" s="4"/>
      <c r="G2043" s="4"/>
      <c r="H2043" s="4">
        <f>'data on outstanding creditors'!$E2043-'data on outstanding creditors'!$F2043-'data on outstanding creditors'!$G2043</f>
        <v>3500</v>
      </c>
      <c r="I2043" s="2"/>
      <c r="J2043" s="1" t="s">
        <v>646</v>
      </c>
      <c r="K2043" s="2">
        <v>45856.0</v>
      </c>
      <c r="L2043" s="5"/>
      <c r="M2043" s="9" t="s">
        <v>43</v>
      </c>
      <c r="N2043" s="9" t="s">
        <v>23</v>
      </c>
      <c r="O2043" s="10">
        <f>'data on outstanding creditors'!$E2043*100/107</f>
        <v>3271.028037</v>
      </c>
      <c r="P2043" s="10">
        <f>'data on outstanding creditors'!$E2043-'data on outstanding creditors'!$O2043</f>
        <v>228.9719626</v>
      </c>
      <c r="Q2043" s="7">
        <f>DAY('data on outstanding creditors'!$B2043)</f>
        <v>15</v>
      </c>
      <c r="R2043" s="7">
        <f>MONTH('data on outstanding creditors'!$B2043)</f>
        <v>5</v>
      </c>
      <c r="S2043" s="7">
        <f>YEAR('data on outstanding creditors'!$B2043)</f>
        <v>2025</v>
      </c>
      <c r="T2043" s="11" t="str">
        <f>'data on outstanding creditors'!$C2043&amp;" "&amp;'data on outstanding creditors'!$D2043&amp;" "&amp;TEXT('data on outstanding creditors'!$E2043,"#,##0.00")</f>
        <v>บ.บีเจเอช เมดิคอล 330557400092 3,500.00</v>
      </c>
      <c r="U2043" s="12"/>
    </row>
    <row r="2044" ht="13.5" customHeight="1">
      <c r="A2044" s="1"/>
      <c r="B2044" s="2">
        <v>45792.0</v>
      </c>
      <c r="C2044" s="9" t="s">
        <v>2294</v>
      </c>
      <c r="D2044" s="1" t="s">
        <v>2835</v>
      </c>
      <c r="E2044" s="4">
        <v>10200.0</v>
      </c>
      <c r="F2044" s="4"/>
      <c r="G2044" s="4"/>
      <c r="H2044" s="4">
        <f>'data on outstanding creditors'!$E2044-'data on outstanding creditors'!$F2044-'data on outstanding creditors'!$G2044</f>
        <v>10200</v>
      </c>
      <c r="I2044" s="2"/>
      <c r="J2044" s="1" t="s">
        <v>646</v>
      </c>
      <c r="K2044" s="2">
        <v>45894.0</v>
      </c>
      <c r="L2044" s="5"/>
      <c r="M2044" s="9" t="s">
        <v>43</v>
      </c>
      <c r="N2044" s="9" t="s">
        <v>23</v>
      </c>
      <c r="O2044" s="10">
        <f>'data on outstanding creditors'!$E2044*100/107</f>
        <v>9532.71028</v>
      </c>
      <c r="P2044" s="10">
        <f>'data on outstanding creditors'!$E2044-'data on outstanding creditors'!$O2044</f>
        <v>667.2897196</v>
      </c>
      <c r="Q2044" s="7">
        <f>DAY('data on outstanding creditors'!$B2044)</f>
        <v>15</v>
      </c>
      <c r="R2044" s="7">
        <f>MONTH('data on outstanding creditors'!$B2044)</f>
        <v>5</v>
      </c>
      <c r="S2044" s="7">
        <f>YEAR('data on outstanding creditors'!$B2044)</f>
        <v>2025</v>
      </c>
      <c r="T2044" s="11" t="str">
        <f>'data on outstanding creditors'!$C2044&amp;" "&amp;'data on outstanding creditors'!$D2044&amp;" "&amp;TEXT('data on outstanding creditors'!$E2044,"#,##0.00")</f>
        <v>บ.แอสเซ้นท์ เมดิคอล IV2025050012 10,200.00</v>
      </c>
      <c r="U2044" s="12"/>
    </row>
    <row r="2045" ht="13.5" customHeight="1">
      <c r="A2045" s="1" t="s">
        <v>2836</v>
      </c>
      <c r="B2045" s="2">
        <v>45793.0</v>
      </c>
      <c r="C2045" s="9" t="s">
        <v>1029</v>
      </c>
      <c r="D2045" s="1" t="s">
        <v>2837</v>
      </c>
      <c r="E2045" s="4">
        <v>18500.0</v>
      </c>
      <c r="F2045" s="4"/>
      <c r="G2045" s="4"/>
      <c r="H2045" s="4">
        <f>'data on outstanding creditors'!$E2045-'data on outstanding creditors'!$F2045-'data on outstanding creditors'!$G2045</f>
        <v>18500</v>
      </c>
      <c r="I2045" s="2"/>
      <c r="J2045" s="1" t="s">
        <v>757</v>
      </c>
      <c r="K2045" s="2">
        <v>45904.0</v>
      </c>
      <c r="L2045" s="5"/>
      <c r="M2045" s="9" t="s">
        <v>43</v>
      </c>
      <c r="N2045" s="9" t="s">
        <v>49</v>
      </c>
      <c r="O2045" s="10">
        <f>'data on outstanding creditors'!$E2045*100/107</f>
        <v>17289.71963</v>
      </c>
      <c r="P2045" s="10">
        <f>'data on outstanding creditors'!$E2045-'data on outstanding creditors'!$O2045</f>
        <v>1210.280374</v>
      </c>
      <c r="Q2045" s="7">
        <f>DAY('data on outstanding creditors'!$B2045)</f>
        <v>16</v>
      </c>
      <c r="R2045" s="7">
        <f>MONTH('data on outstanding creditors'!$B2045)</f>
        <v>5</v>
      </c>
      <c r="S2045" s="7">
        <f>YEAR('data on outstanding creditors'!$B2045)</f>
        <v>2025</v>
      </c>
      <c r="T2045" s="11" t="str">
        <f>'data on outstanding creditors'!$C2045&amp;" "&amp;'data on outstanding creditors'!$D2045&amp;" "&amp;TEXT('data on outstanding creditors'!$E2045,"#,##0.00")</f>
        <v>บ.เอเทค เมดิคอล IV6805372 18,500.00</v>
      </c>
      <c r="U2045" s="12"/>
    </row>
    <row r="2046" ht="13.5" customHeight="1">
      <c r="A2046" s="1" t="s">
        <v>2838</v>
      </c>
      <c r="B2046" s="2">
        <v>45793.0</v>
      </c>
      <c r="C2046" s="9" t="s">
        <v>1320</v>
      </c>
      <c r="D2046" s="1" t="s">
        <v>2839</v>
      </c>
      <c r="E2046" s="4">
        <v>35100.0</v>
      </c>
      <c r="F2046" s="4"/>
      <c r="G2046" s="4"/>
      <c r="H2046" s="4">
        <f>'data on outstanding creditors'!$E2046-'data on outstanding creditors'!$F2046-'data on outstanding creditors'!$G2046</f>
        <v>35100</v>
      </c>
      <c r="I2046" s="2"/>
      <c r="J2046" s="1" t="s">
        <v>757</v>
      </c>
      <c r="K2046" s="2">
        <v>45910.0</v>
      </c>
      <c r="L2046" s="5"/>
      <c r="M2046" s="9" t="s">
        <v>43</v>
      </c>
      <c r="N2046" s="9" t="s">
        <v>49</v>
      </c>
      <c r="O2046" s="10">
        <f>'data on outstanding creditors'!$E2046*100/107</f>
        <v>32803.73832</v>
      </c>
      <c r="P2046" s="10">
        <f>'data on outstanding creditors'!$E2046-'data on outstanding creditors'!$O2046</f>
        <v>2296.261682</v>
      </c>
      <c r="Q2046" s="7">
        <f>DAY('data on outstanding creditors'!$B2046)</f>
        <v>16</v>
      </c>
      <c r="R2046" s="7">
        <f>MONTH('data on outstanding creditors'!$B2046)</f>
        <v>5</v>
      </c>
      <c r="S2046" s="7">
        <f>YEAR('data on outstanding creditors'!$B2046)</f>
        <v>2025</v>
      </c>
      <c r="T2046" s="11" t="str">
        <f>'data on outstanding creditors'!$C2046&amp;" "&amp;'data on outstanding creditors'!$D2046&amp;" "&amp;TEXT('data on outstanding creditors'!$E2046,"#,##0.00")</f>
        <v>บ.บี.เอ็ล.ฮั้ว 68017468 35,100.00</v>
      </c>
      <c r="U2046" s="12"/>
    </row>
    <row r="2047" ht="13.5" customHeight="1">
      <c r="A2047" s="1" t="s">
        <v>2840</v>
      </c>
      <c r="B2047" s="2">
        <v>45796.0</v>
      </c>
      <c r="C2047" s="9" t="s">
        <v>286</v>
      </c>
      <c r="D2047" s="1" t="s">
        <v>2841</v>
      </c>
      <c r="E2047" s="4">
        <v>20000.0</v>
      </c>
      <c r="F2047" s="4"/>
      <c r="G2047" s="4"/>
      <c r="H2047" s="4">
        <f>'data on outstanding creditors'!$E2047-'data on outstanding creditors'!$F2047-'data on outstanding creditors'!$G2047</f>
        <v>20000</v>
      </c>
      <c r="I2047" s="2"/>
      <c r="J2047" s="1" t="s">
        <v>757</v>
      </c>
      <c r="K2047" s="2">
        <v>45904.0</v>
      </c>
      <c r="L2047" s="5"/>
      <c r="M2047" s="9" t="s">
        <v>43</v>
      </c>
      <c r="N2047" s="9" t="s">
        <v>49</v>
      </c>
      <c r="O2047" s="10">
        <f>'data on outstanding creditors'!$E2047*100/107</f>
        <v>18691.58879</v>
      </c>
      <c r="P2047" s="10">
        <f>'data on outstanding creditors'!$E2047-'data on outstanding creditors'!$O2047</f>
        <v>1308.411215</v>
      </c>
      <c r="Q2047" s="7">
        <f>DAY('data on outstanding creditors'!$B2047)</f>
        <v>19</v>
      </c>
      <c r="R2047" s="7">
        <f>MONTH('data on outstanding creditors'!$B2047)</f>
        <v>5</v>
      </c>
      <c r="S2047" s="7">
        <f>YEAR('data on outstanding creditors'!$B2047)</f>
        <v>2025</v>
      </c>
      <c r="T2047" s="11" t="str">
        <f>'data on outstanding creditors'!$C2047&amp;" "&amp;'data on outstanding creditors'!$D2047&amp;" "&amp;TEXT('data on outstanding creditors'!$E2047,"#,##0.00")</f>
        <v>บ.เอ็ม ดี ซี (ประเทศไทย) IV25050403 20,000.00</v>
      </c>
      <c r="U2047" s="12"/>
    </row>
    <row r="2048" ht="13.5" customHeight="1">
      <c r="A2048" s="1" t="s">
        <v>2842</v>
      </c>
      <c r="B2048" s="2">
        <v>45797.0</v>
      </c>
      <c r="C2048" s="9" t="s">
        <v>2312</v>
      </c>
      <c r="D2048" s="1" t="s">
        <v>2843</v>
      </c>
      <c r="E2048" s="4">
        <v>9500.0</v>
      </c>
      <c r="F2048" s="4"/>
      <c r="G2048" s="4"/>
      <c r="H2048" s="4">
        <f>'data on outstanding creditors'!$E2048-'data on outstanding creditors'!$F2048-'data on outstanding creditors'!$G2048</f>
        <v>9500</v>
      </c>
      <c r="I2048" s="2"/>
      <c r="J2048" s="1" t="s">
        <v>646</v>
      </c>
      <c r="K2048" s="2">
        <v>45889.0</v>
      </c>
      <c r="L2048" s="5"/>
      <c r="M2048" s="9" t="s">
        <v>43</v>
      </c>
      <c r="N2048" s="9" t="s">
        <v>49</v>
      </c>
      <c r="O2048" s="10">
        <f>'data on outstanding creditors'!$E2048*100/107</f>
        <v>8878.504673</v>
      </c>
      <c r="P2048" s="10">
        <f>'data on outstanding creditors'!$E2048-'data on outstanding creditors'!$O2048</f>
        <v>621.4953271</v>
      </c>
      <c r="Q2048" s="7">
        <f>DAY('data on outstanding creditors'!$B2048)</f>
        <v>20</v>
      </c>
      <c r="R2048" s="7">
        <f>MONTH('data on outstanding creditors'!$B2048)</f>
        <v>5</v>
      </c>
      <c r="S2048" s="7">
        <f>YEAR('data on outstanding creditors'!$B2048)</f>
        <v>2025</v>
      </c>
      <c r="T2048" s="11" t="str">
        <f>'data on outstanding creditors'!$C2048&amp;" "&amp;'data on outstanding creditors'!$D2048&amp;" "&amp;TEXT('data on outstanding creditors'!$E2048,"#,##0.00")</f>
        <v>บ.สเตอลีน เฮลท์ SH7164 9,500.00</v>
      </c>
      <c r="U2048" s="12"/>
    </row>
    <row r="2049" ht="13.5" customHeight="1">
      <c r="A2049" s="1" t="s">
        <v>2844</v>
      </c>
      <c r="B2049" s="2">
        <v>45797.0</v>
      </c>
      <c r="C2049" s="9" t="s">
        <v>2408</v>
      </c>
      <c r="D2049" s="1" t="s">
        <v>2845</v>
      </c>
      <c r="E2049" s="4">
        <v>3103.0</v>
      </c>
      <c r="F2049" s="4"/>
      <c r="G2049" s="4"/>
      <c r="H2049" s="4">
        <f>'data on outstanding creditors'!$E2049-'data on outstanding creditors'!$F2049-'data on outstanding creditors'!$G2049</f>
        <v>3103</v>
      </c>
      <c r="I2049" s="2"/>
      <c r="J2049" s="1" t="s">
        <v>646</v>
      </c>
      <c r="K2049" s="2">
        <v>45856.0</v>
      </c>
      <c r="L2049" s="5"/>
      <c r="M2049" s="9" t="s">
        <v>43</v>
      </c>
      <c r="N2049" s="9" t="s">
        <v>49</v>
      </c>
      <c r="O2049" s="10">
        <f>'data on outstanding creditors'!$E2049*100/107</f>
        <v>2900</v>
      </c>
      <c r="P2049" s="10">
        <f>'data on outstanding creditors'!$E2049-'data on outstanding creditors'!$O2049</f>
        <v>203</v>
      </c>
      <c r="Q2049" s="7">
        <f>DAY('data on outstanding creditors'!$B2049)</f>
        <v>20</v>
      </c>
      <c r="R2049" s="7">
        <f>MONTH('data on outstanding creditors'!$B2049)</f>
        <v>5</v>
      </c>
      <c r="S2049" s="7">
        <f>YEAR('data on outstanding creditors'!$B2049)</f>
        <v>2025</v>
      </c>
      <c r="T2049" s="11" t="str">
        <f>'data on outstanding creditors'!$C2049&amp;" "&amp;'data on outstanding creditors'!$D2049&amp;" "&amp;TEXT('data on outstanding creditors'!$E2049,"#,##0.00")</f>
        <v>บ.จอห์นสัน แอนด์ จอห์นสัน(ประเทศไทย) 998541539 3,103.00</v>
      </c>
      <c r="U2049" s="12"/>
    </row>
    <row r="2050" ht="13.5" customHeight="1">
      <c r="A2050" s="1" t="s">
        <v>2846</v>
      </c>
      <c r="B2050" s="2">
        <v>45797.0</v>
      </c>
      <c r="C2050" s="9" t="s">
        <v>2408</v>
      </c>
      <c r="D2050" s="1" t="s">
        <v>2847</v>
      </c>
      <c r="E2050" s="4">
        <v>25680.0</v>
      </c>
      <c r="F2050" s="4"/>
      <c r="G2050" s="4"/>
      <c r="H2050" s="4">
        <f>'data on outstanding creditors'!$E2050-'data on outstanding creditors'!$F2050-'data on outstanding creditors'!$G2050</f>
        <v>25680</v>
      </c>
      <c r="I2050" s="2"/>
      <c r="J2050" s="1" t="s">
        <v>646</v>
      </c>
      <c r="K2050" s="2">
        <v>45856.0</v>
      </c>
      <c r="L2050" s="5"/>
      <c r="M2050" s="9" t="s">
        <v>43</v>
      </c>
      <c r="N2050" s="9" t="s">
        <v>49</v>
      </c>
      <c r="O2050" s="10">
        <f>'data on outstanding creditors'!$E2050*100/107</f>
        <v>24000</v>
      </c>
      <c r="P2050" s="10">
        <f>'data on outstanding creditors'!$E2050-'data on outstanding creditors'!$O2050</f>
        <v>1680</v>
      </c>
      <c r="Q2050" s="7">
        <f>DAY('data on outstanding creditors'!$B2050)</f>
        <v>20</v>
      </c>
      <c r="R2050" s="7">
        <f>MONTH('data on outstanding creditors'!$B2050)</f>
        <v>5</v>
      </c>
      <c r="S2050" s="7">
        <f>YEAR('data on outstanding creditors'!$B2050)</f>
        <v>2025</v>
      </c>
      <c r="T2050" s="11" t="str">
        <f>'data on outstanding creditors'!$C2050&amp;" "&amp;'data on outstanding creditors'!$D2050&amp;" "&amp;TEXT('data on outstanding creditors'!$E2050,"#,##0.00")</f>
        <v>บ.จอห์นสัน แอนด์ จอห์นสัน(ประเทศไทย) 998542026 25,680.00</v>
      </c>
      <c r="U2050" s="12"/>
    </row>
    <row r="2051" ht="13.5" customHeight="1">
      <c r="A2051" s="1" t="s">
        <v>2848</v>
      </c>
      <c r="B2051" s="2">
        <v>45797.0</v>
      </c>
      <c r="C2051" s="9" t="s">
        <v>254</v>
      </c>
      <c r="D2051" s="1" t="s">
        <v>2849</v>
      </c>
      <c r="E2051" s="4">
        <v>90000.0</v>
      </c>
      <c r="F2051" s="4"/>
      <c r="G2051" s="4"/>
      <c r="H2051" s="4">
        <f>'data on outstanding creditors'!$E2051-'data on outstanding creditors'!$F2051-'data on outstanding creditors'!$G2051</f>
        <v>90000</v>
      </c>
      <c r="I2051" s="2"/>
      <c r="J2051" s="1" t="s">
        <v>757</v>
      </c>
      <c r="K2051" s="2">
        <v>45957.0</v>
      </c>
      <c r="L2051" s="5"/>
      <c r="M2051" s="9" t="s">
        <v>43</v>
      </c>
      <c r="N2051" s="9" t="s">
        <v>49</v>
      </c>
      <c r="O2051" s="10">
        <f>'data on outstanding creditors'!$E2051*100/107</f>
        <v>84112.14953</v>
      </c>
      <c r="P2051" s="10">
        <f>'data on outstanding creditors'!$E2051-'data on outstanding creditors'!$O2051</f>
        <v>5887.850467</v>
      </c>
      <c r="Q2051" s="7">
        <f>DAY('data on outstanding creditors'!$B2051)</f>
        <v>20</v>
      </c>
      <c r="R2051" s="7">
        <f>MONTH('data on outstanding creditors'!$B2051)</f>
        <v>5</v>
      </c>
      <c r="S2051" s="7">
        <f>YEAR('data on outstanding creditors'!$B2051)</f>
        <v>2025</v>
      </c>
      <c r="T2051" s="11" t="str">
        <f>'data on outstanding creditors'!$C2051&amp;" "&amp;'data on outstanding creditors'!$D2051&amp;" "&amp;TEXT('data on outstanding creditors'!$E2051,"#,##0.00")</f>
        <v>บ.แม็กซิม อินเตอร์คอร์ปอร์เรชั่น IV25051024 90,000.00</v>
      </c>
      <c r="U2051" s="12"/>
    </row>
    <row r="2052" ht="13.5" customHeight="1">
      <c r="A2052" s="1" t="s">
        <v>2850</v>
      </c>
      <c r="B2052" s="2">
        <v>45797.0</v>
      </c>
      <c r="C2052" s="9" t="s">
        <v>286</v>
      </c>
      <c r="D2052" s="1" t="s">
        <v>2851</v>
      </c>
      <c r="E2052" s="4">
        <v>20000.0</v>
      </c>
      <c r="F2052" s="4"/>
      <c r="G2052" s="4"/>
      <c r="H2052" s="4">
        <f>'data on outstanding creditors'!$E2052-'data on outstanding creditors'!$F2052-'data on outstanding creditors'!$G2052</f>
        <v>20000</v>
      </c>
      <c r="I2052" s="2"/>
      <c r="J2052" s="1" t="s">
        <v>757</v>
      </c>
      <c r="K2052" s="2">
        <v>45904.0</v>
      </c>
      <c r="L2052" s="5"/>
      <c r="M2052" s="9" t="s">
        <v>43</v>
      </c>
      <c r="N2052" s="9" t="s">
        <v>49</v>
      </c>
      <c r="O2052" s="10">
        <f>'data on outstanding creditors'!$E2052*100/107</f>
        <v>18691.58879</v>
      </c>
      <c r="P2052" s="10">
        <f>'data on outstanding creditors'!$E2052-'data on outstanding creditors'!$O2052</f>
        <v>1308.411215</v>
      </c>
      <c r="Q2052" s="7">
        <f>DAY('data on outstanding creditors'!$B2052)</f>
        <v>20</v>
      </c>
      <c r="R2052" s="7">
        <f>MONTH('data on outstanding creditors'!$B2052)</f>
        <v>5</v>
      </c>
      <c r="S2052" s="7">
        <f>YEAR('data on outstanding creditors'!$B2052)</f>
        <v>2025</v>
      </c>
      <c r="T2052" s="11" t="str">
        <f>'data on outstanding creditors'!$C2052&amp;" "&amp;'data on outstanding creditors'!$D2052&amp;" "&amp;TEXT('data on outstanding creditors'!$E2052,"#,##0.00")</f>
        <v>บ.เอ็ม ดี ซี (ประเทศไทย) IV25050447 20,000.00</v>
      </c>
      <c r="U2052" s="12"/>
    </row>
    <row r="2053" ht="13.5" customHeight="1">
      <c r="A2053" s="1" t="s">
        <v>2852</v>
      </c>
      <c r="B2053" s="2">
        <v>45797.0</v>
      </c>
      <c r="C2053" s="9" t="s">
        <v>1029</v>
      </c>
      <c r="D2053" s="1" t="s">
        <v>2853</v>
      </c>
      <c r="E2053" s="4">
        <v>10800.0</v>
      </c>
      <c r="F2053" s="4"/>
      <c r="G2053" s="4"/>
      <c r="H2053" s="4">
        <f>'data on outstanding creditors'!$E2053-'data on outstanding creditors'!$F2053-'data on outstanding creditors'!$G2053</f>
        <v>10800</v>
      </c>
      <c r="I2053" s="2"/>
      <c r="J2053" s="1" t="s">
        <v>757</v>
      </c>
      <c r="K2053" s="2">
        <v>45882.0</v>
      </c>
      <c r="L2053" s="5"/>
      <c r="M2053" s="9" t="s">
        <v>43</v>
      </c>
      <c r="N2053" s="9" t="s">
        <v>49</v>
      </c>
      <c r="O2053" s="10">
        <f>'data on outstanding creditors'!$E2053*100/107</f>
        <v>10093.45794</v>
      </c>
      <c r="P2053" s="10">
        <f>'data on outstanding creditors'!$E2053-'data on outstanding creditors'!$O2053</f>
        <v>706.5420561</v>
      </c>
      <c r="Q2053" s="7">
        <f>DAY('data on outstanding creditors'!$B2053)</f>
        <v>20</v>
      </c>
      <c r="R2053" s="7">
        <f>MONTH('data on outstanding creditors'!$B2053)</f>
        <v>5</v>
      </c>
      <c r="S2053" s="7">
        <f>YEAR('data on outstanding creditors'!$B2053)</f>
        <v>2025</v>
      </c>
      <c r="T2053" s="11" t="str">
        <f>'data on outstanding creditors'!$C2053&amp;" "&amp;'data on outstanding creditors'!$D2053&amp;" "&amp;TEXT('data on outstanding creditors'!$E2053,"#,##0.00")</f>
        <v>บ.เอเทค เมดิคอล IV6805413 10,800.00</v>
      </c>
      <c r="U2053" s="12"/>
    </row>
    <row r="2054" ht="13.5" customHeight="1">
      <c r="A2054" s="1" t="s">
        <v>2854</v>
      </c>
      <c r="B2054" s="2">
        <v>45797.0</v>
      </c>
      <c r="C2054" s="9" t="s">
        <v>1029</v>
      </c>
      <c r="D2054" s="1" t="s">
        <v>2855</v>
      </c>
      <c r="E2054" s="4">
        <v>17600.0</v>
      </c>
      <c r="F2054" s="4"/>
      <c r="G2054" s="4"/>
      <c r="H2054" s="4">
        <f>'data on outstanding creditors'!$E2054-'data on outstanding creditors'!$F2054-'data on outstanding creditors'!$G2054</f>
        <v>17600</v>
      </c>
      <c r="I2054" s="2"/>
      <c r="J2054" s="1" t="s">
        <v>757</v>
      </c>
      <c r="K2054" s="2">
        <v>45904.0</v>
      </c>
      <c r="L2054" s="5"/>
      <c r="M2054" s="9" t="s">
        <v>43</v>
      </c>
      <c r="N2054" s="9" t="s">
        <v>49</v>
      </c>
      <c r="O2054" s="10">
        <f>'data on outstanding creditors'!$E2054*100/107</f>
        <v>16448.59813</v>
      </c>
      <c r="P2054" s="10">
        <f>'data on outstanding creditors'!$E2054-'data on outstanding creditors'!$O2054</f>
        <v>1151.401869</v>
      </c>
      <c r="Q2054" s="7">
        <f>DAY('data on outstanding creditors'!$B2054)</f>
        <v>20</v>
      </c>
      <c r="R2054" s="7">
        <f>MONTH('data on outstanding creditors'!$B2054)</f>
        <v>5</v>
      </c>
      <c r="S2054" s="7">
        <f>YEAR('data on outstanding creditors'!$B2054)</f>
        <v>2025</v>
      </c>
      <c r="T2054" s="11" t="str">
        <f>'data on outstanding creditors'!$C2054&amp;" "&amp;'data on outstanding creditors'!$D2054&amp;" "&amp;TEXT('data on outstanding creditors'!$E2054,"#,##0.00")</f>
        <v>บ.เอเทค เมดิคอล IV6805447 17,600.00</v>
      </c>
      <c r="U2054" s="12"/>
    </row>
    <row r="2055" ht="13.5" customHeight="1">
      <c r="A2055" s="1" t="s">
        <v>2856</v>
      </c>
      <c r="B2055" s="2">
        <v>45797.0</v>
      </c>
      <c r="C2055" s="9" t="s">
        <v>1029</v>
      </c>
      <c r="D2055" s="1" t="s">
        <v>2857</v>
      </c>
      <c r="E2055" s="4">
        <v>16400.0</v>
      </c>
      <c r="F2055" s="4"/>
      <c r="G2055" s="4"/>
      <c r="H2055" s="4">
        <f>'data on outstanding creditors'!$E2055-'data on outstanding creditors'!$F2055-'data on outstanding creditors'!$G2055</f>
        <v>16400</v>
      </c>
      <c r="I2055" s="2"/>
      <c r="J2055" s="1" t="s">
        <v>757</v>
      </c>
      <c r="K2055" s="2">
        <v>45882.0</v>
      </c>
      <c r="L2055" s="5"/>
      <c r="M2055" s="9" t="s">
        <v>43</v>
      </c>
      <c r="N2055" s="9" t="s">
        <v>49</v>
      </c>
      <c r="O2055" s="10">
        <f>'data on outstanding creditors'!$E2055*100/107</f>
        <v>15327.1028</v>
      </c>
      <c r="P2055" s="10">
        <f>'data on outstanding creditors'!$E2055-'data on outstanding creditors'!$O2055</f>
        <v>1072.897196</v>
      </c>
      <c r="Q2055" s="7">
        <f>DAY('data on outstanding creditors'!$B2055)</f>
        <v>20</v>
      </c>
      <c r="R2055" s="7">
        <f>MONTH('data on outstanding creditors'!$B2055)</f>
        <v>5</v>
      </c>
      <c r="S2055" s="7">
        <f>YEAR('data on outstanding creditors'!$B2055)</f>
        <v>2025</v>
      </c>
      <c r="T2055" s="11" t="str">
        <f>'data on outstanding creditors'!$C2055&amp;" "&amp;'data on outstanding creditors'!$D2055&amp;" "&amp;TEXT('data on outstanding creditors'!$E2055,"#,##0.00")</f>
        <v>บ.เอเทค เมดิคอล IV6805430 16,400.00</v>
      </c>
      <c r="U2055" s="12"/>
    </row>
    <row r="2056" ht="13.5" customHeight="1">
      <c r="A2056" s="1" t="s">
        <v>2858</v>
      </c>
      <c r="B2056" s="2">
        <v>45797.0</v>
      </c>
      <c r="C2056" s="9" t="s">
        <v>281</v>
      </c>
      <c r="D2056" s="1" t="s">
        <v>2859</v>
      </c>
      <c r="E2056" s="4">
        <v>6000.0</v>
      </c>
      <c r="F2056" s="4"/>
      <c r="G2056" s="4"/>
      <c r="H2056" s="4">
        <f>'data on outstanding creditors'!$E2056-'data on outstanding creditors'!$F2056-'data on outstanding creditors'!$G2056</f>
        <v>6000</v>
      </c>
      <c r="I2056" s="2"/>
      <c r="J2056" s="1" t="s">
        <v>646</v>
      </c>
      <c r="K2056" s="2">
        <v>45906.0</v>
      </c>
      <c r="L2056" s="5"/>
      <c r="M2056" s="9" t="s">
        <v>43</v>
      </c>
      <c r="N2056" s="9" t="s">
        <v>49</v>
      </c>
      <c r="O2056" s="10">
        <f>'data on outstanding creditors'!$E2056*100/107</f>
        <v>5607.476636</v>
      </c>
      <c r="P2056" s="10">
        <f>'data on outstanding creditors'!$E2056-'data on outstanding creditors'!$O2056</f>
        <v>392.5233645</v>
      </c>
      <c r="Q2056" s="7">
        <f>DAY('data on outstanding creditors'!$B2056)</f>
        <v>20</v>
      </c>
      <c r="R2056" s="7">
        <f>MONTH('data on outstanding creditors'!$B2056)</f>
        <v>5</v>
      </c>
      <c r="S2056" s="7">
        <f>YEAR('data on outstanding creditors'!$B2056)</f>
        <v>2025</v>
      </c>
      <c r="T2056" s="11" t="str">
        <f>'data on outstanding creditors'!$C2056&amp;" "&amp;'data on outstanding creditors'!$D2056&amp;" "&amp;TEXT('data on outstanding creditors'!$E2056,"#,##0.00")</f>
        <v>บ.เมดิทอป 1556374 6,000.00</v>
      </c>
      <c r="U2056" s="12"/>
    </row>
    <row r="2057" ht="13.5" customHeight="1">
      <c r="A2057" s="1" t="s">
        <v>2860</v>
      </c>
      <c r="B2057" s="2">
        <v>45799.0</v>
      </c>
      <c r="C2057" s="9" t="s">
        <v>1029</v>
      </c>
      <c r="D2057" s="1" t="s">
        <v>2861</v>
      </c>
      <c r="E2057" s="4">
        <v>17600.0</v>
      </c>
      <c r="F2057" s="4"/>
      <c r="G2057" s="4"/>
      <c r="H2057" s="4">
        <f>'data on outstanding creditors'!$E2057-'data on outstanding creditors'!$F2057-'data on outstanding creditors'!$G2057</f>
        <v>17600</v>
      </c>
      <c r="I2057" s="2"/>
      <c r="J2057" s="1" t="s">
        <v>757</v>
      </c>
      <c r="K2057" s="2">
        <v>45904.0</v>
      </c>
      <c r="L2057" s="5"/>
      <c r="M2057" s="9" t="s">
        <v>43</v>
      </c>
      <c r="N2057" s="9" t="s">
        <v>49</v>
      </c>
      <c r="O2057" s="10">
        <f>'data on outstanding creditors'!$E2057*100/107</f>
        <v>16448.59813</v>
      </c>
      <c r="P2057" s="10">
        <f>'data on outstanding creditors'!$E2057-'data on outstanding creditors'!$O2057</f>
        <v>1151.401869</v>
      </c>
      <c r="Q2057" s="7">
        <f>DAY('data on outstanding creditors'!$B2057)</f>
        <v>22</v>
      </c>
      <c r="R2057" s="7">
        <f>MONTH('data on outstanding creditors'!$B2057)</f>
        <v>5</v>
      </c>
      <c r="S2057" s="7">
        <f>YEAR('data on outstanding creditors'!$B2057)</f>
        <v>2025</v>
      </c>
      <c r="T2057" s="11" t="str">
        <f>'data on outstanding creditors'!$C2057&amp;" "&amp;'data on outstanding creditors'!$D2057&amp;" "&amp;TEXT('data on outstanding creditors'!$E2057,"#,##0.00")</f>
        <v>บ.เอเทค เมดิคอล IV6805604 17,600.00</v>
      </c>
      <c r="U2057" s="12"/>
    </row>
    <row r="2058" ht="13.5" customHeight="1">
      <c r="A2058" s="1" t="s">
        <v>2862</v>
      </c>
      <c r="B2058" s="2">
        <v>45800.0</v>
      </c>
      <c r="C2058" s="9" t="s">
        <v>1114</v>
      </c>
      <c r="D2058" s="1" t="s">
        <v>2863</v>
      </c>
      <c r="E2058" s="4">
        <v>450.0</v>
      </c>
      <c r="F2058" s="4"/>
      <c r="G2058" s="4"/>
      <c r="H2058" s="4">
        <f>'data on outstanding creditors'!$E2058-'data on outstanding creditors'!$F2058-'data on outstanding creditors'!$G2058</f>
        <v>450</v>
      </c>
      <c r="I2058" s="2"/>
      <c r="J2058" s="1" t="s">
        <v>646</v>
      </c>
      <c r="K2058" s="2">
        <v>45843.0</v>
      </c>
      <c r="L2058" s="5"/>
      <c r="M2058" s="9" t="s">
        <v>43</v>
      </c>
      <c r="N2058" s="9" t="s">
        <v>49</v>
      </c>
      <c r="O2058" s="10">
        <f>'data on outstanding creditors'!$E2058*100/107</f>
        <v>420.5607477</v>
      </c>
      <c r="P2058" s="10">
        <f>'data on outstanding creditors'!$E2058-'data on outstanding creditors'!$O2058</f>
        <v>29.43925234</v>
      </c>
      <c r="Q2058" s="7">
        <f>DAY('data on outstanding creditors'!$B2058)</f>
        <v>23</v>
      </c>
      <c r="R2058" s="7">
        <f>MONTH('data on outstanding creditors'!$B2058)</f>
        <v>5</v>
      </c>
      <c r="S2058" s="7">
        <f>YEAR('data on outstanding creditors'!$B2058)</f>
        <v>2025</v>
      </c>
      <c r="T2058" s="11" t="str">
        <f>'data on outstanding creditors'!$C2058&amp;" "&amp;'data on outstanding creditors'!$D2058&amp;" "&amp;TEXT('data on outstanding creditors'!$E2058,"#,##0.00")</f>
        <v>หจก.อิเลฟเว่น พลัซ EL680522178 450.00</v>
      </c>
      <c r="U2058" s="12"/>
    </row>
    <row r="2059" ht="13.5" customHeight="1">
      <c r="A2059" s="1" t="s">
        <v>2864</v>
      </c>
      <c r="B2059" s="2">
        <v>45800.0</v>
      </c>
      <c r="C2059" s="9" t="s">
        <v>2865</v>
      </c>
      <c r="D2059" s="1" t="s">
        <v>2866</v>
      </c>
      <c r="E2059" s="4">
        <v>10560.0</v>
      </c>
      <c r="F2059" s="4"/>
      <c r="G2059" s="4"/>
      <c r="H2059" s="4">
        <f>'data on outstanding creditors'!$E2059-'data on outstanding creditors'!$F2059-'data on outstanding creditors'!$G2059</f>
        <v>10560</v>
      </c>
      <c r="I2059" s="2"/>
      <c r="J2059" s="1" t="s">
        <v>646</v>
      </c>
      <c r="K2059" s="2">
        <v>45887.0</v>
      </c>
      <c r="L2059" s="5"/>
      <c r="M2059" s="9" t="s">
        <v>43</v>
      </c>
      <c r="N2059" s="9" t="s">
        <v>49</v>
      </c>
      <c r="O2059" s="10">
        <f>'data on outstanding creditors'!$E2059*100/107</f>
        <v>9869.158879</v>
      </c>
      <c r="P2059" s="10">
        <f>'data on outstanding creditors'!$E2059-'data on outstanding creditors'!$O2059</f>
        <v>690.8411215</v>
      </c>
      <c r="Q2059" s="7">
        <f>DAY('data on outstanding creditors'!$B2059)</f>
        <v>23</v>
      </c>
      <c r="R2059" s="7">
        <f>MONTH('data on outstanding creditors'!$B2059)</f>
        <v>5</v>
      </c>
      <c r="S2059" s="7">
        <f>YEAR('data on outstanding creditors'!$B2059)</f>
        <v>2025</v>
      </c>
      <c r="T2059" s="11" t="str">
        <f>'data on outstanding creditors'!$C2059&amp;" "&amp;'data on outstanding creditors'!$D2059&amp;" "&amp;TEXT('data on outstanding creditors'!$E2059,"#,##0.00")</f>
        <v>บ.ดีไวซ์ อินโนเวชั่น จำกัด IV6805-00723 10,560.00</v>
      </c>
      <c r="U2059" s="12"/>
    </row>
    <row r="2060" ht="13.5" customHeight="1">
      <c r="A2060" s="1" t="s">
        <v>2867</v>
      </c>
      <c r="B2060" s="2">
        <v>45800.0</v>
      </c>
      <c r="C2060" s="9" t="s">
        <v>2868</v>
      </c>
      <c r="D2060" s="1" t="s">
        <v>2869</v>
      </c>
      <c r="E2060" s="4">
        <v>1600.0</v>
      </c>
      <c r="F2060" s="4"/>
      <c r="G2060" s="4"/>
      <c r="H2060" s="4">
        <f>'data on outstanding creditors'!$E2060-'data on outstanding creditors'!$F2060-'data on outstanding creditors'!$G2060</f>
        <v>1600</v>
      </c>
      <c r="I2060" s="2"/>
      <c r="J2060" s="1" t="s">
        <v>646</v>
      </c>
      <c r="K2060" s="2">
        <v>45846.0</v>
      </c>
      <c r="L2060" s="5"/>
      <c r="M2060" s="9" t="s">
        <v>43</v>
      </c>
      <c r="N2060" s="9" t="s">
        <v>49</v>
      </c>
      <c r="O2060" s="10">
        <f>'data on outstanding creditors'!$E2060*100/107</f>
        <v>1495.327103</v>
      </c>
      <c r="P2060" s="10">
        <f>'data on outstanding creditors'!$E2060-'data on outstanding creditors'!$O2060</f>
        <v>104.6728972</v>
      </c>
      <c r="Q2060" s="7">
        <f>DAY('data on outstanding creditors'!$B2060)</f>
        <v>23</v>
      </c>
      <c r="R2060" s="7">
        <f>MONTH('data on outstanding creditors'!$B2060)</f>
        <v>5</v>
      </c>
      <c r="S2060" s="7">
        <f>YEAR('data on outstanding creditors'!$B2060)</f>
        <v>2025</v>
      </c>
      <c r="T2060" s="11" t="str">
        <f>'data on outstanding creditors'!$C2060&amp;" "&amp;'data on outstanding creditors'!$D2060&amp;" "&amp;TEXT('data on outstanding creditors'!$E2060,"#,##0.00")</f>
        <v>บ.บีทีแอล เมดิคอล เทคโนโลจีส์ 2025_05_075 1,600.00</v>
      </c>
      <c r="U2060" s="12"/>
    </row>
    <row r="2061" ht="13.5" customHeight="1">
      <c r="A2061" s="1" t="s">
        <v>2870</v>
      </c>
      <c r="B2061" s="2">
        <v>45800.0</v>
      </c>
      <c r="C2061" s="9" t="s">
        <v>1029</v>
      </c>
      <c r="D2061" s="1" t="s">
        <v>2871</v>
      </c>
      <c r="E2061" s="4">
        <v>23100.0</v>
      </c>
      <c r="F2061" s="4"/>
      <c r="G2061" s="4"/>
      <c r="H2061" s="4">
        <f>'data on outstanding creditors'!$E2061-'data on outstanding creditors'!$F2061-'data on outstanding creditors'!$G2061</f>
        <v>23100</v>
      </c>
      <c r="I2061" s="2"/>
      <c r="J2061" s="1" t="s">
        <v>757</v>
      </c>
      <c r="K2061" s="2">
        <v>45910.0</v>
      </c>
      <c r="L2061" s="5"/>
      <c r="M2061" s="9" t="s">
        <v>43</v>
      </c>
      <c r="N2061" s="9" t="s">
        <v>49</v>
      </c>
      <c r="O2061" s="10">
        <f>'data on outstanding creditors'!$E2061*100/107</f>
        <v>21588.78505</v>
      </c>
      <c r="P2061" s="10">
        <f>'data on outstanding creditors'!$E2061-'data on outstanding creditors'!$O2061</f>
        <v>1511.214953</v>
      </c>
      <c r="Q2061" s="7">
        <f>DAY('data on outstanding creditors'!$B2061)</f>
        <v>23</v>
      </c>
      <c r="R2061" s="7">
        <f>MONTH('data on outstanding creditors'!$B2061)</f>
        <v>5</v>
      </c>
      <c r="S2061" s="7">
        <f>YEAR('data on outstanding creditors'!$B2061)</f>
        <v>2025</v>
      </c>
      <c r="T2061" s="11" t="str">
        <f>'data on outstanding creditors'!$C2061&amp;" "&amp;'data on outstanding creditors'!$D2061&amp;" "&amp;TEXT('data on outstanding creditors'!$E2061,"#,##0.00")</f>
        <v>บ.เอเทค เมดิคอล IV6805497 23,100.00</v>
      </c>
      <c r="U2061" s="12"/>
    </row>
    <row r="2062" ht="13.5" customHeight="1">
      <c r="A2062" s="1" t="s">
        <v>2872</v>
      </c>
      <c r="B2062" s="2">
        <v>45800.0</v>
      </c>
      <c r="C2062" s="9" t="s">
        <v>1029</v>
      </c>
      <c r="D2062" s="1" t="s">
        <v>2873</v>
      </c>
      <c r="E2062" s="4">
        <v>20000.0</v>
      </c>
      <c r="F2062" s="4"/>
      <c r="G2062" s="4"/>
      <c r="H2062" s="4">
        <f>'data on outstanding creditors'!$E2062-'data on outstanding creditors'!$F2062-'data on outstanding creditors'!$G2062</f>
        <v>20000</v>
      </c>
      <c r="I2062" s="2"/>
      <c r="J2062" s="1" t="s">
        <v>757</v>
      </c>
      <c r="K2062" s="2">
        <v>45915.0</v>
      </c>
      <c r="L2062" s="5"/>
      <c r="M2062" s="9" t="s">
        <v>43</v>
      </c>
      <c r="N2062" s="9" t="s">
        <v>49</v>
      </c>
      <c r="O2062" s="10">
        <f>'data on outstanding creditors'!$E2062*100/107</f>
        <v>18691.58879</v>
      </c>
      <c r="P2062" s="10">
        <f>'data on outstanding creditors'!$E2062-'data on outstanding creditors'!$O2062</f>
        <v>1308.411215</v>
      </c>
      <c r="Q2062" s="7">
        <f>DAY('data on outstanding creditors'!$B2062)</f>
        <v>23</v>
      </c>
      <c r="R2062" s="7">
        <f>MONTH('data on outstanding creditors'!$B2062)</f>
        <v>5</v>
      </c>
      <c r="S2062" s="7">
        <f>YEAR('data on outstanding creditors'!$B2062)</f>
        <v>2025</v>
      </c>
      <c r="T2062" s="11" t="str">
        <f>'data on outstanding creditors'!$C2062&amp;" "&amp;'data on outstanding creditors'!$D2062&amp;" "&amp;TEXT('data on outstanding creditors'!$E2062,"#,##0.00")</f>
        <v>บ.เอเทค เมดิคอล IV6805496 20,000.00</v>
      </c>
      <c r="U2062" s="12"/>
    </row>
    <row r="2063" ht="13.5" customHeight="1">
      <c r="A2063" s="1" t="s">
        <v>2874</v>
      </c>
      <c r="B2063" s="2">
        <v>45800.0</v>
      </c>
      <c r="C2063" s="9" t="s">
        <v>1029</v>
      </c>
      <c r="D2063" s="1" t="s">
        <v>2875</v>
      </c>
      <c r="E2063" s="4">
        <v>19100.0</v>
      </c>
      <c r="F2063" s="4"/>
      <c r="G2063" s="4"/>
      <c r="H2063" s="4">
        <f>'data on outstanding creditors'!$E2063-'data on outstanding creditors'!$F2063-'data on outstanding creditors'!$G2063</f>
        <v>19100</v>
      </c>
      <c r="I2063" s="2"/>
      <c r="J2063" s="1" t="s">
        <v>757</v>
      </c>
      <c r="K2063" s="2">
        <v>45882.0</v>
      </c>
      <c r="L2063" s="5"/>
      <c r="M2063" s="9" t="s">
        <v>43</v>
      </c>
      <c r="N2063" s="9" t="s">
        <v>49</v>
      </c>
      <c r="O2063" s="10">
        <f>'data on outstanding creditors'!$E2063*100/107</f>
        <v>17850.46729</v>
      </c>
      <c r="P2063" s="10">
        <f>'data on outstanding creditors'!$E2063-'data on outstanding creditors'!$O2063</f>
        <v>1249.53271</v>
      </c>
      <c r="Q2063" s="7">
        <f>DAY('data on outstanding creditors'!$B2063)</f>
        <v>23</v>
      </c>
      <c r="R2063" s="7">
        <f>MONTH('data on outstanding creditors'!$B2063)</f>
        <v>5</v>
      </c>
      <c r="S2063" s="7">
        <f>YEAR('data on outstanding creditors'!$B2063)</f>
        <v>2025</v>
      </c>
      <c r="T2063" s="11" t="str">
        <f>'data on outstanding creditors'!$C2063&amp;" "&amp;'data on outstanding creditors'!$D2063&amp;" "&amp;TEXT('data on outstanding creditors'!$E2063,"#,##0.00")</f>
        <v>บ.เอเทค เมดิคอล IV6805498 19,100.00</v>
      </c>
      <c r="U2063" s="12"/>
    </row>
    <row r="2064" ht="13.5" customHeight="1">
      <c r="A2064" s="1" t="s">
        <v>2876</v>
      </c>
      <c r="B2064" s="2">
        <v>45800.0</v>
      </c>
      <c r="C2064" s="9" t="s">
        <v>286</v>
      </c>
      <c r="D2064" s="1" t="s">
        <v>2877</v>
      </c>
      <c r="E2064" s="4">
        <v>20000.0</v>
      </c>
      <c r="F2064" s="4"/>
      <c r="G2064" s="4"/>
      <c r="H2064" s="4">
        <f>'data on outstanding creditors'!$E2064-'data on outstanding creditors'!$F2064-'data on outstanding creditors'!$G2064</f>
        <v>20000</v>
      </c>
      <c r="I2064" s="2"/>
      <c r="J2064" s="1" t="s">
        <v>757</v>
      </c>
      <c r="K2064" s="2">
        <v>45957.0</v>
      </c>
      <c r="L2064" s="5"/>
      <c r="M2064" s="9" t="s">
        <v>43</v>
      </c>
      <c r="N2064" s="9" t="s">
        <v>49</v>
      </c>
      <c r="O2064" s="10">
        <f>'data on outstanding creditors'!$E2064*100/107</f>
        <v>18691.58879</v>
      </c>
      <c r="P2064" s="10">
        <f>'data on outstanding creditors'!$E2064-'data on outstanding creditors'!$O2064</f>
        <v>1308.411215</v>
      </c>
      <c r="Q2064" s="7">
        <f>DAY('data on outstanding creditors'!$B2064)</f>
        <v>23</v>
      </c>
      <c r="R2064" s="7">
        <f>MONTH('data on outstanding creditors'!$B2064)</f>
        <v>5</v>
      </c>
      <c r="S2064" s="7">
        <f>YEAR('data on outstanding creditors'!$B2064)</f>
        <v>2025</v>
      </c>
      <c r="T2064" s="11" t="str">
        <f>'data on outstanding creditors'!$C2064&amp;" "&amp;'data on outstanding creditors'!$D2064&amp;" "&amp;TEXT('data on outstanding creditors'!$E2064,"#,##0.00")</f>
        <v>บ.เอ็ม ดี ซี (ประเทศไทย) IV25050616 20,000.00</v>
      </c>
      <c r="U2064" s="12"/>
    </row>
    <row r="2065" ht="13.5" customHeight="1">
      <c r="A2065" s="1" t="s">
        <v>2878</v>
      </c>
      <c r="B2065" s="2">
        <v>45800.0</v>
      </c>
      <c r="C2065" s="9" t="s">
        <v>1029</v>
      </c>
      <c r="D2065" s="1" t="s">
        <v>2879</v>
      </c>
      <c r="E2065" s="4">
        <v>32000.0</v>
      </c>
      <c r="F2065" s="4"/>
      <c r="G2065" s="4"/>
      <c r="H2065" s="4">
        <f>'data on outstanding creditors'!$E2065-'data on outstanding creditors'!$F2065-'data on outstanding creditors'!$G2065</f>
        <v>32000</v>
      </c>
      <c r="I2065" s="2"/>
      <c r="J2065" s="1" t="s">
        <v>757</v>
      </c>
      <c r="K2065" s="2">
        <v>45871.0</v>
      </c>
      <c r="L2065" s="5"/>
      <c r="M2065" s="9" t="s">
        <v>43</v>
      </c>
      <c r="N2065" s="9" t="s">
        <v>49</v>
      </c>
      <c r="O2065" s="10">
        <f>'data on outstanding creditors'!$E2065*100/107</f>
        <v>29906.54206</v>
      </c>
      <c r="P2065" s="10">
        <f>'data on outstanding creditors'!$E2065-'data on outstanding creditors'!$O2065</f>
        <v>2093.457944</v>
      </c>
      <c r="Q2065" s="7">
        <f>DAY('data on outstanding creditors'!$B2065)</f>
        <v>23</v>
      </c>
      <c r="R2065" s="7">
        <f>MONTH('data on outstanding creditors'!$B2065)</f>
        <v>5</v>
      </c>
      <c r="S2065" s="7">
        <f>YEAR('data on outstanding creditors'!$B2065)</f>
        <v>2025</v>
      </c>
      <c r="T2065" s="11" t="str">
        <f>'data on outstanding creditors'!$C2065&amp;" "&amp;'data on outstanding creditors'!$D2065&amp;" "&amp;TEXT('data on outstanding creditors'!$E2065,"#,##0.00")</f>
        <v>บ.เอเทค เมดิคอล IV6805471 32,000.00</v>
      </c>
      <c r="U2065" s="12"/>
    </row>
    <row r="2066" ht="13.5" customHeight="1">
      <c r="A2066" s="1" t="s">
        <v>2880</v>
      </c>
      <c r="B2066" s="2">
        <v>45803.0</v>
      </c>
      <c r="C2066" s="9" t="s">
        <v>2740</v>
      </c>
      <c r="D2066" s="1" t="s">
        <v>2881</v>
      </c>
      <c r="E2066" s="4">
        <v>5070.0</v>
      </c>
      <c r="F2066" s="4"/>
      <c r="G2066" s="4"/>
      <c r="H2066" s="4">
        <f>'data on outstanding creditors'!$E2066-'data on outstanding creditors'!$F2066-'data on outstanding creditors'!$G2066</f>
        <v>5070</v>
      </c>
      <c r="I2066" s="2"/>
      <c r="J2066" s="1" t="s">
        <v>757</v>
      </c>
      <c r="K2066" s="2">
        <v>45833.0</v>
      </c>
      <c r="L2066" s="5"/>
      <c r="M2066" s="9" t="s">
        <v>43</v>
      </c>
      <c r="N2066" s="9" t="s">
        <v>49</v>
      </c>
      <c r="O2066" s="10">
        <f>'data on outstanding creditors'!$E2066*100/107</f>
        <v>4738.317757</v>
      </c>
      <c r="P2066" s="10">
        <f>'data on outstanding creditors'!$E2066-'data on outstanding creditors'!$O2066</f>
        <v>331.682243</v>
      </c>
      <c r="Q2066" s="7">
        <f>DAY('data on outstanding creditors'!$B2066)</f>
        <v>26</v>
      </c>
      <c r="R2066" s="7">
        <f>MONTH('data on outstanding creditors'!$B2066)</f>
        <v>5</v>
      </c>
      <c r="S2066" s="7">
        <f>YEAR('data on outstanding creditors'!$B2066)</f>
        <v>2025</v>
      </c>
      <c r="T2066" s="11" t="str">
        <f>'data on outstanding creditors'!$C2066&amp;" "&amp;'data on outstanding creditors'!$D2066&amp;" "&amp;TEXT('data on outstanding creditors'!$E2066,"#,##0.00")</f>
        <v>บ.ไพ ออริตี้ แคร์ โปรดักส์ IV6800707 5,070.00</v>
      </c>
      <c r="U2066" s="12"/>
    </row>
    <row r="2067" ht="13.5" customHeight="1">
      <c r="A2067" s="1" t="s">
        <v>2882</v>
      </c>
      <c r="B2067" s="2">
        <v>45803.0</v>
      </c>
      <c r="C2067" s="9" t="s">
        <v>2646</v>
      </c>
      <c r="D2067" s="1" t="s">
        <v>2883</v>
      </c>
      <c r="E2067" s="4">
        <v>3500.0</v>
      </c>
      <c r="F2067" s="4"/>
      <c r="G2067" s="4"/>
      <c r="H2067" s="4">
        <f>'data on outstanding creditors'!$E2067-'data on outstanding creditors'!$F2067-'data on outstanding creditors'!$G2067</f>
        <v>3500</v>
      </c>
      <c r="I2067" s="2"/>
      <c r="J2067" s="1" t="s">
        <v>646</v>
      </c>
      <c r="K2067" s="2">
        <v>45928.0</v>
      </c>
      <c r="L2067" s="5"/>
      <c r="M2067" s="9" t="s">
        <v>43</v>
      </c>
      <c r="N2067" s="9" t="s">
        <v>49</v>
      </c>
      <c r="O2067" s="10">
        <f>'data on outstanding creditors'!$E2067*100/107</f>
        <v>3271.028037</v>
      </c>
      <c r="P2067" s="10">
        <f>'data on outstanding creditors'!$E2067-'data on outstanding creditors'!$O2067</f>
        <v>228.9719626</v>
      </c>
      <c r="Q2067" s="7">
        <f>DAY('data on outstanding creditors'!$B2067)</f>
        <v>26</v>
      </c>
      <c r="R2067" s="7">
        <f>MONTH('data on outstanding creditors'!$B2067)</f>
        <v>5</v>
      </c>
      <c r="S2067" s="7">
        <f>YEAR('data on outstanding creditors'!$B2067)</f>
        <v>2025</v>
      </c>
      <c r="T2067" s="11" t="str">
        <f>'data on outstanding creditors'!$C2067&amp;" "&amp;'data on outstanding creditors'!$D2067&amp;" "&amp;TEXT('data on outstanding creditors'!$E2067,"#,##0.00")</f>
        <v>บ.ไอดีเอส เมดิคอล ซิสเต็มส์(ประเทศไทย) UG90033114 3,500.00</v>
      </c>
      <c r="U2067" s="12"/>
    </row>
    <row r="2068" ht="13.5" customHeight="1">
      <c r="A2068" s="1" t="s">
        <v>2884</v>
      </c>
      <c r="B2068" s="2">
        <v>45803.0</v>
      </c>
      <c r="C2068" s="9" t="s">
        <v>1029</v>
      </c>
      <c r="D2068" s="1" t="s">
        <v>2885</v>
      </c>
      <c r="E2068" s="4">
        <v>17300.0</v>
      </c>
      <c r="F2068" s="4"/>
      <c r="G2068" s="4"/>
      <c r="H2068" s="4">
        <f>'data on outstanding creditors'!$E2068-'data on outstanding creditors'!$F2068-'data on outstanding creditors'!$G2068</f>
        <v>17300</v>
      </c>
      <c r="I2068" s="2"/>
      <c r="J2068" s="1" t="s">
        <v>757</v>
      </c>
      <c r="K2068" s="2">
        <v>45911.0</v>
      </c>
      <c r="L2068" s="5"/>
      <c r="M2068" s="9" t="s">
        <v>43</v>
      </c>
      <c r="N2068" s="9" t="s">
        <v>49</v>
      </c>
      <c r="O2068" s="10">
        <f>'data on outstanding creditors'!$E2068*100/107</f>
        <v>16168.2243</v>
      </c>
      <c r="P2068" s="10">
        <f>'data on outstanding creditors'!$E2068-'data on outstanding creditors'!$O2068</f>
        <v>1131.775701</v>
      </c>
      <c r="Q2068" s="7">
        <f>DAY('data on outstanding creditors'!$B2068)</f>
        <v>26</v>
      </c>
      <c r="R2068" s="7">
        <f>MONTH('data on outstanding creditors'!$B2068)</f>
        <v>5</v>
      </c>
      <c r="S2068" s="7">
        <f>YEAR('data on outstanding creditors'!$B2068)</f>
        <v>2025</v>
      </c>
      <c r="T2068" s="11" t="str">
        <f>'data on outstanding creditors'!$C2068&amp;" "&amp;'data on outstanding creditors'!$D2068&amp;" "&amp;TEXT('data on outstanding creditors'!$E2068,"#,##0.00")</f>
        <v>บ.เอเทค เมดิคอล IV6805526 17,300.00</v>
      </c>
      <c r="U2068" s="12"/>
    </row>
    <row r="2069" ht="13.5" customHeight="1">
      <c r="A2069" s="1" t="s">
        <v>2886</v>
      </c>
      <c r="B2069" s="2">
        <v>45803.0</v>
      </c>
      <c r="C2069" s="9" t="s">
        <v>1029</v>
      </c>
      <c r="D2069" s="1" t="s">
        <v>2887</v>
      </c>
      <c r="E2069" s="4">
        <v>18500.0</v>
      </c>
      <c r="F2069" s="4"/>
      <c r="G2069" s="4"/>
      <c r="H2069" s="4">
        <f>'data on outstanding creditors'!$E2069-'data on outstanding creditors'!$F2069-'data on outstanding creditors'!$G2069</f>
        <v>18500</v>
      </c>
      <c r="I2069" s="2"/>
      <c r="J2069" s="1" t="s">
        <v>757</v>
      </c>
      <c r="K2069" s="2">
        <v>45915.0</v>
      </c>
      <c r="L2069" s="5"/>
      <c r="M2069" s="9" t="s">
        <v>43</v>
      </c>
      <c r="N2069" s="9" t="s">
        <v>49</v>
      </c>
      <c r="O2069" s="10">
        <f>'data on outstanding creditors'!$E2069*100/107</f>
        <v>17289.71963</v>
      </c>
      <c r="P2069" s="10">
        <f>'data on outstanding creditors'!$E2069-'data on outstanding creditors'!$O2069</f>
        <v>1210.280374</v>
      </c>
      <c r="Q2069" s="7">
        <f>DAY('data on outstanding creditors'!$B2069)</f>
        <v>26</v>
      </c>
      <c r="R2069" s="7">
        <f>MONTH('data on outstanding creditors'!$B2069)</f>
        <v>5</v>
      </c>
      <c r="S2069" s="7">
        <f>YEAR('data on outstanding creditors'!$B2069)</f>
        <v>2025</v>
      </c>
      <c r="T2069" s="11" t="str">
        <f>'data on outstanding creditors'!$C2069&amp;" "&amp;'data on outstanding creditors'!$D2069&amp;" "&amp;TEXT('data on outstanding creditors'!$E2069,"#,##0.00")</f>
        <v>บ.เอเทค เมดิคอล IV6805525 18,500.00</v>
      </c>
      <c r="U2069" s="12"/>
    </row>
    <row r="2070" ht="13.5" customHeight="1">
      <c r="A2070" s="1" t="s">
        <v>2888</v>
      </c>
      <c r="B2070" s="2">
        <v>45804.0</v>
      </c>
      <c r="C2070" s="9" t="s">
        <v>2472</v>
      </c>
      <c r="D2070" s="1" t="s">
        <v>2889</v>
      </c>
      <c r="E2070" s="4">
        <v>32000.0</v>
      </c>
      <c r="F2070" s="4"/>
      <c r="G2070" s="4"/>
      <c r="H2070" s="4">
        <f>'data on outstanding creditors'!$E2070-'data on outstanding creditors'!$F2070-'data on outstanding creditors'!$G2070</f>
        <v>32000</v>
      </c>
      <c r="I2070" s="2"/>
      <c r="J2070" s="1" t="s">
        <v>757</v>
      </c>
      <c r="K2070" s="2">
        <v>45917.0</v>
      </c>
      <c r="L2070" s="5"/>
      <c r="M2070" s="9" t="s">
        <v>43</v>
      </c>
      <c r="N2070" s="9" t="s">
        <v>49</v>
      </c>
      <c r="O2070" s="10">
        <f>'data on outstanding creditors'!$E2070*100/107</f>
        <v>29906.54206</v>
      </c>
      <c r="P2070" s="10">
        <f>'data on outstanding creditors'!$E2070-'data on outstanding creditors'!$O2070</f>
        <v>2093.457944</v>
      </c>
      <c r="Q2070" s="7">
        <f>DAY('data on outstanding creditors'!$B2070)</f>
        <v>27</v>
      </c>
      <c r="R2070" s="7">
        <f>MONTH('data on outstanding creditors'!$B2070)</f>
        <v>5</v>
      </c>
      <c r="S2070" s="7">
        <f>YEAR('data on outstanding creditors'!$B2070)</f>
        <v>2025</v>
      </c>
      <c r="T2070" s="11" t="str">
        <f>'data on outstanding creditors'!$C2070&amp;" "&amp;'data on outstanding creditors'!$D2070&amp;" "&amp;TEXT('data on outstanding creditors'!$E2070,"#,##0.00")</f>
        <v>บ.เอเมอร์สัน กรุ๊ป IV6805520 32,000.00</v>
      </c>
      <c r="U2070" s="12"/>
    </row>
    <row r="2071" ht="13.5" customHeight="1">
      <c r="A2071" s="1" t="s">
        <v>2890</v>
      </c>
      <c r="B2071" s="2">
        <v>45804.0</v>
      </c>
      <c r="C2071" s="9" t="s">
        <v>1029</v>
      </c>
      <c r="D2071" s="1" t="s">
        <v>2891</v>
      </c>
      <c r="E2071" s="4">
        <v>17600.0</v>
      </c>
      <c r="F2071" s="4"/>
      <c r="G2071" s="4"/>
      <c r="H2071" s="4">
        <f>'data on outstanding creditors'!$E2071-'data on outstanding creditors'!$F2071-'data on outstanding creditors'!$G2071</f>
        <v>17600</v>
      </c>
      <c r="I2071" s="2"/>
      <c r="J2071" s="1"/>
      <c r="K2071" s="2"/>
      <c r="L2071" s="5"/>
      <c r="M2071" s="9" t="s">
        <v>43</v>
      </c>
      <c r="N2071" s="9" t="s">
        <v>49</v>
      </c>
      <c r="O2071" s="10">
        <f>'data on outstanding creditors'!$E2071*100/107</f>
        <v>16448.59813</v>
      </c>
      <c r="P2071" s="10">
        <f>'data on outstanding creditors'!$E2071-'data on outstanding creditors'!$O2071</f>
        <v>1151.401869</v>
      </c>
      <c r="Q2071" s="7">
        <f>DAY('data on outstanding creditors'!$B2071)</f>
        <v>27</v>
      </c>
      <c r="R2071" s="7">
        <f>MONTH('data on outstanding creditors'!$B2071)</f>
        <v>5</v>
      </c>
      <c r="S2071" s="7">
        <f>YEAR('data on outstanding creditors'!$B2071)</f>
        <v>2025</v>
      </c>
      <c r="T2071" s="11" t="str">
        <f>'data on outstanding creditors'!$C2071&amp;" "&amp;'data on outstanding creditors'!$D2071&amp;" "&amp;TEXT('data on outstanding creditors'!$E2071,"#,##0.00")</f>
        <v>บ.เอเทค เมดิคอล IV6803336 17,600.00</v>
      </c>
      <c r="U2071" s="12"/>
    </row>
    <row r="2072" ht="13.5" customHeight="1">
      <c r="A2072" s="1" t="s">
        <v>2892</v>
      </c>
      <c r="B2072" s="2">
        <v>45804.0</v>
      </c>
      <c r="C2072" s="9" t="s">
        <v>286</v>
      </c>
      <c r="D2072" s="1" t="s">
        <v>2893</v>
      </c>
      <c r="E2072" s="4">
        <v>20000.0</v>
      </c>
      <c r="F2072" s="4"/>
      <c r="G2072" s="4"/>
      <c r="H2072" s="4">
        <f>'data on outstanding creditors'!$E2072-'data on outstanding creditors'!$F2072-'data on outstanding creditors'!$G2072</f>
        <v>20000</v>
      </c>
      <c r="I2072" s="2"/>
      <c r="J2072" s="1" t="s">
        <v>757</v>
      </c>
      <c r="K2072" s="2">
        <v>45904.0</v>
      </c>
      <c r="L2072" s="5"/>
      <c r="M2072" s="9" t="s">
        <v>43</v>
      </c>
      <c r="N2072" s="9" t="s">
        <v>49</v>
      </c>
      <c r="O2072" s="10">
        <f>'data on outstanding creditors'!$E2072*100/107</f>
        <v>18691.58879</v>
      </c>
      <c r="P2072" s="10">
        <f>'data on outstanding creditors'!$E2072-'data on outstanding creditors'!$O2072</f>
        <v>1308.411215</v>
      </c>
      <c r="Q2072" s="7">
        <f>DAY('data on outstanding creditors'!$B2072)</f>
        <v>27</v>
      </c>
      <c r="R2072" s="7">
        <f>MONTH('data on outstanding creditors'!$B2072)</f>
        <v>5</v>
      </c>
      <c r="S2072" s="7">
        <f>YEAR('data on outstanding creditors'!$B2072)</f>
        <v>2025</v>
      </c>
      <c r="T2072" s="11" t="str">
        <f>'data on outstanding creditors'!$C2072&amp;" "&amp;'data on outstanding creditors'!$D2072&amp;" "&amp;TEXT('data on outstanding creditors'!$E2072,"#,##0.00")</f>
        <v>บ.เอ็ม ดี ซี (ประเทศไทย) IV25050725 20,000.00</v>
      </c>
      <c r="U2072" s="12"/>
    </row>
    <row r="2073" ht="13.5" customHeight="1">
      <c r="A2073" s="1" t="s">
        <v>2894</v>
      </c>
      <c r="B2073" s="2">
        <v>45804.0</v>
      </c>
      <c r="C2073" s="9" t="s">
        <v>1029</v>
      </c>
      <c r="D2073" s="1" t="s">
        <v>2895</v>
      </c>
      <c r="E2073" s="4">
        <v>10400.0</v>
      </c>
      <c r="F2073" s="4"/>
      <c r="G2073" s="4"/>
      <c r="H2073" s="4">
        <f>'data on outstanding creditors'!$E2073-'data on outstanding creditors'!$F2073-'data on outstanding creditors'!$G2073</f>
        <v>10400</v>
      </c>
      <c r="I2073" s="2"/>
      <c r="J2073" s="1" t="s">
        <v>757</v>
      </c>
      <c r="K2073" s="2">
        <v>45916.0</v>
      </c>
      <c r="L2073" s="5"/>
      <c r="M2073" s="9" t="s">
        <v>43</v>
      </c>
      <c r="N2073" s="9" t="s">
        <v>49</v>
      </c>
      <c r="O2073" s="10">
        <f>'data on outstanding creditors'!$E2073*100/107</f>
        <v>9719.626168</v>
      </c>
      <c r="P2073" s="10">
        <f>'data on outstanding creditors'!$E2073-'data on outstanding creditors'!$O2073</f>
        <v>680.3738318</v>
      </c>
      <c r="Q2073" s="7">
        <f>DAY('data on outstanding creditors'!$B2073)</f>
        <v>27</v>
      </c>
      <c r="R2073" s="7">
        <f>MONTH('data on outstanding creditors'!$B2073)</f>
        <v>5</v>
      </c>
      <c r="S2073" s="7">
        <f>YEAR('data on outstanding creditors'!$B2073)</f>
        <v>2025</v>
      </c>
      <c r="T2073" s="11" t="str">
        <f>'data on outstanding creditors'!$C2073&amp;" "&amp;'data on outstanding creditors'!$D2073&amp;" "&amp;TEXT('data on outstanding creditors'!$E2073,"#,##0.00")</f>
        <v>บ.เอเทค เมดิคอล IV6806011 10,400.00</v>
      </c>
      <c r="U2073" s="12"/>
    </row>
    <row r="2074" ht="13.5" customHeight="1">
      <c r="A2074" s="1" t="s">
        <v>2896</v>
      </c>
      <c r="B2074" s="2">
        <v>45807.0</v>
      </c>
      <c r="C2074" s="9" t="s">
        <v>1029</v>
      </c>
      <c r="D2074" s="1" t="s">
        <v>2897</v>
      </c>
      <c r="E2074" s="4">
        <v>6000.0</v>
      </c>
      <c r="F2074" s="4"/>
      <c r="G2074" s="4"/>
      <c r="H2074" s="4">
        <f>'data on outstanding creditors'!$E2074-'data on outstanding creditors'!$F2074-'data on outstanding creditors'!$G2074</f>
        <v>6000</v>
      </c>
      <c r="I2074" s="2"/>
      <c r="J2074" s="1" t="s">
        <v>757</v>
      </c>
      <c r="K2074" s="2">
        <v>45871.0</v>
      </c>
      <c r="L2074" s="5"/>
      <c r="M2074" s="9" t="s">
        <v>43</v>
      </c>
      <c r="N2074" s="9" t="s">
        <v>49</v>
      </c>
      <c r="O2074" s="10">
        <f>'data on outstanding creditors'!$E2074*100/107</f>
        <v>5607.476636</v>
      </c>
      <c r="P2074" s="10">
        <f>'data on outstanding creditors'!$E2074-'data on outstanding creditors'!$O2074</f>
        <v>392.5233645</v>
      </c>
      <c r="Q2074" s="7">
        <f>DAY('data on outstanding creditors'!$B2074)</f>
        <v>30</v>
      </c>
      <c r="R2074" s="7">
        <f>MONTH('data on outstanding creditors'!$B2074)</f>
        <v>5</v>
      </c>
      <c r="S2074" s="7">
        <f>YEAR('data on outstanding creditors'!$B2074)</f>
        <v>2025</v>
      </c>
      <c r="T2074" s="11" t="str">
        <f>'data on outstanding creditors'!$C2074&amp;" "&amp;'data on outstanding creditors'!$D2074&amp;" "&amp;TEXT('data on outstanding creditors'!$E2074,"#,##0.00")</f>
        <v>บ.เอเทค เมดิคอล IV6805568 6,000.00</v>
      </c>
      <c r="U2074" s="12"/>
    </row>
    <row r="2075" ht="13.5" customHeight="1">
      <c r="A2075" s="1" t="s">
        <v>2898</v>
      </c>
      <c r="B2075" s="2">
        <v>45807.0</v>
      </c>
      <c r="C2075" s="9" t="s">
        <v>1029</v>
      </c>
      <c r="D2075" s="1" t="s">
        <v>2899</v>
      </c>
      <c r="E2075" s="4">
        <v>18200.0</v>
      </c>
      <c r="F2075" s="4"/>
      <c r="G2075" s="4"/>
      <c r="H2075" s="4">
        <f>'data on outstanding creditors'!$E2075-'data on outstanding creditors'!$F2075-'data on outstanding creditors'!$G2075</f>
        <v>18200</v>
      </c>
      <c r="I2075" s="2"/>
      <c r="J2075" s="1"/>
      <c r="K2075" s="2"/>
      <c r="L2075" s="5"/>
      <c r="M2075" s="9" t="s">
        <v>43</v>
      </c>
      <c r="N2075" s="9" t="s">
        <v>49</v>
      </c>
      <c r="O2075" s="10">
        <f>'data on outstanding creditors'!$E2075*100/107</f>
        <v>17009.34579</v>
      </c>
      <c r="P2075" s="10">
        <f>'data on outstanding creditors'!$E2075-'data on outstanding creditors'!$O2075</f>
        <v>1190.654206</v>
      </c>
      <c r="Q2075" s="7">
        <f>DAY('data on outstanding creditors'!$B2075)</f>
        <v>30</v>
      </c>
      <c r="R2075" s="7">
        <f>MONTH('data on outstanding creditors'!$B2075)</f>
        <v>5</v>
      </c>
      <c r="S2075" s="7">
        <f>YEAR('data on outstanding creditors'!$B2075)</f>
        <v>2025</v>
      </c>
      <c r="T2075" s="11" t="str">
        <f>'data on outstanding creditors'!$C2075&amp;" "&amp;'data on outstanding creditors'!$D2075&amp;" "&amp;TEXT('data on outstanding creditors'!$E2075,"#,##0.00")</f>
        <v>บ.เอเทค เมดิคอล IV6805603 18,200.00</v>
      </c>
      <c r="U2075" s="12"/>
    </row>
    <row r="2076" ht="13.5" customHeight="1">
      <c r="A2076" s="1" t="s">
        <v>2900</v>
      </c>
      <c r="B2076" s="2">
        <v>45807.0</v>
      </c>
      <c r="C2076" s="9" t="s">
        <v>1320</v>
      </c>
      <c r="D2076" s="1" t="s">
        <v>2901</v>
      </c>
      <c r="E2076" s="4">
        <v>27000.0</v>
      </c>
      <c r="F2076" s="4"/>
      <c r="G2076" s="4"/>
      <c r="H2076" s="4">
        <f>'data on outstanding creditors'!$E2076-'data on outstanding creditors'!$F2076-'data on outstanding creditors'!$G2076</f>
        <v>27000</v>
      </c>
      <c r="I2076" s="2"/>
      <c r="J2076" s="1" t="s">
        <v>757</v>
      </c>
      <c r="K2076" s="2">
        <v>45911.0</v>
      </c>
      <c r="L2076" s="5"/>
      <c r="M2076" s="9" t="s">
        <v>43</v>
      </c>
      <c r="N2076" s="9" t="s">
        <v>49</v>
      </c>
      <c r="O2076" s="10">
        <f>'data on outstanding creditors'!$E2076*100/107</f>
        <v>25233.64486</v>
      </c>
      <c r="P2076" s="10">
        <f>'data on outstanding creditors'!$E2076-'data on outstanding creditors'!$O2076</f>
        <v>1766.35514</v>
      </c>
      <c r="Q2076" s="7">
        <f>DAY('data on outstanding creditors'!$B2076)</f>
        <v>30</v>
      </c>
      <c r="R2076" s="7">
        <f>MONTH('data on outstanding creditors'!$B2076)</f>
        <v>5</v>
      </c>
      <c r="S2076" s="7">
        <f>YEAR('data on outstanding creditors'!$B2076)</f>
        <v>2025</v>
      </c>
      <c r="T2076" s="11" t="str">
        <f>'data on outstanding creditors'!$C2076&amp;" "&amp;'data on outstanding creditors'!$D2076&amp;" "&amp;TEXT('data on outstanding creditors'!$E2076,"#,##0.00")</f>
        <v>บ.บี.เอ็ล.ฮั้ว 68019025 27,000.00</v>
      </c>
      <c r="U2076" s="12"/>
    </row>
    <row r="2077" ht="13.5" customHeight="1">
      <c r="A2077" s="1" t="s">
        <v>2902</v>
      </c>
      <c r="B2077" s="2">
        <v>45812.0</v>
      </c>
      <c r="C2077" s="9" t="s">
        <v>1029</v>
      </c>
      <c r="D2077" s="1" t="s">
        <v>2903</v>
      </c>
      <c r="E2077" s="4">
        <v>3750.0</v>
      </c>
      <c r="F2077" s="4"/>
      <c r="G2077" s="4"/>
      <c r="H2077" s="4">
        <f>'data on outstanding creditors'!$E2077-'data on outstanding creditors'!$F2077-'data on outstanding creditors'!$G2077</f>
        <v>3750</v>
      </c>
      <c r="I2077" s="2"/>
      <c r="J2077" s="1" t="s">
        <v>757</v>
      </c>
      <c r="K2077" s="2">
        <v>45871.0</v>
      </c>
      <c r="L2077" s="5"/>
      <c r="M2077" s="9" t="s">
        <v>43</v>
      </c>
      <c r="N2077" s="9" t="s">
        <v>49</v>
      </c>
      <c r="O2077" s="10">
        <f>'data on outstanding creditors'!$E2077*100/107</f>
        <v>3504.672897</v>
      </c>
      <c r="P2077" s="10">
        <f>'data on outstanding creditors'!$E2077-'data on outstanding creditors'!$O2077</f>
        <v>245.3271028</v>
      </c>
      <c r="Q2077" s="7">
        <f>DAY('data on outstanding creditors'!$B2077)</f>
        <v>4</v>
      </c>
      <c r="R2077" s="7">
        <f>MONTH('data on outstanding creditors'!$B2077)</f>
        <v>6</v>
      </c>
      <c r="S2077" s="7">
        <f>YEAR('data on outstanding creditors'!$B2077)</f>
        <v>2025</v>
      </c>
      <c r="T2077" s="11" t="str">
        <f>'data on outstanding creditors'!$C2077&amp;" "&amp;'data on outstanding creditors'!$D2077&amp;" "&amp;TEXT('data on outstanding creditors'!$E2077,"#,##0.00")</f>
        <v>บ.เอเทค เมดิคอล IV6805610 3,750.00</v>
      </c>
      <c r="U2077" s="12"/>
    </row>
    <row r="2078" ht="13.5" customHeight="1">
      <c r="A2078" s="1" t="s">
        <v>2904</v>
      </c>
      <c r="B2078" s="2">
        <v>45812.0</v>
      </c>
      <c r="C2078" s="9" t="s">
        <v>1029</v>
      </c>
      <c r="D2078" s="1" t="s">
        <v>2905</v>
      </c>
      <c r="E2078" s="4">
        <v>35200.0</v>
      </c>
      <c r="F2078" s="4"/>
      <c r="G2078" s="4"/>
      <c r="H2078" s="4">
        <f>'data on outstanding creditors'!$E2078-'data on outstanding creditors'!$F2078-'data on outstanding creditors'!$G2078</f>
        <v>35200</v>
      </c>
      <c r="I2078" s="2"/>
      <c r="J2078" s="1" t="s">
        <v>757</v>
      </c>
      <c r="K2078" s="2">
        <v>45871.0</v>
      </c>
      <c r="L2078" s="5"/>
      <c r="M2078" s="9" t="s">
        <v>43</v>
      </c>
      <c r="N2078" s="9" t="s">
        <v>49</v>
      </c>
      <c r="O2078" s="10">
        <f>'data on outstanding creditors'!$E2078*100/107</f>
        <v>32897.19626</v>
      </c>
      <c r="P2078" s="10">
        <f>'data on outstanding creditors'!$E2078-'data on outstanding creditors'!$O2078</f>
        <v>2302.803738</v>
      </c>
      <c r="Q2078" s="7">
        <f>DAY('data on outstanding creditors'!$B2078)</f>
        <v>4</v>
      </c>
      <c r="R2078" s="7">
        <f>MONTH('data on outstanding creditors'!$B2078)</f>
        <v>6</v>
      </c>
      <c r="S2078" s="7">
        <f>YEAR('data on outstanding creditors'!$B2078)</f>
        <v>2025</v>
      </c>
      <c r="T2078" s="11" t="str">
        <f>'data on outstanding creditors'!$C2078&amp;" "&amp;'data on outstanding creditors'!$D2078&amp;" "&amp;TEXT('data on outstanding creditors'!$E2078,"#,##0.00")</f>
        <v>บ.เอเทค เมดิคอล IV6805585 35,200.00</v>
      </c>
      <c r="U2078" s="12"/>
    </row>
    <row r="2079" ht="13.5" customHeight="1">
      <c r="A2079" s="1" t="s">
        <v>2906</v>
      </c>
      <c r="B2079" s="2">
        <v>45812.0</v>
      </c>
      <c r="C2079" s="9" t="s">
        <v>2389</v>
      </c>
      <c r="D2079" s="1" t="s">
        <v>2907</v>
      </c>
      <c r="E2079" s="4">
        <v>86700.0</v>
      </c>
      <c r="F2079" s="4"/>
      <c r="G2079" s="4"/>
      <c r="H2079" s="4">
        <f>'data on outstanding creditors'!$E2079-'data on outstanding creditors'!$F2079-'data on outstanding creditors'!$G2079</f>
        <v>86700</v>
      </c>
      <c r="I2079" s="2"/>
      <c r="J2079" s="1"/>
      <c r="K2079" s="2"/>
      <c r="L2079" s="5"/>
      <c r="M2079" s="9" t="s">
        <v>43</v>
      </c>
      <c r="N2079" s="9" t="s">
        <v>49</v>
      </c>
      <c r="O2079" s="10">
        <f>'data on outstanding creditors'!$E2079*100/107</f>
        <v>81028.03738</v>
      </c>
      <c r="P2079" s="10">
        <f>'data on outstanding creditors'!$E2079-'data on outstanding creditors'!$O2079</f>
        <v>5671.962617</v>
      </c>
      <c r="Q2079" s="7">
        <f>DAY('data on outstanding creditors'!$B2079)</f>
        <v>4</v>
      </c>
      <c r="R2079" s="7">
        <f>MONTH('data on outstanding creditors'!$B2079)</f>
        <v>6</v>
      </c>
      <c r="S2079" s="7">
        <f>YEAR('data on outstanding creditors'!$B2079)</f>
        <v>2025</v>
      </c>
      <c r="T2079" s="11" t="str">
        <f>'data on outstanding creditors'!$C2079&amp;" "&amp;'data on outstanding creditors'!$D2079&amp;" "&amp;TEXT('data on outstanding creditors'!$E2079,"#,##0.00")</f>
        <v>บ.ซี วี พี เมดิคอล เทคโนโลยี SI01/68060036 86,700.00</v>
      </c>
      <c r="U2079" s="12"/>
    </row>
    <row r="2080" ht="13.5" customHeight="1">
      <c r="A2080" s="1" t="s">
        <v>2908</v>
      </c>
      <c r="B2080" s="2">
        <v>45812.0</v>
      </c>
      <c r="C2080" s="9" t="s">
        <v>2472</v>
      </c>
      <c r="D2080" s="1" t="s">
        <v>2909</v>
      </c>
      <c r="E2080" s="4">
        <v>32000.0</v>
      </c>
      <c r="F2080" s="4"/>
      <c r="G2080" s="4"/>
      <c r="H2080" s="4">
        <f>'data on outstanding creditors'!$E2080-'data on outstanding creditors'!$F2080-'data on outstanding creditors'!$G2080</f>
        <v>32000</v>
      </c>
      <c r="I2080" s="2"/>
      <c r="J2080" s="1" t="s">
        <v>757</v>
      </c>
      <c r="K2080" s="2">
        <v>45917.0</v>
      </c>
      <c r="L2080" s="5"/>
      <c r="M2080" s="9" t="s">
        <v>43</v>
      </c>
      <c r="N2080" s="9" t="s">
        <v>49</v>
      </c>
      <c r="O2080" s="10">
        <f>'data on outstanding creditors'!$E2080*100/107</f>
        <v>29906.54206</v>
      </c>
      <c r="P2080" s="10">
        <f>'data on outstanding creditors'!$E2080-'data on outstanding creditors'!$O2080</f>
        <v>2093.457944</v>
      </c>
      <c r="Q2080" s="7">
        <f>DAY('data on outstanding creditors'!$B2080)</f>
        <v>4</v>
      </c>
      <c r="R2080" s="7">
        <f>MONTH('data on outstanding creditors'!$B2080)</f>
        <v>6</v>
      </c>
      <c r="S2080" s="7">
        <f>YEAR('data on outstanding creditors'!$B2080)</f>
        <v>2025</v>
      </c>
      <c r="T2080" s="11" t="str">
        <f>'data on outstanding creditors'!$C2080&amp;" "&amp;'data on outstanding creditors'!$D2080&amp;" "&amp;TEXT('data on outstanding creditors'!$E2080,"#,##0.00")</f>
        <v>บ.เอเมอร์สัน กรุ๊ป IV6806022 32,000.00</v>
      </c>
      <c r="U2080" s="12"/>
    </row>
    <row r="2081" ht="13.5" customHeight="1">
      <c r="A2081" s="1" t="s">
        <v>2910</v>
      </c>
      <c r="B2081" s="2">
        <v>45812.0</v>
      </c>
      <c r="C2081" s="9" t="s">
        <v>1029</v>
      </c>
      <c r="D2081" s="1" t="s">
        <v>2911</v>
      </c>
      <c r="E2081" s="4">
        <v>18500.0</v>
      </c>
      <c r="F2081" s="4"/>
      <c r="G2081" s="4"/>
      <c r="H2081" s="4">
        <f>'data on outstanding creditors'!$E2081-'data on outstanding creditors'!$F2081-'data on outstanding creditors'!$G2081</f>
        <v>18500</v>
      </c>
      <c r="I2081" s="2"/>
      <c r="J2081" s="1"/>
      <c r="K2081" s="2"/>
      <c r="L2081" s="5"/>
      <c r="M2081" s="9" t="s">
        <v>43</v>
      </c>
      <c r="N2081" s="9" t="s">
        <v>49</v>
      </c>
      <c r="O2081" s="10">
        <f>'data on outstanding creditors'!$E2081*100/107</f>
        <v>17289.71963</v>
      </c>
      <c r="P2081" s="10">
        <f>'data on outstanding creditors'!$E2081-'data on outstanding creditors'!$O2081</f>
        <v>1210.280374</v>
      </c>
      <c r="Q2081" s="7">
        <f>DAY('data on outstanding creditors'!$B2081)</f>
        <v>4</v>
      </c>
      <c r="R2081" s="7">
        <f>MONTH('data on outstanding creditors'!$B2081)</f>
        <v>6</v>
      </c>
      <c r="S2081" s="7">
        <f>YEAR('data on outstanding creditors'!$B2081)</f>
        <v>2025</v>
      </c>
      <c r="T2081" s="11" t="str">
        <f>'data on outstanding creditors'!$C2081&amp;" "&amp;'data on outstanding creditors'!$D2081&amp;" "&amp;TEXT('data on outstanding creditors'!$E2081,"#,##0.00")</f>
        <v>บ.เอเทค เมดิคอล IV6806043 18,500.00</v>
      </c>
      <c r="U2081" s="12"/>
    </row>
    <row r="2082" ht="13.5" customHeight="1">
      <c r="A2082" s="1" t="s">
        <v>2912</v>
      </c>
      <c r="B2082" s="2">
        <v>45812.0</v>
      </c>
      <c r="C2082" s="9" t="s">
        <v>1029</v>
      </c>
      <c r="D2082" s="1" t="s">
        <v>2913</v>
      </c>
      <c r="E2082" s="4">
        <v>17600.0</v>
      </c>
      <c r="F2082" s="4"/>
      <c r="G2082" s="4"/>
      <c r="H2082" s="4">
        <f>'data on outstanding creditors'!$E2082-'data on outstanding creditors'!$F2082-'data on outstanding creditors'!$G2082</f>
        <v>17600</v>
      </c>
      <c r="I2082" s="2"/>
      <c r="J2082" s="1"/>
      <c r="K2082" s="2"/>
      <c r="L2082" s="5"/>
      <c r="M2082" s="9" t="s">
        <v>43</v>
      </c>
      <c r="N2082" s="9" t="s">
        <v>49</v>
      </c>
      <c r="O2082" s="10">
        <f>'data on outstanding creditors'!$E2082*100/107</f>
        <v>16448.59813</v>
      </c>
      <c r="P2082" s="10">
        <f>'data on outstanding creditors'!$E2082-'data on outstanding creditors'!$O2082</f>
        <v>1151.401869</v>
      </c>
      <c r="Q2082" s="7">
        <f>DAY('data on outstanding creditors'!$B2082)</f>
        <v>4</v>
      </c>
      <c r="R2082" s="7">
        <f>MONTH('data on outstanding creditors'!$B2082)</f>
        <v>6</v>
      </c>
      <c r="S2082" s="7">
        <f>YEAR('data on outstanding creditors'!$B2082)</f>
        <v>2025</v>
      </c>
      <c r="T2082" s="11" t="str">
        <f>'data on outstanding creditors'!$C2082&amp;" "&amp;'data on outstanding creditors'!$D2082&amp;" "&amp;TEXT('data on outstanding creditors'!$E2082,"#,##0.00")</f>
        <v>บ.เอเทค เมดิคอล IV6806042 17,600.00</v>
      </c>
      <c r="U2082" s="12"/>
    </row>
    <row r="2083" ht="13.5" customHeight="1">
      <c r="A2083" s="1" t="s">
        <v>2914</v>
      </c>
      <c r="B2083" s="2">
        <v>45812.0</v>
      </c>
      <c r="C2083" s="9" t="s">
        <v>1029</v>
      </c>
      <c r="D2083" s="1" t="s">
        <v>2915</v>
      </c>
      <c r="E2083" s="4">
        <v>16700.0</v>
      </c>
      <c r="F2083" s="4"/>
      <c r="G2083" s="4"/>
      <c r="H2083" s="4">
        <f>'data on outstanding creditors'!$E2083-'data on outstanding creditors'!$F2083-'data on outstanding creditors'!$G2083</f>
        <v>16700</v>
      </c>
      <c r="I2083" s="2"/>
      <c r="J2083" s="1" t="s">
        <v>757</v>
      </c>
      <c r="K2083" s="2">
        <v>45916.0</v>
      </c>
      <c r="L2083" s="5"/>
      <c r="M2083" s="9" t="s">
        <v>43</v>
      </c>
      <c r="N2083" s="9" t="s">
        <v>49</v>
      </c>
      <c r="O2083" s="10">
        <f>'data on outstanding creditors'!$E2083*100/107</f>
        <v>15607.47664</v>
      </c>
      <c r="P2083" s="10">
        <f>'data on outstanding creditors'!$E2083-'data on outstanding creditors'!$O2083</f>
        <v>1092.523364</v>
      </c>
      <c r="Q2083" s="7">
        <f>DAY('data on outstanding creditors'!$B2083)</f>
        <v>4</v>
      </c>
      <c r="R2083" s="7">
        <f>MONTH('data on outstanding creditors'!$B2083)</f>
        <v>6</v>
      </c>
      <c r="S2083" s="7">
        <f>YEAR('data on outstanding creditors'!$B2083)</f>
        <v>2025</v>
      </c>
      <c r="T2083" s="11" t="str">
        <f>'data on outstanding creditors'!$C2083&amp;" "&amp;'data on outstanding creditors'!$D2083&amp;" "&amp;TEXT('data on outstanding creditors'!$E2083,"#,##0.00")</f>
        <v>บ.เอเทค เมดิคอล IV6806102 16,700.00</v>
      </c>
      <c r="U2083" s="12"/>
    </row>
    <row r="2084" ht="13.5" customHeight="1">
      <c r="A2084" s="1" t="s">
        <v>2916</v>
      </c>
      <c r="B2084" s="2">
        <v>45812.0</v>
      </c>
      <c r="C2084" s="9" t="s">
        <v>1029</v>
      </c>
      <c r="D2084" s="1" t="s">
        <v>2917</v>
      </c>
      <c r="E2084" s="4">
        <v>17300.0</v>
      </c>
      <c r="F2084" s="4"/>
      <c r="G2084" s="4"/>
      <c r="H2084" s="4">
        <f>'data on outstanding creditors'!$E2084-'data on outstanding creditors'!$F2084-'data on outstanding creditors'!$G2084</f>
        <v>17300</v>
      </c>
      <c r="I2084" s="2"/>
      <c r="J2084" s="1"/>
      <c r="K2084" s="2"/>
      <c r="L2084" s="5"/>
      <c r="M2084" s="9" t="s">
        <v>43</v>
      </c>
      <c r="N2084" s="9" t="s">
        <v>49</v>
      </c>
      <c r="O2084" s="10">
        <f>'data on outstanding creditors'!$E2084*100/107</f>
        <v>16168.2243</v>
      </c>
      <c r="P2084" s="10">
        <f>'data on outstanding creditors'!$E2084-'data on outstanding creditors'!$O2084</f>
        <v>1131.775701</v>
      </c>
      <c r="Q2084" s="7">
        <f>DAY('data on outstanding creditors'!$B2084)</f>
        <v>4</v>
      </c>
      <c r="R2084" s="7">
        <f>MONTH('data on outstanding creditors'!$B2084)</f>
        <v>6</v>
      </c>
      <c r="S2084" s="7">
        <f>YEAR('data on outstanding creditors'!$B2084)</f>
        <v>2025</v>
      </c>
      <c r="T2084" s="11" t="str">
        <f>'data on outstanding creditors'!$C2084&amp;" "&amp;'data on outstanding creditors'!$D2084&amp;" "&amp;TEXT('data on outstanding creditors'!$E2084,"#,##0.00")</f>
        <v>บ.เอเทค เมดิคอล IV6806188 17,300.00</v>
      </c>
      <c r="U2084" s="12"/>
    </row>
    <row r="2085" ht="13.5" customHeight="1">
      <c r="A2085" s="1"/>
      <c r="B2085" s="2">
        <v>45813.0</v>
      </c>
      <c r="C2085" s="9" t="s">
        <v>2387</v>
      </c>
      <c r="D2085" s="1" t="s">
        <v>2918</v>
      </c>
      <c r="E2085" s="4">
        <v>50000.0</v>
      </c>
      <c r="F2085" s="4"/>
      <c r="G2085" s="4"/>
      <c r="H2085" s="4">
        <f>'data on outstanding creditors'!$E2085-'data on outstanding creditors'!$F2085-'data on outstanding creditors'!$G2085</f>
        <v>50000</v>
      </c>
      <c r="I2085" s="2"/>
      <c r="J2085" s="1" t="s">
        <v>646</v>
      </c>
      <c r="K2085" s="2">
        <v>45877.0</v>
      </c>
      <c r="L2085" s="5"/>
      <c r="M2085" s="9" t="s">
        <v>43</v>
      </c>
      <c r="N2085" s="9" t="s">
        <v>23</v>
      </c>
      <c r="O2085" s="10">
        <f>'data on outstanding creditors'!$E2085*100/107</f>
        <v>46728.97196</v>
      </c>
      <c r="P2085" s="10">
        <f>'data on outstanding creditors'!$E2085-'data on outstanding creditors'!$O2085</f>
        <v>3271.028037</v>
      </c>
      <c r="Q2085" s="7">
        <f>DAY('data on outstanding creditors'!$B2085)</f>
        <v>5</v>
      </c>
      <c r="R2085" s="7">
        <f>MONTH('data on outstanding creditors'!$B2085)</f>
        <v>6</v>
      </c>
      <c r="S2085" s="7">
        <f>YEAR('data on outstanding creditors'!$B2085)</f>
        <v>2025</v>
      </c>
      <c r="T2085" s="11" t="str">
        <f>'data on outstanding creditors'!$C2085&amp;" "&amp;'data on outstanding creditors'!$D2085&amp;" "&amp;TEXT('data on outstanding creditors'!$E2085,"#,##0.00")</f>
        <v>บ.บุนย์วานิช อินเตอร์เนชั่นแนล FM680499 50,000.00</v>
      </c>
      <c r="U2085" s="12"/>
    </row>
    <row r="2086" ht="13.5" customHeight="1">
      <c r="A2086" s="1"/>
      <c r="B2086" s="2">
        <v>45813.0</v>
      </c>
      <c r="C2086" s="9" t="s">
        <v>1637</v>
      </c>
      <c r="D2086" s="1" t="s">
        <v>2919</v>
      </c>
      <c r="E2086" s="4">
        <v>24500.0</v>
      </c>
      <c r="F2086" s="4"/>
      <c r="G2086" s="4"/>
      <c r="H2086" s="4">
        <f>'data on outstanding creditors'!$E2086-'data on outstanding creditors'!$F2086-'data on outstanding creditors'!$G2086</f>
        <v>24500</v>
      </c>
      <c r="I2086" s="2"/>
      <c r="J2086" s="1" t="s">
        <v>646</v>
      </c>
      <c r="K2086" s="2">
        <v>45944.0</v>
      </c>
      <c r="L2086" s="5"/>
      <c r="M2086" s="9" t="s">
        <v>43</v>
      </c>
      <c r="N2086" s="9" t="s">
        <v>23</v>
      </c>
      <c r="O2086" s="10">
        <f>'data on outstanding creditors'!$E2086*100/107</f>
        <v>22897.19626</v>
      </c>
      <c r="P2086" s="10">
        <f>'data on outstanding creditors'!$E2086-'data on outstanding creditors'!$O2086</f>
        <v>1602.803738</v>
      </c>
      <c r="Q2086" s="7">
        <f>DAY('data on outstanding creditors'!$B2086)</f>
        <v>5</v>
      </c>
      <c r="R2086" s="7">
        <f>MONTH('data on outstanding creditors'!$B2086)</f>
        <v>6</v>
      </c>
      <c r="S2086" s="7">
        <f>YEAR('data on outstanding creditors'!$B2086)</f>
        <v>2025</v>
      </c>
      <c r="T2086" s="11" t="str">
        <f>'data on outstanding creditors'!$C2086&amp;" "&amp;'data on outstanding creditors'!$D2086&amp;" "&amp;TEXT('data on outstanding creditors'!$E2086,"#,##0.00")</f>
        <v>บ.บีเจเอช เมดิคอล 330557401476 24,500.00</v>
      </c>
      <c r="U2086" s="12"/>
    </row>
    <row r="2087" ht="13.5" customHeight="1">
      <c r="A2087" s="1" t="s">
        <v>2920</v>
      </c>
      <c r="B2087" s="2">
        <v>45814.0</v>
      </c>
      <c r="C2087" s="9" t="s">
        <v>2472</v>
      </c>
      <c r="D2087" s="1" t="s">
        <v>2921</v>
      </c>
      <c r="E2087" s="4">
        <v>32000.0</v>
      </c>
      <c r="F2087" s="4"/>
      <c r="G2087" s="4"/>
      <c r="H2087" s="4">
        <f>'data on outstanding creditors'!$E2087-'data on outstanding creditors'!$F2087-'data on outstanding creditors'!$G2087</f>
        <v>32000</v>
      </c>
      <c r="I2087" s="2"/>
      <c r="J2087" s="1" t="s">
        <v>757</v>
      </c>
      <c r="K2087" s="2">
        <v>45917.0</v>
      </c>
      <c r="L2087" s="5"/>
      <c r="M2087" s="9" t="s">
        <v>43</v>
      </c>
      <c r="N2087" s="9" t="s">
        <v>49</v>
      </c>
      <c r="O2087" s="10">
        <f>'data on outstanding creditors'!$E2087*100/107</f>
        <v>29906.54206</v>
      </c>
      <c r="P2087" s="10">
        <f>'data on outstanding creditors'!$E2087-'data on outstanding creditors'!$O2087</f>
        <v>2093.457944</v>
      </c>
      <c r="Q2087" s="7">
        <f>DAY('data on outstanding creditors'!$B2087)</f>
        <v>6</v>
      </c>
      <c r="R2087" s="7">
        <f>MONTH('data on outstanding creditors'!$B2087)</f>
        <v>6</v>
      </c>
      <c r="S2087" s="7">
        <f>YEAR('data on outstanding creditors'!$B2087)</f>
        <v>2025</v>
      </c>
      <c r="T2087" s="11" t="str">
        <f>'data on outstanding creditors'!$C2087&amp;" "&amp;'data on outstanding creditors'!$D2087&amp;" "&amp;TEXT('data on outstanding creditors'!$E2087,"#,##0.00")</f>
        <v>บ.เอเมอร์สัน กรุ๊ป IV6806125 32,000.00</v>
      </c>
      <c r="U2087" s="12"/>
    </row>
    <row r="2088" ht="13.5" customHeight="1">
      <c r="A2088" s="1"/>
      <c r="B2088" s="2">
        <v>45817.0</v>
      </c>
      <c r="C2088" s="9" t="s">
        <v>688</v>
      </c>
      <c r="D2088" s="1" t="s">
        <v>2922</v>
      </c>
      <c r="E2088" s="4">
        <v>128400.0</v>
      </c>
      <c r="F2088" s="4"/>
      <c r="G2088" s="4"/>
      <c r="H2088" s="4">
        <f>'data on outstanding creditors'!$E2088-'data on outstanding creditors'!$F2088-'data on outstanding creditors'!$G2088</f>
        <v>128400</v>
      </c>
      <c r="I2088" s="2"/>
      <c r="J2088" s="1" t="s">
        <v>646</v>
      </c>
      <c r="K2088" s="2">
        <v>45889.0</v>
      </c>
      <c r="L2088" s="5"/>
      <c r="M2088" s="9" t="s">
        <v>43</v>
      </c>
      <c r="N2088" s="9" t="s">
        <v>23</v>
      </c>
      <c r="O2088" s="10">
        <f>'data on outstanding creditors'!$E2088*100/107</f>
        <v>120000</v>
      </c>
      <c r="P2088" s="10">
        <f>'data on outstanding creditors'!$E2088-'data on outstanding creditors'!$O2088</f>
        <v>8400</v>
      </c>
      <c r="Q2088" s="7">
        <f>DAY('data on outstanding creditors'!$B2088)</f>
        <v>9</v>
      </c>
      <c r="R2088" s="7">
        <f>MONTH('data on outstanding creditors'!$B2088)</f>
        <v>6</v>
      </c>
      <c r="S2088" s="7">
        <f>YEAR('data on outstanding creditors'!$B2088)</f>
        <v>2025</v>
      </c>
      <c r="T2088" s="11" t="str">
        <f>'data on outstanding creditors'!$C2088&amp;" "&amp;'data on outstanding creditors'!$D2088&amp;" "&amp;TEXT('data on outstanding creditors'!$E2088,"#,##0.00")</f>
        <v>บ.โอเร็กซ์ เทรดดิ้ง 680504833 128,400.00</v>
      </c>
      <c r="U2088" s="12"/>
    </row>
    <row r="2089" ht="13.5" customHeight="1">
      <c r="A2089" s="1"/>
      <c r="B2089" s="2">
        <v>45817.0</v>
      </c>
      <c r="C2089" s="9" t="s">
        <v>688</v>
      </c>
      <c r="D2089" s="1" t="s">
        <v>2923</v>
      </c>
      <c r="E2089" s="4">
        <v>95230.0</v>
      </c>
      <c r="F2089" s="4"/>
      <c r="G2089" s="4"/>
      <c r="H2089" s="4">
        <f>'data on outstanding creditors'!$E2089-'data on outstanding creditors'!$F2089-'data on outstanding creditors'!$G2089</f>
        <v>95230</v>
      </c>
      <c r="I2089" s="2"/>
      <c r="J2089" s="1" t="s">
        <v>646</v>
      </c>
      <c r="K2089" s="2">
        <v>45889.0</v>
      </c>
      <c r="L2089" s="5"/>
      <c r="M2089" s="9" t="s">
        <v>43</v>
      </c>
      <c r="N2089" s="9" t="s">
        <v>23</v>
      </c>
      <c r="O2089" s="10">
        <f>'data on outstanding creditors'!$E2089*100/107</f>
        <v>89000</v>
      </c>
      <c r="P2089" s="10">
        <f>'data on outstanding creditors'!$E2089-'data on outstanding creditors'!$O2089</f>
        <v>6230</v>
      </c>
      <c r="Q2089" s="7">
        <f>DAY('data on outstanding creditors'!$B2089)</f>
        <v>9</v>
      </c>
      <c r="R2089" s="7">
        <f>MONTH('data on outstanding creditors'!$B2089)</f>
        <v>6</v>
      </c>
      <c r="S2089" s="7">
        <f>YEAR('data on outstanding creditors'!$B2089)</f>
        <v>2025</v>
      </c>
      <c r="T2089" s="11" t="str">
        <f>'data on outstanding creditors'!$C2089&amp;" "&amp;'data on outstanding creditors'!$D2089&amp;" "&amp;TEXT('data on outstanding creditors'!$E2089,"#,##0.00")</f>
        <v>บ.โอเร็กซ์ เทรดดิ้ง 680504831 95,230.00</v>
      </c>
      <c r="U2089" s="12"/>
    </row>
    <row r="2090" ht="13.5" customHeight="1">
      <c r="A2090" s="1"/>
      <c r="B2090" s="2">
        <v>45817.0</v>
      </c>
      <c r="C2090" s="9" t="s">
        <v>2924</v>
      </c>
      <c r="D2090" s="1" t="s">
        <v>2925</v>
      </c>
      <c r="E2090" s="4">
        <v>16200.0</v>
      </c>
      <c r="F2090" s="4"/>
      <c r="G2090" s="4"/>
      <c r="H2090" s="4">
        <f>'data on outstanding creditors'!$E2090-'data on outstanding creditors'!$F2090-'data on outstanding creditors'!$G2090</f>
        <v>16200</v>
      </c>
      <c r="I2090" s="2"/>
      <c r="J2090" s="1" t="s">
        <v>646</v>
      </c>
      <c r="K2090" s="2">
        <v>45881.0</v>
      </c>
      <c r="L2090" s="5"/>
      <c r="M2090" s="9" t="s">
        <v>43</v>
      </c>
      <c r="N2090" s="9" t="s">
        <v>23</v>
      </c>
      <c r="O2090" s="10">
        <f>'data on outstanding creditors'!$E2090*100/107</f>
        <v>15140.18692</v>
      </c>
      <c r="P2090" s="10">
        <f>'data on outstanding creditors'!$E2090-'data on outstanding creditors'!$O2090</f>
        <v>1059.813084</v>
      </c>
      <c r="Q2090" s="7">
        <f>DAY('data on outstanding creditors'!$B2090)</f>
        <v>9</v>
      </c>
      <c r="R2090" s="7">
        <f>MONTH('data on outstanding creditors'!$B2090)</f>
        <v>6</v>
      </c>
      <c r="S2090" s="7">
        <f>YEAR('data on outstanding creditors'!$B2090)</f>
        <v>2025</v>
      </c>
      <c r="T2090" s="11" t="str">
        <f>'data on outstanding creditors'!$C2090&amp;" "&amp;'data on outstanding creditors'!$D2090&amp;" "&amp;TEXT('data on outstanding creditors'!$E2090,"#,##0.00")</f>
        <v>บ.เอฟ.ซี.พี 105000007236 16,200.00</v>
      </c>
      <c r="U2090" s="12"/>
    </row>
    <row r="2091" ht="13.5" customHeight="1">
      <c r="A2091" s="1" t="s">
        <v>2926</v>
      </c>
      <c r="B2091" s="2">
        <v>45817.0</v>
      </c>
      <c r="C2091" s="9" t="s">
        <v>1029</v>
      </c>
      <c r="D2091" s="1" t="s">
        <v>2927</v>
      </c>
      <c r="E2091" s="4">
        <v>16400.0</v>
      </c>
      <c r="F2091" s="4"/>
      <c r="G2091" s="4"/>
      <c r="H2091" s="4">
        <f>'data on outstanding creditors'!$E2091-'data on outstanding creditors'!$F2091-'data on outstanding creditors'!$G2091</f>
        <v>16400</v>
      </c>
      <c r="I2091" s="2"/>
      <c r="J2091" s="1" t="s">
        <v>757</v>
      </c>
      <c r="K2091" s="2">
        <v>45916.0</v>
      </c>
      <c r="L2091" s="5"/>
      <c r="M2091" s="9" t="s">
        <v>43</v>
      </c>
      <c r="N2091" s="9" t="s">
        <v>49</v>
      </c>
      <c r="O2091" s="10">
        <f>'data on outstanding creditors'!$E2091*100/107</f>
        <v>15327.1028</v>
      </c>
      <c r="P2091" s="10">
        <f>'data on outstanding creditors'!$E2091-'data on outstanding creditors'!$O2091</f>
        <v>1072.897196</v>
      </c>
      <c r="Q2091" s="7">
        <f>DAY('data on outstanding creditors'!$B2091)</f>
        <v>9</v>
      </c>
      <c r="R2091" s="7">
        <f>MONTH('data on outstanding creditors'!$B2091)</f>
        <v>6</v>
      </c>
      <c r="S2091" s="7">
        <f>YEAR('data on outstanding creditors'!$B2091)</f>
        <v>2025</v>
      </c>
      <c r="T2091" s="11" t="str">
        <f>'data on outstanding creditors'!$C2091&amp;" "&amp;'data on outstanding creditors'!$D2091&amp;" "&amp;TEXT('data on outstanding creditors'!$E2091,"#,##0.00")</f>
        <v>บ.เอเทค เมดิคอล IV6806094 16,400.00</v>
      </c>
      <c r="U2091" s="12"/>
    </row>
    <row r="2092" ht="13.5" customHeight="1">
      <c r="A2092" s="1" t="s">
        <v>2928</v>
      </c>
      <c r="B2092" s="2">
        <v>45817.0</v>
      </c>
      <c r="C2092" s="9" t="s">
        <v>1029</v>
      </c>
      <c r="D2092" s="1" t="s">
        <v>2929</v>
      </c>
      <c r="E2092" s="4">
        <v>17600.0</v>
      </c>
      <c r="F2092" s="4"/>
      <c r="G2092" s="4"/>
      <c r="H2092" s="4">
        <f>'data on outstanding creditors'!$E2092-'data on outstanding creditors'!$F2092-'data on outstanding creditors'!$G2092</f>
        <v>17600</v>
      </c>
      <c r="I2092" s="2"/>
      <c r="J2092" s="1" t="s">
        <v>757</v>
      </c>
      <c r="K2092" s="2">
        <v>45904.0</v>
      </c>
      <c r="L2092" s="5"/>
      <c r="M2092" s="9" t="s">
        <v>43</v>
      </c>
      <c r="N2092" s="9" t="s">
        <v>49</v>
      </c>
      <c r="O2092" s="10">
        <f>'data on outstanding creditors'!$E2092*100/107</f>
        <v>16448.59813</v>
      </c>
      <c r="P2092" s="10">
        <f>'data on outstanding creditors'!$E2092-'data on outstanding creditors'!$O2092</f>
        <v>1151.401869</v>
      </c>
      <c r="Q2092" s="7">
        <f>DAY('data on outstanding creditors'!$B2092)</f>
        <v>9</v>
      </c>
      <c r="R2092" s="7">
        <f>MONTH('data on outstanding creditors'!$B2092)</f>
        <v>6</v>
      </c>
      <c r="S2092" s="7">
        <f>YEAR('data on outstanding creditors'!$B2092)</f>
        <v>2025</v>
      </c>
      <c r="T2092" s="11" t="str">
        <f>'data on outstanding creditors'!$C2092&amp;" "&amp;'data on outstanding creditors'!$D2092&amp;" "&amp;TEXT('data on outstanding creditors'!$E2092,"#,##0.00")</f>
        <v>บ.เอเทค เมดิคอล IV6806106 17,600.00</v>
      </c>
      <c r="U2092" s="12"/>
    </row>
    <row r="2093" ht="13.5" customHeight="1">
      <c r="A2093" s="1" t="s">
        <v>2930</v>
      </c>
      <c r="B2093" s="2">
        <v>45817.0</v>
      </c>
      <c r="C2093" s="9" t="s">
        <v>1029</v>
      </c>
      <c r="D2093" s="1" t="s">
        <v>2931</v>
      </c>
      <c r="E2093" s="4">
        <v>16700.0</v>
      </c>
      <c r="F2093" s="4"/>
      <c r="G2093" s="4"/>
      <c r="H2093" s="4">
        <f>'data on outstanding creditors'!$E2093-'data on outstanding creditors'!$F2093-'data on outstanding creditors'!$G2093</f>
        <v>16700</v>
      </c>
      <c r="I2093" s="2"/>
      <c r="J2093" s="1" t="s">
        <v>757</v>
      </c>
      <c r="K2093" s="2">
        <v>45904.0</v>
      </c>
      <c r="L2093" s="5"/>
      <c r="M2093" s="9" t="s">
        <v>43</v>
      </c>
      <c r="N2093" s="9" t="s">
        <v>49</v>
      </c>
      <c r="O2093" s="10">
        <f>'data on outstanding creditors'!$E2093*100/107</f>
        <v>15607.47664</v>
      </c>
      <c r="P2093" s="10">
        <f>'data on outstanding creditors'!$E2093-'data on outstanding creditors'!$O2093</f>
        <v>1092.523364</v>
      </c>
      <c r="Q2093" s="7">
        <f>DAY('data on outstanding creditors'!$B2093)</f>
        <v>9</v>
      </c>
      <c r="R2093" s="7">
        <f>MONTH('data on outstanding creditors'!$B2093)</f>
        <v>6</v>
      </c>
      <c r="S2093" s="7">
        <f>YEAR('data on outstanding creditors'!$B2093)</f>
        <v>2025</v>
      </c>
      <c r="T2093" s="11" t="str">
        <f>'data on outstanding creditors'!$C2093&amp;" "&amp;'data on outstanding creditors'!$D2093&amp;" "&amp;TEXT('data on outstanding creditors'!$E2093,"#,##0.00")</f>
        <v>บ.เอเทค เมดิคอล IV6806111 16,700.00</v>
      </c>
      <c r="U2093" s="12"/>
    </row>
    <row r="2094" ht="13.5" customHeight="1">
      <c r="A2094" s="1" t="s">
        <v>2932</v>
      </c>
      <c r="B2094" s="2">
        <v>45817.0</v>
      </c>
      <c r="C2094" s="9" t="s">
        <v>2933</v>
      </c>
      <c r="D2094" s="1" t="s">
        <v>2934</v>
      </c>
      <c r="E2094" s="4">
        <v>32550.0</v>
      </c>
      <c r="F2094" s="4"/>
      <c r="G2094" s="4"/>
      <c r="H2094" s="4">
        <f>'data on outstanding creditors'!$E2094-'data on outstanding creditors'!$F2094-'data on outstanding creditors'!$G2094</f>
        <v>32550</v>
      </c>
      <c r="I2094" s="2"/>
      <c r="J2094" s="1" t="s">
        <v>646</v>
      </c>
      <c r="K2094" s="2">
        <v>45881.0</v>
      </c>
      <c r="L2094" s="5"/>
      <c r="M2094" s="9" t="s">
        <v>43</v>
      </c>
      <c r="N2094" s="9" t="s">
        <v>49</v>
      </c>
      <c r="O2094" s="10">
        <f>'data on outstanding creditors'!$E2094*100/107</f>
        <v>30420.56075</v>
      </c>
      <c r="P2094" s="10">
        <f>'data on outstanding creditors'!$E2094-'data on outstanding creditors'!$O2094</f>
        <v>2129.439252</v>
      </c>
      <c r="Q2094" s="7">
        <f>DAY('data on outstanding creditors'!$B2094)</f>
        <v>9</v>
      </c>
      <c r="R2094" s="7">
        <f>MONTH('data on outstanding creditors'!$B2094)</f>
        <v>6</v>
      </c>
      <c r="S2094" s="7">
        <f>YEAR('data on outstanding creditors'!$B2094)</f>
        <v>2025</v>
      </c>
      <c r="T2094" s="11" t="str">
        <f>'data on outstanding creditors'!$C2094&amp;" "&amp;'data on outstanding creditors'!$D2094&amp;" "&amp;TEXT('data on outstanding creditors'!$E2094,"#,##0.00")</f>
        <v>บ.เอสพีเค เพลนตี้ สตาร์ 30-05/25 32,550.00</v>
      </c>
      <c r="U2094" s="12"/>
    </row>
    <row r="2095" ht="13.5" customHeight="1">
      <c r="A2095" s="1" t="s">
        <v>2935</v>
      </c>
      <c r="B2095" s="2">
        <v>45817.0</v>
      </c>
      <c r="C2095" s="9" t="s">
        <v>2933</v>
      </c>
      <c r="D2095" s="1" t="s">
        <v>2936</v>
      </c>
      <c r="E2095" s="4">
        <v>72000.0</v>
      </c>
      <c r="F2095" s="4"/>
      <c r="G2095" s="4"/>
      <c r="H2095" s="4">
        <f>'data on outstanding creditors'!$E2095-'data on outstanding creditors'!$F2095-'data on outstanding creditors'!$G2095</f>
        <v>72000</v>
      </c>
      <c r="I2095" s="2"/>
      <c r="J2095" s="1" t="s">
        <v>646</v>
      </c>
      <c r="K2095" s="2">
        <v>45881.0</v>
      </c>
      <c r="L2095" s="5"/>
      <c r="M2095" s="9" t="s">
        <v>43</v>
      </c>
      <c r="N2095" s="9" t="s">
        <v>49</v>
      </c>
      <c r="O2095" s="10">
        <f>'data on outstanding creditors'!$E2095*100/107</f>
        <v>67289.71963</v>
      </c>
      <c r="P2095" s="10">
        <f>'data on outstanding creditors'!$E2095-'data on outstanding creditors'!$O2095</f>
        <v>4710.280374</v>
      </c>
      <c r="Q2095" s="7">
        <f>DAY('data on outstanding creditors'!$B2095)</f>
        <v>9</v>
      </c>
      <c r="R2095" s="7">
        <f>MONTH('data on outstanding creditors'!$B2095)</f>
        <v>6</v>
      </c>
      <c r="S2095" s="7">
        <f>YEAR('data on outstanding creditors'!$B2095)</f>
        <v>2025</v>
      </c>
      <c r="T2095" s="11" t="str">
        <f>'data on outstanding creditors'!$C2095&amp;" "&amp;'data on outstanding creditors'!$D2095&amp;" "&amp;TEXT('data on outstanding creditors'!$E2095,"#,##0.00")</f>
        <v>บ.เอสพีเค เพลนตี้ สตาร์ 31-05/25 72,000.00</v>
      </c>
      <c r="U2095" s="12"/>
    </row>
    <row r="2096" ht="13.5" customHeight="1">
      <c r="A2096" s="1" t="s">
        <v>2937</v>
      </c>
      <c r="B2096" s="2">
        <v>45817.0</v>
      </c>
      <c r="C2096" s="9" t="s">
        <v>2408</v>
      </c>
      <c r="D2096" s="1" t="s">
        <v>2938</v>
      </c>
      <c r="E2096" s="4">
        <v>28248.0</v>
      </c>
      <c r="F2096" s="4"/>
      <c r="G2096" s="4"/>
      <c r="H2096" s="4">
        <f>'data on outstanding creditors'!$E2096-'data on outstanding creditors'!$F2096-'data on outstanding creditors'!$G2096</f>
        <v>28248</v>
      </c>
      <c r="I2096" s="2"/>
      <c r="J2096" s="1" t="s">
        <v>646</v>
      </c>
      <c r="K2096" s="2">
        <v>45929.0</v>
      </c>
      <c r="L2096" s="5"/>
      <c r="M2096" s="9" t="s">
        <v>43</v>
      </c>
      <c r="N2096" s="9" t="s">
        <v>49</v>
      </c>
      <c r="O2096" s="10">
        <f>'data on outstanding creditors'!$E2096*100/107</f>
        <v>26400</v>
      </c>
      <c r="P2096" s="10">
        <f>'data on outstanding creditors'!$E2096-'data on outstanding creditors'!$O2096</f>
        <v>1848</v>
      </c>
      <c r="Q2096" s="7">
        <f>DAY('data on outstanding creditors'!$B2096)</f>
        <v>9</v>
      </c>
      <c r="R2096" s="7">
        <f>MONTH('data on outstanding creditors'!$B2096)</f>
        <v>6</v>
      </c>
      <c r="S2096" s="7">
        <f>YEAR('data on outstanding creditors'!$B2096)</f>
        <v>2025</v>
      </c>
      <c r="T2096" s="11" t="str">
        <f>'data on outstanding creditors'!$C2096&amp;" "&amp;'data on outstanding creditors'!$D2096&amp;" "&amp;TEXT('data on outstanding creditors'!$E2096,"#,##0.00")</f>
        <v>บ.จอห์นสัน แอนด์ จอห์นสัน(ประเทศไทย) 998546198 28,248.00</v>
      </c>
      <c r="U2096" s="12"/>
    </row>
    <row r="2097" ht="13.5" customHeight="1">
      <c r="A2097" s="1" t="s">
        <v>2939</v>
      </c>
      <c r="B2097" s="2">
        <v>45819.0</v>
      </c>
      <c r="C2097" s="9" t="s">
        <v>1029</v>
      </c>
      <c r="D2097" s="1" t="s">
        <v>2940</v>
      </c>
      <c r="E2097" s="4">
        <v>20000.0</v>
      </c>
      <c r="F2097" s="4"/>
      <c r="G2097" s="4"/>
      <c r="H2097" s="4">
        <f>'data on outstanding creditors'!$E2097-'data on outstanding creditors'!$F2097-'data on outstanding creditors'!$G2097</f>
        <v>20000</v>
      </c>
      <c r="I2097" s="2"/>
      <c r="J2097" s="1" t="s">
        <v>757</v>
      </c>
      <c r="K2097" s="2">
        <v>45916.0</v>
      </c>
      <c r="L2097" s="5"/>
      <c r="M2097" s="9" t="s">
        <v>43</v>
      </c>
      <c r="N2097" s="9" t="s">
        <v>49</v>
      </c>
      <c r="O2097" s="10">
        <f>'data on outstanding creditors'!$E2097*100/107</f>
        <v>18691.58879</v>
      </c>
      <c r="P2097" s="10">
        <f>'data on outstanding creditors'!$E2097-'data on outstanding creditors'!$O2097</f>
        <v>1308.411215</v>
      </c>
      <c r="Q2097" s="7">
        <f>DAY('data on outstanding creditors'!$B2097)</f>
        <v>11</v>
      </c>
      <c r="R2097" s="7">
        <f>MONTH('data on outstanding creditors'!$B2097)</f>
        <v>6</v>
      </c>
      <c r="S2097" s="7">
        <f>YEAR('data on outstanding creditors'!$B2097)</f>
        <v>2025</v>
      </c>
      <c r="T2097" s="11" t="str">
        <f>'data on outstanding creditors'!$C2097&amp;" "&amp;'data on outstanding creditors'!$D2097&amp;" "&amp;TEXT('data on outstanding creditors'!$E2097,"#,##0.00")</f>
        <v>บ.เอเทค เมดิคอล IV6806127 20,000.00</v>
      </c>
      <c r="U2097" s="12"/>
    </row>
    <row r="2098" ht="13.5" customHeight="1">
      <c r="A2098" s="1" t="s">
        <v>2941</v>
      </c>
      <c r="B2098" s="2">
        <v>45819.0</v>
      </c>
      <c r="C2098" s="9" t="s">
        <v>1029</v>
      </c>
      <c r="D2098" s="1" t="s">
        <v>2942</v>
      </c>
      <c r="E2098" s="4">
        <v>11400.0</v>
      </c>
      <c r="F2098" s="4"/>
      <c r="G2098" s="4"/>
      <c r="H2098" s="4">
        <f>'data on outstanding creditors'!$E2098-'data on outstanding creditors'!$F2098-'data on outstanding creditors'!$G2098</f>
        <v>11400</v>
      </c>
      <c r="I2098" s="2"/>
      <c r="J2098" s="1" t="s">
        <v>757</v>
      </c>
      <c r="K2098" s="2">
        <v>45916.0</v>
      </c>
      <c r="L2098" s="5"/>
      <c r="M2098" s="9" t="s">
        <v>43</v>
      </c>
      <c r="N2098" s="9" t="s">
        <v>49</v>
      </c>
      <c r="O2098" s="10">
        <f>'data on outstanding creditors'!$E2098*100/107</f>
        <v>10654.20561</v>
      </c>
      <c r="P2098" s="10">
        <f>'data on outstanding creditors'!$E2098-'data on outstanding creditors'!$O2098</f>
        <v>745.7943925</v>
      </c>
      <c r="Q2098" s="7">
        <f>DAY('data on outstanding creditors'!$B2098)</f>
        <v>11</v>
      </c>
      <c r="R2098" s="7">
        <f>MONTH('data on outstanding creditors'!$B2098)</f>
        <v>6</v>
      </c>
      <c r="S2098" s="7">
        <f>YEAR('data on outstanding creditors'!$B2098)</f>
        <v>2025</v>
      </c>
      <c r="T2098" s="11" t="str">
        <f>'data on outstanding creditors'!$C2098&amp;" "&amp;'data on outstanding creditors'!$D2098&amp;" "&amp;TEXT('data on outstanding creditors'!$E2098,"#,##0.00")</f>
        <v>บ.เอเทค เมดิคอล IV6806128 11,400.00</v>
      </c>
      <c r="U2098" s="12"/>
    </row>
    <row r="2099" ht="13.5" customHeight="1">
      <c r="A2099" s="1" t="s">
        <v>2943</v>
      </c>
      <c r="B2099" s="2">
        <v>45819.0</v>
      </c>
      <c r="C2099" s="9" t="s">
        <v>1320</v>
      </c>
      <c r="D2099" s="1" t="s">
        <v>2944</v>
      </c>
      <c r="E2099" s="4">
        <v>27000.0</v>
      </c>
      <c r="F2099" s="4"/>
      <c r="G2099" s="4"/>
      <c r="H2099" s="4">
        <f>'data on outstanding creditors'!$E2099-'data on outstanding creditors'!$F2099-'data on outstanding creditors'!$G2099</f>
        <v>27000</v>
      </c>
      <c r="I2099" s="2"/>
      <c r="J2099" s="1" t="s">
        <v>757</v>
      </c>
      <c r="K2099" s="2">
        <v>45911.0</v>
      </c>
      <c r="L2099" s="5"/>
      <c r="M2099" s="9" t="s">
        <v>43</v>
      </c>
      <c r="N2099" s="9" t="s">
        <v>49</v>
      </c>
      <c r="O2099" s="10">
        <f>'data on outstanding creditors'!$E2099*100/107</f>
        <v>25233.64486</v>
      </c>
      <c r="P2099" s="10">
        <f>'data on outstanding creditors'!$E2099-'data on outstanding creditors'!$O2099</f>
        <v>1766.35514</v>
      </c>
      <c r="Q2099" s="7">
        <f>DAY('data on outstanding creditors'!$B2099)</f>
        <v>11</v>
      </c>
      <c r="R2099" s="7">
        <f>MONTH('data on outstanding creditors'!$B2099)</f>
        <v>6</v>
      </c>
      <c r="S2099" s="7">
        <f>YEAR('data on outstanding creditors'!$B2099)</f>
        <v>2025</v>
      </c>
      <c r="T2099" s="11" t="str">
        <f>'data on outstanding creditors'!$C2099&amp;" "&amp;'data on outstanding creditors'!$D2099&amp;" "&amp;TEXT('data on outstanding creditors'!$E2099,"#,##0.00")</f>
        <v>บ.บี.เอ็ล.ฮั้ว 68020774 27,000.00</v>
      </c>
      <c r="U2099" s="12"/>
    </row>
    <row r="2100" ht="13.5" customHeight="1">
      <c r="A2100" s="1" t="s">
        <v>2945</v>
      </c>
      <c r="B2100" s="2">
        <v>45820.0</v>
      </c>
      <c r="C2100" s="9" t="s">
        <v>1029</v>
      </c>
      <c r="D2100" s="1" t="s">
        <v>2946</v>
      </c>
      <c r="E2100" s="4">
        <v>17600.0</v>
      </c>
      <c r="F2100" s="4"/>
      <c r="G2100" s="4"/>
      <c r="H2100" s="4">
        <f>'data on outstanding creditors'!$E2100-'data on outstanding creditors'!$F2100-'data on outstanding creditors'!$G2100</f>
        <v>17600</v>
      </c>
      <c r="I2100" s="2"/>
      <c r="J2100" s="1"/>
      <c r="K2100" s="2"/>
      <c r="L2100" s="5"/>
      <c r="M2100" s="9" t="s">
        <v>43</v>
      </c>
      <c r="N2100" s="9" t="s">
        <v>49</v>
      </c>
      <c r="O2100" s="10">
        <f>'data on outstanding creditors'!$E2100*100/107</f>
        <v>16448.59813</v>
      </c>
      <c r="P2100" s="10">
        <f>'data on outstanding creditors'!$E2100-'data on outstanding creditors'!$O2100</f>
        <v>1151.401869</v>
      </c>
      <c r="Q2100" s="7">
        <f>DAY('data on outstanding creditors'!$B2100)</f>
        <v>12</v>
      </c>
      <c r="R2100" s="7">
        <f>MONTH('data on outstanding creditors'!$B2100)</f>
        <v>6</v>
      </c>
      <c r="S2100" s="7">
        <f>YEAR('data on outstanding creditors'!$B2100)</f>
        <v>2025</v>
      </c>
      <c r="T2100" s="11" t="str">
        <f>'data on outstanding creditors'!$C2100&amp;" "&amp;'data on outstanding creditors'!$D2100&amp;" "&amp;TEXT('data on outstanding creditors'!$E2100,"#,##0.00")</f>
        <v>บ.เอเทค เมดิคอล IV6806153 17,600.00</v>
      </c>
      <c r="U2100" s="12"/>
    </row>
    <row r="2101" ht="13.5" customHeight="1">
      <c r="A2101" s="1" t="s">
        <v>2947</v>
      </c>
      <c r="B2101" s="2">
        <v>45820.0</v>
      </c>
      <c r="C2101" s="9" t="s">
        <v>1029</v>
      </c>
      <c r="D2101" s="1" t="s">
        <v>2948</v>
      </c>
      <c r="E2101" s="4">
        <v>22100.0</v>
      </c>
      <c r="F2101" s="4"/>
      <c r="G2101" s="4"/>
      <c r="H2101" s="4">
        <f>'data on outstanding creditors'!$E2101-'data on outstanding creditors'!$F2101-'data on outstanding creditors'!$G2101</f>
        <v>22100</v>
      </c>
      <c r="I2101" s="2"/>
      <c r="J2101" s="1" t="s">
        <v>757</v>
      </c>
      <c r="K2101" s="2">
        <v>45916.0</v>
      </c>
      <c r="L2101" s="5"/>
      <c r="M2101" s="9" t="s">
        <v>43</v>
      </c>
      <c r="N2101" s="9" t="s">
        <v>49</v>
      </c>
      <c r="O2101" s="10">
        <f>'data on outstanding creditors'!$E2101*100/107</f>
        <v>20654.20561</v>
      </c>
      <c r="P2101" s="10">
        <f>'data on outstanding creditors'!$E2101-'data on outstanding creditors'!$O2101</f>
        <v>1445.794393</v>
      </c>
      <c r="Q2101" s="7">
        <f>DAY('data on outstanding creditors'!$B2101)</f>
        <v>12</v>
      </c>
      <c r="R2101" s="7">
        <f>MONTH('data on outstanding creditors'!$B2101)</f>
        <v>6</v>
      </c>
      <c r="S2101" s="7">
        <f>YEAR('data on outstanding creditors'!$B2101)</f>
        <v>2025</v>
      </c>
      <c r="T2101" s="11" t="str">
        <f>'data on outstanding creditors'!$C2101&amp;" "&amp;'data on outstanding creditors'!$D2101&amp;" "&amp;TEXT('data on outstanding creditors'!$E2101,"#,##0.00")</f>
        <v>บ.เอเทค เมดิคอล IV6806151 22,100.00</v>
      </c>
      <c r="U2101" s="12"/>
    </row>
    <row r="2102" ht="13.5" customHeight="1">
      <c r="A2102" s="1" t="s">
        <v>2949</v>
      </c>
      <c r="B2102" s="2">
        <v>45820.0</v>
      </c>
      <c r="C2102" s="9" t="s">
        <v>1029</v>
      </c>
      <c r="D2102" s="1" t="s">
        <v>2950</v>
      </c>
      <c r="E2102" s="4">
        <v>36340.0</v>
      </c>
      <c r="F2102" s="4"/>
      <c r="G2102" s="4"/>
      <c r="H2102" s="4">
        <f>'data on outstanding creditors'!$E2102-'data on outstanding creditors'!$F2102-'data on outstanding creditors'!$G2102</f>
        <v>36340</v>
      </c>
      <c r="I2102" s="2"/>
      <c r="J2102" s="1" t="s">
        <v>757</v>
      </c>
      <c r="K2102" s="2">
        <v>45890.0</v>
      </c>
      <c r="L2102" s="5"/>
      <c r="M2102" s="9" t="s">
        <v>43</v>
      </c>
      <c r="N2102" s="9" t="s">
        <v>49</v>
      </c>
      <c r="O2102" s="10">
        <f>'data on outstanding creditors'!$E2102*100/107</f>
        <v>33962.61682</v>
      </c>
      <c r="P2102" s="10">
        <f>'data on outstanding creditors'!$E2102-'data on outstanding creditors'!$O2102</f>
        <v>2377.383178</v>
      </c>
      <c r="Q2102" s="7">
        <f>DAY('data on outstanding creditors'!$B2102)</f>
        <v>12</v>
      </c>
      <c r="R2102" s="7">
        <f>MONTH('data on outstanding creditors'!$B2102)</f>
        <v>6</v>
      </c>
      <c r="S2102" s="7">
        <f>YEAR('data on outstanding creditors'!$B2102)</f>
        <v>2025</v>
      </c>
      <c r="T2102" s="11" t="str">
        <f>'data on outstanding creditors'!$C2102&amp;" "&amp;'data on outstanding creditors'!$D2102&amp;" "&amp;TEXT('data on outstanding creditors'!$E2102,"#,##0.00")</f>
        <v>บ.เอเทค เมดิคอล IV6806117 36,340.00</v>
      </c>
      <c r="U2102" s="12"/>
    </row>
    <row r="2103" ht="13.5" customHeight="1">
      <c r="A2103" s="1" t="s">
        <v>2951</v>
      </c>
      <c r="B2103" s="2">
        <v>45820.0</v>
      </c>
      <c r="C2103" s="9" t="s">
        <v>2334</v>
      </c>
      <c r="D2103" s="1" t="s">
        <v>2952</v>
      </c>
      <c r="E2103" s="4">
        <v>49125.0</v>
      </c>
      <c r="F2103" s="4"/>
      <c r="G2103" s="4"/>
      <c r="H2103" s="4">
        <f>'data on outstanding creditors'!$E2103-'data on outstanding creditors'!$F2103-'data on outstanding creditors'!$G2103</f>
        <v>49125</v>
      </c>
      <c r="I2103" s="2"/>
      <c r="J2103" s="1" t="s">
        <v>757</v>
      </c>
      <c r="K2103" s="2">
        <v>45890.0</v>
      </c>
      <c r="L2103" s="5"/>
      <c r="M2103" s="9" t="s">
        <v>43</v>
      </c>
      <c r="N2103" s="9" t="s">
        <v>49</v>
      </c>
      <c r="O2103" s="10">
        <f>'data on outstanding creditors'!$E2103*100/107</f>
        <v>45911.21495</v>
      </c>
      <c r="P2103" s="10">
        <f>'data on outstanding creditors'!$E2103-'data on outstanding creditors'!$O2103</f>
        <v>3213.785047</v>
      </c>
      <c r="Q2103" s="7">
        <f>DAY('data on outstanding creditors'!$B2103)</f>
        <v>12</v>
      </c>
      <c r="R2103" s="7">
        <f>MONTH('data on outstanding creditors'!$B2103)</f>
        <v>6</v>
      </c>
      <c r="S2103" s="7">
        <f>YEAR('data on outstanding creditors'!$B2103)</f>
        <v>2025</v>
      </c>
      <c r="T2103" s="11" t="str">
        <f>'data on outstanding creditors'!$C2103&amp;" "&amp;'data on outstanding creditors'!$D2103&amp;" "&amp;TEXT('data on outstanding creditors'!$E2103,"#,##0.00")</f>
        <v>บ.ไทยก๊อส IV6822890 49,125.00</v>
      </c>
      <c r="U2103" s="12"/>
    </row>
    <row r="2104" ht="13.5" customHeight="1">
      <c r="A2104" s="1"/>
      <c r="B2104" s="2">
        <v>45821.0</v>
      </c>
      <c r="C2104" s="9" t="s">
        <v>2294</v>
      </c>
      <c r="D2104" s="1" t="s">
        <v>2953</v>
      </c>
      <c r="E2104" s="4">
        <v>10500.0</v>
      </c>
      <c r="F2104" s="4"/>
      <c r="G2104" s="4"/>
      <c r="H2104" s="4">
        <f>'data on outstanding creditors'!$E2104-'data on outstanding creditors'!$F2104-'data on outstanding creditors'!$G2104</f>
        <v>10500</v>
      </c>
      <c r="I2104" s="2"/>
      <c r="J2104" s="1" t="s">
        <v>646</v>
      </c>
      <c r="K2104" s="2">
        <v>45894.0</v>
      </c>
      <c r="L2104" s="5"/>
      <c r="M2104" s="9" t="s">
        <v>43</v>
      </c>
      <c r="N2104" s="9" t="s">
        <v>23</v>
      </c>
      <c r="O2104" s="10">
        <f>'data on outstanding creditors'!$E2104*100/107</f>
        <v>9813.084112</v>
      </c>
      <c r="P2104" s="10">
        <f>'data on outstanding creditors'!$E2104-'data on outstanding creditors'!$O2104</f>
        <v>686.9158879</v>
      </c>
      <c r="Q2104" s="7">
        <f>DAY('data on outstanding creditors'!$B2104)</f>
        <v>13</v>
      </c>
      <c r="R2104" s="7">
        <f>MONTH('data on outstanding creditors'!$B2104)</f>
        <v>6</v>
      </c>
      <c r="S2104" s="7">
        <f>YEAR('data on outstanding creditors'!$B2104)</f>
        <v>2025</v>
      </c>
      <c r="T2104" s="11" t="str">
        <f>'data on outstanding creditors'!$C2104&amp;" "&amp;'data on outstanding creditors'!$D2104&amp;" "&amp;TEXT('data on outstanding creditors'!$E2104,"#,##0.00")</f>
        <v>บ.แอสเซ้นท์ เมดิคอล IV2025060061 10,500.00</v>
      </c>
      <c r="U2104" s="12"/>
    </row>
    <row r="2105" ht="13.5" customHeight="1">
      <c r="A2105" s="1"/>
      <c r="B2105" s="2">
        <v>45821.0</v>
      </c>
      <c r="C2105" s="9" t="s">
        <v>1114</v>
      </c>
      <c r="D2105" s="1" t="s">
        <v>2954</v>
      </c>
      <c r="E2105" s="4">
        <v>15000.0</v>
      </c>
      <c r="F2105" s="4"/>
      <c r="G2105" s="4"/>
      <c r="H2105" s="4">
        <f>'data on outstanding creditors'!$E2105-'data on outstanding creditors'!$F2105-'data on outstanding creditors'!$G2105</f>
        <v>15000</v>
      </c>
      <c r="I2105" s="2"/>
      <c r="J2105" s="1" t="s">
        <v>646</v>
      </c>
      <c r="K2105" s="2">
        <v>45877.0</v>
      </c>
      <c r="L2105" s="5"/>
      <c r="M2105" s="9" t="s">
        <v>43</v>
      </c>
      <c r="N2105" s="9" t="s">
        <v>23</v>
      </c>
      <c r="O2105" s="10">
        <f>'data on outstanding creditors'!$E2105*100/107</f>
        <v>14018.69159</v>
      </c>
      <c r="P2105" s="10">
        <f>'data on outstanding creditors'!$E2105-'data on outstanding creditors'!$O2105</f>
        <v>981.3084112</v>
      </c>
      <c r="Q2105" s="7">
        <f>DAY('data on outstanding creditors'!$B2105)</f>
        <v>13</v>
      </c>
      <c r="R2105" s="7">
        <f>MONTH('data on outstanding creditors'!$B2105)</f>
        <v>6</v>
      </c>
      <c r="S2105" s="7">
        <f>YEAR('data on outstanding creditors'!$B2105)</f>
        <v>2025</v>
      </c>
      <c r="T2105" s="11" t="str">
        <f>'data on outstanding creditors'!$C2105&amp;" "&amp;'data on outstanding creditors'!$D2105&amp;" "&amp;TEXT('data on outstanding creditors'!$E2105,"#,##0.00")</f>
        <v>หจก.อิเลฟเว่น พลัซ El680611101 15,000.00</v>
      </c>
      <c r="U2105" s="12"/>
    </row>
    <row r="2106" ht="13.5" customHeight="1">
      <c r="A2106" s="1" t="s">
        <v>2955</v>
      </c>
      <c r="B2106" s="2">
        <v>45821.0</v>
      </c>
      <c r="C2106" s="9" t="s">
        <v>2956</v>
      </c>
      <c r="D2106" s="1" t="s">
        <v>2957</v>
      </c>
      <c r="E2106" s="4">
        <v>5600.0</v>
      </c>
      <c r="F2106" s="4"/>
      <c r="G2106" s="4"/>
      <c r="H2106" s="4">
        <f>'data on outstanding creditors'!$E2106-'data on outstanding creditors'!$F2106-'data on outstanding creditors'!$G2106</f>
        <v>5600</v>
      </c>
      <c r="I2106" s="2"/>
      <c r="J2106" s="1" t="s">
        <v>757</v>
      </c>
      <c r="K2106" s="2">
        <v>45859.0</v>
      </c>
      <c r="L2106" s="5"/>
      <c r="M2106" s="9" t="s">
        <v>43</v>
      </c>
      <c r="N2106" s="9" t="s">
        <v>49</v>
      </c>
      <c r="O2106" s="10">
        <f>'data on outstanding creditors'!$E2106*100/107</f>
        <v>5233.64486</v>
      </c>
      <c r="P2106" s="10">
        <f>'data on outstanding creditors'!$E2106-'data on outstanding creditors'!$O2106</f>
        <v>366.3551402</v>
      </c>
      <c r="Q2106" s="7">
        <f>DAY('data on outstanding creditors'!$B2106)</f>
        <v>13</v>
      </c>
      <c r="R2106" s="7">
        <f>MONTH('data on outstanding creditors'!$B2106)</f>
        <v>6</v>
      </c>
      <c r="S2106" s="7">
        <f>YEAR('data on outstanding creditors'!$B2106)</f>
        <v>2025</v>
      </c>
      <c r="T2106" s="11" t="str">
        <f>'data on outstanding creditors'!$C2106&amp;" "&amp;'data on outstanding creditors'!$D2106&amp;" "&amp;TEXT('data on outstanding creditors'!$E2106,"#,##0.00")</f>
        <v>บ.แอม เบส พลัส AM6806/099 5,600.00</v>
      </c>
      <c r="U2106" s="12"/>
    </row>
    <row r="2107" ht="13.5" customHeight="1">
      <c r="A2107" s="1" t="s">
        <v>2958</v>
      </c>
      <c r="B2107" s="2">
        <v>45821.0</v>
      </c>
      <c r="C2107" s="9" t="s">
        <v>2389</v>
      </c>
      <c r="D2107" s="1" t="s">
        <v>2959</v>
      </c>
      <c r="E2107" s="4">
        <v>57000.0</v>
      </c>
      <c r="F2107" s="4"/>
      <c r="G2107" s="4"/>
      <c r="H2107" s="4">
        <f>'data on outstanding creditors'!$E2107-'data on outstanding creditors'!$F2107-'data on outstanding creditors'!$G2107</f>
        <v>57000</v>
      </c>
      <c r="I2107" s="2"/>
      <c r="J2107" s="1"/>
      <c r="K2107" s="2"/>
      <c r="L2107" s="5"/>
      <c r="M2107" s="9" t="s">
        <v>43</v>
      </c>
      <c r="N2107" s="9" t="s">
        <v>49</v>
      </c>
      <c r="O2107" s="10">
        <f>'data on outstanding creditors'!$E2107*100/107</f>
        <v>53271.02804</v>
      </c>
      <c r="P2107" s="10">
        <f>'data on outstanding creditors'!$E2107-'data on outstanding creditors'!$O2107</f>
        <v>3728.971963</v>
      </c>
      <c r="Q2107" s="7">
        <f>DAY('data on outstanding creditors'!$B2107)</f>
        <v>13</v>
      </c>
      <c r="R2107" s="7">
        <f>MONTH('data on outstanding creditors'!$B2107)</f>
        <v>6</v>
      </c>
      <c r="S2107" s="7">
        <f>YEAR('data on outstanding creditors'!$B2107)</f>
        <v>2025</v>
      </c>
      <c r="T2107" s="11" t="str">
        <f>'data on outstanding creditors'!$C2107&amp;" "&amp;'data on outstanding creditors'!$D2107&amp;" "&amp;TEXT('data on outstanding creditors'!$E2107,"#,##0.00")</f>
        <v>บ.ซี วี พี เมดิคอล เทคโนโลยี SI01/68060325 57,000.00</v>
      </c>
      <c r="U2107" s="12"/>
    </row>
    <row r="2108" ht="13.5" customHeight="1">
      <c r="A2108" s="1" t="s">
        <v>2960</v>
      </c>
      <c r="B2108" s="2">
        <v>45821.0</v>
      </c>
      <c r="C2108" s="9" t="s">
        <v>767</v>
      </c>
      <c r="D2108" s="1" t="s">
        <v>2961</v>
      </c>
      <c r="E2108" s="4">
        <v>19680.0</v>
      </c>
      <c r="F2108" s="4"/>
      <c r="G2108" s="4"/>
      <c r="H2108" s="4">
        <f>'data on outstanding creditors'!$E2108-'data on outstanding creditors'!$F2108-'data on outstanding creditors'!$G2108</f>
        <v>19680</v>
      </c>
      <c r="I2108" s="2"/>
      <c r="J2108" s="1" t="s">
        <v>646</v>
      </c>
      <c r="K2108" s="2">
        <v>45944.0</v>
      </c>
      <c r="L2108" s="5"/>
      <c r="M2108" s="9" t="s">
        <v>43</v>
      </c>
      <c r="N2108" s="9" t="s">
        <v>49</v>
      </c>
      <c r="O2108" s="10">
        <f>'data on outstanding creditors'!$E2108*100/107</f>
        <v>18392.52336</v>
      </c>
      <c r="P2108" s="10">
        <f>'data on outstanding creditors'!$E2108-'data on outstanding creditors'!$O2108</f>
        <v>1287.476636</v>
      </c>
      <c r="Q2108" s="7">
        <f>DAY('data on outstanding creditors'!$B2108)</f>
        <v>13</v>
      </c>
      <c r="R2108" s="7">
        <f>MONTH('data on outstanding creditors'!$B2108)</f>
        <v>6</v>
      </c>
      <c r="S2108" s="7">
        <f>YEAR('data on outstanding creditors'!$B2108)</f>
        <v>2025</v>
      </c>
      <c r="T2108" s="11" t="str">
        <f>'data on outstanding creditors'!$C2108&amp;" "&amp;'data on outstanding creditors'!$D2108&amp;" "&amp;TEXT('data on outstanding creditors'!$E2108,"#,##0.00")</f>
        <v>บ.คอสม่า เทรดดิ้ง 310657402961 19,680.00</v>
      </c>
      <c r="U2108" s="12"/>
    </row>
    <row r="2109" ht="13.5" customHeight="1">
      <c r="A2109" s="1" t="s">
        <v>2962</v>
      </c>
      <c r="B2109" s="2">
        <v>45824.0</v>
      </c>
      <c r="C2109" s="9" t="s">
        <v>2440</v>
      </c>
      <c r="D2109" s="1" t="s">
        <v>2963</v>
      </c>
      <c r="E2109" s="4">
        <v>13640.0</v>
      </c>
      <c r="F2109" s="4"/>
      <c r="G2109" s="4"/>
      <c r="H2109" s="4">
        <f>'data on outstanding creditors'!$E2109-'data on outstanding creditors'!$F2109-'data on outstanding creditors'!$G2109</f>
        <v>13640</v>
      </c>
      <c r="I2109" s="2"/>
      <c r="J2109" s="1" t="s">
        <v>646</v>
      </c>
      <c r="K2109" s="2">
        <v>45887.0</v>
      </c>
      <c r="L2109" s="5"/>
      <c r="M2109" s="9" t="s">
        <v>43</v>
      </c>
      <c r="N2109" s="9" t="s">
        <v>49</v>
      </c>
      <c r="O2109" s="10">
        <f>'data on outstanding creditors'!$E2109*100/107</f>
        <v>12747.66355</v>
      </c>
      <c r="P2109" s="10">
        <f>'data on outstanding creditors'!$E2109-'data on outstanding creditors'!$O2109</f>
        <v>892.3364486</v>
      </c>
      <c r="Q2109" s="7">
        <f>DAY('data on outstanding creditors'!$B2109)</f>
        <v>16</v>
      </c>
      <c r="R2109" s="7">
        <f>MONTH('data on outstanding creditors'!$B2109)</f>
        <v>6</v>
      </c>
      <c r="S2109" s="7">
        <f>YEAR('data on outstanding creditors'!$B2109)</f>
        <v>2025</v>
      </c>
      <c r="T2109" s="11" t="str">
        <f>'data on outstanding creditors'!$C2109&amp;" "&amp;'data on outstanding creditors'!$D2109&amp;" "&amp;TEXT('data on outstanding creditors'!$E2109,"#,##0.00")</f>
        <v>บ.เออร์วิง คอร์ปอเรชั่น 202505031 13,640.00</v>
      </c>
      <c r="U2109" s="12"/>
    </row>
    <row r="2110" ht="13.5" customHeight="1">
      <c r="A2110" s="1" t="s">
        <v>2964</v>
      </c>
      <c r="B2110" s="2">
        <v>45824.0</v>
      </c>
      <c r="C2110" s="9" t="s">
        <v>1029</v>
      </c>
      <c r="D2110" s="1" t="s">
        <v>2965</v>
      </c>
      <c r="E2110" s="4">
        <v>17600.0</v>
      </c>
      <c r="F2110" s="4"/>
      <c r="G2110" s="4"/>
      <c r="H2110" s="4">
        <f>'data on outstanding creditors'!$E2110-'data on outstanding creditors'!$F2110-'data on outstanding creditors'!$G2110</f>
        <v>17600</v>
      </c>
      <c r="I2110" s="2"/>
      <c r="J2110" s="1" t="s">
        <v>757</v>
      </c>
      <c r="K2110" s="2">
        <v>45904.0</v>
      </c>
      <c r="L2110" s="5"/>
      <c r="M2110" s="9" t="s">
        <v>43</v>
      </c>
      <c r="N2110" s="9" t="s">
        <v>49</v>
      </c>
      <c r="O2110" s="10">
        <f>'data on outstanding creditors'!$E2110*100/107</f>
        <v>16448.59813</v>
      </c>
      <c r="P2110" s="10">
        <f>'data on outstanding creditors'!$E2110-'data on outstanding creditors'!$O2110</f>
        <v>1151.401869</v>
      </c>
      <c r="Q2110" s="7">
        <f>DAY('data on outstanding creditors'!$B2110)</f>
        <v>16</v>
      </c>
      <c r="R2110" s="7">
        <f>MONTH('data on outstanding creditors'!$B2110)</f>
        <v>6</v>
      </c>
      <c r="S2110" s="7">
        <f>YEAR('data on outstanding creditors'!$B2110)</f>
        <v>2025</v>
      </c>
      <c r="T2110" s="11" t="str">
        <f>'data on outstanding creditors'!$C2110&amp;" "&amp;'data on outstanding creditors'!$D2110&amp;" "&amp;TEXT('data on outstanding creditors'!$E2110,"#,##0.00")</f>
        <v>บ.เอเทค เมดิคอล IV6806189 17,600.00</v>
      </c>
      <c r="U2110" s="12"/>
    </row>
    <row r="2111" ht="13.5" customHeight="1">
      <c r="A2111" s="1" t="s">
        <v>2966</v>
      </c>
      <c r="B2111" s="2">
        <v>45824.0</v>
      </c>
      <c r="C2111" s="9" t="s">
        <v>1029</v>
      </c>
      <c r="D2111" s="1" t="s">
        <v>2967</v>
      </c>
      <c r="E2111" s="4">
        <v>11400.0</v>
      </c>
      <c r="F2111" s="4"/>
      <c r="G2111" s="4"/>
      <c r="H2111" s="4">
        <f>'data on outstanding creditors'!$E2111-'data on outstanding creditors'!$F2111-'data on outstanding creditors'!$G2111</f>
        <v>11400</v>
      </c>
      <c r="I2111" s="2"/>
      <c r="J2111" s="1" t="s">
        <v>757</v>
      </c>
      <c r="K2111" s="2">
        <v>45916.0</v>
      </c>
      <c r="L2111" s="5"/>
      <c r="M2111" s="9" t="s">
        <v>43</v>
      </c>
      <c r="N2111" s="9" t="s">
        <v>49</v>
      </c>
      <c r="O2111" s="10">
        <f>'data on outstanding creditors'!$E2111*100/107</f>
        <v>10654.20561</v>
      </c>
      <c r="P2111" s="10">
        <f>'data on outstanding creditors'!$E2111-'data on outstanding creditors'!$O2111</f>
        <v>745.7943925</v>
      </c>
      <c r="Q2111" s="7">
        <f>DAY('data on outstanding creditors'!$B2111)</f>
        <v>16</v>
      </c>
      <c r="R2111" s="7">
        <f>MONTH('data on outstanding creditors'!$B2111)</f>
        <v>6</v>
      </c>
      <c r="S2111" s="7">
        <f>YEAR('data on outstanding creditors'!$B2111)</f>
        <v>2025</v>
      </c>
      <c r="T2111" s="11" t="str">
        <f>'data on outstanding creditors'!$C2111&amp;" "&amp;'data on outstanding creditors'!$D2111&amp;" "&amp;TEXT('data on outstanding creditors'!$E2111,"#,##0.00")</f>
        <v>บ.เอเทค เมดิคอล IV6806187 11,400.00</v>
      </c>
      <c r="U2111" s="12"/>
    </row>
    <row r="2112" ht="13.5" customHeight="1">
      <c r="A2112" s="1" t="s">
        <v>2968</v>
      </c>
      <c r="B2112" s="2">
        <v>45824.0</v>
      </c>
      <c r="C2112" s="9" t="s">
        <v>2383</v>
      </c>
      <c r="D2112" s="1" t="s">
        <v>2969</v>
      </c>
      <c r="E2112" s="4">
        <v>20700.0</v>
      </c>
      <c r="F2112" s="4"/>
      <c r="G2112" s="4"/>
      <c r="H2112" s="4">
        <f>'data on outstanding creditors'!$E2112-'data on outstanding creditors'!$F2112-'data on outstanding creditors'!$G2112</f>
        <v>20700</v>
      </c>
      <c r="I2112" s="2"/>
      <c r="J2112" s="1" t="s">
        <v>646</v>
      </c>
      <c r="K2112" s="2">
        <v>45906.0</v>
      </c>
      <c r="L2112" s="5"/>
      <c r="M2112" s="9" t="s">
        <v>43</v>
      </c>
      <c r="N2112" s="9" t="s">
        <v>49</v>
      </c>
      <c r="O2112" s="10">
        <f>'data on outstanding creditors'!$E2112*100/107</f>
        <v>19345.79439</v>
      </c>
      <c r="P2112" s="10">
        <f>'data on outstanding creditors'!$E2112-'data on outstanding creditors'!$O2112</f>
        <v>1354.205607</v>
      </c>
      <c r="Q2112" s="7">
        <f>DAY('data on outstanding creditors'!$B2112)</f>
        <v>16</v>
      </c>
      <c r="R2112" s="7">
        <f>MONTH('data on outstanding creditors'!$B2112)</f>
        <v>6</v>
      </c>
      <c r="S2112" s="7">
        <f>YEAR('data on outstanding creditors'!$B2112)</f>
        <v>2025</v>
      </c>
      <c r="T2112" s="11" t="str">
        <f>'data on outstanding creditors'!$C2112&amp;" "&amp;'data on outstanding creditors'!$D2112&amp;" "&amp;TEXT('data on outstanding creditors'!$E2112,"#,##0.00")</f>
        <v>บ.เซฟฟา ดรักส์ 130802 20,700.00</v>
      </c>
      <c r="U2112" s="12"/>
    </row>
    <row r="2113" ht="13.5" customHeight="1">
      <c r="A2113" s="1" t="s">
        <v>2970</v>
      </c>
      <c r="B2113" s="2">
        <v>45825.0</v>
      </c>
      <c r="C2113" s="9" t="s">
        <v>1029</v>
      </c>
      <c r="D2113" s="1" t="s">
        <v>2971</v>
      </c>
      <c r="E2113" s="4">
        <v>20000.0</v>
      </c>
      <c r="F2113" s="4"/>
      <c r="G2113" s="4"/>
      <c r="H2113" s="4">
        <f>'data on outstanding creditors'!$E2113-'data on outstanding creditors'!$F2113-'data on outstanding creditors'!$G2113</f>
        <v>20000</v>
      </c>
      <c r="I2113" s="2"/>
      <c r="J2113" s="1" t="s">
        <v>757</v>
      </c>
      <c r="K2113" s="2">
        <v>45954.0</v>
      </c>
      <c r="L2113" s="5"/>
      <c r="M2113" s="9" t="s">
        <v>43</v>
      </c>
      <c r="N2113" s="9" t="s">
        <v>49</v>
      </c>
      <c r="O2113" s="10">
        <f>'data on outstanding creditors'!$E2113*100/107</f>
        <v>18691.58879</v>
      </c>
      <c r="P2113" s="10">
        <f>'data on outstanding creditors'!$E2113-'data on outstanding creditors'!$O2113</f>
        <v>1308.411215</v>
      </c>
      <c r="Q2113" s="7">
        <f>DAY('data on outstanding creditors'!$B2113)</f>
        <v>17</v>
      </c>
      <c r="R2113" s="7">
        <f>MONTH('data on outstanding creditors'!$B2113)</f>
        <v>6</v>
      </c>
      <c r="S2113" s="7">
        <f>YEAR('data on outstanding creditors'!$B2113)</f>
        <v>2025</v>
      </c>
      <c r="T2113" s="11" t="str">
        <f>'data on outstanding creditors'!$C2113&amp;" "&amp;'data on outstanding creditors'!$D2113&amp;" "&amp;TEXT('data on outstanding creditors'!$E2113,"#,##0.00")</f>
        <v>บ.เอเทค เมดิคอล IV6806243 20,000.00</v>
      </c>
      <c r="U2113" s="12"/>
    </row>
    <row r="2114" ht="13.5" customHeight="1">
      <c r="A2114" s="1" t="s">
        <v>2972</v>
      </c>
      <c r="B2114" s="2">
        <v>45826.0</v>
      </c>
      <c r="C2114" s="9" t="s">
        <v>2973</v>
      </c>
      <c r="D2114" s="1" t="s">
        <v>2974</v>
      </c>
      <c r="E2114" s="4">
        <v>8000.0</v>
      </c>
      <c r="F2114" s="4"/>
      <c r="G2114" s="4"/>
      <c r="H2114" s="4">
        <f>'data on outstanding creditors'!$E2114-'data on outstanding creditors'!$F2114-'data on outstanding creditors'!$G2114</f>
        <v>8000</v>
      </c>
      <c r="I2114" s="2"/>
      <c r="J2114" s="1" t="s">
        <v>646</v>
      </c>
      <c r="K2114" s="2">
        <v>45906.0</v>
      </c>
      <c r="L2114" s="5"/>
      <c r="M2114" s="9" t="s">
        <v>43</v>
      </c>
      <c r="N2114" s="9" t="s">
        <v>49</v>
      </c>
      <c r="O2114" s="10">
        <f>'data on outstanding creditors'!$E2114*100/107</f>
        <v>7476.635514</v>
      </c>
      <c r="P2114" s="10">
        <f>'data on outstanding creditors'!$E2114-'data on outstanding creditors'!$O2114</f>
        <v>523.364486</v>
      </c>
      <c r="Q2114" s="7">
        <f>DAY('data on outstanding creditors'!$B2114)</f>
        <v>18</v>
      </c>
      <c r="R2114" s="7">
        <f>MONTH('data on outstanding creditors'!$B2114)</f>
        <v>6</v>
      </c>
      <c r="S2114" s="7">
        <f>YEAR('data on outstanding creditors'!$B2114)</f>
        <v>2025</v>
      </c>
      <c r="T2114" s="11" t="str">
        <f>'data on outstanding creditors'!$C2114&amp;" "&amp;'data on outstanding creditors'!$D2114&amp;" "&amp;TEXT('data on outstanding creditors'!$E2114,"#,##0.00")</f>
        <v>บ.ดีเคเอสเอช เทคโนโลยี 5151627191 8,000.00</v>
      </c>
      <c r="U2114" s="12"/>
    </row>
    <row r="2115" ht="13.5" customHeight="1">
      <c r="A2115" s="1" t="s">
        <v>2975</v>
      </c>
      <c r="B2115" s="2">
        <v>45826.0</v>
      </c>
      <c r="C2115" s="9" t="s">
        <v>1029</v>
      </c>
      <c r="D2115" s="1" t="s">
        <v>2976</v>
      </c>
      <c r="E2115" s="4">
        <v>17600.0</v>
      </c>
      <c r="F2115" s="4"/>
      <c r="G2115" s="4"/>
      <c r="H2115" s="4">
        <f>'data on outstanding creditors'!$E2115-'data on outstanding creditors'!$F2115-'data on outstanding creditors'!$G2115</f>
        <v>17600</v>
      </c>
      <c r="I2115" s="2"/>
      <c r="J2115" s="1"/>
      <c r="K2115" s="2"/>
      <c r="L2115" s="5"/>
      <c r="M2115" s="9" t="s">
        <v>43</v>
      </c>
      <c r="N2115" s="9" t="s">
        <v>49</v>
      </c>
      <c r="O2115" s="10">
        <f>'data on outstanding creditors'!$E2115*100/107</f>
        <v>16448.59813</v>
      </c>
      <c r="P2115" s="10">
        <f>'data on outstanding creditors'!$E2115-'data on outstanding creditors'!$O2115</f>
        <v>1151.401869</v>
      </c>
      <c r="Q2115" s="7">
        <f>DAY('data on outstanding creditors'!$B2115)</f>
        <v>18</v>
      </c>
      <c r="R2115" s="7">
        <f>MONTH('data on outstanding creditors'!$B2115)</f>
        <v>6</v>
      </c>
      <c r="S2115" s="7">
        <f>YEAR('data on outstanding creditors'!$B2115)</f>
        <v>2025</v>
      </c>
      <c r="T2115" s="11" t="str">
        <f>'data on outstanding creditors'!$C2115&amp;" "&amp;'data on outstanding creditors'!$D2115&amp;" "&amp;TEXT('data on outstanding creditors'!$E2115,"#,##0.00")</f>
        <v>บ.เอเทค เมดิคอล IV6806249 17,600.00</v>
      </c>
      <c r="U2115" s="12"/>
    </row>
    <row r="2116" ht="13.5" customHeight="1">
      <c r="A2116" s="1" t="s">
        <v>2977</v>
      </c>
      <c r="B2116" s="2">
        <v>45826.0</v>
      </c>
      <c r="C2116" s="9" t="s">
        <v>1029</v>
      </c>
      <c r="D2116" s="1" t="s">
        <v>2978</v>
      </c>
      <c r="E2116" s="4">
        <v>17600.0</v>
      </c>
      <c r="F2116" s="4"/>
      <c r="G2116" s="4"/>
      <c r="H2116" s="4">
        <f>'data on outstanding creditors'!$E2116-'data on outstanding creditors'!$F2116-'data on outstanding creditors'!$G2116</f>
        <v>17600</v>
      </c>
      <c r="I2116" s="2"/>
      <c r="J2116" s="1"/>
      <c r="K2116" s="2"/>
      <c r="L2116" s="5"/>
      <c r="M2116" s="9" t="s">
        <v>43</v>
      </c>
      <c r="N2116" s="9" t="s">
        <v>49</v>
      </c>
      <c r="O2116" s="10">
        <f>'data on outstanding creditors'!$E2116*100/107</f>
        <v>16448.59813</v>
      </c>
      <c r="P2116" s="10">
        <f>'data on outstanding creditors'!$E2116-'data on outstanding creditors'!$O2116</f>
        <v>1151.401869</v>
      </c>
      <c r="Q2116" s="7">
        <f>DAY('data on outstanding creditors'!$B2116)</f>
        <v>18</v>
      </c>
      <c r="R2116" s="7">
        <f>MONTH('data on outstanding creditors'!$B2116)</f>
        <v>6</v>
      </c>
      <c r="S2116" s="7">
        <f>YEAR('data on outstanding creditors'!$B2116)</f>
        <v>2025</v>
      </c>
      <c r="T2116" s="11" t="str">
        <f>'data on outstanding creditors'!$C2116&amp;" "&amp;'data on outstanding creditors'!$D2116&amp;" "&amp;TEXT('data on outstanding creditors'!$E2116,"#,##0.00")</f>
        <v>บ.เอเทค เมดิคอล IV6806246 17,600.00</v>
      </c>
      <c r="U2116" s="12"/>
    </row>
    <row r="2117" ht="13.5" customHeight="1">
      <c r="A2117" s="1" t="s">
        <v>2979</v>
      </c>
      <c r="B2117" s="2">
        <v>45826.0</v>
      </c>
      <c r="C2117" s="9" t="s">
        <v>1029</v>
      </c>
      <c r="D2117" s="1" t="s">
        <v>2980</v>
      </c>
      <c r="E2117" s="4">
        <v>15800.0</v>
      </c>
      <c r="F2117" s="4"/>
      <c r="G2117" s="4"/>
      <c r="H2117" s="4">
        <f>'data on outstanding creditors'!$E2117-'data on outstanding creditors'!$F2117-'data on outstanding creditors'!$G2117</f>
        <v>15800</v>
      </c>
      <c r="I2117" s="2"/>
      <c r="J2117" s="1"/>
      <c r="K2117" s="2"/>
      <c r="L2117" s="5"/>
      <c r="M2117" s="9" t="s">
        <v>43</v>
      </c>
      <c r="N2117" s="9" t="s">
        <v>49</v>
      </c>
      <c r="O2117" s="10">
        <f>'data on outstanding creditors'!$E2117*100/107</f>
        <v>14766.35514</v>
      </c>
      <c r="P2117" s="10">
        <f>'data on outstanding creditors'!$E2117-'data on outstanding creditors'!$O2117</f>
        <v>1033.64486</v>
      </c>
      <c r="Q2117" s="7">
        <f>DAY('data on outstanding creditors'!$B2117)</f>
        <v>18</v>
      </c>
      <c r="R2117" s="7">
        <f>MONTH('data on outstanding creditors'!$B2117)</f>
        <v>6</v>
      </c>
      <c r="S2117" s="7">
        <f>YEAR('data on outstanding creditors'!$B2117)</f>
        <v>2025</v>
      </c>
      <c r="T2117" s="11" t="str">
        <f>'data on outstanding creditors'!$C2117&amp;" "&amp;'data on outstanding creditors'!$D2117&amp;" "&amp;TEXT('data on outstanding creditors'!$E2117,"#,##0.00")</f>
        <v>บ.เอเทค เมดิคอล IV6806185 15,800.00</v>
      </c>
      <c r="U2117" s="12"/>
    </row>
    <row r="2118" ht="13.5" customHeight="1">
      <c r="A2118" s="1"/>
      <c r="B2118" s="2">
        <v>45826.0</v>
      </c>
      <c r="C2118" s="9" t="s">
        <v>2363</v>
      </c>
      <c r="D2118" s="1" t="s">
        <v>2981</v>
      </c>
      <c r="E2118" s="4">
        <v>30000.0</v>
      </c>
      <c r="F2118" s="4"/>
      <c r="G2118" s="4"/>
      <c r="H2118" s="4">
        <f>'data on outstanding creditors'!$E2118-'data on outstanding creditors'!$F2118-'data on outstanding creditors'!$G2118</f>
        <v>30000</v>
      </c>
      <c r="I2118" s="2"/>
      <c r="J2118" s="1" t="s">
        <v>646</v>
      </c>
      <c r="K2118" s="2">
        <v>45887.0</v>
      </c>
      <c r="L2118" s="5"/>
      <c r="M2118" s="9" t="s">
        <v>43</v>
      </c>
      <c r="N2118" s="9" t="s">
        <v>23</v>
      </c>
      <c r="O2118" s="10">
        <f>'data on outstanding creditors'!$E2118*100/107</f>
        <v>28037.38318</v>
      </c>
      <c r="P2118" s="10">
        <f>'data on outstanding creditors'!$E2118-'data on outstanding creditors'!$O2118</f>
        <v>1962.616822</v>
      </c>
      <c r="Q2118" s="7">
        <f>DAY('data on outstanding creditors'!$B2118)</f>
        <v>18</v>
      </c>
      <c r="R2118" s="7">
        <f>MONTH('data on outstanding creditors'!$B2118)</f>
        <v>6</v>
      </c>
      <c r="S2118" s="7">
        <f>YEAR('data on outstanding creditors'!$B2118)</f>
        <v>2025</v>
      </c>
      <c r="T2118" s="11" t="str">
        <f>'data on outstanding creditors'!$C2118&amp;" "&amp;'data on outstanding creditors'!$D2118&amp;" "&amp;TEXT('data on outstanding creditors'!$E2118,"#,##0.00")</f>
        <v>บ.บีเวอร์ เมดิคอล อินดัสตรี้ 685151 30,000.00</v>
      </c>
      <c r="U2118" s="12"/>
    </row>
    <row r="2119" ht="13.5" customHeight="1">
      <c r="A2119" s="1"/>
      <c r="B2119" s="2">
        <v>45826.0</v>
      </c>
      <c r="C2119" s="9" t="s">
        <v>2543</v>
      </c>
      <c r="D2119" s="1" t="s">
        <v>2982</v>
      </c>
      <c r="E2119" s="4">
        <v>43140.0</v>
      </c>
      <c r="F2119" s="4"/>
      <c r="G2119" s="4"/>
      <c r="H2119" s="4">
        <f>'data on outstanding creditors'!$E2119-'data on outstanding creditors'!$F2119-'data on outstanding creditors'!$G2119</f>
        <v>43140</v>
      </c>
      <c r="I2119" s="2"/>
      <c r="J2119" s="1" t="s">
        <v>646</v>
      </c>
      <c r="K2119" s="2">
        <v>45885.0</v>
      </c>
      <c r="L2119" s="5"/>
      <c r="M2119" s="9" t="s">
        <v>43</v>
      </c>
      <c r="N2119" s="9" t="s">
        <v>23</v>
      </c>
      <c r="O2119" s="10">
        <f>'data on outstanding creditors'!$E2119*100/107</f>
        <v>40317.75701</v>
      </c>
      <c r="P2119" s="10">
        <f>'data on outstanding creditors'!$E2119-'data on outstanding creditors'!$O2119</f>
        <v>2822.242991</v>
      </c>
      <c r="Q2119" s="7">
        <f>DAY('data on outstanding creditors'!$B2119)</f>
        <v>18</v>
      </c>
      <c r="R2119" s="7">
        <f>MONTH('data on outstanding creditors'!$B2119)</f>
        <v>6</v>
      </c>
      <c r="S2119" s="7">
        <f>YEAR('data on outstanding creditors'!$B2119)</f>
        <v>2025</v>
      </c>
      <c r="T2119" s="11" t="str">
        <f>'data on outstanding creditors'!$C2119&amp;" "&amp;'data on outstanding creditors'!$D2119&amp;" "&amp;TEXT('data on outstanding creditors'!$E2119,"#,##0.00")</f>
        <v>บ.ไฮแวน เมดิคอล HV6803513 43,140.00</v>
      </c>
      <c r="U2119" s="12"/>
    </row>
    <row r="2120" ht="13.5" customHeight="1">
      <c r="A2120" s="1"/>
      <c r="B2120" s="2">
        <v>45826.0</v>
      </c>
      <c r="C2120" s="9" t="s">
        <v>688</v>
      </c>
      <c r="D2120" s="1" t="s">
        <v>2983</v>
      </c>
      <c r="E2120" s="4">
        <v>52483.5</v>
      </c>
      <c r="F2120" s="4"/>
      <c r="G2120" s="4"/>
      <c r="H2120" s="4">
        <f>'data on outstanding creditors'!$E2120-'data on outstanding creditors'!$F2120-'data on outstanding creditors'!$G2120</f>
        <v>52483.5</v>
      </c>
      <c r="I2120" s="2"/>
      <c r="J2120" s="1" t="s">
        <v>646</v>
      </c>
      <c r="K2120" s="2">
        <v>45928.0</v>
      </c>
      <c r="L2120" s="5"/>
      <c r="M2120" s="9" t="s">
        <v>43</v>
      </c>
      <c r="N2120" s="9" t="s">
        <v>23</v>
      </c>
      <c r="O2120" s="10">
        <f>'data on outstanding creditors'!$E2120*100/107</f>
        <v>49050</v>
      </c>
      <c r="P2120" s="10">
        <f>'data on outstanding creditors'!$E2120-'data on outstanding creditors'!$O2120</f>
        <v>3433.5</v>
      </c>
      <c r="Q2120" s="7">
        <f>DAY('data on outstanding creditors'!$B2120)</f>
        <v>18</v>
      </c>
      <c r="R2120" s="7">
        <f>MONTH('data on outstanding creditors'!$B2120)</f>
        <v>6</v>
      </c>
      <c r="S2120" s="7">
        <f>YEAR('data on outstanding creditors'!$B2120)</f>
        <v>2025</v>
      </c>
      <c r="T2120" s="11" t="str">
        <f>'data on outstanding creditors'!$C2120&amp;" "&amp;'data on outstanding creditors'!$D2120&amp;" "&amp;TEXT('data on outstanding creditors'!$E2120,"#,##0.00")</f>
        <v>บ.โอเร็กซ์ เทรดดิ้ง 680602304 52,483.50</v>
      </c>
      <c r="U2120" s="12"/>
    </row>
    <row r="2121" ht="13.5" customHeight="1">
      <c r="A2121" s="1"/>
      <c r="B2121" s="2">
        <v>45826.0</v>
      </c>
      <c r="C2121" s="9" t="s">
        <v>2363</v>
      </c>
      <c r="D2121" s="1" t="s">
        <v>2984</v>
      </c>
      <c r="E2121" s="4">
        <v>9000.0</v>
      </c>
      <c r="F2121" s="4"/>
      <c r="G2121" s="4"/>
      <c r="H2121" s="4">
        <f>'data on outstanding creditors'!$E2121-'data on outstanding creditors'!$F2121-'data on outstanding creditors'!$G2121</f>
        <v>9000</v>
      </c>
      <c r="I2121" s="2"/>
      <c r="J2121" s="1" t="s">
        <v>646</v>
      </c>
      <c r="K2121" s="2">
        <v>45928.0</v>
      </c>
      <c r="L2121" s="5"/>
      <c r="M2121" s="9" t="s">
        <v>43</v>
      </c>
      <c r="N2121" s="9" t="s">
        <v>23</v>
      </c>
      <c r="O2121" s="10">
        <f>'data on outstanding creditors'!$E2121*100/107</f>
        <v>8411.214953</v>
      </c>
      <c r="P2121" s="10">
        <f>'data on outstanding creditors'!$E2121-'data on outstanding creditors'!$O2121</f>
        <v>588.7850467</v>
      </c>
      <c r="Q2121" s="7">
        <f>DAY('data on outstanding creditors'!$B2121)</f>
        <v>18</v>
      </c>
      <c r="R2121" s="7">
        <f>MONTH('data on outstanding creditors'!$B2121)</f>
        <v>6</v>
      </c>
      <c r="S2121" s="7">
        <f>YEAR('data on outstanding creditors'!$B2121)</f>
        <v>2025</v>
      </c>
      <c r="T2121" s="11" t="str">
        <f>'data on outstanding creditors'!$C2121&amp;" "&amp;'data on outstanding creditors'!$D2121&amp;" "&amp;TEXT('data on outstanding creditors'!$E2121,"#,##0.00")</f>
        <v>บ.บีเวอร์ เมดิคอล อินดัสตรี้ 685203 9,000.00</v>
      </c>
      <c r="U2121" s="12"/>
    </row>
    <row r="2122" ht="13.5" customHeight="1">
      <c r="A2122" s="1"/>
      <c r="B2122" s="2">
        <v>45826.0</v>
      </c>
      <c r="C2122" s="9" t="s">
        <v>1114</v>
      </c>
      <c r="D2122" s="1" t="s">
        <v>2985</v>
      </c>
      <c r="E2122" s="4">
        <v>7080.0</v>
      </c>
      <c r="F2122" s="4"/>
      <c r="G2122" s="4"/>
      <c r="H2122" s="4">
        <f>'data on outstanding creditors'!$E2122-'data on outstanding creditors'!$F2122-'data on outstanding creditors'!$G2122</f>
        <v>7080</v>
      </c>
      <c r="I2122" s="2"/>
      <c r="J2122" s="1" t="s">
        <v>646</v>
      </c>
      <c r="K2122" s="2">
        <v>45877.0</v>
      </c>
      <c r="L2122" s="5"/>
      <c r="M2122" s="9" t="s">
        <v>43</v>
      </c>
      <c r="N2122" s="9" t="s">
        <v>23</v>
      </c>
      <c r="O2122" s="10">
        <f>'data on outstanding creditors'!$E2122*100/107</f>
        <v>6616.82243</v>
      </c>
      <c r="P2122" s="10">
        <f>'data on outstanding creditors'!$E2122-'data on outstanding creditors'!$O2122</f>
        <v>463.1775701</v>
      </c>
      <c r="Q2122" s="7">
        <f>DAY('data on outstanding creditors'!$B2122)</f>
        <v>18</v>
      </c>
      <c r="R2122" s="7">
        <f>MONTH('data on outstanding creditors'!$B2122)</f>
        <v>6</v>
      </c>
      <c r="S2122" s="7">
        <f>YEAR('data on outstanding creditors'!$B2122)</f>
        <v>2025</v>
      </c>
      <c r="T2122" s="11" t="str">
        <f>'data on outstanding creditors'!$C2122&amp;" "&amp;'data on outstanding creditors'!$D2122&amp;" "&amp;TEXT('data on outstanding creditors'!$E2122,"#,##0.00")</f>
        <v>หจก.อิเลฟเว่น พลัซ EL680614139 7,080.00</v>
      </c>
      <c r="U2122" s="12"/>
    </row>
    <row r="2123" ht="13.5" customHeight="1">
      <c r="A2123" s="1"/>
      <c r="B2123" s="2">
        <v>45826.0</v>
      </c>
      <c r="C2123" s="9" t="s">
        <v>1114</v>
      </c>
      <c r="D2123" s="1" t="s">
        <v>2986</v>
      </c>
      <c r="E2123" s="4">
        <v>3000.0</v>
      </c>
      <c r="F2123" s="4"/>
      <c r="G2123" s="4"/>
      <c r="H2123" s="4">
        <f>'data on outstanding creditors'!$E2123-'data on outstanding creditors'!$F2123-'data on outstanding creditors'!$G2123</f>
        <v>3000</v>
      </c>
      <c r="I2123" s="2"/>
      <c r="J2123" s="1" t="s">
        <v>646</v>
      </c>
      <c r="K2123" s="2">
        <v>45877.0</v>
      </c>
      <c r="L2123" s="5"/>
      <c r="M2123" s="9" t="s">
        <v>43</v>
      </c>
      <c r="N2123" s="9" t="s">
        <v>23</v>
      </c>
      <c r="O2123" s="10">
        <f>'data on outstanding creditors'!$E2123*100/107</f>
        <v>2803.738318</v>
      </c>
      <c r="P2123" s="10">
        <f>'data on outstanding creditors'!$E2123-'data on outstanding creditors'!$O2123</f>
        <v>196.2616822</v>
      </c>
      <c r="Q2123" s="7">
        <f>DAY('data on outstanding creditors'!$B2123)</f>
        <v>18</v>
      </c>
      <c r="R2123" s="7">
        <f>MONTH('data on outstanding creditors'!$B2123)</f>
        <v>6</v>
      </c>
      <c r="S2123" s="7">
        <f>YEAR('data on outstanding creditors'!$B2123)</f>
        <v>2025</v>
      </c>
      <c r="T2123" s="11" t="str">
        <f>'data on outstanding creditors'!$C2123&amp;" "&amp;'data on outstanding creditors'!$D2123&amp;" "&amp;TEXT('data on outstanding creditors'!$E2123,"#,##0.00")</f>
        <v>หจก.อิเลฟเว่น พลัซ EL680613123 3,000.00</v>
      </c>
      <c r="U2123" s="12"/>
    </row>
    <row r="2124" ht="13.5" customHeight="1">
      <c r="A2124" s="1"/>
      <c r="B2124" s="2">
        <v>45826.0</v>
      </c>
      <c r="C2124" s="9" t="s">
        <v>2334</v>
      </c>
      <c r="D2124" s="1" t="s">
        <v>2987</v>
      </c>
      <c r="E2124" s="4">
        <v>14400.0</v>
      </c>
      <c r="F2124" s="4"/>
      <c r="G2124" s="4"/>
      <c r="H2124" s="4">
        <f>'data on outstanding creditors'!$E2124-'data on outstanding creditors'!$F2124-'data on outstanding creditors'!$G2124</f>
        <v>14400</v>
      </c>
      <c r="I2124" s="2"/>
      <c r="J2124" s="1" t="s">
        <v>757</v>
      </c>
      <c r="K2124" s="2">
        <v>45862.0</v>
      </c>
      <c r="L2124" s="5"/>
      <c r="M2124" s="9" t="s">
        <v>43</v>
      </c>
      <c r="N2124" s="9" t="s">
        <v>23</v>
      </c>
      <c r="O2124" s="10">
        <f>'data on outstanding creditors'!$E2124*100/107</f>
        <v>13457.94393</v>
      </c>
      <c r="P2124" s="10">
        <f>'data on outstanding creditors'!$E2124-'data on outstanding creditors'!$O2124</f>
        <v>942.0560748</v>
      </c>
      <c r="Q2124" s="7">
        <f>DAY('data on outstanding creditors'!$B2124)</f>
        <v>18</v>
      </c>
      <c r="R2124" s="7">
        <f>MONTH('data on outstanding creditors'!$B2124)</f>
        <v>6</v>
      </c>
      <c r="S2124" s="7">
        <f>YEAR('data on outstanding creditors'!$B2124)</f>
        <v>2025</v>
      </c>
      <c r="T2124" s="11" t="str">
        <f>'data on outstanding creditors'!$C2124&amp;" "&amp;'data on outstanding creditors'!$D2124&amp;" "&amp;TEXT('data on outstanding creditors'!$E2124,"#,##0.00")</f>
        <v>บ.ไทยก๊อส IV6823269 14,400.00</v>
      </c>
      <c r="U2124" s="12"/>
    </row>
    <row r="2125" ht="13.5" customHeight="1">
      <c r="A2125" s="1"/>
      <c r="B2125" s="2">
        <v>45826.0</v>
      </c>
      <c r="C2125" s="9" t="s">
        <v>1114</v>
      </c>
      <c r="D2125" s="1" t="s">
        <v>2988</v>
      </c>
      <c r="E2125" s="4">
        <v>10200.0</v>
      </c>
      <c r="F2125" s="4"/>
      <c r="G2125" s="4"/>
      <c r="H2125" s="4">
        <f>'data on outstanding creditors'!$E2125-'data on outstanding creditors'!$F2125-'data on outstanding creditors'!$G2125</f>
        <v>10200</v>
      </c>
      <c r="I2125" s="2"/>
      <c r="J2125" s="1" t="s">
        <v>646</v>
      </c>
      <c r="K2125" s="2">
        <v>45877.0</v>
      </c>
      <c r="L2125" s="5"/>
      <c r="M2125" s="9" t="s">
        <v>43</v>
      </c>
      <c r="N2125" s="9" t="s">
        <v>23</v>
      </c>
      <c r="O2125" s="10">
        <f>'data on outstanding creditors'!$E2125*100/107</f>
        <v>9532.71028</v>
      </c>
      <c r="P2125" s="10">
        <f>'data on outstanding creditors'!$E2125-'data on outstanding creditors'!$O2125</f>
        <v>667.2897196</v>
      </c>
      <c r="Q2125" s="7">
        <f>DAY('data on outstanding creditors'!$B2125)</f>
        <v>18</v>
      </c>
      <c r="R2125" s="7">
        <f>MONTH('data on outstanding creditors'!$B2125)</f>
        <v>6</v>
      </c>
      <c r="S2125" s="7">
        <f>YEAR('data on outstanding creditors'!$B2125)</f>
        <v>2025</v>
      </c>
      <c r="T2125" s="11" t="str">
        <f>'data on outstanding creditors'!$C2125&amp;" "&amp;'data on outstanding creditors'!$D2125&amp;" "&amp;TEXT('data on outstanding creditors'!$E2125,"#,##0.00")</f>
        <v>หจก.อิเลฟเว่น พลัซ EL680612119 10,200.00</v>
      </c>
      <c r="U2125" s="12"/>
    </row>
    <row r="2126" ht="13.5" customHeight="1">
      <c r="A2126" s="1" t="s">
        <v>2989</v>
      </c>
      <c r="B2126" s="2">
        <v>45826.0</v>
      </c>
      <c r="C2126" s="9" t="s">
        <v>1114</v>
      </c>
      <c r="D2126" s="1" t="s">
        <v>2990</v>
      </c>
      <c r="E2126" s="4">
        <v>10000.0</v>
      </c>
      <c r="F2126" s="4"/>
      <c r="G2126" s="4"/>
      <c r="H2126" s="4">
        <f>'data on outstanding creditors'!$E2126-'data on outstanding creditors'!$F2126-'data on outstanding creditors'!$G2126</f>
        <v>10000</v>
      </c>
      <c r="I2126" s="2"/>
      <c r="J2126" s="1" t="s">
        <v>646</v>
      </c>
      <c r="K2126" s="2">
        <v>45877.0</v>
      </c>
      <c r="L2126" s="5"/>
      <c r="M2126" s="9" t="s">
        <v>43</v>
      </c>
      <c r="N2126" s="9" t="s">
        <v>49</v>
      </c>
      <c r="O2126" s="10">
        <f>'data on outstanding creditors'!$E2126*100/107</f>
        <v>9345.794393</v>
      </c>
      <c r="P2126" s="10">
        <f>'data on outstanding creditors'!$E2126-'data on outstanding creditors'!$O2126</f>
        <v>654.2056075</v>
      </c>
      <c r="Q2126" s="7">
        <f>DAY('data on outstanding creditors'!$B2126)</f>
        <v>18</v>
      </c>
      <c r="R2126" s="7">
        <f>MONTH('data on outstanding creditors'!$B2126)</f>
        <v>6</v>
      </c>
      <c r="S2126" s="7">
        <f>YEAR('data on outstanding creditors'!$B2126)</f>
        <v>2025</v>
      </c>
      <c r="T2126" s="11" t="str">
        <f>'data on outstanding creditors'!$C2126&amp;" "&amp;'data on outstanding creditors'!$D2126&amp;" "&amp;TEXT('data on outstanding creditors'!$E2126,"#,##0.00")</f>
        <v>หจก.อิเลฟเว่น พลัซ EL680612115 10,000.00</v>
      </c>
      <c r="U2126" s="12"/>
    </row>
    <row r="2127" ht="13.5" customHeight="1">
      <c r="A2127" s="1" t="s">
        <v>2991</v>
      </c>
      <c r="B2127" s="2">
        <v>45826.0</v>
      </c>
      <c r="C2127" s="9" t="s">
        <v>1114</v>
      </c>
      <c r="D2127" s="1" t="s">
        <v>2992</v>
      </c>
      <c r="E2127" s="4">
        <v>10000.0</v>
      </c>
      <c r="F2127" s="4"/>
      <c r="G2127" s="4"/>
      <c r="H2127" s="4">
        <f>'data on outstanding creditors'!$E2127-'data on outstanding creditors'!$F2127-'data on outstanding creditors'!$G2127</f>
        <v>10000</v>
      </c>
      <c r="I2127" s="2"/>
      <c r="J2127" s="1" t="s">
        <v>646</v>
      </c>
      <c r="K2127" s="2">
        <v>45877.0</v>
      </c>
      <c r="L2127" s="5"/>
      <c r="M2127" s="9" t="s">
        <v>43</v>
      </c>
      <c r="N2127" s="9" t="s">
        <v>49</v>
      </c>
      <c r="O2127" s="10">
        <f>'data on outstanding creditors'!$E2127*100/107</f>
        <v>9345.794393</v>
      </c>
      <c r="P2127" s="10">
        <f>'data on outstanding creditors'!$E2127-'data on outstanding creditors'!$O2127</f>
        <v>654.2056075</v>
      </c>
      <c r="Q2127" s="7">
        <f>DAY('data on outstanding creditors'!$B2127)</f>
        <v>18</v>
      </c>
      <c r="R2127" s="7">
        <f>MONTH('data on outstanding creditors'!$B2127)</f>
        <v>6</v>
      </c>
      <c r="S2127" s="7">
        <f>YEAR('data on outstanding creditors'!$B2127)</f>
        <v>2025</v>
      </c>
      <c r="T2127" s="11" t="str">
        <f>'data on outstanding creditors'!$C2127&amp;" "&amp;'data on outstanding creditors'!$D2127&amp;" "&amp;TEXT('data on outstanding creditors'!$E2127,"#,##0.00")</f>
        <v>หจก.อิเลฟเว่น พลัซ EL680611106 10,000.00</v>
      </c>
      <c r="U2127" s="12"/>
    </row>
    <row r="2128" ht="13.5" customHeight="1">
      <c r="A2128" s="1" t="s">
        <v>2993</v>
      </c>
      <c r="B2128" s="2">
        <v>45826.0</v>
      </c>
      <c r="C2128" s="9" t="s">
        <v>2305</v>
      </c>
      <c r="D2128" s="1" t="s">
        <v>2994</v>
      </c>
      <c r="E2128" s="4">
        <v>21600.0</v>
      </c>
      <c r="F2128" s="4"/>
      <c r="G2128" s="4"/>
      <c r="H2128" s="4">
        <f>'data on outstanding creditors'!$E2128-'data on outstanding creditors'!$F2128-'data on outstanding creditors'!$G2128</f>
        <v>21600</v>
      </c>
      <c r="I2128" s="2"/>
      <c r="J2128" s="1" t="s">
        <v>757</v>
      </c>
      <c r="K2128" s="2">
        <v>45890.0</v>
      </c>
      <c r="L2128" s="5"/>
      <c r="M2128" s="9" t="s">
        <v>43</v>
      </c>
      <c r="N2128" s="9" t="s">
        <v>49</v>
      </c>
      <c r="O2128" s="10">
        <f>'data on outstanding creditors'!$E2128*100/107</f>
        <v>20186.91589</v>
      </c>
      <c r="P2128" s="10">
        <f>'data on outstanding creditors'!$E2128-'data on outstanding creditors'!$O2128</f>
        <v>1413.084112</v>
      </c>
      <c r="Q2128" s="7">
        <f>DAY('data on outstanding creditors'!$B2128)</f>
        <v>18</v>
      </c>
      <c r="R2128" s="7">
        <f>MONTH('data on outstanding creditors'!$B2128)</f>
        <v>6</v>
      </c>
      <c r="S2128" s="7">
        <f>YEAR('data on outstanding creditors'!$B2128)</f>
        <v>2025</v>
      </c>
      <c r="T2128" s="11" t="str">
        <f>'data on outstanding creditors'!$C2128&amp;" "&amp;'data on outstanding creditors'!$D2128&amp;" "&amp;TEXT('data on outstanding creditors'!$E2128,"#,##0.00")</f>
        <v>บ.ฟิวเจอร์ เมดิคอล ซัพพลาย IV2506-00120 21,600.00</v>
      </c>
      <c r="U2128" s="12"/>
    </row>
    <row r="2129" ht="13.5" customHeight="1">
      <c r="A2129" s="1" t="s">
        <v>2995</v>
      </c>
      <c r="B2129" s="2">
        <v>45826.0</v>
      </c>
      <c r="C2129" s="9" t="s">
        <v>1288</v>
      </c>
      <c r="D2129" s="1" t="s">
        <v>2996</v>
      </c>
      <c r="E2129" s="4">
        <v>12133.8</v>
      </c>
      <c r="F2129" s="4"/>
      <c r="G2129" s="4"/>
      <c r="H2129" s="4">
        <f>'data on outstanding creditors'!$E2129-'data on outstanding creditors'!$F2129-'data on outstanding creditors'!$G2129</f>
        <v>12133.8</v>
      </c>
      <c r="I2129" s="2"/>
      <c r="J2129" s="1" t="s">
        <v>646</v>
      </c>
      <c r="K2129" s="2">
        <v>45928.0</v>
      </c>
      <c r="L2129" s="5"/>
      <c r="M2129" s="9" t="s">
        <v>43</v>
      </c>
      <c r="N2129" s="9" t="s">
        <v>49</v>
      </c>
      <c r="O2129" s="10">
        <f>'data on outstanding creditors'!$E2129*100/107</f>
        <v>11340</v>
      </c>
      <c r="P2129" s="10">
        <f>'data on outstanding creditors'!$E2129-'data on outstanding creditors'!$O2129</f>
        <v>793.8</v>
      </c>
      <c r="Q2129" s="7">
        <f>DAY('data on outstanding creditors'!$B2129)</f>
        <v>18</v>
      </c>
      <c r="R2129" s="7">
        <f>MONTH('data on outstanding creditors'!$B2129)</f>
        <v>6</v>
      </c>
      <c r="S2129" s="7">
        <f>YEAR('data on outstanding creditors'!$B2129)</f>
        <v>2025</v>
      </c>
      <c r="T2129" s="11" t="str">
        <f>'data on outstanding creditors'!$C2129&amp;" "&amp;'data on outstanding creditors'!$D2129&amp;" "&amp;TEXT('data on outstanding creditors'!$E2129,"#,##0.00")</f>
        <v>บ.เจ เอส วิชั่น 100511701 12,133.80</v>
      </c>
      <c r="U2129" s="12"/>
    </row>
    <row r="2130" ht="13.5" customHeight="1">
      <c r="A2130" s="1" t="s">
        <v>2997</v>
      </c>
      <c r="B2130" s="2">
        <v>45826.0</v>
      </c>
      <c r="C2130" s="9" t="s">
        <v>2275</v>
      </c>
      <c r="D2130" s="1" t="s">
        <v>2998</v>
      </c>
      <c r="E2130" s="4">
        <v>4500.0</v>
      </c>
      <c r="F2130" s="4"/>
      <c r="G2130" s="4"/>
      <c r="H2130" s="4">
        <f>'data on outstanding creditors'!$E2130-'data on outstanding creditors'!$F2130-'data on outstanding creditors'!$G2130</f>
        <v>4500</v>
      </c>
      <c r="I2130" s="2"/>
      <c r="J2130" s="1" t="s">
        <v>646</v>
      </c>
      <c r="K2130" s="2">
        <v>45928.0</v>
      </c>
      <c r="L2130" s="5"/>
      <c r="M2130" s="9" t="s">
        <v>43</v>
      </c>
      <c r="N2130" s="9" t="s">
        <v>49</v>
      </c>
      <c r="O2130" s="10">
        <f>'data on outstanding creditors'!$E2130*100/107</f>
        <v>4205.607477</v>
      </c>
      <c r="P2130" s="10">
        <f>'data on outstanding creditors'!$E2130-'data on outstanding creditors'!$O2130</f>
        <v>294.3925234</v>
      </c>
      <c r="Q2130" s="7">
        <f>DAY('data on outstanding creditors'!$B2130)</f>
        <v>18</v>
      </c>
      <c r="R2130" s="7">
        <f>MONTH('data on outstanding creditors'!$B2130)</f>
        <v>6</v>
      </c>
      <c r="S2130" s="7">
        <f>YEAR('data on outstanding creditors'!$B2130)</f>
        <v>2025</v>
      </c>
      <c r="T2130" s="11" t="str">
        <f>'data on outstanding creditors'!$C2130&amp;" "&amp;'data on outstanding creditors'!$D2130&amp;" "&amp;TEXT('data on outstanding creditors'!$E2130,"#,##0.00")</f>
        <v>บ.ยู.พี.เมดิคอล ซอลเตอร์ 681783 4,500.00</v>
      </c>
      <c r="U2130" s="12"/>
    </row>
    <row r="2131" ht="13.5" customHeight="1">
      <c r="A2131" s="1" t="s">
        <v>2999</v>
      </c>
      <c r="B2131" s="2">
        <v>45826.0</v>
      </c>
      <c r="C2131" s="9" t="s">
        <v>2337</v>
      </c>
      <c r="D2131" s="1" t="s">
        <v>3000</v>
      </c>
      <c r="E2131" s="4">
        <v>6500.0</v>
      </c>
      <c r="F2131" s="4"/>
      <c r="G2131" s="4"/>
      <c r="H2131" s="4">
        <f>'data on outstanding creditors'!$E2131-'data on outstanding creditors'!$F2131-'data on outstanding creditors'!$G2131</f>
        <v>6500</v>
      </c>
      <c r="I2131" s="2"/>
      <c r="J2131" s="1" t="s">
        <v>757</v>
      </c>
      <c r="K2131" s="2">
        <v>45890.0</v>
      </c>
      <c r="L2131" s="5"/>
      <c r="M2131" s="9" t="s">
        <v>43</v>
      </c>
      <c r="N2131" s="9" t="s">
        <v>49</v>
      </c>
      <c r="O2131" s="10">
        <f>'data on outstanding creditors'!$E2131*100/107</f>
        <v>6074.766355</v>
      </c>
      <c r="P2131" s="10">
        <f>'data on outstanding creditors'!$E2131-'data on outstanding creditors'!$O2131</f>
        <v>425.2336449</v>
      </c>
      <c r="Q2131" s="7">
        <f>DAY('data on outstanding creditors'!$B2131)</f>
        <v>18</v>
      </c>
      <c r="R2131" s="7">
        <f>MONTH('data on outstanding creditors'!$B2131)</f>
        <v>6</v>
      </c>
      <c r="S2131" s="7">
        <f>YEAR('data on outstanding creditors'!$B2131)</f>
        <v>2025</v>
      </c>
      <c r="T2131" s="11" t="str">
        <f>'data on outstanding creditors'!$C2131&amp;" "&amp;'data on outstanding creditors'!$D2131&amp;" "&amp;TEXT('data on outstanding creditors'!$E2131,"#,##0.00")</f>
        <v>บ.อิสโก้ 68373 6,500.00</v>
      </c>
      <c r="U2131" s="12"/>
    </row>
    <row r="2132" ht="13.5" customHeight="1">
      <c r="A2132" s="1" t="s">
        <v>3001</v>
      </c>
      <c r="B2132" s="2">
        <v>45826.0</v>
      </c>
      <c r="C2132" s="9" t="s">
        <v>2381</v>
      </c>
      <c r="D2132" s="1" t="s">
        <v>3002</v>
      </c>
      <c r="E2132" s="4">
        <v>46910.0</v>
      </c>
      <c r="F2132" s="4"/>
      <c r="G2132" s="4"/>
      <c r="H2132" s="4">
        <f>'data on outstanding creditors'!$E2132-'data on outstanding creditors'!$F2132-'data on outstanding creditors'!$G2132</f>
        <v>46910</v>
      </c>
      <c r="I2132" s="2"/>
      <c r="J2132" s="1" t="s">
        <v>646</v>
      </c>
      <c r="K2132" s="2">
        <v>45928.0</v>
      </c>
      <c r="L2132" s="5"/>
      <c r="M2132" s="9" t="s">
        <v>43</v>
      </c>
      <c r="N2132" s="9" t="s">
        <v>49</v>
      </c>
      <c r="O2132" s="10">
        <f>'data on outstanding creditors'!$E2132*100/107</f>
        <v>43841.1215</v>
      </c>
      <c r="P2132" s="10">
        <f>'data on outstanding creditors'!$E2132-'data on outstanding creditors'!$O2132</f>
        <v>3068.878505</v>
      </c>
      <c r="Q2132" s="7">
        <f>DAY('data on outstanding creditors'!$B2132)</f>
        <v>18</v>
      </c>
      <c r="R2132" s="7">
        <f>MONTH('data on outstanding creditors'!$B2132)</f>
        <v>6</v>
      </c>
      <c r="S2132" s="7">
        <f>YEAR('data on outstanding creditors'!$B2132)</f>
        <v>2025</v>
      </c>
      <c r="T2132" s="11" t="str">
        <f>'data on outstanding creditors'!$C2132&amp;" "&amp;'data on outstanding creditors'!$D2132&amp;" "&amp;TEXT('data on outstanding creditors'!$E2132,"#,##0.00")</f>
        <v>หจก.วีอาร์ ซัพพอร์ต IV6805958 46,910.00</v>
      </c>
      <c r="U2132" s="12"/>
    </row>
    <row r="2133" ht="13.5" customHeight="1">
      <c r="A2133" s="1" t="s">
        <v>3003</v>
      </c>
      <c r="B2133" s="2">
        <v>45827.0</v>
      </c>
      <c r="C2133" s="9" t="s">
        <v>1059</v>
      </c>
      <c r="D2133" s="1" t="s">
        <v>3004</v>
      </c>
      <c r="E2133" s="4">
        <v>51500.0</v>
      </c>
      <c r="F2133" s="4"/>
      <c r="G2133" s="4"/>
      <c r="H2133" s="4">
        <f>'data on outstanding creditors'!$E2133-'data on outstanding creditors'!$F2133-'data on outstanding creditors'!$G2133</f>
        <v>51500</v>
      </c>
      <c r="I2133" s="2"/>
      <c r="J2133" s="1" t="s">
        <v>646</v>
      </c>
      <c r="K2133" s="2">
        <v>45906.0</v>
      </c>
      <c r="L2133" s="5"/>
      <c r="M2133" s="9" t="s">
        <v>43</v>
      </c>
      <c r="N2133" s="9" t="s">
        <v>49</v>
      </c>
      <c r="O2133" s="10">
        <f>'data on outstanding creditors'!$E2133*100/107</f>
        <v>48130.84112</v>
      </c>
      <c r="P2133" s="10">
        <f>'data on outstanding creditors'!$E2133-'data on outstanding creditors'!$O2133</f>
        <v>3369.158879</v>
      </c>
      <c r="Q2133" s="7">
        <f>DAY('data on outstanding creditors'!$B2133)</f>
        <v>19</v>
      </c>
      <c r="R2133" s="7">
        <f>MONTH('data on outstanding creditors'!$B2133)</f>
        <v>6</v>
      </c>
      <c r="S2133" s="7">
        <f>YEAR('data on outstanding creditors'!$B2133)</f>
        <v>2025</v>
      </c>
      <c r="T2133" s="11" t="str">
        <f>'data on outstanding creditors'!$C2133&amp;" "&amp;'data on outstanding creditors'!$D2133&amp;" "&amp;TEXT('data on outstanding creditors'!$E2133,"#,##0.00")</f>
        <v>หจก.ภาสิน 62512 51,500.00</v>
      </c>
      <c r="U2133" s="12"/>
    </row>
    <row r="2134" ht="13.5" customHeight="1">
      <c r="A2134" s="1" t="s">
        <v>3005</v>
      </c>
      <c r="B2134" s="2">
        <v>45827.0</v>
      </c>
      <c r="C2134" s="9" t="s">
        <v>3006</v>
      </c>
      <c r="D2134" s="1" t="s">
        <v>3007</v>
      </c>
      <c r="E2134" s="4">
        <v>12260.0</v>
      </c>
      <c r="F2134" s="4"/>
      <c r="G2134" s="4"/>
      <c r="H2134" s="4">
        <f>'data on outstanding creditors'!$E2134-'data on outstanding creditors'!$F2134-'data on outstanding creditors'!$G2134</f>
        <v>12260</v>
      </c>
      <c r="I2134" s="2"/>
      <c r="J2134" s="1" t="s">
        <v>646</v>
      </c>
      <c r="K2134" s="2">
        <v>45881.0</v>
      </c>
      <c r="L2134" s="5"/>
      <c r="M2134" s="9" t="s">
        <v>43</v>
      </c>
      <c r="N2134" s="9" t="s">
        <v>49</v>
      </c>
      <c r="O2134" s="10">
        <f>'data on outstanding creditors'!$E2134*100/107</f>
        <v>11457.94393</v>
      </c>
      <c r="P2134" s="10">
        <f>'data on outstanding creditors'!$E2134-'data on outstanding creditors'!$O2134</f>
        <v>802.0560748</v>
      </c>
      <c r="Q2134" s="7">
        <f>DAY('data on outstanding creditors'!$B2134)</f>
        <v>19</v>
      </c>
      <c r="R2134" s="7">
        <f>MONTH('data on outstanding creditors'!$B2134)</f>
        <v>6</v>
      </c>
      <c r="S2134" s="7">
        <f>YEAR('data on outstanding creditors'!$B2134)</f>
        <v>2025</v>
      </c>
      <c r="T2134" s="11" t="str">
        <f>'data on outstanding creditors'!$C2134&amp;" "&amp;'data on outstanding creditors'!$D2134&amp;" "&amp;TEXT('data on outstanding creditors'!$E2134,"#,##0.00")</f>
        <v>บ.เมส เทรดดิ้ง 44-01022 12,260.00</v>
      </c>
      <c r="U2134" s="12"/>
    </row>
    <row r="2135" ht="13.5" customHeight="1">
      <c r="A2135" s="1" t="s">
        <v>3008</v>
      </c>
      <c r="B2135" s="2">
        <v>45828.0</v>
      </c>
      <c r="C2135" s="9" t="s">
        <v>1029</v>
      </c>
      <c r="D2135" s="1" t="s">
        <v>3009</v>
      </c>
      <c r="E2135" s="4">
        <v>10200.0</v>
      </c>
      <c r="F2135" s="4"/>
      <c r="G2135" s="4"/>
      <c r="H2135" s="4">
        <f>'data on outstanding creditors'!$E2135-'data on outstanding creditors'!$F2135-'data on outstanding creditors'!$G2135</f>
        <v>10200</v>
      </c>
      <c r="I2135" s="2"/>
      <c r="J2135" s="1" t="s">
        <v>757</v>
      </c>
      <c r="K2135" s="2">
        <v>45954.0</v>
      </c>
      <c r="L2135" s="5"/>
      <c r="M2135" s="9" t="s">
        <v>43</v>
      </c>
      <c r="N2135" s="9" t="s">
        <v>49</v>
      </c>
      <c r="O2135" s="10">
        <f>'data on outstanding creditors'!$E2135*100/107</f>
        <v>9532.71028</v>
      </c>
      <c r="P2135" s="10">
        <f>'data on outstanding creditors'!$E2135-'data on outstanding creditors'!$O2135</f>
        <v>667.2897196</v>
      </c>
      <c r="Q2135" s="7">
        <f>DAY('data on outstanding creditors'!$B2135)</f>
        <v>20</v>
      </c>
      <c r="R2135" s="7">
        <f>MONTH('data on outstanding creditors'!$B2135)</f>
        <v>6</v>
      </c>
      <c r="S2135" s="7">
        <f>YEAR('data on outstanding creditors'!$B2135)</f>
        <v>2025</v>
      </c>
      <c r="T2135" s="11" t="str">
        <f>'data on outstanding creditors'!$C2135&amp;" "&amp;'data on outstanding creditors'!$D2135&amp;" "&amp;TEXT('data on outstanding creditors'!$E2135,"#,##0.00")</f>
        <v>บ.เอเทค เมดิคอล IV6806354 10,200.00</v>
      </c>
      <c r="U2135" s="12"/>
    </row>
    <row r="2136" ht="13.5" customHeight="1">
      <c r="A2136" s="1" t="s">
        <v>3010</v>
      </c>
      <c r="B2136" s="2">
        <v>45828.0</v>
      </c>
      <c r="C2136" s="9" t="s">
        <v>1029</v>
      </c>
      <c r="D2136" s="1" t="s">
        <v>3011</v>
      </c>
      <c r="E2136" s="4">
        <v>19100.0</v>
      </c>
      <c r="F2136" s="4"/>
      <c r="G2136" s="4"/>
      <c r="H2136" s="4">
        <f>'data on outstanding creditors'!$E2136-'data on outstanding creditors'!$F2136-'data on outstanding creditors'!$G2136</f>
        <v>19100</v>
      </c>
      <c r="I2136" s="2"/>
      <c r="J2136" s="1" t="s">
        <v>757</v>
      </c>
      <c r="K2136" s="2">
        <v>45915.0</v>
      </c>
      <c r="L2136" s="5"/>
      <c r="M2136" s="9" t="s">
        <v>43</v>
      </c>
      <c r="N2136" s="9" t="s">
        <v>49</v>
      </c>
      <c r="O2136" s="10">
        <f>'data on outstanding creditors'!$E2136*100/107</f>
        <v>17850.46729</v>
      </c>
      <c r="P2136" s="10">
        <f>'data on outstanding creditors'!$E2136-'data on outstanding creditors'!$O2136</f>
        <v>1249.53271</v>
      </c>
      <c r="Q2136" s="7">
        <f>DAY('data on outstanding creditors'!$B2136)</f>
        <v>20</v>
      </c>
      <c r="R2136" s="7">
        <f>MONTH('data on outstanding creditors'!$B2136)</f>
        <v>6</v>
      </c>
      <c r="S2136" s="7">
        <f>YEAR('data on outstanding creditors'!$B2136)</f>
        <v>2025</v>
      </c>
      <c r="T2136" s="11" t="str">
        <f>'data on outstanding creditors'!$C2136&amp;" "&amp;'data on outstanding creditors'!$D2136&amp;" "&amp;TEXT('data on outstanding creditors'!$E2136,"#,##0.00")</f>
        <v>บ.เอเทค เมดิคอล UV6806388 19,100.00</v>
      </c>
      <c r="U2136" s="12"/>
    </row>
    <row r="2137" ht="13.5" customHeight="1">
      <c r="A2137" s="1" t="s">
        <v>3012</v>
      </c>
      <c r="B2137" s="2">
        <v>45828.0</v>
      </c>
      <c r="C2137" s="9" t="s">
        <v>2320</v>
      </c>
      <c r="D2137" s="1" t="s">
        <v>3013</v>
      </c>
      <c r="E2137" s="4">
        <v>2500.0</v>
      </c>
      <c r="F2137" s="4"/>
      <c r="G2137" s="4"/>
      <c r="H2137" s="4">
        <f>'data on outstanding creditors'!$E2137-'data on outstanding creditors'!$F2137-'data on outstanding creditors'!$G2137</f>
        <v>2500</v>
      </c>
      <c r="I2137" s="2"/>
      <c r="J2137" s="1" t="s">
        <v>646</v>
      </c>
      <c r="K2137" s="2">
        <v>45928.0</v>
      </c>
      <c r="L2137" s="5"/>
      <c r="M2137" s="9" t="s">
        <v>43</v>
      </c>
      <c r="N2137" s="9" t="s">
        <v>49</v>
      </c>
      <c r="O2137" s="10">
        <f>'data on outstanding creditors'!$E2137*100/107</f>
        <v>2336.448598</v>
      </c>
      <c r="P2137" s="10">
        <f>'data on outstanding creditors'!$E2137-'data on outstanding creditors'!$O2137</f>
        <v>163.5514019</v>
      </c>
      <c r="Q2137" s="7">
        <f>DAY('data on outstanding creditors'!$B2137)</f>
        <v>20</v>
      </c>
      <c r="R2137" s="7">
        <f>MONTH('data on outstanding creditors'!$B2137)</f>
        <v>6</v>
      </c>
      <c r="S2137" s="7">
        <f>YEAR('data on outstanding creditors'!$B2137)</f>
        <v>2025</v>
      </c>
      <c r="T2137" s="11" t="str">
        <f>'data on outstanding creditors'!$C2137&amp;" "&amp;'data on outstanding creditors'!$D2137&amp;" "&amp;TEXT('data on outstanding creditors'!$E2137,"#,##0.00")</f>
        <v>บ.เทคโนเมดิคัล 25061322 2,500.00</v>
      </c>
      <c r="U2137" s="12"/>
    </row>
    <row r="2138" ht="13.5" customHeight="1">
      <c r="A2138" s="1" t="s">
        <v>3014</v>
      </c>
      <c r="B2138" s="2">
        <v>45828.0</v>
      </c>
      <c r="C2138" s="9" t="s">
        <v>286</v>
      </c>
      <c r="D2138" s="1" t="s">
        <v>3015</v>
      </c>
      <c r="E2138" s="4">
        <v>6920.0</v>
      </c>
      <c r="F2138" s="4"/>
      <c r="G2138" s="4"/>
      <c r="H2138" s="4">
        <f>'data on outstanding creditors'!$E2138-'data on outstanding creditors'!$F2138-'data on outstanding creditors'!$G2138</f>
        <v>6920</v>
      </c>
      <c r="I2138" s="2"/>
      <c r="J2138" s="1" t="s">
        <v>757</v>
      </c>
      <c r="K2138" s="2">
        <v>45890.0</v>
      </c>
      <c r="L2138" s="5"/>
      <c r="M2138" s="9" t="s">
        <v>43</v>
      </c>
      <c r="N2138" s="9" t="s">
        <v>49</v>
      </c>
      <c r="O2138" s="10">
        <f>'data on outstanding creditors'!$E2138*100/107</f>
        <v>6467.28972</v>
      </c>
      <c r="P2138" s="10">
        <f>'data on outstanding creditors'!$E2138-'data on outstanding creditors'!$O2138</f>
        <v>452.7102804</v>
      </c>
      <c r="Q2138" s="7">
        <f>DAY('data on outstanding creditors'!$B2138)</f>
        <v>20</v>
      </c>
      <c r="R2138" s="7">
        <f>MONTH('data on outstanding creditors'!$B2138)</f>
        <v>6</v>
      </c>
      <c r="S2138" s="7">
        <f>YEAR('data on outstanding creditors'!$B2138)</f>
        <v>2025</v>
      </c>
      <c r="T2138" s="11" t="str">
        <f>'data on outstanding creditors'!$C2138&amp;" "&amp;'data on outstanding creditors'!$D2138&amp;" "&amp;TEXT('data on outstanding creditors'!$E2138,"#,##0.00")</f>
        <v>บ.เอ็ม ดี ซี (ประเทศไทย) IV25060471 6,920.00</v>
      </c>
      <c r="U2138" s="12"/>
    </row>
    <row r="2139" ht="13.5" customHeight="1">
      <c r="A2139" s="1" t="s">
        <v>3016</v>
      </c>
      <c r="B2139" s="2">
        <v>45828.0</v>
      </c>
      <c r="C2139" s="9" t="s">
        <v>2275</v>
      </c>
      <c r="D2139" s="1" t="s">
        <v>3017</v>
      </c>
      <c r="E2139" s="4">
        <v>15000.0</v>
      </c>
      <c r="F2139" s="4"/>
      <c r="G2139" s="4"/>
      <c r="H2139" s="4">
        <f>'data on outstanding creditors'!$E2139-'data on outstanding creditors'!$F2139-'data on outstanding creditors'!$G2139</f>
        <v>15000</v>
      </c>
      <c r="I2139" s="2"/>
      <c r="J2139" s="1" t="s">
        <v>646</v>
      </c>
      <c r="K2139" s="2">
        <v>45928.0</v>
      </c>
      <c r="L2139" s="5"/>
      <c r="M2139" s="9" t="s">
        <v>43</v>
      </c>
      <c r="N2139" s="9" t="s">
        <v>49</v>
      </c>
      <c r="O2139" s="10">
        <f>'data on outstanding creditors'!$E2139*100/107</f>
        <v>14018.69159</v>
      </c>
      <c r="P2139" s="10">
        <f>'data on outstanding creditors'!$E2139-'data on outstanding creditors'!$O2139</f>
        <v>981.3084112</v>
      </c>
      <c r="Q2139" s="7">
        <f>DAY('data on outstanding creditors'!$B2139)</f>
        <v>20</v>
      </c>
      <c r="R2139" s="7">
        <f>MONTH('data on outstanding creditors'!$B2139)</f>
        <v>6</v>
      </c>
      <c r="S2139" s="7">
        <f>YEAR('data on outstanding creditors'!$B2139)</f>
        <v>2025</v>
      </c>
      <c r="T2139" s="11" t="str">
        <f>'data on outstanding creditors'!$C2139&amp;" "&amp;'data on outstanding creditors'!$D2139&amp;" "&amp;TEXT('data on outstanding creditors'!$E2139,"#,##0.00")</f>
        <v>บ.ยู.พี.เมดิคอล ซอลเตอร์ 681825 15,000.00</v>
      </c>
      <c r="U2139" s="12"/>
    </row>
    <row r="2140" ht="13.5" customHeight="1">
      <c r="A2140" s="1" t="s">
        <v>3018</v>
      </c>
      <c r="B2140" s="2">
        <v>45828.0</v>
      </c>
      <c r="C2140" s="9" t="s">
        <v>2315</v>
      </c>
      <c r="D2140" s="1" t="s">
        <v>3019</v>
      </c>
      <c r="E2140" s="4">
        <v>36000.0</v>
      </c>
      <c r="F2140" s="4"/>
      <c r="G2140" s="4"/>
      <c r="H2140" s="4">
        <f>'data on outstanding creditors'!$E2140-'data on outstanding creditors'!$F2140-'data on outstanding creditors'!$G2140</f>
        <v>36000</v>
      </c>
      <c r="I2140" s="2"/>
      <c r="J2140" s="1" t="s">
        <v>646</v>
      </c>
      <c r="K2140" s="2">
        <v>45928.0</v>
      </c>
      <c r="L2140" s="5"/>
      <c r="M2140" s="9" t="s">
        <v>43</v>
      </c>
      <c r="N2140" s="9" t="s">
        <v>49</v>
      </c>
      <c r="O2140" s="10">
        <f>'data on outstanding creditors'!$E2140*100/107</f>
        <v>33644.85981</v>
      </c>
      <c r="P2140" s="10">
        <f>'data on outstanding creditors'!$E2140-'data on outstanding creditors'!$O2140</f>
        <v>2355.140187</v>
      </c>
      <c r="Q2140" s="7">
        <f>DAY('data on outstanding creditors'!$B2140)</f>
        <v>20</v>
      </c>
      <c r="R2140" s="7">
        <f>MONTH('data on outstanding creditors'!$B2140)</f>
        <v>6</v>
      </c>
      <c r="S2140" s="7">
        <f>YEAR('data on outstanding creditors'!$B2140)</f>
        <v>2025</v>
      </c>
      <c r="T2140" s="11" t="str">
        <f>'data on outstanding creditors'!$C2140&amp;" "&amp;'data on outstanding creditors'!$D2140&amp;" "&amp;TEXT('data on outstanding creditors'!$E2140,"#,##0.00")</f>
        <v>บ.เรียลเมดคอร์ป IV25063210 36,000.00</v>
      </c>
      <c r="U2140" s="12"/>
    </row>
    <row r="2141" ht="13.5" customHeight="1">
      <c r="A2141" s="1" t="s">
        <v>3020</v>
      </c>
      <c r="B2141" s="2">
        <v>45828.0</v>
      </c>
      <c r="C2141" s="9" t="s">
        <v>281</v>
      </c>
      <c r="D2141" s="1" t="s">
        <v>3021</v>
      </c>
      <c r="E2141" s="4">
        <v>5100.0</v>
      </c>
      <c r="F2141" s="4"/>
      <c r="G2141" s="4"/>
      <c r="H2141" s="4">
        <f>'data on outstanding creditors'!$E2141-'data on outstanding creditors'!$F2141-'data on outstanding creditors'!$G2141</f>
        <v>5100</v>
      </c>
      <c r="I2141" s="2"/>
      <c r="J2141" s="1" t="s">
        <v>646</v>
      </c>
      <c r="K2141" s="2">
        <v>45906.0</v>
      </c>
      <c r="L2141" s="5"/>
      <c r="M2141" s="9" t="s">
        <v>43</v>
      </c>
      <c r="N2141" s="9" t="s">
        <v>49</v>
      </c>
      <c r="O2141" s="10">
        <f>'data on outstanding creditors'!$E2141*100/107</f>
        <v>4766.35514</v>
      </c>
      <c r="P2141" s="10">
        <f>'data on outstanding creditors'!$E2141-'data on outstanding creditors'!$O2141</f>
        <v>333.6448598</v>
      </c>
      <c r="Q2141" s="7">
        <f>DAY('data on outstanding creditors'!$B2141)</f>
        <v>20</v>
      </c>
      <c r="R2141" s="7">
        <f>MONTH('data on outstanding creditors'!$B2141)</f>
        <v>6</v>
      </c>
      <c r="S2141" s="7">
        <f>YEAR('data on outstanding creditors'!$B2141)</f>
        <v>2025</v>
      </c>
      <c r="T2141" s="11" t="str">
        <f>'data on outstanding creditors'!$C2141&amp;" "&amp;'data on outstanding creditors'!$D2141&amp;" "&amp;TEXT('data on outstanding creditors'!$E2141,"#,##0.00")</f>
        <v>บ.เมดิทอป 1559858 5,100.00</v>
      </c>
      <c r="U2141" s="12"/>
    </row>
    <row r="2142" ht="13.5" customHeight="1">
      <c r="A2142" s="1" t="s">
        <v>3022</v>
      </c>
      <c r="B2142" s="2">
        <v>45828.0</v>
      </c>
      <c r="C2142" s="9" t="s">
        <v>3023</v>
      </c>
      <c r="D2142" s="1" t="s">
        <v>3024</v>
      </c>
      <c r="E2142" s="4">
        <v>19000.0</v>
      </c>
      <c r="F2142" s="4"/>
      <c r="G2142" s="4"/>
      <c r="H2142" s="4">
        <f>'data on outstanding creditors'!$E2142-'data on outstanding creditors'!$F2142-'data on outstanding creditors'!$G2142</f>
        <v>19000</v>
      </c>
      <c r="I2142" s="2"/>
      <c r="J2142" s="1" t="s">
        <v>646</v>
      </c>
      <c r="K2142" s="2">
        <v>45928.0</v>
      </c>
      <c r="L2142" s="5"/>
      <c r="M2142" s="9" t="s">
        <v>43</v>
      </c>
      <c r="N2142" s="9" t="s">
        <v>49</v>
      </c>
      <c r="O2142" s="10">
        <f>'data on outstanding creditors'!$E2142*100/107</f>
        <v>17757.00935</v>
      </c>
      <c r="P2142" s="10">
        <f>'data on outstanding creditors'!$E2142-'data on outstanding creditors'!$O2142</f>
        <v>1242.990654</v>
      </c>
      <c r="Q2142" s="7">
        <f>DAY('data on outstanding creditors'!$B2142)</f>
        <v>20</v>
      </c>
      <c r="R2142" s="7">
        <f>MONTH('data on outstanding creditors'!$B2142)</f>
        <v>6</v>
      </c>
      <c r="S2142" s="7">
        <f>YEAR('data on outstanding creditors'!$B2142)</f>
        <v>2025</v>
      </c>
      <c r="T2142" s="11" t="str">
        <f>'data on outstanding creditors'!$C2142&amp;" "&amp;'data on outstanding creditors'!$D2142&amp;" "&amp;TEXT('data on outstanding creditors'!$E2142,"#,##0.00")</f>
        <v>บ.ไพรม์ เมดิคอล IV6806-8183 19,000.00</v>
      </c>
      <c r="U2142" s="12"/>
    </row>
    <row r="2143" ht="13.5" customHeight="1">
      <c r="A2143" s="1" t="s">
        <v>3025</v>
      </c>
      <c r="B2143" s="2">
        <v>45831.0</v>
      </c>
      <c r="C2143" s="9" t="s">
        <v>3026</v>
      </c>
      <c r="D2143" s="1" t="s">
        <v>3027</v>
      </c>
      <c r="E2143" s="4">
        <v>12840.0</v>
      </c>
      <c r="F2143" s="4"/>
      <c r="G2143" s="4"/>
      <c r="H2143" s="4">
        <f>'data on outstanding creditors'!$E2143-'data on outstanding creditors'!$F2143-'data on outstanding creditors'!$G2143</f>
        <v>12840</v>
      </c>
      <c r="I2143" s="2"/>
      <c r="J2143" s="1"/>
      <c r="K2143" s="2"/>
      <c r="L2143" s="5"/>
      <c r="M2143" s="9" t="s">
        <v>43</v>
      </c>
      <c r="N2143" s="9" t="s">
        <v>49</v>
      </c>
      <c r="O2143" s="10">
        <f>'data on outstanding creditors'!$E2143*100/107</f>
        <v>12000</v>
      </c>
      <c r="P2143" s="10">
        <f>'data on outstanding creditors'!$E2143-'data on outstanding creditors'!$O2143</f>
        <v>840</v>
      </c>
      <c r="Q2143" s="7">
        <f>DAY('data on outstanding creditors'!$B2143)</f>
        <v>23</v>
      </c>
      <c r="R2143" s="7">
        <f>MONTH('data on outstanding creditors'!$B2143)</f>
        <v>6</v>
      </c>
      <c r="S2143" s="7">
        <f>YEAR('data on outstanding creditors'!$B2143)</f>
        <v>2025</v>
      </c>
      <c r="T2143" s="11" t="str">
        <f>'data on outstanding creditors'!$C2143&amp;" "&amp;'data on outstanding creditors'!$D2143&amp;" "&amp;TEXT('data on outstanding creditors'!$E2143,"#,##0.00")</f>
        <v>บ.แม็ค เมดิคัล INV2025060037 12,840.00</v>
      </c>
      <c r="U2143" s="12"/>
    </row>
    <row r="2144" ht="13.5" customHeight="1">
      <c r="A2144" s="1" t="s">
        <v>3028</v>
      </c>
      <c r="B2144" s="2">
        <v>45831.0</v>
      </c>
      <c r="C2144" s="9" t="s">
        <v>286</v>
      </c>
      <c r="D2144" s="1" t="s">
        <v>3029</v>
      </c>
      <c r="E2144" s="4">
        <v>3900.0</v>
      </c>
      <c r="F2144" s="4"/>
      <c r="G2144" s="4"/>
      <c r="H2144" s="4">
        <f>'data on outstanding creditors'!$E2144-'data on outstanding creditors'!$F2144-'data on outstanding creditors'!$G2144</f>
        <v>3900</v>
      </c>
      <c r="I2144" s="2"/>
      <c r="J2144" s="1" t="s">
        <v>757</v>
      </c>
      <c r="K2144" s="2">
        <v>45890.0</v>
      </c>
      <c r="L2144" s="5"/>
      <c r="M2144" s="9" t="s">
        <v>43</v>
      </c>
      <c r="N2144" s="9" t="s">
        <v>49</v>
      </c>
      <c r="O2144" s="10">
        <f>'data on outstanding creditors'!$E2144*100/107</f>
        <v>3644.859813</v>
      </c>
      <c r="P2144" s="10">
        <f>'data on outstanding creditors'!$E2144-'data on outstanding creditors'!$O2144</f>
        <v>255.1401869</v>
      </c>
      <c r="Q2144" s="7">
        <f>DAY('data on outstanding creditors'!$B2144)</f>
        <v>23</v>
      </c>
      <c r="R2144" s="7">
        <f>MONTH('data on outstanding creditors'!$B2144)</f>
        <v>6</v>
      </c>
      <c r="S2144" s="7">
        <f>YEAR('data on outstanding creditors'!$B2144)</f>
        <v>2025</v>
      </c>
      <c r="T2144" s="11" t="str">
        <f>'data on outstanding creditors'!$C2144&amp;" "&amp;'data on outstanding creditors'!$D2144&amp;" "&amp;TEXT('data on outstanding creditors'!$E2144,"#,##0.00")</f>
        <v>บ.เอ็ม ดี ซี (ประเทศไทย) IV25060561 3,900.00</v>
      </c>
      <c r="U2144" s="12"/>
    </row>
    <row r="2145" ht="13.5" customHeight="1">
      <c r="A2145" s="1" t="s">
        <v>3030</v>
      </c>
      <c r="B2145" s="2">
        <v>45831.0</v>
      </c>
      <c r="C2145" s="9" t="s">
        <v>2408</v>
      </c>
      <c r="D2145" s="1" t="s">
        <v>3031</v>
      </c>
      <c r="E2145" s="4">
        <v>10143.6</v>
      </c>
      <c r="F2145" s="4"/>
      <c r="G2145" s="4"/>
      <c r="H2145" s="4">
        <f>'data on outstanding creditors'!$E2145-'data on outstanding creditors'!$F2145-'data on outstanding creditors'!$G2145</f>
        <v>10143.6</v>
      </c>
      <c r="I2145" s="2"/>
      <c r="J2145" s="1" t="s">
        <v>646</v>
      </c>
      <c r="K2145" s="2">
        <v>45929.0</v>
      </c>
      <c r="L2145" s="5"/>
      <c r="M2145" s="9" t="s">
        <v>43</v>
      </c>
      <c r="N2145" s="9" t="s">
        <v>49</v>
      </c>
      <c r="O2145" s="10">
        <f>'data on outstanding creditors'!$E2145*100/107</f>
        <v>9480</v>
      </c>
      <c r="P2145" s="10">
        <f>'data on outstanding creditors'!$E2145-'data on outstanding creditors'!$O2145</f>
        <v>663.6</v>
      </c>
      <c r="Q2145" s="7">
        <f>DAY('data on outstanding creditors'!$B2145)</f>
        <v>23</v>
      </c>
      <c r="R2145" s="7">
        <f>MONTH('data on outstanding creditors'!$B2145)</f>
        <v>6</v>
      </c>
      <c r="S2145" s="7">
        <f>YEAR('data on outstanding creditors'!$B2145)</f>
        <v>2025</v>
      </c>
      <c r="T2145" s="11" t="str">
        <f>'data on outstanding creditors'!$C2145&amp;" "&amp;'data on outstanding creditors'!$D2145&amp;" "&amp;TEXT('data on outstanding creditors'!$E2145,"#,##0.00")</f>
        <v>บ.จอห์นสัน แอนด์ จอห์นสัน(ประเทศไทย) 998554258 10,143.60</v>
      </c>
      <c r="U2145" s="12"/>
    </row>
    <row r="2146" ht="13.5" customHeight="1">
      <c r="A2146" s="1" t="s">
        <v>3032</v>
      </c>
      <c r="B2146" s="2">
        <v>45831.0</v>
      </c>
      <c r="C2146" s="9" t="s">
        <v>2315</v>
      </c>
      <c r="D2146" s="1" t="s">
        <v>3033</v>
      </c>
      <c r="E2146" s="4">
        <v>8600.0</v>
      </c>
      <c r="F2146" s="4"/>
      <c r="G2146" s="4"/>
      <c r="H2146" s="4">
        <f>'data on outstanding creditors'!$E2146-'data on outstanding creditors'!$F2146-'data on outstanding creditors'!$G2146</f>
        <v>8600</v>
      </c>
      <c r="I2146" s="2"/>
      <c r="J2146" s="1" t="s">
        <v>646</v>
      </c>
      <c r="K2146" s="2">
        <v>45889.0</v>
      </c>
      <c r="L2146" s="5"/>
      <c r="M2146" s="9" t="s">
        <v>43</v>
      </c>
      <c r="N2146" s="9" t="s">
        <v>49</v>
      </c>
      <c r="O2146" s="10">
        <f>'data on outstanding creditors'!$E2146*100/107</f>
        <v>8037.383178</v>
      </c>
      <c r="P2146" s="10">
        <f>'data on outstanding creditors'!$E2146-'data on outstanding creditors'!$O2146</f>
        <v>562.6168224</v>
      </c>
      <c r="Q2146" s="7">
        <f>DAY('data on outstanding creditors'!$B2146)</f>
        <v>23</v>
      </c>
      <c r="R2146" s="7">
        <f>MONTH('data on outstanding creditors'!$B2146)</f>
        <v>6</v>
      </c>
      <c r="S2146" s="7">
        <f>YEAR('data on outstanding creditors'!$B2146)</f>
        <v>2025</v>
      </c>
      <c r="T2146" s="11" t="str">
        <f>'data on outstanding creditors'!$C2146&amp;" "&amp;'data on outstanding creditors'!$D2146&amp;" "&amp;TEXT('data on outstanding creditors'!$E2146,"#,##0.00")</f>
        <v>บ.เรียลเมดคอร์ป IV25063395 8,600.00</v>
      </c>
      <c r="U2146" s="12"/>
    </row>
    <row r="2147" ht="13.5" customHeight="1">
      <c r="A2147" s="1" t="s">
        <v>3034</v>
      </c>
      <c r="B2147" s="2">
        <v>45831.0</v>
      </c>
      <c r="C2147" s="9" t="s">
        <v>1029</v>
      </c>
      <c r="D2147" s="1" t="s">
        <v>3035</v>
      </c>
      <c r="E2147" s="4">
        <v>13200.0</v>
      </c>
      <c r="F2147" s="4"/>
      <c r="G2147" s="4"/>
      <c r="H2147" s="4">
        <f>'data on outstanding creditors'!$E2147-'data on outstanding creditors'!$F2147-'data on outstanding creditors'!$G2147</f>
        <v>13200</v>
      </c>
      <c r="I2147" s="2"/>
      <c r="J2147" s="1" t="s">
        <v>757</v>
      </c>
      <c r="K2147" s="2">
        <v>45954.0</v>
      </c>
      <c r="L2147" s="5"/>
      <c r="M2147" s="9" t="s">
        <v>43</v>
      </c>
      <c r="N2147" s="9" t="s">
        <v>49</v>
      </c>
      <c r="O2147" s="10">
        <f>'data on outstanding creditors'!$E2147*100/107</f>
        <v>12336.4486</v>
      </c>
      <c r="P2147" s="10">
        <f>'data on outstanding creditors'!$E2147-'data on outstanding creditors'!$O2147</f>
        <v>863.5514019</v>
      </c>
      <c r="Q2147" s="7">
        <f>DAY('data on outstanding creditors'!$B2147)</f>
        <v>23</v>
      </c>
      <c r="R2147" s="7">
        <f>MONTH('data on outstanding creditors'!$B2147)</f>
        <v>6</v>
      </c>
      <c r="S2147" s="7">
        <f>YEAR('data on outstanding creditors'!$B2147)</f>
        <v>2025</v>
      </c>
      <c r="T2147" s="11" t="str">
        <f>'data on outstanding creditors'!$C2147&amp;" "&amp;'data on outstanding creditors'!$D2147&amp;" "&amp;TEXT('data on outstanding creditors'!$E2147,"#,##0.00")</f>
        <v>บ.เอเทค เมดิคอล IV6806454 13,200.00</v>
      </c>
      <c r="U2147" s="12"/>
    </row>
    <row r="2148" ht="13.5" customHeight="1">
      <c r="A2148" s="1" t="s">
        <v>3036</v>
      </c>
      <c r="B2148" s="2">
        <v>45831.0</v>
      </c>
      <c r="C2148" s="9" t="s">
        <v>2389</v>
      </c>
      <c r="D2148" s="1" t="s">
        <v>3037</v>
      </c>
      <c r="E2148" s="4">
        <v>90300.0</v>
      </c>
      <c r="F2148" s="4"/>
      <c r="G2148" s="4"/>
      <c r="H2148" s="4">
        <f>'data on outstanding creditors'!$E2148-'data on outstanding creditors'!$F2148-'data on outstanding creditors'!$G2148</f>
        <v>90300</v>
      </c>
      <c r="I2148" s="2"/>
      <c r="J2148" s="1"/>
      <c r="K2148" s="2"/>
      <c r="L2148" s="5"/>
      <c r="M2148" s="9" t="s">
        <v>43</v>
      </c>
      <c r="N2148" s="9" t="s">
        <v>49</v>
      </c>
      <c r="O2148" s="10">
        <f>'data on outstanding creditors'!$E2148*100/107</f>
        <v>84392.52336</v>
      </c>
      <c r="P2148" s="10">
        <f>'data on outstanding creditors'!$E2148-'data on outstanding creditors'!$O2148</f>
        <v>5907.476636</v>
      </c>
      <c r="Q2148" s="7">
        <f>DAY('data on outstanding creditors'!$B2148)</f>
        <v>23</v>
      </c>
      <c r="R2148" s="7">
        <f>MONTH('data on outstanding creditors'!$B2148)</f>
        <v>6</v>
      </c>
      <c r="S2148" s="7">
        <f>YEAR('data on outstanding creditors'!$B2148)</f>
        <v>2025</v>
      </c>
      <c r="T2148" s="11" t="str">
        <f>'data on outstanding creditors'!$C2148&amp;" "&amp;'data on outstanding creditors'!$D2148&amp;" "&amp;TEXT('data on outstanding creditors'!$E2148,"#,##0.00")</f>
        <v>บ.ซี วี พี เมดิคอล เทคโนโลยี SI01/68060326 90,300.00</v>
      </c>
      <c r="U2148" s="12"/>
    </row>
    <row r="2149" ht="13.5" customHeight="1">
      <c r="A2149" s="1"/>
      <c r="B2149" s="2">
        <v>45832.0</v>
      </c>
      <c r="C2149" s="9" t="s">
        <v>2292</v>
      </c>
      <c r="D2149" s="1" t="s">
        <v>3038</v>
      </c>
      <c r="E2149" s="4">
        <v>75840.0</v>
      </c>
      <c r="F2149" s="4"/>
      <c r="G2149" s="4"/>
      <c r="H2149" s="4">
        <f>'data on outstanding creditors'!$E2149-'data on outstanding creditors'!$F2149-'data on outstanding creditors'!$G2149</f>
        <v>75840</v>
      </c>
      <c r="I2149" s="2"/>
      <c r="J2149" s="1" t="s">
        <v>646</v>
      </c>
      <c r="K2149" s="2">
        <v>45928.0</v>
      </c>
      <c r="L2149" s="5"/>
      <c r="M2149" s="9" t="s">
        <v>43</v>
      </c>
      <c r="N2149" s="9" t="s">
        <v>23</v>
      </c>
      <c r="O2149" s="10">
        <f>'data on outstanding creditors'!$E2149*100/107</f>
        <v>70878.50467</v>
      </c>
      <c r="P2149" s="10">
        <f>'data on outstanding creditors'!$E2149-'data on outstanding creditors'!$O2149</f>
        <v>4961.495327</v>
      </c>
      <c r="Q2149" s="7">
        <f>DAY('data on outstanding creditors'!$B2149)</f>
        <v>24</v>
      </c>
      <c r="R2149" s="7">
        <f>MONTH('data on outstanding creditors'!$B2149)</f>
        <v>6</v>
      </c>
      <c r="S2149" s="7">
        <f>YEAR('data on outstanding creditors'!$B2149)</f>
        <v>2025</v>
      </c>
      <c r="T2149" s="11" t="str">
        <f>'data on outstanding creditors'!$C2149&amp;" "&amp;'data on outstanding creditors'!$D2149&amp;" "&amp;TEXT('data on outstanding creditors'!$E2149,"#,##0.00")</f>
        <v>บ.ไบโอคอททอน IV25006199 75,840.00</v>
      </c>
      <c r="U2149" s="12"/>
    </row>
    <row r="2150" ht="13.5" customHeight="1">
      <c r="A2150" s="1" t="s">
        <v>3039</v>
      </c>
      <c r="B2150" s="2">
        <v>45832.0</v>
      </c>
      <c r="C2150" s="9" t="s">
        <v>295</v>
      </c>
      <c r="D2150" s="1" t="s">
        <v>3040</v>
      </c>
      <c r="E2150" s="4">
        <v>16000.0</v>
      </c>
      <c r="F2150" s="4"/>
      <c r="G2150" s="4"/>
      <c r="H2150" s="4">
        <f>'data on outstanding creditors'!$E2150-'data on outstanding creditors'!$F2150-'data on outstanding creditors'!$G2150</f>
        <v>16000</v>
      </c>
      <c r="I2150" s="2"/>
      <c r="J2150" s="1" t="s">
        <v>646</v>
      </c>
      <c r="K2150" s="2">
        <v>45944.0</v>
      </c>
      <c r="L2150" s="5"/>
      <c r="M2150" s="9" t="s">
        <v>43</v>
      </c>
      <c r="N2150" s="9" t="s">
        <v>49</v>
      </c>
      <c r="O2150" s="10">
        <f>'data on outstanding creditors'!$E2150*100/107</f>
        <v>14953.27103</v>
      </c>
      <c r="P2150" s="10">
        <f>'data on outstanding creditors'!$E2150-'data on outstanding creditors'!$O2150</f>
        <v>1046.728972</v>
      </c>
      <c r="Q2150" s="7">
        <f>DAY('data on outstanding creditors'!$B2150)</f>
        <v>24</v>
      </c>
      <c r="R2150" s="7">
        <f>MONTH('data on outstanding creditors'!$B2150)</f>
        <v>6</v>
      </c>
      <c r="S2150" s="7">
        <f>YEAR('data on outstanding creditors'!$B2150)</f>
        <v>2025</v>
      </c>
      <c r="T2150" s="11" t="str">
        <f>'data on outstanding creditors'!$C2150&amp;" "&amp;'data on outstanding creditors'!$D2150&amp;" "&amp;TEXT('data on outstanding creditors'!$E2150,"#,##0.00")</f>
        <v>บ.โกร๊ธ ซัพพลาย เมดิคอล IV6803246 16,000.00</v>
      </c>
      <c r="U2150" s="12"/>
    </row>
    <row r="2151" ht="13.5" customHeight="1">
      <c r="A2151" s="1" t="s">
        <v>3041</v>
      </c>
      <c r="B2151" s="2">
        <v>45832.0</v>
      </c>
      <c r="C2151" s="9" t="s">
        <v>1114</v>
      </c>
      <c r="D2151" s="1" t="s">
        <v>3042</v>
      </c>
      <c r="E2151" s="4">
        <v>5800.0</v>
      </c>
      <c r="F2151" s="4"/>
      <c r="G2151" s="4"/>
      <c r="H2151" s="4">
        <f>'data on outstanding creditors'!$E2151-'data on outstanding creditors'!$F2151-'data on outstanding creditors'!$G2151</f>
        <v>5800</v>
      </c>
      <c r="I2151" s="2"/>
      <c r="J2151" s="1" t="s">
        <v>646</v>
      </c>
      <c r="K2151" s="2">
        <v>45894.0</v>
      </c>
      <c r="L2151" s="5"/>
      <c r="M2151" s="9" t="s">
        <v>43</v>
      </c>
      <c r="N2151" s="9" t="s">
        <v>49</v>
      </c>
      <c r="O2151" s="10">
        <f>'data on outstanding creditors'!$E2151*100/107</f>
        <v>5420.560748</v>
      </c>
      <c r="P2151" s="10">
        <f>'data on outstanding creditors'!$E2151-'data on outstanding creditors'!$O2151</f>
        <v>379.4392523</v>
      </c>
      <c r="Q2151" s="7">
        <f>DAY('data on outstanding creditors'!$B2151)</f>
        <v>24</v>
      </c>
      <c r="R2151" s="7">
        <f>MONTH('data on outstanding creditors'!$B2151)</f>
        <v>6</v>
      </c>
      <c r="S2151" s="7">
        <f>YEAR('data on outstanding creditors'!$B2151)</f>
        <v>2025</v>
      </c>
      <c r="T2151" s="11" t="str">
        <f>'data on outstanding creditors'!$C2151&amp;" "&amp;'data on outstanding creditors'!$D2151&amp;" "&amp;TEXT('data on outstanding creditors'!$E2151,"#,##0.00")</f>
        <v>หจก.อิเลฟเว่น พลัซ EL680620183 5,800.00</v>
      </c>
      <c r="U2151" s="12"/>
    </row>
    <row r="2152" ht="13.5" customHeight="1">
      <c r="A2152" s="1" t="s">
        <v>3043</v>
      </c>
      <c r="B2152" s="2">
        <v>45832.0</v>
      </c>
      <c r="C2152" s="9" t="s">
        <v>1114</v>
      </c>
      <c r="D2152" s="1" t="s">
        <v>3044</v>
      </c>
      <c r="E2152" s="4">
        <v>32080.0</v>
      </c>
      <c r="F2152" s="4"/>
      <c r="G2152" s="4"/>
      <c r="H2152" s="4">
        <f>'data on outstanding creditors'!$E2152-'data on outstanding creditors'!$F2152-'data on outstanding creditors'!$G2152</f>
        <v>32080</v>
      </c>
      <c r="I2152" s="2"/>
      <c r="J2152" s="1" t="s">
        <v>646</v>
      </c>
      <c r="K2152" s="2">
        <v>45894.0</v>
      </c>
      <c r="L2152" s="5"/>
      <c r="M2152" s="9" t="s">
        <v>43</v>
      </c>
      <c r="N2152" s="9" t="s">
        <v>49</v>
      </c>
      <c r="O2152" s="10">
        <f>'data on outstanding creditors'!$E2152*100/107</f>
        <v>29981.30841</v>
      </c>
      <c r="P2152" s="10">
        <f>'data on outstanding creditors'!$E2152-'data on outstanding creditors'!$O2152</f>
        <v>2098.691589</v>
      </c>
      <c r="Q2152" s="7">
        <f>DAY('data on outstanding creditors'!$B2152)</f>
        <v>24</v>
      </c>
      <c r="R2152" s="7">
        <f>MONTH('data on outstanding creditors'!$B2152)</f>
        <v>6</v>
      </c>
      <c r="S2152" s="7">
        <f>YEAR('data on outstanding creditors'!$B2152)</f>
        <v>2025</v>
      </c>
      <c r="T2152" s="11" t="str">
        <f>'data on outstanding creditors'!$C2152&amp;" "&amp;'data on outstanding creditors'!$D2152&amp;" "&amp;TEXT('data on outstanding creditors'!$E2152,"#,##0.00")</f>
        <v>หจก.อิเลฟเว่น พลัซ EL680620187 32,080.00</v>
      </c>
      <c r="U2152" s="12"/>
    </row>
    <row r="2153" ht="13.5" customHeight="1">
      <c r="A2153" s="1" t="s">
        <v>3045</v>
      </c>
      <c r="B2153" s="2">
        <v>45832.0</v>
      </c>
      <c r="C2153" s="9" t="s">
        <v>3046</v>
      </c>
      <c r="D2153" s="1" t="s">
        <v>3047</v>
      </c>
      <c r="E2153" s="4">
        <v>19200.0</v>
      </c>
      <c r="F2153" s="4"/>
      <c r="G2153" s="4"/>
      <c r="H2153" s="4">
        <f>'data on outstanding creditors'!$E2153-'data on outstanding creditors'!$F2153-'data on outstanding creditors'!$G2153</f>
        <v>19200</v>
      </c>
      <c r="I2153" s="2"/>
      <c r="J2153" s="1" t="s">
        <v>757</v>
      </c>
      <c r="K2153" s="2">
        <v>45847.0</v>
      </c>
      <c r="L2153" s="5"/>
      <c r="M2153" s="9" t="s">
        <v>43</v>
      </c>
      <c r="N2153" s="9" t="s">
        <v>49</v>
      </c>
      <c r="O2153" s="10">
        <f>'data on outstanding creditors'!$E2153*100/107</f>
        <v>17943.92523</v>
      </c>
      <c r="P2153" s="10">
        <f>'data on outstanding creditors'!$E2153-'data on outstanding creditors'!$O2153</f>
        <v>1256.074766</v>
      </c>
      <c r="Q2153" s="7">
        <f>DAY('data on outstanding creditors'!$B2153)</f>
        <v>24</v>
      </c>
      <c r="R2153" s="7">
        <f>MONTH('data on outstanding creditors'!$B2153)</f>
        <v>6</v>
      </c>
      <c r="S2153" s="7">
        <f>YEAR('data on outstanding creditors'!$B2153)</f>
        <v>2025</v>
      </c>
      <c r="T2153" s="11" t="str">
        <f>'data on outstanding creditors'!$C2153&amp;" "&amp;'data on outstanding creditors'!$D2153&amp;" "&amp;TEXT('data on outstanding creditors'!$E2153,"#,##0.00")</f>
        <v>บ.เอสพี เมดิคอล โปรดักส์ IV250624-0003 19,200.00</v>
      </c>
      <c r="U2153" s="12"/>
    </row>
    <row r="2154" ht="13.5" customHeight="1">
      <c r="A2154" s="1" t="s">
        <v>3048</v>
      </c>
      <c r="B2154" s="2">
        <v>45832.0</v>
      </c>
      <c r="C2154" s="9" t="s">
        <v>1029</v>
      </c>
      <c r="D2154" s="1" t="s">
        <v>3049</v>
      </c>
      <c r="E2154" s="4">
        <v>17600.0</v>
      </c>
      <c r="F2154" s="4"/>
      <c r="G2154" s="4"/>
      <c r="H2154" s="4">
        <f>'data on outstanding creditors'!$E2154-'data on outstanding creditors'!$F2154-'data on outstanding creditors'!$G2154</f>
        <v>17600</v>
      </c>
      <c r="I2154" s="2"/>
      <c r="J2154" s="1"/>
      <c r="K2154" s="2"/>
      <c r="L2154" s="5"/>
      <c r="M2154" s="9" t="s">
        <v>43</v>
      </c>
      <c r="N2154" s="9" t="s">
        <v>49</v>
      </c>
      <c r="O2154" s="10">
        <f>'data on outstanding creditors'!$E2154*100/107</f>
        <v>16448.59813</v>
      </c>
      <c r="P2154" s="10">
        <f>'data on outstanding creditors'!$E2154-'data on outstanding creditors'!$O2154</f>
        <v>1151.401869</v>
      </c>
      <c r="Q2154" s="7">
        <f>DAY('data on outstanding creditors'!$B2154)</f>
        <v>24</v>
      </c>
      <c r="R2154" s="7">
        <f>MONTH('data on outstanding creditors'!$B2154)</f>
        <v>6</v>
      </c>
      <c r="S2154" s="7">
        <f>YEAR('data on outstanding creditors'!$B2154)</f>
        <v>2025</v>
      </c>
      <c r="T2154" s="11" t="str">
        <f>'data on outstanding creditors'!$C2154&amp;" "&amp;'data on outstanding creditors'!$D2154&amp;" "&amp;TEXT('data on outstanding creditors'!$E2154,"#,##0.00")</f>
        <v>บ.เอเทค เมดิคอล IV6806453 17,600.00</v>
      </c>
      <c r="U2154" s="12"/>
    </row>
    <row r="2155" ht="13.5" customHeight="1">
      <c r="A2155" s="1" t="s">
        <v>3050</v>
      </c>
      <c r="B2155" s="2">
        <v>45832.0</v>
      </c>
      <c r="C2155" s="9" t="s">
        <v>1029</v>
      </c>
      <c r="D2155" s="1" t="s">
        <v>3051</v>
      </c>
      <c r="E2155" s="4">
        <v>18200.0</v>
      </c>
      <c r="F2155" s="4"/>
      <c r="G2155" s="4"/>
      <c r="H2155" s="4">
        <f>'data on outstanding creditors'!$E2155-'data on outstanding creditors'!$F2155-'data on outstanding creditors'!$G2155</f>
        <v>18200</v>
      </c>
      <c r="I2155" s="2"/>
      <c r="J2155" s="1" t="s">
        <v>757</v>
      </c>
      <c r="K2155" s="2">
        <v>45915.0</v>
      </c>
      <c r="L2155" s="5"/>
      <c r="M2155" s="9" t="s">
        <v>43</v>
      </c>
      <c r="N2155" s="9" t="s">
        <v>49</v>
      </c>
      <c r="O2155" s="10">
        <f>'data on outstanding creditors'!$E2155*100/107</f>
        <v>17009.34579</v>
      </c>
      <c r="P2155" s="10">
        <f>'data on outstanding creditors'!$E2155-'data on outstanding creditors'!$O2155</f>
        <v>1190.654206</v>
      </c>
      <c r="Q2155" s="7">
        <f>DAY('data on outstanding creditors'!$B2155)</f>
        <v>24</v>
      </c>
      <c r="R2155" s="7">
        <f>MONTH('data on outstanding creditors'!$B2155)</f>
        <v>6</v>
      </c>
      <c r="S2155" s="7">
        <f>YEAR('data on outstanding creditors'!$B2155)</f>
        <v>2025</v>
      </c>
      <c r="T2155" s="11" t="str">
        <f>'data on outstanding creditors'!$C2155&amp;" "&amp;'data on outstanding creditors'!$D2155&amp;" "&amp;TEXT('data on outstanding creditors'!$E2155,"#,##0.00")</f>
        <v>บ.เอเทค เมดิคอล IV6806478 18,200.00</v>
      </c>
      <c r="U2155" s="12"/>
    </row>
    <row r="2156" ht="13.5" customHeight="1">
      <c r="A2156" s="1" t="s">
        <v>3052</v>
      </c>
      <c r="B2156" s="2">
        <v>45832.0</v>
      </c>
      <c r="C2156" s="9" t="s">
        <v>1029</v>
      </c>
      <c r="D2156" s="1" t="s">
        <v>3053</v>
      </c>
      <c r="E2156" s="4">
        <v>16400.0</v>
      </c>
      <c r="F2156" s="4"/>
      <c r="G2156" s="4"/>
      <c r="H2156" s="4">
        <f>'data on outstanding creditors'!$E2156-'data on outstanding creditors'!$F2156-'data on outstanding creditors'!$G2156</f>
        <v>16400</v>
      </c>
      <c r="I2156" s="2"/>
      <c r="J2156" s="1" t="s">
        <v>757</v>
      </c>
      <c r="K2156" s="2">
        <v>45915.0</v>
      </c>
      <c r="L2156" s="5"/>
      <c r="M2156" s="9" t="s">
        <v>43</v>
      </c>
      <c r="N2156" s="9" t="s">
        <v>49</v>
      </c>
      <c r="O2156" s="10">
        <f>'data on outstanding creditors'!$E2156*100/107</f>
        <v>15327.1028</v>
      </c>
      <c r="P2156" s="10">
        <f>'data on outstanding creditors'!$E2156-'data on outstanding creditors'!$O2156</f>
        <v>1072.897196</v>
      </c>
      <c r="Q2156" s="7">
        <f>DAY('data on outstanding creditors'!$B2156)</f>
        <v>24</v>
      </c>
      <c r="R2156" s="7">
        <f>MONTH('data on outstanding creditors'!$B2156)</f>
        <v>6</v>
      </c>
      <c r="S2156" s="7">
        <f>YEAR('data on outstanding creditors'!$B2156)</f>
        <v>2025</v>
      </c>
      <c r="T2156" s="11" t="str">
        <f>'data on outstanding creditors'!$C2156&amp;" "&amp;'data on outstanding creditors'!$D2156&amp;" "&amp;TEXT('data on outstanding creditors'!$E2156,"#,##0.00")</f>
        <v>บ.เอเทค เมดิคอล IV6806480 16,400.00</v>
      </c>
      <c r="U2156" s="12"/>
    </row>
    <row r="2157" ht="13.5" customHeight="1">
      <c r="A2157" s="1" t="s">
        <v>3054</v>
      </c>
      <c r="B2157" s="2">
        <v>45832.0</v>
      </c>
      <c r="C2157" s="9" t="s">
        <v>1029</v>
      </c>
      <c r="D2157" s="1" t="s">
        <v>3055</v>
      </c>
      <c r="E2157" s="4">
        <v>18200.0</v>
      </c>
      <c r="F2157" s="4"/>
      <c r="G2157" s="4"/>
      <c r="H2157" s="4">
        <f>'data on outstanding creditors'!$E2157-'data on outstanding creditors'!$F2157-'data on outstanding creditors'!$G2157</f>
        <v>18200</v>
      </c>
      <c r="I2157" s="2"/>
      <c r="J2157" s="1" t="s">
        <v>757</v>
      </c>
      <c r="K2157" s="2">
        <v>45957.0</v>
      </c>
      <c r="L2157" s="5"/>
      <c r="M2157" s="9" t="s">
        <v>43</v>
      </c>
      <c r="N2157" s="9" t="s">
        <v>49</v>
      </c>
      <c r="O2157" s="10">
        <f>'data on outstanding creditors'!$E2157*100/107</f>
        <v>17009.34579</v>
      </c>
      <c r="P2157" s="10">
        <f>'data on outstanding creditors'!$E2157-'data on outstanding creditors'!$O2157</f>
        <v>1190.654206</v>
      </c>
      <c r="Q2157" s="7">
        <f>DAY('data on outstanding creditors'!$B2157)</f>
        <v>24</v>
      </c>
      <c r="R2157" s="7">
        <f>MONTH('data on outstanding creditors'!$B2157)</f>
        <v>6</v>
      </c>
      <c r="S2157" s="7">
        <f>YEAR('data on outstanding creditors'!$B2157)</f>
        <v>2025</v>
      </c>
      <c r="T2157" s="11" t="str">
        <f>'data on outstanding creditors'!$C2157&amp;" "&amp;'data on outstanding creditors'!$D2157&amp;" "&amp;TEXT('data on outstanding creditors'!$E2157,"#,##0.00")</f>
        <v>บ.เอเทค เมดิคอล IV6806479 18,200.00</v>
      </c>
      <c r="U2157" s="12"/>
    </row>
    <row r="2158" ht="13.5" customHeight="1">
      <c r="A2158" s="1"/>
      <c r="B2158" s="2">
        <v>45833.0</v>
      </c>
      <c r="C2158" s="9" t="s">
        <v>2486</v>
      </c>
      <c r="D2158" s="1" t="s">
        <v>3056</v>
      </c>
      <c r="E2158" s="4">
        <v>83700.0</v>
      </c>
      <c r="F2158" s="4"/>
      <c r="G2158" s="4"/>
      <c r="H2158" s="4">
        <f>'data on outstanding creditors'!$E2158-'data on outstanding creditors'!$F2158-'data on outstanding creditors'!$G2158</f>
        <v>83700</v>
      </c>
      <c r="I2158" s="2"/>
      <c r="J2158" s="1" t="s">
        <v>646</v>
      </c>
      <c r="K2158" s="2">
        <v>45928.0</v>
      </c>
      <c r="L2158" s="5"/>
      <c r="M2158" s="9" t="s">
        <v>43</v>
      </c>
      <c r="N2158" s="9" t="s">
        <v>23</v>
      </c>
      <c r="O2158" s="10">
        <f>'data on outstanding creditors'!$E2158*100/107</f>
        <v>78224.29907</v>
      </c>
      <c r="P2158" s="10">
        <f>'data on outstanding creditors'!$E2158-'data on outstanding creditors'!$O2158</f>
        <v>5475.700935</v>
      </c>
      <c r="Q2158" s="7">
        <f>DAY('data on outstanding creditors'!$B2158)</f>
        <v>25</v>
      </c>
      <c r="R2158" s="7">
        <f>MONTH('data on outstanding creditors'!$B2158)</f>
        <v>6</v>
      </c>
      <c r="S2158" s="7">
        <f>YEAR('data on outstanding creditors'!$B2158)</f>
        <v>2025</v>
      </c>
      <c r="T2158" s="11" t="str">
        <f>'data on outstanding creditors'!$C2158&amp;" "&amp;'data on outstanding creditors'!$D2158&amp;" "&amp;TEXT('data on outstanding creditors'!$E2158,"#,##0.00")</f>
        <v>บ.ไทยเพียวดีไวซ์ 68/06421 83,700.00</v>
      </c>
      <c r="U2158" s="12"/>
    </row>
    <row r="2159" ht="13.5" customHeight="1">
      <c r="A2159" s="1"/>
      <c r="B2159" s="2">
        <v>45833.0</v>
      </c>
      <c r="C2159" s="9" t="s">
        <v>965</v>
      </c>
      <c r="D2159" s="1" t="s">
        <v>3057</v>
      </c>
      <c r="E2159" s="4">
        <v>19200.0</v>
      </c>
      <c r="F2159" s="4"/>
      <c r="G2159" s="4"/>
      <c r="H2159" s="4">
        <f>'data on outstanding creditors'!$E2159-'data on outstanding creditors'!$F2159-'data on outstanding creditors'!$G2159</f>
        <v>19200</v>
      </c>
      <c r="I2159" s="2"/>
      <c r="J2159" s="1" t="s">
        <v>646</v>
      </c>
      <c r="K2159" s="2">
        <v>45881.0</v>
      </c>
      <c r="L2159" s="5"/>
      <c r="M2159" s="9" t="s">
        <v>43</v>
      </c>
      <c r="N2159" s="9" t="s">
        <v>23</v>
      </c>
      <c r="O2159" s="10">
        <f>'data on outstanding creditors'!$E2159*100/107</f>
        <v>17943.92523</v>
      </c>
      <c r="P2159" s="10">
        <f>'data on outstanding creditors'!$E2159-'data on outstanding creditors'!$O2159</f>
        <v>1256.074766</v>
      </c>
      <c r="Q2159" s="7">
        <f>DAY('data on outstanding creditors'!$B2159)</f>
        <v>25</v>
      </c>
      <c r="R2159" s="7">
        <f>MONTH('data on outstanding creditors'!$B2159)</f>
        <v>6</v>
      </c>
      <c r="S2159" s="7">
        <f>YEAR('data on outstanding creditors'!$B2159)</f>
        <v>2025</v>
      </c>
      <c r="T2159" s="11" t="str">
        <f>'data on outstanding creditors'!$C2159&amp;" "&amp;'data on outstanding creditors'!$D2159&amp;" "&amp;TEXT('data on outstanding creditors'!$E2159,"#,##0.00")</f>
        <v>บ.แปซิฟิค เฮลธ์แคร์(ไทยแลนด์) 68031165 19,200.00</v>
      </c>
      <c r="U2159" s="12"/>
    </row>
    <row r="2160" ht="13.5" customHeight="1">
      <c r="A2160" s="1"/>
      <c r="B2160" s="2">
        <v>45833.0</v>
      </c>
      <c r="C2160" s="9" t="s">
        <v>1114</v>
      </c>
      <c r="D2160" s="1" t="s">
        <v>3058</v>
      </c>
      <c r="E2160" s="4">
        <v>40000.0</v>
      </c>
      <c r="F2160" s="4"/>
      <c r="G2160" s="4"/>
      <c r="H2160" s="4">
        <f>'data on outstanding creditors'!$E2160-'data on outstanding creditors'!$F2160-'data on outstanding creditors'!$G2160</f>
        <v>40000</v>
      </c>
      <c r="I2160" s="2"/>
      <c r="J2160" s="1" t="s">
        <v>646</v>
      </c>
      <c r="K2160" s="2">
        <v>45877.0</v>
      </c>
      <c r="L2160" s="5"/>
      <c r="M2160" s="9" t="s">
        <v>43</v>
      </c>
      <c r="N2160" s="9" t="s">
        <v>23</v>
      </c>
      <c r="O2160" s="10">
        <f>'data on outstanding creditors'!$E2160*100/107</f>
        <v>37383.17757</v>
      </c>
      <c r="P2160" s="10">
        <f>'data on outstanding creditors'!$E2160-'data on outstanding creditors'!$O2160</f>
        <v>2616.82243</v>
      </c>
      <c r="Q2160" s="7">
        <f>DAY('data on outstanding creditors'!$B2160)</f>
        <v>25</v>
      </c>
      <c r="R2160" s="7">
        <f>MONTH('data on outstanding creditors'!$B2160)</f>
        <v>6</v>
      </c>
      <c r="S2160" s="7">
        <f>YEAR('data on outstanding creditors'!$B2160)</f>
        <v>2025</v>
      </c>
      <c r="T2160" s="11" t="str">
        <f>'data on outstanding creditors'!$C2160&amp;" "&amp;'data on outstanding creditors'!$D2160&amp;" "&amp;TEXT('data on outstanding creditors'!$E2160,"#,##0.00")</f>
        <v>หจก.อิเลฟเว่น พลัซ EL680619165 40,000.00</v>
      </c>
      <c r="U2160" s="12"/>
    </row>
    <row r="2161" ht="13.5" customHeight="1">
      <c r="A2161" s="1" t="s">
        <v>3059</v>
      </c>
      <c r="B2161" s="2">
        <v>45833.0</v>
      </c>
      <c r="C2161" s="9" t="s">
        <v>2343</v>
      </c>
      <c r="D2161" s="1" t="s">
        <v>3060</v>
      </c>
      <c r="E2161" s="4">
        <v>2172.0</v>
      </c>
      <c r="F2161" s="4"/>
      <c r="G2161" s="4"/>
      <c r="H2161" s="4">
        <f>'data on outstanding creditors'!$E2161-'data on outstanding creditors'!$F2161-'data on outstanding creditors'!$G2161</f>
        <v>2172</v>
      </c>
      <c r="I2161" s="2"/>
      <c r="J2161" s="1" t="s">
        <v>757</v>
      </c>
      <c r="K2161" s="2">
        <v>45890.0</v>
      </c>
      <c r="L2161" s="5"/>
      <c r="M2161" s="9" t="s">
        <v>43</v>
      </c>
      <c r="N2161" s="9" t="s">
        <v>49</v>
      </c>
      <c r="O2161" s="10">
        <f>'data on outstanding creditors'!$E2161*100/107</f>
        <v>2029.906542</v>
      </c>
      <c r="P2161" s="10">
        <f>'data on outstanding creditors'!$E2161-'data on outstanding creditors'!$O2161</f>
        <v>142.0934579</v>
      </c>
      <c r="Q2161" s="7">
        <f>DAY('data on outstanding creditors'!$B2161)</f>
        <v>25</v>
      </c>
      <c r="R2161" s="7">
        <f>MONTH('data on outstanding creditors'!$B2161)</f>
        <v>6</v>
      </c>
      <c r="S2161" s="7">
        <f>YEAR('data on outstanding creditors'!$B2161)</f>
        <v>2025</v>
      </c>
      <c r="T2161" s="11" t="str">
        <f>'data on outstanding creditors'!$C2161&amp;" "&amp;'data on outstanding creditors'!$D2161&amp;" "&amp;TEXT('data on outstanding creditors'!$E2161,"#,##0.00")</f>
        <v>บ.ทริมเมอร์ IV250601880 2,172.00</v>
      </c>
      <c r="U2161" s="12"/>
    </row>
    <row r="2162" ht="13.5" customHeight="1">
      <c r="A2162" s="1" t="s">
        <v>3061</v>
      </c>
      <c r="B2162" s="2">
        <v>45834.0</v>
      </c>
      <c r="C2162" s="9" t="s">
        <v>1029</v>
      </c>
      <c r="D2162" s="1" t="s">
        <v>3062</v>
      </c>
      <c r="E2162" s="4">
        <v>19100.0</v>
      </c>
      <c r="F2162" s="4"/>
      <c r="G2162" s="4"/>
      <c r="H2162" s="4">
        <f>'data on outstanding creditors'!$E2162-'data on outstanding creditors'!$F2162-'data on outstanding creditors'!$G2162</f>
        <v>19100</v>
      </c>
      <c r="I2162" s="2"/>
      <c r="J2162" s="1" t="s">
        <v>757</v>
      </c>
      <c r="K2162" s="2">
        <v>45965.0</v>
      </c>
      <c r="L2162" s="5"/>
      <c r="M2162" s="9" t="s">
        <v>43</v>
      </c>
      <c r="N2162" s="9" t="s">
        <v>49</v>
      </c>
      <c r="O2162" s="10">
        <f>'data on outstanding creditors'!$E2162*100/107</f>
        <v>17850.46729</v>
      </c>
      <c r="P2162" s="10">
        <f>'data on outstanding creditors'!$E2162-'data on outstanding creditors'!$O2162</f>
        <v>1249.53271</v>
      </c>
      <c r="Q2162" s="7">
        <f>DAY('data on outstanding creditors'!$B2162)</f>
        <v>26</v>
      </c>
      <c r="R2162" s="7">
        <f>MONTH('data on outstanding creditors'!$B2162)</f>
        <v>6</v>
      </c>
      <c r="S2162" s="7">
        <f>YEAR('data on outstanding creditors'!$B2162)</f>
        <v>2025</v>
      </c>
      <c r="T2162" s="11" t="str">
        <f>'data on outstanding creditors'!$C2162&amp;" "&amp;'data on outstanding creditors'!$D2162&amp;" "&amp;TEXT('data on outstanding creditors'!$E2162,"#,##0.00")</f>
        <v>บ.เอเทค เมดิคอล IV6806551 19,100.00</v>
      </c>
      <c r="U2162" s="12"/>
    </row>
    <row r="2163" ht="13.5" customHeight="1">
      <c r="A2163" s="1"/>
      <c r="B2163" s="2">
        <v>45835.0</v>
      </c>
      <c r="C2163" s="9" t="s">
        <v>2301</v>
      </c>
      <c r="D2163" s="1" t="s">
        <v>3063</v>
      </c>
      <c r="E2163" s="4">
        <v>6900.0</v>
      </c>
      <c r="F2163" s="4"/>
      <c r="G2163" s="4"/>
      <c r="H2163" s="4">
        <f>'data on outstanding creditors'!$E2163-'data on outstanding creditors'!$F2163-'data on outstanding creditors'!$G2163</f>
        <v>6900</v>
      </c>
      <c r="I2163" s="2"/>
      <c r="J2163" s="1" t="s">
        <v>757</v>
      </c>
      <c r="K2163" s="2">
        <v>45862.0</v>
      </c>
      <c r="L2163" s="5"/>
      <c r="M2163" s="9" t="s">
        <v>43</v>
      </c>
      <c r="N2163" s="9" t="s">
        <v>23</v>
      </c>
      <c r="O2163" s="10">
        <f>'data on outstanding creditors'!$E2163*100/107</f>
        <v>6448.598131</v>
      </c>
      <c r="P2163" s="10">
        <f>'data on outstanding creditors'!$E2163-'data on outstanding creditors'!$O2163</f>
        <v>451.4018692</v>
      </c>
      <c r="Q2163" s="7">
        <f>DAY('data on outstanding creditors'!$B2163)</f>
        <v>27</v>
      </c>
      <c r="R2163" s="7">
        <f>MONTH('data on outstanding creditors'!$B2163)</f>
        <v>6</v>
      </c>
      <c r="S2163" s="7">
        <f>YEAR('data on outstanding creditors'!$B2163)</f>
        <v>2025</v>
      </c>
      <c r="T2163" s="11" t="str">
        <f>'data on outstanding creditors'!$C2163&amp;" "&amp;'data on outstanding creditors'!$D2163&amp;" "&amp;TEXT('data on outstanding creditors'!$E2163,"#,##0.00")</f>
        <v>บ.เค เค เมดิคอล 10881 6,900.00</v>
      </c>
      <c r="U2163" s="12"/>
    </row>
    <row r="2164" ht="13.5" customHeight="1">
      <c r="A2164" s="1"/>
      <c r="B2164" s="2">
        <v>45835.0</v>
      </c>
      <c r="C2164" s="9" t="s">
        <v>965</v>
      </c>
      <c r="D2164" s="1" t="s">
        <v>3064</v>
      </c>
      <c r="E2164" s="4">
        <v>8000.0</v>
      </c>
      <c r="F2164" s="4"/>
      <c r="G2164" s="4"/>
      <c r="H2164" s="4">
        <f>'data on outstanding creditors'!$E2164-'data on outstanding creditors'!$F2164-'data on outstanding creditors'!$G2164</f>
        <v>8000</v>
      </c>
      <c r="I2164" s="2"/>
      <c r="J2164" s="1" t="s">
        <v>646</v>
      </c>
      <c r="K2164" s="2">
        <v>45881.0</v>
      </c>
      <c r="L2164" s="5"/>
      <c r="M2164" s="9" t="s">
        <v>43</v>
      </c>
      <c r="N2164" s="9" t="s">
        <v>23</v>
      </c>
      <c r="O2164" s="10">
        <f>'data on outstanding creditors'!$E2164*100/107</f>
        <v>7476.635514</v>
      </c>
      <c r="P2164" s="10">
        <f>'data on outstanding creditors'!$E2164-'data on outstanding creditors'!$O2164</f>
        <v>523.364486</v>
      </c>
      <c r="Q2164" s="7">
        <f>DAY('data on outstanding creditors'!$B2164)</f>
        <v>27</v>
      </c>
      <c r="R2164" s="7">
        <f>MONTH('data on outstanding creditors'!$B2164)</f>
        <v>6</v>
      </c>
      <c r="S2164" s="7">
        <f>YEAR('data on outstanding creditors'!$B2164)</f>
        <v>2025</v>
      </c>
      <c r="T2164" s="11" t="str">
        <f>'data on outstanding creditors'!$C2164&amp;" "&amp;'data on outstanding creditors'!$D2164&amp;" "&amp;TEXT('data on outstanding creditors'!$E2164,"#,##0.00")</f>
        <v>บ.แปซิฟิค เฮลธ์แคร์(ไทยแลนด์) 68030753 8,000.00</v>
      </c>
      <c r="U2164" s="12"/>
    </row>
    <row r="2165" ht="13.5" customHeight="1">
      <c r="A2165" s="1"/>
      <c r="B2165" s="2">
        <v>45835.0</v>
      </c>
      <c r="C2165" s="9" t="s">
        <v>2387</v>
      </c>
      <c r="D2165" s="1" t="s">
        <v>3065</v>
      </c>
      <c r="E2165" s="4">
        <v>3000.0</v>
      </c>
      <c r="F2165" s="4"/>
      <c r="G2165" s="4"/>
      <c r="H2165" s="4">
        <f>'data on outstanding creditors'!$E2165-'data on outstanding creditors'!$F2165-'data on outstanding creditors'!$G2165</f>
        <v>3000</v>
      </c>
      <c r="I2165" s="2"/>
      <c r="J2165" s="1" t="s">
        <v>757</v>
      </c>
      <c r="K2165" s="2">
        <v>45862.0</v>
      </c>
      <c r="L2165" s="5"/>
      <c r="M2165" s="9" t="s">
        <v>43</v>
      </c>
      <c r="N2165" s="9" t="s">
        <v>23</v>
      </c>
      <c r="O2165" s="10">
        <f>'data on outstanding creditors'!$E2165*100/107</f>
        <v>2803.738318</v>
      </c>
      <c r="P2165" s="10">
        <f>'data on outstanding creditors'!$E2165-'data on outstanding creditors'!$O2165</f>
        <v>196.2616822</v>
      </c>
      <c r="Q2165" s="7">
        <f>DAY('data on outstanding creditors'!$B2165)</f>
        <v>27</v>
      </c>
      <c r="R2165" s="7">
        <f>MONTH('data on outstanding creditors'!$B2165)</f>
        <v>6</v>
      </c>
      <c r="S2165" s="7">
        <f>YEAR('data on outstanding creditors'!$B2165)</f>
        <v>2025</v>
      </c>
      <c r="T2165" s="11" t="str">
        <f>'data on outstanding creditors'!$C2165&amp;" "&amp;'data on outstanding creditors'!$D2165&amp;" "&amp;TEXT('data on outstanding creditors'!$E2165,"#,##0.00")</f>
        <v>บ.บุนย์วานิช อินเตอร์เนชั่นแนล FM680607 3,000.00</v>
      </c>
      <c r="U2165" s="12"/>
    </row>
    <row r="2166" ht="13.5" customHeight="1">
      <c r="A2166" s="1"/>
      <c r="B2166" s="2">
        <v>45835.0</v>
      </c>
      <c r="C2166" s="9" t="s">
        <v>688</v>
      </c>
      <c r="D2166" s="1" t="s">
        <v>3066</v>
      </c>
      <c r="E2166" s="4">
        <v>66875.0</v>
      </c>
      <c r="F2166" s="4"/>
      <c r="G2166" s="4"/>
      <c r="H2166" s="4">
        <f>'data on outstanding creditors'!$E2166-'data on outstanding creditors'!$F2166-'data on outstanding creditors'!$G2166</f>
        <v>66875</v>
      </c>
      <c r="I2166" s="2"/>
      <c r="J2166" s="1" t="s">
        <v>757</v>
      </c>
      <c r="K2166" s="2">
        <v>45889.0</v>
      </c>
      <c r="L2166" s="5"/>
      <c r="M2166" s="9" t="s">
        <v>43</v>
      </c>
      <c r="N2166" s="9" t="s">
        <v>23</v>
      </c>
      <c r="O2166" s="10">
        <f>'data on outstanding creditors'!$E2166*100/107</f>
        <v>62500</v>
      </c>
      <c r="P2166" s="10">
        <f>'data on outstanding creditors'!$E2166-'data on outstanding creditors'!$O2166</f>
        <v>4375</v>
      </c>
      <c r="Q2166" s="7">
        <f>DAY('data on outstanding creditors'!$B2166)</f>
        <v>27</v>
      </c>
      <c r="R2166" s="7">
        <f>MONTH('data on outstanding creditors'!$B2166)</f>
        <v>6</v>
      </c>
      <c r="S2166" s="7">
        <f>YEAR('data on outstanding creditors'!$B2166)</f>
        <v>2025</v>
      </c>
      <c r="T2166" s="11" t="str">
        <f>'data on outstanding creditors'!$C2166&amp;" "&amp;'data on outstanding creditors'!$D2166&amp;" "&amp;TEXT('data on outstanding creditors'!$E2166,"#,##0.00")</f>
        <v>บ.โอเร็กซ์ เทรดดิ้ง 680603786 66,875.00</v>
      </c>
      <c r="U2166" s="12"/>
    </row>
    <row r="2167" ht="13.5" customHeight="1">
      <c r="A2167" s="1" t="s">
        <v>3067</v>
      </c>
      <c r="B2167" s="2">
        <v>45835.0</v>
      </c>
      <c r="C2167" s="9" t="s">
        <v>1029</v>
      </c>
      <c r="D2167" s="1" t="s">
        <v>3068</v>
      </c>
      <c r="E2167" s="4">
        <v>11400.0</v>
      </c>
      <c r="F2167" s="4"/>
      <c r="G2167" s="4"/>
      <c r="H2167" s="4">
        <f>'data on outstanding creditors'!$E2167-'data on outstanding creditors'!$F2167-'data on outstanding creditors'!$G2167</f>
        <v>11400</v>
      </c>
      <c r="I2167" s="2"/>
      <c r="J2167" s="1" t="s">
        <v>757</v>
      </c>
      <c r="K2167" s="2">
        <v>45965.0</v>
      </c>
      <c r="L2167" s="5"/>
      <c r="M2167" s="9" t="s">
        <v>43</v>
      </c>
      <c r="N2167" s="9" t="s">
        <v>49</v>
      </c>
      <c r="O2167" s="10">
        <f>'data on outstanding creditors'!$E2167*100/107</f>
        <v>10654.20561</v>
      </c>
      <c r="P2167" s="10">
        <f>'data on outstanding creditors'!$E2167-'data on outstanding creditors'!$O2167</f>
        <v>745.7943925</v>
      </c>
      <c r="Q2167" s="7">
        <f>DAY('data on outstanding creditors'!$B2167)</f>
        <v>27</v>
      </c>
      <c r="R2167" s="7">
        <f>MONTH('data on outstanding creditors'!$B2167)</f>
        <v>6</v>
      </c>
      <c r="S2167" s="7">
        <f>YEAR('data on outstanding creditors'!$B2167)</f>
        <v>2025</v>
      </c>
      <c r="T2167" s="11" t="str">
        <f>'data on outstanding creditors'!$C2167&amp;" "&amp;'data on outstanding creditors'!$D2167&amp;" "&amp;TEXT('data on outstanding creditors'!$E2167,"#,##0.00")</f>
        <v>บ.เอเทค เมดิคอล IV6806552 11,400.00</v>
      </c>
      <c r="U2167" s="12"/>
    </row>
    <row r="2168" ht="13.5" customHeight="1">
      <c r="A2168" s="1" t="s">
        <v>3069</v>
      </c>
      <c r="B2168" s="2">
        <v>45835.0</v>
      </c>
      <c r="C2168" s="9" t="s">
        <v>2330</v>
      </c>
      <c r="D2168" s="1" t="s">
        <v>3070</v>
      </c>
      <c r="E2168" s="4">
        <v>11050.0</v>
      </c>
      <c r="F2168" s="4"/>
      <c r="G2168" s="4"/>
      <c r="H2168" s="4">
        <f>'data on outstanding creditors'!$E2168-'data on outstanding creditors'!$F2168-'data on outstanding creditors'!$G2168</f>
        <v>11050</v>
      </c>
      <c r="I2168" s="2"/>
      <c r="J2168" s="1" t="s">
        <v>646</v>
      </c>
      <c r="K2168" s="2">
        <v>45944.0</v>
      </c>
      <c r="L2168" s="5"/>
      <c r="M2168" s="9" t="s">
        <v>43</v>
      </c>
      <c r="N2168" s="9" t="s">
        <v>49</v>
      </c>
      <c r="O2168" s="10">
        <f>'data on outstanding creditors'!$E2168*100/107</f>
        <v>10327.1028</v>
      </c>
      <c r="P2168" s="10">
        <f>'data on outstanding creditors'!$E2168-'data on outstanding creditors'!$O2168</f>
        <v>722.8971963</v>
      </c>
      <c r="Q2168" s="7">
        <f>DAY('data on outstanding creditors'!$B2168)</f>
        <v>27</v>
      </c>
      <c r="R2168" s="7">
        <f>MONTH('data on outstanding creditors'!$B2168)</f>
        <v>6</v>
      </c>
      <c r="S2168" s="7">
        <f>YEAR('data on outstanding creditors'!$B2168)</f>
        <v>2025</v>
      </c>
      <c r="T2168" s="11" t="str">
        <f>'data on outstanding creditors'!$C2168&amp;" "&amp;'data on outstanding creditors'!$D2168&amp;" "&amp;TEXT('data on outstanding creditors'!$E2168,"#,##0.00")</f>
        <v>บ.อี ฟอร์ แอล เอม M6806-0666 11,050.00</v>
      </c>
      <c r="U2168" s="12"/>
    </row>
    <row r="2169" ht="13.5" customHeight="1">
      <c r="A2169" s="1" t="s">
        <v>3071</v>
      </c>
      <c r="B2169" s="2">
        <v>45835.0</v>
      </c>
      <c r="C2169" s="9" t="s">
        <v>2343</v>
      </c>
      <c r="D2169" s="1" t="s">
        <v>3072</v>
      </c>
      <c r="E2169" s="4">
        <v>4340.0</v>
      </c>
      <c r="F2169" s="4"/>
      <c r="G2169" s="4"/>
      <c r="H2169" s="4">
        <f>'data on outstanding creditors'!$E2169-'data on outstanding creditors'!$F2169-'data on outstanding creditors'!$G2169</f>
        <v>4340</v>
      </c>
      <c r="I2169" s="2"/>
      <c r="J2169" s="1" t="s">
        <v>757</v>
      </c>
      <c r="K2169" s="2">
        <v>45890.0</v>
      </c>
      <c r="L2169" s="5"/>
      <c r="M2169" s="9" t="s">
        <v>43</v>
      </c>
      <c r="N2169" s="9" t="s">
        <v>49</v>
      </c>
      <c r="O2169" s="10">
        <f>'data on outstanding creditors'!$E2169*100/107</f>
        <v>4056.074766</v>
      </c>
      <c r="P2169" s="10">
        <f>'data on outstanding creditors'!$E2169-'data on outstanding creditors'!$O2169</f>
        <v>283.9252336</v>
      </c>
      <c r="Q2169" s="7">
        <f>DAY('data on outstanding creditors'!$B2169)</f>
        <v>27</v>
      </c>
      <c r="R2169" s="7">
        <f>MONTH('data on outstanding creditors'!$B2169)</f>
        <v>6</v>
      </c>
      <c r="S2169" s="7">
        <f>YEAR('data on outstanding creditors'!$B2169)</f>
        <v>2025</v>
      </c>
      <c r="T2169" s="11" t="str">
        <f>'data on outstanding creditors'!$C2169&amp;" "&amp;'data on outstanding creditors'!$D2169&amp;" "&amp;TEXT('data on outstanding creditors'!$E2169,"#,##0.00")</f>
        <v>บ.ทริมเมอร์ IV250601911 4,340.00</v>
      </c>
      <c r="U2169" s="12"/>
    </row>
    <row r="2170" ht="13.5" customHeight="1">
      <c r="A2170" s="1" t="s">
        <v>3073</v>
      </c>
      <c r="B2170" s="2">
        <v>45835.0</v>
      </c>
      <c r="C2170" s="9" t="s">
        <v>2711</v>
      </c>
      <c r="D2170" s="1" t="s">
        <v>3074</v>
      </c>
      <c r="E2170" s="4">
        <v>8000.0</v>
      </c>
      <c r="F2170" s="4"/>
      <c r="G2170" s="4"/>
      <c r="H2170" s="4">
        <f>'data on outstanding creditors'!$E2170-'data on outstanding creditors'!$F2170-'data on outstanding creditors'!$G2170</f>
        <v>8000</v>
      </c>
      <c r="I2170" s="2"/>
      <c r="J2170" s="1" t="s">
        <v>646</v>
      </c>
      <c r="K2170" s="2">
        <v>45887.0</v>
      </c>
      <c r="L2170" s="5"/>
      <c r="M2170" s="9" t="s">
        <v>43</v>
      </c>
      <c r="N2170" s="9" t="s">
        <v>49</v>
      </c>
      <c r="O2170" s="10">
        <f>'data on outstanding creditors'!$E2170*100/107</f>
        <v>7476.635514</v>
      </c>
      <c r="P2170" s="10">
        <f>'data on outstanding creditors'!$E2170-'data on outstanding creditors'!$O2170</f>
        <v>523.364486</v>
      </c>
      <c r="Q2170" s="7">
        <f>DAY('data on outstanding creditors'!$B2170)</f>
        <v>27</v>
      </c>
      <c r="R2170" s="7">
        <f>MONTH('data on outstanding creditors'!$B2170)</f>
        <v>6</v>
      </c>
      <c r="S2170" s="7">
        <f>YEAR('data on outstanding creditors'!$B2170)</f>
        <v>2025</v>
      </c>
      <c r="T2170" s="11" t="str">
        <f>'data on outstanding creditors'!$C2170&amp;" "&amp;'data on outstanding creditors'!$D2170&amp;" "&amp;TEXT('data on outstanding creditors'!$E2170,"#,##0.00")</f>
        <v>บ.ทีเคเอ็น ซัพพลาย(ไทยแลนด์) IV2506598 8,000.00</v>
      </c>
      <c r="U2170" s="12"/>
    </row>
    <row r="2171" ht="13.5" customHeight="1">
      <c r="A2171" s="1" t="s">
        <v>3075</v>
      </c>
      <c r="B2171" s="2">
        <v>45835.0</v>
      </c>
      <c r="C2171" s="9" t="s">
        <v>1029</v>
      </c>
      <c r="D2171" s="1" t="s">
        <v>3076</v>
      </c>
      <c r="E2171" s="4">
        <v>15500.0</v>
      </c>
      <c r="F2171" s="4"/>
      <c r="G2171" s="4"/>
      <c r="H2171" s="4">
        <f>'data on outstanding creditors'!$E2171-'data on outstanding creditors'!$F2171-'data on outstanding creditors'!$G2171</f>
        <v>15500</v>
      </c>
      <c r="I2171" s="2"/>
      <c r="J2171" s="1" t="s">
        <v>757</v>
      </c>
      <c r="K2171" s="2">
        <v>45957.0</v>
      </c>
      <c r="L2171" s="5"/>
      <c r="M2171" s="9" t="s">
        <v>43</v>
      </c>
      <c r="N2171" s="9" t="s">
        <v>49</v>
      </c>
      <c r="O2171" s="10">
        <f>'data on outstanding creditors'!$E2171*100/107</f>
        <v>14485.98131</v>
      </c>
      <c r="P2171" s="10">
        <f>'data on outstanding creditors'!$E2171-'data on outstanding creditors'!$O2171</f>
        <v>1014.018692</v>
      </c>
      <c r="Q2171" s="7">
        <f>DAY('data on outstanding creditors'!$B2171)</f>
        <v>27</v>
      </c>
      <c r="R2171" s="7">
        <f>MONTH('data on outstanding creditors'!$B2171)</f>
        <v>6</v>
      </c>
      <c r="S2171" s="7">
        <f>YEAR('data on outstanding creditors'!$B2171)</f>
        <v>2025</v>
      </c>
      <c r="T2171" s="11" t="str">
        <f>'data on outstanding creditors'!$C2171&amp;" "&amp;'data on outstanding creditors'!$D2171&amp;" "&amp;TEXT('data on outstanding creditors'!$E2171,"#,##0.00")</f>
        <v>บ.เอเทค เมดิคอล IV6806550 15,500.00</v>
      </c>
      <c r="U2171" s="12"/>
    </row>
    <row r="2172" ht="13.5" customHeight="1">
      <c r="A2172" s="1" t="s">
        <v>3077</v>
      </c>
      <c r="B2172" s="2">
        <v>45838.0</v>
      </c>
      <c r="C2172" s="9" t="s">
        <v>1029</v>
      </c>
      <c r="D2172" s="1" t="s">
        <v>3078</v>
      </c>
      <c r="E2172" s="4">
        <v>18500.0</v>
      </c>
      <c r="F2172" s="4"/>
      <c r="G2172" s="4"/>
      <c r="H2172" s="4">
        <f>'data on outstanding creditors'!$E2172-'data on outstanding creditors'!$F2172-'data on outstanding creditors'!$G2172</f>
        <v>18500</v>
      </c>
      <c r="I2172" s="2"/>
      <c r="J2172" s="1"/>
      <c r="K2172" s="2"/>
      <c r="L2172" s="5"/>
      <c r="M2172" s="9" t="s">
        <v>43</v>
      </c>
      <c r="N2172" s="9" t="s">
        <v>49</v>
      </c>
      <c r="O2172" s="10">
        <f>'data on outstanding creditors'!$E2172*100/107</f>
        <v>17289.71963</v>
      </c>
      <c r="P2172" s="10">
        <f>'data on outstanding creditors'!$E2172-'data on outstanding creditors'!$O2172</f>
        <v>1210.280374</v>
      </c>
      <c r="Q2172" s="7">
        <f>DAY('data on outstanding creditors'!$B2172)</f>
        <v>30</v>
      </c>
      <c r="R2172" s="7">
        <f>MONTH('data on outstanding creditors'!$B2172)</f>
        <v>6</v>
      </c>
      <c r="S2172" s="7">
        <f>YEAR('data on outstanding creditors'!$B2172)</f>
        <v>2025</v>
      </c>
      <c r="T2172" s="11" t="str">
        <f>'data on outstanding creditors'!$C2172&amp;" "&amp;'data on outstanding creditors'!$D2172&amp;" "&amp;TEXT('data on outstanding creditors'!$E2172,"#,##0.00")</f>
        <v>บ.เอเทค เมดิคอล IV6807009 18,500.00</v>
      </c>
      <c r="U2172" s="12"/>
    </row>
    <row r="2173" ht="13.5" customHeight="1">
      <c r="A2173" s="1" t="s">
        <v>3079</v>
      </c>
      <c r="B2173" s="2">
        <v>45839.0</v>
      </c>
      <c r="C2173" s="9" t="s">
        <v>1029</v>
      </c>
      <c r="D2173" s="1" t="s">
        <v>3080</v>
      </c>
      <c r="E2173" s="4">
        <v>11400.0</v>
      </c>
      <c r="F2173" s="4"/>
      <c r="G2173" s="4"/>
      <c r="H2173" s="4">
        <f>'data on outstanding creditors'!$E2173-'data on outstanding creditors'!$F2173-'data on outstanding creditors'!$G2173</f>
        <v>11400</v>
      </c>
      <c r="I2173" s="2"/>
      <c r="J2173" s="1" t="s">
        <v>757</v>
      </c>
      <c r="K2173" s="2">
        <v>45954.0</v>
      </c>
      <c r="L2173" s="5"/>
      <c r="M2173" s="9" t="s">
        <v>43</v>
      </c>
      <c r="N2173" s="9" t="s">
        <v>49</v>
      </c>
      <c r="O2173" s="10">
        <f>'data on outstanding creditors'!$E2173*100/107</f>
        <v>10654.20561</v>
      </c>
      <c r="P2173" s="10">
        <f>'data on outstanding creditors'!$E2173-'data on outstanding creditors'!$O2173</f>
        <v>745.7943925</v>
      </c>
      <c r="Q2173" s="7">
        <f>DAY('data on outstanding creditors'!$B2173)</f>
        <v>1</v>
      </c>
      <c r="R2173" s="7">
        <f>MONTH('data on outstanding creditors'!$B2173)</f>
        <v>7</v>
      </c>
      <c r="S2173" s="7">
        <f>YEAR('data on outstanding creditors'!$B2173)</f>
        <v>2025</v>
      </c>
      <c r="T2173" s="11" t="str">
        <f>'data on outstanding creditors'!$C2173&amp;" "&amp;'data on outstanding creditors'!$D2173&amp;" "&amp;TEXT('data on outstanding creditors'!$E2173,"#,##0.00")</f>
        <v>บ.เอเทค เมดิคอล IV6807034 11,400.00</v>
      </c>
      <c r="U2173" s="12"/>
    </row>
    <row r="2174" ht="13.5" customHeight="1">
      <c r="A2174" s="1" t="s">
        <v>3081</v>
      </c>
      <c r="B2174" s="2">
        <v>45839.0</v>
      </c>
      <c r="C2174" s="9" t="s">
        <v>1029</v>
      </c>
      <c r="D2174" s="1" t="s">
        <v>3082</v>
      </c>
      <c r="E2174" s="4">
        <v>11400.0</v>
      </c>
      <c r="F2174" s="4"/>
      <c r="G2174" s="4"/>
      <c r="H2174" s="4">
        <f>'data on outstanding creditors'!$E2174-'data on outstanding creditors'!$F2174-'data on outstanding creditors'!$G2174</f>
        <v>11400</v>
      </c>
      <c r="I2174" s="2"/>
      <c r="J2174" s="1" t="s">
        <v>757</v>
      </c>
      <c r="K2174" s="2">
        <v>45954.0</v>
      </c>
      <c r="L2174" s="5"/>
      <c r="M2174" s="9" t="s">
        <v>43</v>
      </c>
      <c r="N2174" s="9" t="s">
        <v>49</v>
      </c>
      <c r="O2174" s="10">
        <f>'data on outstanding creditors'!$E2174*100/107</f>
        <v>10654.20561</v>
      </c>
      <c r="P2174" s="10">
        <f>'data on outstanding creditors'!$E2174-'data on outstanding creditors'!$O2174</f>
        <v>745.7943925</v>
      </c>
      <c r="Q2174" s="7">
        <f>DAY('data on outstanding creditors'!$B2174)</f>
        <v>1</v>
      </c>
      <c r="R2174" s="7">
        <f>MONTH('data on outstanding creditors'!$B2174)</f>
        <v>7</v>
      </c>
      <c r="S2174" s="7">
        <f>YEAR('data on outstanding creditors'!$B2174)</f>
        <v>2025</v>
      </c>
      <c r="T2174" s="11" t="str">
        <f>'data on outstanding creditors'!$C2174&amp;" "&amp;'data on outstanding creditors'!$D2174&amp;" "&amp;TEXT('data on outstanding creditors'!$E2174,"#,##0.00")</f>
        <v>บ.เอเทค เมดิคอล IV6807087 11,400.00</v>
      </c>
      <c r="U2174" s="12"/>
    </row>
    <row r="2175" ht="13.5" customHeight="1">
      <c r="A2175" s="1" t="s">
        <v>3083</v>
      </c>
      <c r="B2175" s="2">
        <v>45839.0</v>
      </c>
      <c r="C2175" s="9" t="s">
        <v>1029</v>
      </c>
      <c r="D2175" s="1" t="s">
        <v>3084</v>
      </c>
      <c r="E2175" s="4">
        <v>17600.0</v>
      </c>
      <c r="F2175" s="4"/>
      <c r="G2175" s="4"/>
      <c r="H2175" s="4">
        <f>'data on outstanding creditors'!$E2175-'data on outstanding creditors'!$F2175-'data on outstanding creditors'!$G2175</f>
        <v>17600</v>
      </c>
      <c r="I2175" s="2"/>
      <c r="J2175" s="1"/>
      <c r="K2175" s="2"/>
      <c r="L2175" s="5"/>
      <c r="M2175" s="9" t="s">
        <v>43</v>
      </c>
      <c r="N2175" s="9" t="s">
        <v>49</v>
      </c>
      <c r="O2175" s="10">
        <f>'data on outstanding creditors'!$E2175*100/107</f>
        <v>16448.59813</v>
      </c>
      <c r="P2175" s="10">
        <f>'data on outstanding creditors'!$E2175-'data on outstanding creditors'!$O2175</f>
        <v>1151.401869</v>
      </c>
      <c r="Q2175" s="7">
        <f>DAY('data on outstanding creditors'!$B2175)</f>
        <v>1</v>
      </c>
      <c r="R2175" s="7">
        <f>MONTH('data on outstanding creditors'!$B2175)</f>
        <v>7</v>
      </c>
      <c r="S2175" s="7">
        <f>YEAR('data on outstanding creditors'!$B2175)</f>
        <v>2025</v>
      </c>
      <c r="T2175" s="11" t="str">
        <f>'data on outstanding creditors'!$C2175&amp;" "&amp;'data on outstanding creditors'!$D2175&amp;" "&amp;TEXT('data on outstanding creditors'!$E2175,"#,##0.00")</f>
        <v>บ.เอเทค เมดิคอล IV6807088 17,600.00</v>
      </c>
      <c r="U2175" s="12"/>
    </row>
    <row r="2176" ht="13.5" customHeight="1">
      <c r="A2176" s="1" t="s">
        <v>3085</v>
      </c>
      <c r="B2176" s="2">
        <v>45839.0</v>
      </c>
      <c r="C2176" s="9" t="s">
        <v>2285</v>
      </c>
      <c r="D2176" s="1" t="s">
        <v>3086</v>
      </c>
      <c r="E2176" s="4">
        <v>1020.0</v>
      </c>
      <c r="F2176" s="4"/>
      <c r="G2176" s="4"/>
      <c r="H2176" s="4">
        <f>'data on outstanding creditors'!$E2176-'data on outstanding creditors'!$F2176-'data on outstanding creditors'!$G2176</f>
        <v>1020</v>
      </c>
      <c r="I2176" s="2"/>
      <c r="J2176" s="1" t="s">
        <v>646</v>
      </c>
      <c r="K2176" s="2">
        <v>45928.0</v>
      </c>
      <c r="L2176" s="5"/>
      <c r="M2176" s="9" t="s">
        <v>43</v>
      </c>
      <c r="N2176" s="9" t="s">
        <v>49</v>
      </c>
      <c r="O2176" s="10">
        <f>'data on outstanding creditors'!$E2176*100/107</f>
        <v>953.271028</v>
      </c>
      <c r="P2176" s="10">
        <f>'data on outstanding creditors'!$E2176-'data on outstanding creditors'!$O2176</f>
        <v>66.72897196</v>
      </c>
      <c r="Q2176" s="7">
        <f>DAY('data on outstanding creditors'!$B2176)</f>
        <v>1</v>
      </c>
      <c r="R2176" s="7">
        <f>MONTH('data on outstanding creditors'!$B2176)</f>
        <v>7</v>
      </c>
      <c r="S2176" s="7">
        <f>YEAR('data on outstanding creditors'!$B2176)</f>
        <v>2025</v>
      </c>
      <c r="T2176" s="11" t="str">
        <f>'data on outstanding creditors'!$C2176&amp;" "&amp;'data on outstanding creditors'!$D2176&amp;" "&amp;TEXT('data on outstanding creditors'!$E2176,"#,##0.00")</f>
        <v>บ.อีออนเมด INT-AOM25070006 1,020.00</v>
      </c>
      <c r="U2176" s="12"/>
    </row>
    <row r="2177" ht="13.5" customHeight="1">
      <c r="A2177" s="1" t="s">
        <v>3087</v>
      </c>
      <c r="B2177" s="2">
        <v>45839.0</v>
      </c>
      <c r="C2177" s="9" t="s">
        <v>2334</v>
      </c>
      <c r="D2177" s="1" t="s">
        <v>3088</v>
      </c>
      <c r="E2177" s="4">
        <v>113000.0</v>
      </c>
      <c r="F2177" s="4"/>
      <c r="G2177" s="4"/>
      <c r="H2177" s="4">
        <f>'data on outstanding creditors'!$E2177-'data on outstanding creditors'!$F2177-'data on outstanding creditors'!$G2177</f>
        <v>113000</v>
      </c>
      <c r="I2177" s="2"/>
      <c r="J2177" s="1" t="s">
        <v>757</v>
      </c>
      <c r="K2177" s="2">
        <v>45890.0</v>
      </c>
      <c r="L2177" s="5"/>
      <c r="M2177" s="9" t="s">
        <v>43</v>
      </c>
      <c r="N2177" s="9" t="s">
        <v>49</v>
      </c>
      <c r="O2177" s="10">
        <f>'data on outstanding creditors'!$E2177*100/107</f>
        <v>105607.4766</v>
      </c>
      <c r="P2177" s="10">
        <f>'data on outstanding creditors'!$E2177-'data on outstanding creditors'!$O2177</f>
        <v>7392.523364</v>
      </c>
      <c r="Q2177" s="7">
        <f>DAY('data on outstanding creditors'!$B2177)</f>
        <v>1</v>
      </c>
      <c r="R2177" s="7">
        <f>MONTH('data on outstanding creditors'!$B2177)</f>
        <v>7</v>
      </c>
      <c r="S2177" s="7">
        <f>YEAR('data on outstanding creditors'!$B2177)</f>
        <v>2025</v>
      </c>
      <c r="T2177" s="11" t="str">
        <f>'data on outstanding creditors'!$C2177&amp;" "&amp;'data on outstanding creditors'!$D2177&amp;" "&amp;TEXT('data on outstanding creditors'!$E2177,"#,##0.00")</f>
        <v>บ.ไทยก๊อส IV6824736 113,000.00</v>
      </c>
      <c r="U2177" s="12"/>
    </row>
    <row r="2178" ht="13.5" customHeight="1">
      <c r="A2178" s="1" t="s">
        <v>3089</v>
      </c>
      <c r="B2178" s="2">
        <v>45839.0</v>
      </c>
      <c r="C2178" s="9" t="s">
        <v>2334</v>
      </c>
      <c r="D2178" s="1" t="s">
        <v>3090</v>
      </c>
      <c r="E2178" s="4">
        <v>24600.0</v>
      </c>
      <c r="F2178" s="4"/>
      <c r="G2178" s="4"/>
      <c r="H2178" s="4">
        <f>'data on outstanding creditors'!$E2178-'data on outstanding creditors'!$F2178-'data on outstanding creditors'!$G2178</f>
        <v>24600</v>
      </c>
      <c r="I2178" s="2"/>
      <c r="J2178" s="1" t="s">
        <v>757</v>
      </c>
      <c r="K2178" s="2">
        <v>45890.0</v>
      </c>
      <c r="L2178" s="5"/>
      <c r="M2178" s="9" t="s">
        <v>43</v>
      </c>
      <c r="N2178" s="9" t="s">
        <v>49</v>
      </c>
      <c r="O2178" s="10">
        <f>'data on outstanding creditors'!$E2178*100/107</f>
        <v>22990.65421</v>
      </c>
      <c r="P2178" s="10">
        <f>'data on outstanding creditors'!$E2178-'data on outstanding creditors'!$O2178</f>
        <v>1609.345794</v>
      </c>
      <c r="Q2178" s="7">
        <f>DAY('data on outstanding creditors'!$B2178)</f>
        <v>1</v>
      </c>
      <c r="R2178" s="7">
        <f>MONTH('data on outstanding creditors'!$B2178)</f>
        <v>7</v>
      </c>
      <c r="S2178" s="7">
        <f>YEAR('data on outstanding creditors'!$B2178)</f>
        <v>2025</v>
      </c>
      <c r="T2178" s="11" t="str">
        <f>'data on outstanding creditors'!$C2178&amp;" "&amp;'data on outstanding creditors'!$D2178&amp;" "&amp;TEXT('data on outstanding creditors'!$E2178,"#,##0.00")</f>
        <v>บ.ไทยก๊อส IV6824363 24,600.00</v>
      </c>
      <c r="U2178" s="12"/>
    </row>
    <row r="2179" ht="13.5" customHeight="1">
      <c r="A2179" s="1" t="s">
        <v>3091</v>
      </c>
      <c r="B2179" s="2">
        <v>45839.0</v>
      </c>
      <c r="C2179" s="9" t="s">
        <v>254</v>
      </c>
      <c r="D2179" s="1" t="s">
        <v>3092</v>
      </c>
      <c r="E2179" s="4">
        <v>4950.0</v>
      </c>
      <c r="F2179" s="4"/>
      <c r="G2179" s="4"/>
      <c r="H2179" s="4">
        <f>'data on outstanding creditors'!$E2179-'data on outstanding creditors'!$F2179-'data on outstanding creditors'!$G2179</f>
        <v>4950</v>
      </c>
      <c r="I2179" s="2"/>
      <c r="J2179" s="1" t="s">
        <v>757</v>
      </c>
      <c r="K2179" s="2">
        <v>45909.0</v>
      </c>
      <c r="L2179" s="5"/>
      <c r="M2179" s="9" t="s">
        <v>43</v>
      </c>
      <c r="N2179" s="9" t="s">
        <v>49</v>
      </c>
      <c r="O2179" s="10">
        <f>'data on outstanding creditors'!$E2179*100/107</f>
        <v>4626.168224</v>
      </c>
      <c r="P2179" s="10">
        <f>'data on outstanding creditors'!$E2179-'data on outstanding creditors'!$O2179</f>
        <v>323.8317757</v>
      </c>
      <c r="Q2179" s="7">
        <f>DAY('data on outstanding creditors'!$B2179)</f>
        <v>1</v>
      </c>
      <c r="R2179" s="7">
        <f>MONTH('data on outstanding creditors'!$B2179)</f>
        <v>7</v>
      </c>
      <c r="S2179" s="7">
        <f>YEAR('data on outstanding creditors'!$B2179)</f>
        <v>2025</v>
      </c>
      <c r="T2179" s="11" t="str">
        <f>'data on outstanding creditors'!$C2179&amp;" "&amp;'data on outstanding creditors'!$D2179&amp;" "&amp;TEXT('data on outstanding creditors'!$E2179,"#,##0.00")</f>
        <v>บ.แม็กซิม อินเตอร์คอร์ปอร์เรชั่น IV25061578 4,950.00</v>
      </c>
      <c r="U2179" s="12"/>
    </row>
    <row r="2180" ht="13.5" customHeight="1">
      <c r="A2180" s="1" t="s">
        <v>3093</v>
      </c>
      <c r="B2180" s="2">
        <v>45839.0</v>
      </c>
      <c r="C2180" s="9" t="s">
        <v>2320</v>
      </c>
      <c r="D2180" s="1" t="s">
        <v>3094</v>
      </c>
      <c r="E2180" s="4">
        <v>20500.0</v>
      </c>
      <c r="F2180" s="4"/>
      <c r="G2180" s="4"/>
      <c r="H2180" s="4">
        <f>'data on outstanding creditors'!$E2180-'data on outstanding creditors'!$F2180-'data on outstanding creditors'!$G2180</f>
        <v>20500</v>
      </c>
      <c r="I2180" s="2"/>
      <c r="J2180" s="1" t="s">
        <v>646</v>
      </c>
      <c r="K2180" s="2">
        <v>45928.0</v>
      </c>
      <c r="L2180" s="5"/>
      <c r="M2180" s="9" t="s">
        <v>43</v>
      </c>
      <c r="N2180" s="9" t="s">
        <v>49</v>
      </c>
      <c r="O2180" s="10">
        <f>'data on outstanding creditors'!$E2180*100/107</f>
        <v>19158.8785</v>
      </c>
      <c r="P2180" s="10">
        <f>'data on outstanding creditors'!$E2180-'data on outstanding creditors'!$O2180</f>
        <v>1341.121495</v>
      </c>
      <c r="Q2180" s="7">
        <f>DAY('data on outstanding creditors'!$B2180)</f>
        <v>1</v>
      </c>
      <c r="R2180" s="7">
        <f>MONTH('data on outstanding creditors'!$B2180)</f>
        <v>7</v>
      </c>
      <c r="S2180" s="7">
        <f>YEAR('data on outstanding creditors'!$B2180)</f>
        <v>2025</v>
      </c>
      <c r="T2180" s="11" t="str">
        <f>'data on outstanding creditors'!$C2180&amp;" "&amp;'data on outstanding creditors'!$D2180&amp;" "&amp;TEXT('data on outstanding creditors'!$E2180,"#,##0.00")</f>
        <v>บ.เทคโนเมดิคัล 25062082 20,500.00</v>
      </c>
      <c r="U2180" s="12"/>
    </row>
    <row r="2181" ht="13.5" customHeight="1">
      <c r="A2181" s="1" t="s">
        <v>3095</v>
      </c>
      <c r="B2181" s="2">
        <v>45839.0</v>
      </c>
      <c r="C2181" s="9" t="s">
        <v>1320</v>
      </c>
      <c r="D2181" s="1" t="s">
        <v>3096</v>
      </c>
      <c r="E2181" s="4">
        <v>13200.0</v>
      </c>
      <c r="F2181" s="4"/>
      <c r="G2181" s="4"/>
      <c r="H2181" s="4">
        <f>'data on outstanding creditors'!$E2181-'data on outstanding creditors'!$F2181-'data on outstanding creditors'!$G2181</f>
        <v>13200</v>
      </c>
      <c r="I2181" s="2"/>
      <c r="J2181" s="1" t="s">
        <v>757</v>
      </c>
      <c r="K2181" s="2">
        <v>45911.0</v>
      </c>
      <c r="L2181" s="5"/>
      <c r="M2181" s="9" t="s">
        <v>43</v>
      </c>
      <c r="N2181" s="9" t="s">
        <v>49</v>
      </c>
      <c r="O2181" s="10">
        <f>'data on outstanding creditors'!$E2181*100/107</f>
        <v>12336.4486</v>
      </c>
      <c r="P2181" s="10">
        <f>'data on outstanding creditors'!$E2181-'data on outstanding creditors'!$O2181</f>
        <v>863.5514019</v>
      </c>
      <c r="Q2181" s="7">
        <f>DAY('data on outstanding creditors'!$B2181)</f>
        <v>1</v>
      </c>
      <c r="R2181" s="7">
        <f>MONTH('data on outstanding creditors'!$B2181)</f>
        <v>7</v>
      </c>
      <c r="S2181" s="7">
        <f>YEAR('data on outstanding creditors'!$B2181)</f>
        <v>2025</v>
      </c>
      <c r="T2181" s="11" t="str">
        <f>'data on outstanding creditors'!$C2181&amp;" "&amp;'data on outstanding creditors'!$D2181&amp;" "&amp;TEXT('data on outstanding creditors'!$E2181,"#,##0.00")</f>
        <v>บ.บี.เอ็ล.ฮั้ว 68022840 13,200.00</v>
      </c>
      <c r="U2181" s="12"/>
    </row>
    <row r="2182" ht="13.5" customHeight="1">
      <c r="A2182" s="1" t="s">
        <v>3097</v>
      </c>
      <c r="B2182" s="2">
        <v>45840.0</v>
      </c>
      <c r="C2182" s="9" t="s">
        <v>2472</v>
      </c>
      <c r="D2182" s="1" t="s">
        <v>3098</v>
      </c>
      <c r="E2182" s="4">
        <v>32000.0</v>
      </c>
      <c r="F2182" s="4"/>
      <c r="G2182" s="4"/>
      <c r="H2182" s="4">
        <f>'data on outstanding creditors'!$E2182-'data on outstanding creditors'!$F2182-'data on outstanding creditors'!$G2182</f>
        <v>32000</v>
      </c>
      <c r="I2182" s="2"/>
      <c r="J2182" s="1" t="s">
        <v>757</v>
      </c>
      <c r="K2182" s="2">
        <v>45917.0</v>
      </c>
      <c r="L2182" s="5"/>
      <c r="M2182" s="9" t="s">
        <v>43</v>
      </c>
      <c r="N2182" s="9" t="s">
        <v>49</v>
      </c>
      <c r="O2182" s="10">
        <f>'data on outstanding creditors'!$E2182*100/107</f>
        <v>29906.54206</v>
      </c>
      <c r="P2182" s="10">
        <f>'data on outstanding creditors'!$E2182-'data on outstanding creditors'!$O2182</f>
        <v>2093.457944</v>
      </c>
      <c r="Q2182" s="7">
        <f>DAY('data on outstanding creditors'!$B2182)</f>
        <v>2</v>
      </c>
      <c r="R2182" s="7">
        <f>MONTH('data on outstanding creditors'!$B2182)</f>
        <v>7</v>
      </c>
      <c r="S2182" s="7">
        <f>YEAR('data on outstanding creditors'!$B2182)</f>
        <v>2025</v>
      </c>
      <c r="T2182" s="11" t="str">
        <f>'data on outstanding creditors'!$C2182&amp;" "&amp;'data on outstanding creditors'!$D2182&amp;" "&amp;TEXT('data on outstanding creditors'!$E2182,"#,##0.00")</f>
        <v>บ.เอเมอร์สัน กรุ๊ป IV6807012 32,000.00</v>
      </c>
      <c r="U2182" s="12"/>
    </row>
    <row r="2183" ht="13.5" customHeight="1">
      <c r="A2183" s="1" t="s">
        <v>3099</v>
      </c>
      <c r="B2183" s="2">
        <v>45840.0</v>
      </c>
      <c r="C2183" s="9" t="s">
        <v>3023</v>
      </c>
      <c r="D2183" s="1" t="s">
        <v>3100</v>
      </c>
      <c r="E2183" s="4">
        <v>3000.0</v>
      </c>
      <c r="F2183" s="4"/>
      <c r="G2183" s="4"/>
      <c r="H2183" s="4">
        <f>'data on outstanding creditors'!$E2183-'data on outstanding creditors'!$F2183-'data on outstanding creditors'!$G2183</f>
        <v>3000</v>
      </c>
      <c r="I2183" s="2"/>
      <c r="J2183" s="1" t="s">
        <v>646</v>
      </c>
      <c r="K2183" s="2">
        <v>45928.0</v>
      </c>
      <c r="L2183" s="5"/>
      <c r="M2183" s="9" t="s">
        <v>43</v>
      </c>
      <c r="N2183" s="9" t="s">
        <v>49</v>
      </c>
      <c r="O2183" s="10">
        <f>'data on outstanding creditors'!$E2183*100/107</f>
        <v>2803.738318</v>
      </c>
      <c r="P2183" s="10">
        <f>'data on outstanding creditors'!$E2183-'data on outstanding creditors'!$O2183</f>
        <v>196.2616822</v>
      </c>
      <c r="Q2183" s="7">
        <f>DAY('data on outstanding creditors'!$B2183)</f>
        <v>2</v>
      </c>
      <c r="R2183" s="7">
        <f>MONTH('data on outstanding creditors'!$B2183)</f>
        <v>7</v>
      </c>
      <c r="S2183" s="7">
        <f>YEAR('data on outstanding creditors'!$B2183)</f>
        <v>2025</v>
      </c>
      <c r="T2183" s="11" t="str">
        <f>'data on outstanding creditors'!$C2183&amp;" "&amp;'data on outstanding creditors'!$D2183&amp;" "&amp;TEXT('data on outstanding creditors'!$E2183,"#,##0.00")</f>
        <v>บ.ไพรม์ เมดิคอล IV6806-8563 3,000.00</v>
      </c>
      <c r="U2183" s="12"/>
    </row>
    <row r="2184" ht="13.5" customHeight="1">
      <c r="A2184" s="1" t="s">
        <v>3101</v>
      </c>
      <c r="B2184" s="2">
        <v>45840.0</v>
      </c>
      <c r="C2184" s="9" t="s">
        <v>2317</v>
      </c>
      <c r="D2184" s="1" t="s">
        <v>3102</v>
      </c>
      <c r="E2184" s="4">
        <v>66000.0</v>
      </c>
      <c r="F2184" s="4"/>
      <c r="G2184" s="4"/>
      <c r="H2184" s="4">
        <f>'data on outstanding creditors'!$E2184-'data on outstanding creditors'!$F2184-'data on outstanding creditors'!$G2184</f>
        <v>66000</v>
      </c>
      <c r="I2184" s="2"/>
      <c r="J2184" s="1" t="s">
        <v>757</v>
      </c>
      <c r="K2184" s="2">
        <v>45909.0</v>
      </c>
      <c r="L2184" s="5"/>
      <c r="M2184" s="9" t="s">
        <v>43</v>
      </c>
      <c r="N2184" s="9" t="s">
        <v>49</v>
      </c>
      <c r="O2184" s="10">
        <f>'data on outstanding creditors'!$E2184*100/107</f>
        <v>61682.24299</v>
      </c>
      <c r="P2184" s="10">
        <f>'data on outstanding creditors'!$E2184-'data on outstanding creditors'!$O2184</f>
        <v>4317.757009</v>
      </c>
      <c r="Q2184" s="7">
        <f>DAY('data on outstanding creditors'!$B2184)</f>
        <v>2</v>
      </c>
      <c r="R2184" s="7">
        <f>MONTH('data on outstanding creditors'!$B2184)</f>
        <v>7</v>
      </c>
      <c r="S2184" s="7">
        <f>YEAR('data on outstanding creditors'!$B2184)</f>
        <v>2025</v>
      </c>
      <c r="T2184" s="11" t="str">
        <f>'data on outstanding creditors'!$C2184&amp;" "&amp;'data on outstanding creditors'!$D2184&amp;" "&amp;TEXT('data on outstanding creditors'!$E2184,"#,##0.00")</f>
        <v>บ.เซอจิ-แคร์ 4566/2568 66,000.00</v>
      </c>
      <c r="U2184" s="12"/>
    </row>
    <row r="2185" ht="13.5" customHeight="1">
      <c r="A2185" s="1" t="s">
        <v>3103</v>
      </c>
      <c r="B2185" s="2">
        <v>45841.0</v>
      </c>
      <c r="C2185" s="9" t="s">
        <v>3104</v>
      </c>
      <c r="D2185" s="1" t="s">
        <v>3105</v>
      </c>
      <c r="E2185" s="4">
        <v>3611.25</v>
      </c>
      <c r="F2185" s="4"/>
      <c r="G2185" s="4"/>
      <c r="H2185" s="4">
        <f>'data on outstanding creditors'!$E2185-'data on outstanding creditors'!$F2185-'data on outstanding creditors'!$G2185</f>
        <v>3611.25</v>
      </c>
      <c r="I2185" s="2"/>
      <c r="J2185" s="1" t="s">
        <v>757</v>
      </c>
      <c r="K2185" s="2">
        <v>45871.0</v>
      </c>
      <c r="L2185" s="5"/>
      <c r="M2185" s="9" t="s">
        <v>43</v>
      </c>
      <c r="N2185" s="9" t="s">
        <v>49</v>
      </c>
      <c r="O2185" s="10">
        <f>'data on outstanding creditors'!$E2185*100/107</f>
        <v>3375</v>
      </c>
      <c r="P2185" s="10">
        <f>'data on outstanding creditors'!$E2185-'data on outstanding creditors'!$O2185</f>
        <v>236.25</v>
      </c>
      <c r="Q2185" s="7">
        <f>DAY('data on outstanding creditors'!$B2185)</f>
        <v>3</v>
      </c>
      <c r="R2185" s="7">
        <f>MONTH('data on outstanding creditors'!$B2185)</f>
        <v>7</v>
      </c>
      <c r="S2185" s="7">
        <f>YEAR('data on outstanding creditors'!$B2185)</f>
        <v>2025</v>
      </c>
      <c r="T2185" s="11" t="str">
        <f>'data on outstanding creditors'!$C2185&amp;" "&amp;'data on outstanding creditors'!$D2185&amp;" "&amp;TEXT('data on outstanding creditors'!$E2185,"#,##0.00")</f>
        <v>บ.จงที (ไทย) อิมปอร์ต เอ็กซ์ปอร์ต IVN2506-394 3,611.25</v>
      </c>
      <c r="U2185" s="12"/>
    </row>
    <row r="2186" ht="13.5" customHeight="1">
      <c r="A2186" s="1"/>
      <c r="B2186" s="2">
        <v>45841.0</v>
      </c>
      <c r="C2186" s="9" t="s">
        <v>2486</v>
      </c>
      <c r="D2186" s="1" t="s">
        <v>3106</v>
      </c>
      <c r="E2186" s="4">
        <v>20000.0</v>
      </c>
      <c r="F2186" s="4"/>
      <c r="G2186" s="4"/>
      <c r="H2186" s="4">
        <f>'data on outstanding creditors'!$E2186-'data on outstanding creditors'!$F2186-'data on outstanding creditors'!$G2186</f>
        <v>20000</v>
      </c>
      <c r="I2186" s="2"/>
      <c r="J2186" s="1" t="s">
        <v>646</v>
      </c>
      <c r="K2186" s="2">
        <v>45928.0</v>
      </c>
      <c r="L2186" s="5"/>
      <c r="M2186" s="9" t="s">
        <v>43</v>
      </c>
      <c r="N2186" s="9" t="s">
        <v>23</v>
      </c>
      <c r="O2186" s="10">
        <f>'data on outstanding creditors'!$E2186*100/107</f>
        <v>18691.58879</v>
      </c>
      <c r="P2186" s="10">
        <f>'data on outstanding creditors'!$E2186-'data on outstanding creditors'!$O2186</f>
        <v>1308.411215</v>
      </c>
      <c r="Q2186" s="7">
        <f>DAY('data on outstanding creditors'!$B2186)</f>
        <v>3</v>
      </c>
      <c r="R2186" s="7">
        <f>MONTH('data on outstanding creditors'!$B2186)</f>
        <v>7</v>
      </c>
      <c r="S2186" s="7">
        <f>YEAR('data on outstanding creditors'!$B2186)</f>
        <v>2025</v>
      </c>
      <c r="T2186" s="11" t="str">
        <f>'data on outstanding creditors'!$C2186&amp;" "&amp;'data on outstanding creditors'!$D2186&amp;" "&amp;TEXT('data on outstanding creditors'!$E2186,"#,##0.00")</f>
        <v>บ.ไทยเพียวดีไวซ์ 68/06689 20,000.00</v>
      </c>
      <c r="U2186" s="12"/>
    </row>
    <row r="2187" ht="13.5" customHeight="1">
      <c r="A2187" s="1"/>
      <c r="B2187" s="2">
        <v>45841.0</v>
      </c>
      <c r="C2187" s="9" t="s">
        <v>688</v>
      </c>
      <c r="D2187" s="1" t="s">
        <v>3107</v>
      </c>
      <c r="E2187" s="4">
        <v>128400.0</v>
      </c>
      <c r="F2187" s="4"/>
      <c r="G2187" s="4"/>
      <c r="H2187" s="4">
        <f>'data on outstanding creditors'!$E2187-'data on outstanding creditors'!$F2187-'data on outstanding creditors'!$G2187</f>
        <v>128400</v>
      </c>
      <c r="I2187" s="2"/>
      <c r="J2187" s="1" t="s">
        <v>646</v>
      </c>
      <c r="K2187" s="2">
        <v>45928.0</v>
      </c>
      <c r="L2187" s="5"/>
      <c r="M2187" s="9" t="s">
        <v>43</v>
      </c>
      <c r="N2187" s="9" t="s">
        <v>23</v>
      </c>
      <c r="O2187" s="10">
        <f>'data on outstanding creditors'!$E2187*100/107</f>
        <v>120000</v>
      </c>
      <c r="P2187" s="10">
        <f>'data on outstanding creditors'!$E2187-'data on outstanding creditors'!$O2187</f>
        <v>8400</v>
      </c>
      <c r="Q2187" s="7">
        <f>DAY('data on outstanding creditors'!$B2187)</f>
        <v>3</v>
      </c>
      <c r="R2187" s="7">
        <f>MONTH('data on outstanding creditors'!$B2187)</f>
        <v>7</v>
      </c>
      <c r="S2187" s="7">
        <f>YEAR('data on outstanding creditors'!$B2187)</f>
        <v>2025</v>
      </c>
      <c r="T2187" s="11" t="str">
        <f>'data on outstanding creditors'!$C2187&amp;" "&amp;'data on outstanding creditors'!$D2187&amp;" "&amp;TEXT('data on outstanding creditors'!$E2187,"#,##0.00")</f>
        <v>บ.โอเร็กซ์ เทรดดิ้ง 680604469 128,400.00</v>
      </c>
      <c r="U2187" s="12"/>
    </row>
    <row r="2188" ht="13.5" customHeight="1">
      <c r="A2188" s="1"/>
      <c r="B2188" s="2">
        <v>45841.0</v>
      </c>
      <c r="C2188" s="9" t="s">
        <v>2301</v>
      </c>
      <c r="D2188" s="1" t="s">
        <v>3108</v>
      </c>
      <c r="E2188" s="4">
        <v>4600.0</v>
      </c>
      <c r="F2188" s="4"/>
      <c r="G2188" s="4"/>
      <c r="H2188" s="4">
        <f>'data on outstanding creditors'!$E2188-'data on outstanding creditors'!$F2188-'data on outstanding creditors'!$G2188</f>
        <v>4600</v>
      </c>
      <c r="I2188" s="2"/>
      <c r="J2188" s="1" t="s">
        <v>757</v>
      </c>
      <c r="K2188" s="2">
        <v>45883.0</v>
      </c>
      <c r="L2188" s="5"/>
      <c r="M2188" s="9" t="s">
        <v>43</v>
      </c>
      <c r="N2188" s="9" t="s">
        <v>23</v>
      </c>
      <c r="O2188" s="10">
        <f>'data on outstanding creditors'!$E2188*100/107</f>
        <v>4299.065421</v>
      </c>
      <c r="P2188" s="10">
        <f>'data on outstanding creditors'!$E2188-'data on outstanding creditors'!$O2188</f>
        <v>300.9345794</v>
      </c>
      <c r="Q2188" s="7">
        <f>DAY('data on outstanding creditors'!$B2188)</f>
        <v>3</v>
      </c>
      <c r="R2188" s="7">
        <f>MONTH('data on outstanding creditors'!$B2188)</f>
        <v>7</v>
      </c>
      <c r="S2188" s="7">
        <f>YEAR('data on outstanding creditors'!$B2188)</f>
        <v>2025</v>
      </c>
      <c r="T2188" s="11" t="str">
        <f>'data on outstanding creditors'!$C2188&amp;" "&amp;'data on outstanding creditors'!$D2188&amp;" "&amp;TEXT('data on outstanding creditors'!$E2188,"#,##0.00")</f>
        <v>บ.เค เค เมดิคอล 10887 4,600.00</v>
      </c>
      <c r="U2188" s="12"/>
    </row>
    <row r="2189" ht="13.5" customHeight="1">
      <c r="A2189" s="1"/>
      <c r="B2189" s="2">
        <v>45841.0</v>
      </c>
      <c r="C2189" s="9" t="s">
        <v>965</v>
      </c>
      <c r="D2189" s="1" t="s">
        <v>3109</v>
      </c>
      <c r="E2189" s="4">
        <v>48000.0</v>
      </c>
      <c r="F2189" s="4"/>
      <c r="G2189" s="4"/>
      <c r="H2189" s="4">
        <f>'data on outstanding creditors'!$E2189-'data on outstanding creditors'!$F2189-'data on outstanding creditors'!$G2189</f>
        <v>48000</v>
      </c>
      <c r="I2189" s="2"/>
      <c r="J2189" s="1" t="s">
        <v>646</v>
      </c>
      <c r="K2189" s="2">
        <v>45881.0</v>
      </c>
      <c r="L2189" s="5"/>
      <c r="M2189" s="9" t="s">
        <v>43</v>
      </c>
      <c r="N2189" s="9" t="s">
        <v>23</v>
      </c>
      <c r="O2189" s="10">
        <f>'data on outstanding creditors'!$E2189*100/107</f>
        <v>44859.81308</v>
      </c>
      <c r="P2189" s="10">
        <f>'data on outstanding creditors'!$E2189-'data on outstanding creditors'!$O2189</f>
        <v>3140.186916</v>
      </c>
      <c r="Q2189" s="7">
        <f>DAY('data on outstanding creditors'!$B2189)</f>
        <v>3</v>
      </c>
      <c r="R2189" s="7">
        <f>MONTH('data on outstanding creditors'!$B2189)</f>
        <v>7</v>
      </c>
      <c r="S2189" s="7">
        <f>YEAR('data on outstanding creditors'!$B2189)</f>
        <v>2025</v>
      </c>
      <c r="T2189" s="11" t="str">
        <f>'data on outstanding creditors'!$C2189&amp;" "&amp;'data on outstanding creditors'!$D2189&amp;" "&amp;TEXT('data on outstanding creditors'!$E2189,"#,##0.00")</f>
        <v>บ.แปซิฟิค เฮลธ์แคร์(ไทยแลนด์) 68032298 48,000.00</v>
      </c>
      <c r="U2189" s="12"/>
    </row>
    <row r="2190" ht="13.5" customHeight="1">
      <c r="A2190" s="1"/>
      <c r="B2190" s="2">
        <v>45841.0</v>
      </c>
      <c r="C2190" s="9" t="s">
        <v>2294</v>
      </c>
      <c r="D2190" s="1" t="s">
        <v>3110</v>
      </c>
      <c r="E2190" s="4">
        <v>4500.0</v>
      </c>
      <c r="F2190" s="4"/>
      <c r="G2190" s="4"/>
      <c r="H2190" s="4">
        <f>'data on outstanding creditors'!$E2190-'data on outstanding creditors'!$F2190-'data on outstanding creditors'!$G2190</f>
        <v>4500</v>
      </c>
      <c r="I2190" s="2"/>
      <c r="J2190" s="1" t="s">
        <v>646</v>
      </c>
      <c r="K2190" s="2">
        <v>45894.0</v>
      </c>
      <c r="L2190" s="5"/>
      <c r="M2190" s="9" t="s">
        <v>43</v>
      </c>
      <c r="N2190" s="9" t="s">
        <v>23</v>
      </c>
      <c r="O2190" s="10">
        <f>'data on outstanding creditors'!$E2190*100/107</f>
        <v>4205.607477</v>
      </c>
      <c r="P2190" s="10">
        <f>'data on outstanding creditors'!$E2190-'data on outstanding creditors'!$O2190</f>
        <v>294.3925234</v>
      </c>
      <c r="Q2190" s="7">
        <f>DAY('data on outstanding creditors'!$B2190)</f>
        <v>3</v>
      </c>
      <c r="R2190" s="7">
        <f>MONTH('data on outstanding creditors'!$B2190)</f>
        <v>7</v>
      </c>
      <c r="S2190" s="7">
        <f>YEAR('data on outstanding creditors'!$B2190)</f>
        <v>2025</v>
      </c>
      <c r="T2190" s="11" t="str">
        <f>'data on outstanding creditors'!$C2190&amp;" "&amp;'data on outstanding creditors'!$D2190&amp;" "&amp;TEXT('data on outstanding creditors'!$E2190,"#,##0.00")</f>
        <v>บ.แอสเซ้นท์ เมดิคอล IV2025060173 4,500.00</v>
      </c>
      <c r="U2190" s="12"/>
    </row>
    <row r="2191" ht="13.5" customHeight="1">
      <c r="A2191" s="1" t="s">
        <v>3111</v>
      </c>
      <c r="B2191" s="2">
        <v>45841.0</v>
      </c>
      <c r="C2191" s="9" t="s">
        <v>1029</v>
      </c>
      <c r="D2191" s="1" t="s">
        <v>3112</v>
      </c>
      <c r="E2191" s="4">
        <v>13200.0</v>
      </c>
      <c r="F2191" s="4"/>
      <c r="G2191" s="4"/>
      <c r="H2191" s="4">
        <f>'data on outstanding creditors'!$E2191-'data on outstanding creditors'!$F2191-'data on outstanding creditors'!$G2191</f>
        <v>13200</v>
      </c>
      <c r="I2191" s="2"/>
      <c r="J2191" s="1" t="s">
        <v>757</v>
      </c>
      <c r="K2191" s="2">
        <v>45954.0</v>
      </c>
      <c r="L2191" s="5"/>
      <c r="M2191" s="9" t="s">
        <v>43</v>
      </c>
      <c r="N2191" s="9" t="s">
        <v>49</v>
      </c>
      <c r="O2191" s="10">
        <f>'data on outstanding creditors'!$E2191*100/107</f>
        <v>12336.4486</v>
      </c>
      <c r="P2191" s="10">
        <f>'data on outstanding creditors'!$E2191-'data on outstanding creditors'!$O2191</f>
        <v>863.5514019</v>
      </c>
      <c r="Q2191" s="7">
        <f>DAY('data on outstanding creditors'!$B2191)</f>
        <v>3</v>
      </c>
      <c r="R2191" s="7">
        <f>MONTH('data on outstanding creditors'!$B2191)</f>
        <v>7</v>
      </c>
      <c r="S2191" s="7">
        <f>YEAR('data on outstanding creditors'!$B2191)</f>
        <v>2025</v>
      </c>
      <c r="T2191" s="11" t="str">
        <f>'data on outstanding creditors'!$C2191&amp;" "&amp;'data on outstanding creditors'!$D2191&amp;" "&amp;TEXT('data on outstanding creditors'!$E2191,"#,##0.00")</f>
        <v>บ.เอเทค เมดิคอล IV6807258 13,200.00</v>
      </c>
      <c r="U2191" s="12"/>
    </row>
    <row r="2192" ht="13.5" customHeight="1">
      <c r="A2192" s="1" t="s">
        <v>3113</v>
      </c>
      <c r="B2192" s="2">
        <v>45842.0</v>
      </c>
      <c r="C2192" s="9" t="s">
        <v>1029</v>
      </c>
      <c r="D2192" s="1" t="s">
        <v>3114</v>
      </c>
      <c r="E2192" s="4">
        <v>17300.0</v>
      </c>
      <c r="F2192" s="4"/>
      <c r="G2192" s="4"/>
      <c r="H2192" s="4">
        <f>'data on outstanding creditors'!$E2192-'data on outstanding creditors'!$F2192-'data on outstanding creditors'!$G2192</f>
        <v>17300</v>
      </c>
      <c r="I2192" s="2"/>
      <c r="J2192" s="1" t="s">
        <v>757</v>
      </c>
      <c r="K2192" s="2">
        <v>45957.0</v>
      </c>
      <c r="L2192" s="5"/>
      <c r="M2192" s="9" t="s">
        <v>43</v>
      </c>
      <c r="N2192" s="9" t="s">
        <v>49</v>
      </c>
      <c r="O2192" s="10">
        <f>'data on outstanding creditors'!$E2192*100/107</f>
        <v>16168.2243</v>
      </c>
      <c r="P2192" s="10">
        <f>'data on outstanding creditors'!$E2192-'data on outstanding creditors'!$O2192</f>
        <v>1131.775701</v>
      </c>
      <c r="Q2192" s="7">
        <f>DAY('data on outstanding creditors'!$B2192)</f>
        <v>4</v>
      </c>
      <c r="R2192" s="7">
        <f>MONTH('data on outstanding creditors'!$B2192)</f>
        <v>7</v>
      </c>
      <c r="S2192" s="7">
        <f>YEAR('data on outstanding creditors'!$B2192)</f>
        <v>2025</v>
      </c>
      <c r="T2192" s="11" t="str">
        <f>'data on outstanding creditors'!$C2192&amp;" "&amp;'data on outstanding creditors'!$D2192&amp;" "&amp;TEXT('data on outstanding creditors'!$E2192,"#,##0.00")</f>
        <v>บ.เอเทค เมดิคอล IV6807112 17,300.00</v>
      </c>
      <c r="U2192" s="12"/>
    </row>
    <row r="2193" ht="13.5" customHeight="1">
      <c r="A2193" s="1" t="s">
        <v>3115</v>
      </c>
      <c r="B2193" s="2">
        <v>45842.0</v>
      </c>
      <c r="C2193" s="9" t="s">
        <v>1029</v>
      </c>
      <c r="D2193" s="1" t="s">
        <v>3116</v>
      </c>
      <c r="E2193" s="4">
        <v>18200.0</v>
      </c>
      <c r="F2193" s="4"/>
      <c r="G2193" s="4"/>
      <c r="H2193" s="4">
        <f>'data on outstanding creditors'!$E2193-'data on outstanding creditors'!$F2193-'data on outstanding creditors'!$G2193</f>
        <v>18200</v>
      </c>
      <c r="I2193" s="2"/>
      <c r="J2193" s="1"/>
      <c r="K2193" s="2"/>
      <c r="L2193" s="5"/>
      <c r="M2193" s="9" t="s">
        <v>43</v>
      </c>
      <c r="N2193" s="9" t="s">
        <v>49</v>
      </c>
      <c r="O2193" s="10">
        <f>'data on outstanding creditors'!$E2193*100/107</f>
        <v>17009.34579</v>
      </c>
      <c r="P2193" s="10">
        <f>'data on outstanding creditors'!$E2193-'data on outstanding creditors'!$O2193</f>
        <v>1190.654206</v>
      </c>
      <c r="Q2193" s="7">
        <f>DAY('data on outstanding creditors'!$B2193)</f>
        <v>4</v>
      </c>
      <c r="R2193" s="7">
        <f>MONTH('data on outstanding creditors'!$B2193)</f>
        <v>7</v>
      </c>
      <c r="S2193" s="7">
        <f>YEAR('data on outstanding creditors'!$B2193)</f>
        <v>2025</v>
      </c>
      <c r="T2193" s="11" t="str">
        <f>'data on outstanding creditors'!$C2193&amp;" "&amp;'data on outstanding creditors'!$D2193&amp;" "&amp;TEXT('data on outstanding creditors'!$E2193,"#,##0.00")</f>
        <v>บ.เอเทค เมดิคอล IV6807190 18,200.00</v>
      </c>
      <c r="U2193" s="12"/>
    </row>
    <row r="2194" ht="13.5" customHeight="1">
      <c r="A2194" s="1" t="s">
        <v>3117</v>
      </c>
      <c r="B2194" s="2">
        <v>45842.0</v>
      </c>
      <c r="C2194" s="9" t="s">
        <v>1029</v>
      </c>
      <c r="D2194" s="1" t="s">
        <v>3118</v>
      </c>
      <c r="E2194" s="4">
        <v>12300.0</v>
      </c>
      <c r="F2194" s="4"/>
      <c r="G2194" s="4"/>
      <c r="H2194" s="4">
        <f>'data on outstanding creditors'!$E2194-'data on outstanding creditors'!$F2194-'data on outstanding creditors'!$G2194</f>
        <v>12300</v>
      </c>
      <c r="I2194" s="2"/>
      <c r="J2194" s="1" t="s">
        <v>757</v>
      </c>
      <c r="K2194" s="2">
        <v>45954.0</v>
      </c>
      <c r="L2194" s="5"/>
      <c r="M2194" s="9" t="s">
        <v>43</v>
      </c>
      <c r="N2194" s="9" t="s">
        <v>49</v>
      </c>
      <c r="O2194" s="10">
        <f>'data on outstanding creditors'!$E2194*100/107</f>
        <v>11495.3271</v>
      </c>
      <c r="P2194" s="10">
        <f>'data on outstanding creditors'!$E2194-'data on outstanding creditors'!$O2194</f>
        <v>804.6728972</v>
      </c>
      <c r="Q2194" s="7">
        <f>DAY('data on outstanding creditors'!$B2194)</f>
        <v>4</v>
      </c>
      <c r="R2194" s="7">
        <f>MONTH('data on outstanding creditors'!$B2194)</f>
        <v>7</v>
      </c>
      <c r="S2194" s="7">
        <f>YEAR('data on outstanding creditors'!$B2194)</f>
        <v>2025</v>
      </c>
      <c r="T2194" s="11" t="str">
        <f>'data on outstanding creditors'!$C2194&amp;" "&amp;'data on outstanding creditors'!$D2194&amp;" "&amp;TEXT('data on outstanding creditors'!$E2194,"#,##0.00")</f>
        <v>บ.เอเทค เมดิคอล IV6807111 12,300.00</v>
      </c>
      <c r="U2194" s="12"/>
    </row>
    <row r="2195" ht="13.5" customHeight="1">
      <c r="A2195" s="1" t="s">
        <v>3119</v>
      </c>
      <c r="B2195" s="2">
        <v>45842.0</v>
      </c>
      <c r="C2195" s="9" t="s">
        <v>2933</v>
      </c>
      <c r="D2195" s="1" t="s">
        <v>3120</v>
      </c>
      <c r="E2195" s="4">
        <v>20000.0</v>
      </c>
      <c r="F2195" s="4"/>
      <c r="G2195" s="4"/>
      <c r="H2195" s="4">
        <f>'data on outstanding creditors'!$E2195-'data on outstanding creditors'!$F2195-'data on outstanding creditors'!$G2195</f>
        <v>20000</v>
      </c>
      <c r="I2195" s="2"/>
      <c r="J2195" s="1" t="s">
        <v>646</v>
      </c>
      <c r="K2195" s="2">
        <v>45954.0</v>
      </c>
      <c r="L2195" s="5"/>
      <c r="M2195" s="9" t="s">
        <v>43</v>
      </c>
      <c r="N2195" s="9" t="s">
        <v>49</v>
      </c>
      <c r="O2195" s="10">
        <f>'data on outstanding creditors'!$E2195*100/107</f>
        <v>18691.58879</v>
      </c>
      <c r="P2195" s="10">
        <f>'data on outstanding creditors'!$E2195-'data on outstanding creditors'!$O2195</f>
        <v>1308.411215</v>
      </c>
      <c r="Q2195" s="7">
        <f>DAY('data on outstanding creditors'!$B2195)</f>
        <v>4</v>
      </c>
      <c r="R2195" s="7">
        <f>MONTH('data on outstanding creditors'!$B2195)</f>
        <v>7</v>
      </c>
      <c r="S2195" s="7">
        <f>YEAR('data on outstanding creditors'!$B2195)</f>
        <v>2025</v>
      </c>
      <c r="T2195" s="11" t="str">
        <f>'data on outstanding creditors'!$C2195&amp;" "&amp;'data on outstanding creditors'!$D2195&amp;" "&amp;TEXT('data on outstanding creditors'!$E2195,"#,##0.00")</f>
        <v>บ.เอสพีเค เพลนตี้ สตาร์ 09-07/25 20,000.00</v>
      </c>
      <c r="U2195" s="12"/>
    </row>
    <row r="2196" ht="13.5" customHeight="1">
      <c r="A2196" s="1" t="s">
        <v>3121</v>
      </c>
      <c r="B2196" s="2">
        <v>45842.0</v>
      </c>
      <c r="C2196" s="9" t="s">
        <v>2394</v>
      </c>
      <c r="D2196" s="1" t="s">
        <v>3122</v>
      </c>
      <c r="E2196" s="4">
        <v>2360.0</v>
      </c>
      <c r="F2196" s="4"/>
      <c r="G2196" s="4"/>
      <c r="H2196" s="4">
        <f>'data on outstanding creditors'!$E2196-'data on outstanding creditors'!$F2196-'data on outstanding creditors'!$G2196</f>
        <v>2360</v>
      </c>
      <c r="I2196" s="2"/>
      <c r="J2196" s="1" t="s">
        <v>646</v>
      </c>
      <c r="K2196" s="2">
        <v>45906.0</v>
      </c>
      <c r="L2196" s="5"/>
      <c r="M2196" s="9" t="s">
        <v>43</v>
      </c>
      <c r="N2196" s="9" t="s">
        <v>49</v>
      </c>
      <c r="O2196" s="10">
        <f>'data on outstanding creditors'!$E2196*100/107</f>
        <v>2205.607477</v>
      </c>
      <c r="P2196" s="10">
        <f>'data on outstanding creditors'!$E2196-'data on outstanding creditors'!$O2196</f>
        <v>154.3925234</v>
      </c>
      <c r="Q2196" s="7">
        <f>DAY('data on outstanding creditors'!$B2196)</f>
        <v>4</v>
      </c>
      <c r="R2196" s="7">
        <f>MONTH('data on outstanding creditors'!$B2196)</f>
        <v>7</v>
      </c>
      <c r="S2196" s="7">
        <f>YEAR('data on outstanding creditors'!$B2196)</f>
        <v>2025</v>
      </c>
      <c r="T2196" s="11" t="str">
        <f>'data on outstanding creditors'!$C2196&amp;" "&amp;'data on outstanding creditors'!$D2196&amp;" "&amp;TEXT('data on outstanding creditors'!$E2196,"#,##0.00")</f>
        <v>บ.เมดวิท D-Q25040403 2,360.00</v>
      </c>
      <c r="U2196" s="12"/>
    </row>
    <row r="2197" ht="13.5" customHeight="1">
      <c r="A2197" s="1" t="s">
        <v>3123</v>
      </c>
      <c r="B2197" s="2">
        <v>45842.0</v>
      </c>
      <c r="C2197" s="9" t="s">
        <v>3124</v>
      </c>
      <c r="D2197" s="1" t="s">
        <v>3125</v>
      </c>
      <c r="E2197" s="4">
        <v>20250.0</v>
      </c>
      <c r="F2197" s="4"/>
      <c r="G2197" s="4"/>
      <c r="H2197" s="4">
        <f>'data on outstanding creditors'!$E2197-'data on outstanding creditors'!$F2197-'data on outstanding creditors'!$G2197</f>
        <v>20250</v>
      </c>
      <c r="I2197" s="2"/>
      <c r="J2197" s="1" t="s">
        <v>757</v>
      </c>
      <c r="K2197" s="2">
        <v>45909.0</v>
      </c>
      <c r="L2197" s="5"/>
      <c r="M2197" s="9" t="s">
        <v>43</v>
      </c>
      <c r="N2197" s="9" t="s">
        <v>49</v>
      </c>
      <c r="O2197" s="10">
        <f>'data on outstanding creditors'!$E2197*100/107</f>
        <v>18925.23364</v>
      </c>
      <c r="P2197" s="10">
        <f>'data on outstanding creditors'!$E2197-'data on outstanding creditors'!$O2197</f>
        <v>1324.766355</v>
      </c>
      <c r="Q2197" s="7">
        <f>DAY('data on outstanding creditors'!$B2197)</f>
        <v>4</v>
      </c>
      <c r="R2197" s="7">
        <f>MONTH('data on outstanding creditors'!$B2197)</f>
        <v>7</v>
      </c>
      <c r="S2197" s="7">
        <f>YEAR('data on outstanding creditors'!$B2197)</f>
        <v>2025</v>
      </c>
      <c r="T2197" s="11" t="str">
        <f>'data on outstanding creditors'!$C2197&amp;" "&amp;'data on outstanding creditors'!$D2197&amp;" "&amp;TEXT('data on outstanding creditors'!$E2197,"#,##0.00")</f>
        <v>บ.เมดโฟกัส 2506-135 20,250.00</v>
      </c>
      <c r="U2197" s="12"/>
    </row>
    <row r="2198" ht="13.5" customHeight="1">
      <c r="A2198" s="1" t="s">
        <v>3126</v>
      </c>
      <c r="B2198" s="2">
        <v>45842.0</v>
      </c>
      <c r="C2198" s="9" t="s">
        <v>2315</v>
      </c>
      <c r="D2198" s="1" t="s">
        <v>3127</v>
      </c>
      <c r="E2198" s="4">
        <v>8400.0</v>
      </c>
      <c r="F2198" s="4"/>
      <c r="G2198" s="4"/>
      <c r="H2198" s="4">
        <f>'data on outstanding creditors'!$E2198-'data on outstanding creditors'!$F2198-'data on outstanding creditors'!$G2198</f>
        <v>8400</v>
      </c>
      <c r="I2198" s="2"/>
      <c r="J2198" s="1" t="s">
        <v>646</v>
      </c>
      <c r="K2198" s="2">
        <v>45928.0</v>
      </c>
      <c r="L2198" s="5"/>
      <c r="M2198" s="9" t="s">
        <v>43</v>
      </c>
      <c r="N2198" s="9" t="s">
        <v>49</v>
      </c>
      <c r="O2198" s="10">
        <f>'data on outstanding creditors'!$E2198*100/107</f>
        <v>7850.46729</v>
      </c>
      <c r="P2198" s="10">
        <f>'data on outstanding creditors'!$E2198-'data on outstanding creditors'!$O2198</f>
        <v>549.5327103</v>
      </c>
      <c r="Q2198" s="7">
        <f>DAY('data on outstanding creditors'!$B2198)</f>
        <v>4</v>
      </c>
      <c r="R2198" s="7">
        <f>MONTH('data on outstanding creditors'!$B2198)</f>
        <v>7</v>
      </c>
      <c r="S2198" s="7">
        <f>YEAR('data on outstanding creditors'!$B2198)</f>
        <v>2025</v>
      </c>
      <c r="T2198" s="11" t="str">
        <f>'data on outstanding creditors'!$C2198&amp;" "&amp;'data on outstanding creditors'!$D2198&amp;" "&amp;TEXT('data on outstanding creditors'!$E2198,"#,##0.00")</f>
        <v>บ.เรียลเมดคอร์ป IV25065079 8,400.00</v>
      </c>
      <c r="U2198" s="12"/>
    </row>
    <row r="2199" ht="13.5" customHeight="1">
      <c r="A2199" s="1" t="s">
        <v>3128</v>
      </c>
      <c r="B2199" s="2">
        <v>45842.0</v>
      </c>
      <c r="C2199" s="9" t="s">
        <v>2933</v>
      </c>
      <c r="D2199" s="1" t="s">
        <v>3129</v>
      </c>
      <c r="E2199" s="4">
        <v>25305.0</v>
      </c>
      <c r="F2199" s="4"/>
      <c r="G2199" s="4"/>
      <c r="H2199" s="4">
        <f>'data on outstanding creditors'!$E2199-'data on outstanding creditors'!$F2199-'data on outstanding creditors'!$G2199</f>
        <v>25305</v>
      </c>
      <c r="I2199" s="2"/>
      <c r="J2199" s="1" t="s">
        <v>646</v>
      </c>
      <c r="K2199" s="2">
        <v>45954.0</v>
      </c>
      <c r="L2199" s="5"/>
      <c r="M2199" s="9" t="s">
        <v>43</v>
      </c>
      <c r="N2199" s="9" t="s">
        <v>49</v>
      </c>
      <c r="O2199" s="10">
        <f>'data on outstanding creditors'!$E2199*100/107</f>
        <v>23649.53271</v>
      </c>
      <c r="P2199" s="10">
        <f>'data on outstanding creditors'!$E2199-'data on outstanding creditors'!$O2199</f>
        <v>1655.46729</v>
      </c>
      <c r="Q2199" s="7">
        <f>DAY('data on outstanding creditors'!$B2199)</f>
        <v>4</v>
      </c>
      <c r="R2199" s="7">
        <f>MONTH('data on outstanding creditors'!$B2199)</f>
        <v>7</v>
      </c>
      <c r="S2199" s="7">
        <f>YEAR('data on outstanding creditors'!$B2199)</f>
        <v>2025</v>
      </c>
      <c r="T2199" s="11" t="str">
        <f>'data on outstanding creditors'!$C2199&amp;" "&amp;'data on outstanding creditors'!$D2199&amp;" "&amp;TEXT('data on outstanding creditors'!$E2199,"#,##0.00")</f>
        <v>บ.เอสพีเค เพลนตี้ สตาร์ 10-07/25 25,305.00</v>
      </c>
      <c r="U2199" s="12"/>
    </row>
    <row r="2200" ht="13.5" customHeight="1">
      <c r="A2200" s="1" t="s">
        <v>3130</v>
      </c>
      <c r="B2200" s="2">
        <v>45842.0</v>
      </c>
      <c r="C2200" s="9" t="s">
        <v>2543</v>
      </c>
      <c r="D2200" s="1" t="s">
        <v>3131</v>
      </c>
      <c r="E2200" s="4">
        <v>53228.5</v>
      </c>
      <c r="F2200" s="4"/>
      <c r="G2200" s="4"/>
      <c r="H2200" s="4">
        <f>'data on outstanding creditors'!$E2200-'data on outstanding creditors'!$F2200-'data on outstanding creditors'!$G2200</f>
        <v>53228.5</v>
      </c>
      <c r="I2200" s="2"/>
      <c r="J2200" s="1" t="s">
        <v>646</v>
      </c>
      <c r="K2200" s="2">
        <v>45944.0</v>
      </c>
      <c r="L2200" s="5"/>
      <c r="M2200" s="9" t="s">
        <v>43</v>
      </c>
      <c r="N2200" s="9" t="s">
        <v>49</v>
      </c>
      <c r="O2200" s="10">
        <f>'data on outstanding creditors'!$E2200*100/107</f>
        <v>49746.26168</v>
      </c>
      <c r="P2200" s="10">
        <f>'data on outstanding creditors'!$E2200-'data on outstanding creditors'!$O2200</f>
        <v>3482.238318</v>
      </c>
      <c r="Q2200" s="7">
        <f>DAY('data on outstanding creditors'!$B2200)</f>
        <v>4</v>
      </c>
      <c r="R2200" s="7">
        <f>MONTH('data on outstanding creditors'!$B2200)</f>
        <v>7</v>
      </c>
      <c r="S2200" s="7">
        <f>YEAR('data on outstanding creditors'!$B2200)</f>
        <v>2025</v>
      </c>
      <c r="T2200" s="11" t="str">
        <f>'data on outstanding creditors'!$C2200&amp;" "&amp;'data on outstanding creditors'!$D2200&amp;" "&amp;TEXT('data on outstanding creditors'!$E2200,"#,##0.00")</f>
        <v>บ.ไฮแวน เมดิคอล HV6803895 53,228.50</v>
      </c>
      <c r="U2200" s="12"/>
    </row>
    <row r="2201" ht="13.5" customHeight="1">
      <c r="A2201" s="1" t="s">
        <v>3132</v>
      </c>
      <c r="B2201" s="2">
        <v>45845.0</v>
      </c>
      <c r="C2201" s="9" t="s">
        <v>2472</v>
      </c>
      <c r="D2201" s="1" t="s">
        <v>3133</v>
      </c>
      <c r="E2201" s="4">
        <v>32000.0</v>
      </c>
      <c r="F2201" s="4"/>
      <c r="G2201" s="4"/>
      <c r="H2201" s="4">
        <f>'data on outstanding creditors'!$E2201-'data on outstanding creditors'!$F2201-'data on outstanding creditors'!$G2201</f>
        <v>32000</v>
      </c>
      <c r="I2201" s="2"/>
      <c r="J2201" s="1" t="s">
        <v>757</v>
      </c>
      <c r="K2201" s="2">
        <v>45917.0</v>
      </c>
      <c r="L2201" s="5"/>
      <c r="M2201" s="9" t="s">
        <v>43</v>
      </c>
      <c r="N2201" s="9" t="s">
        <v>49</v>
      </c>
      <c r="O2201" s="10">
        <f>'data on outstanding creditors'!$E2201*100/107</f>
        <v>29906.54206</v>
      </c>
      <c r="P2201" s="10">
        <f>'data on outstanding creditors'!$E2201-'data on outstanding creditors'!$O2201</f>
        <v>2093.457944</v>
      </c>
      <c r="Q2201" s="7">
        <f>DAY('data on outstanding creditors'!$B2201)</f>
        <v>7</v>
      </c>
      <c r="R2201" s="7">
        <f>MONTH('data on outstanding creditors'!$B2201)</f>
        <v>7</v>
      </c>
      <c r="S2201" s="7">
        <f>YEAR('data on outstanding creditors'!$B2201)</f>
        <v>2025</v>
      </c>
      <c r="T2201" s="11" t="str">
        <f>'data on outstanding creditors'!$C2201&amp;" "&amp;'data on outstanding creditors'!$D2201&amp;" "&amp;TEXT('data on outstanding creditors'!$E2201,"#,##0.00")</f>
        <v>บ.เอเมอร์สัน กรุ๊ป IV6807119 32,000.00</v>
      </c>
      <c r="U2201" s="12"/>
    </row>
    <row r="2202" ht="13.5" customHeight="1">
      <c r="A2202" s="1" t="s">
        <v>3134</v>
      </c>
      <c r="B2202" s="2">
        <v>45845.0</v>
      </c>
      <c r="C2202" s="9" t="s">
        <v>3135</v>
      </c>
      <c r="D2202" s="1" t="s">
        <v>3136</v>
      </c>
      <c r="E2202" s="4">
        <v>4560.0</v>
      </c>
      <c r="F2202" s="4"/>
      <c r="G2202" s="4"/>
      <c r="H2202" s="4">
        <f>'data on outstanding creditors'!$E2202-'data on outstanding creditors'!$F2202-'data on outstanding creditors'!$G2202</f>
        <v>4560</v>
      </c>
      <c r="I2202" s="2"/>
      <c r="J2202" s="1" t="s">
        <v>757</v>
      </c>
      <c r="K2202" s="2">
        <v>45909.0</v>
      </c>
      <c r="L2202" s="5"/>
      <c r="M2202" s="9" t="s">
        <v>43</v>
      </c>
      <c r="N2202" s="9" t="s">
        <v>49</v>
      </c>
      <c r="O2202" s="10">
        <f>'data on outstanding creditors'!$E2202*100/107</f>
        <v>4261.682243</v>
      </c>
      <c r="P2202" s="10">
        <f>'data on outstanding creditors'!$E2202-'data on outstanding creditors'!$O2202</f>
        <v>298.317757</v>
      </c>
      <c r="Q2202" s="7">
        <f>DAY('data on outstanding creditors'!$B2202)</f>
        <v>7</v>
      </c>
      <c r="R2202" s="7">
        <f>MONTH('data on outstanding creditors'!$B2202)</f>
        <v>7</v>
      </c>
      <c r="S2202" s="7">
        <f>YEAR('data on outstanding creditors'!$B2202)</f>
        <v>2025</v>
      </c>
      <c r="T2202" s="11" t="str">
        <f>'data on outstanding creditors'!$C2202&amp;" "&amp;'data on outstanding creditors'!$D2202&amp;" "&amp;TEXT('data on outstanding creditors'!$E2202,"#,##0.00")</f>
        <v>หจก.เอส.ที.เมดิคอล แอนซ์ เซอร์วิส B.458.68 4,560.00</v>
      </c>
      <c r="U2202" s="12"/>
    </row>
    <row r="2203" ht="13.5" customHeight="1">
      <c r="A2203" s="1" t="s">
        <v>3137</v>
      </c>
      <c r="B2203" s="2">
        <v>45845.0</v>
      </c>
      <c r="C2203" s="9" t="s">
        <v>3135</v>
      </c>
      <c r="D2203" s="1" t="s">
        <v>3138</v>
      </c>
      <c r="E2203" s="4">
        <v>9000.0</v>
      </c>
      <c r="F2203" s="4"/>
      <c r="G2203" s="4"/>
      <c r="H2203" s="4">
        <f>'data on outstanding creditors'!$E2203-'data on outstanding creditors'!$F2203-'data on outstanding creditors'!$G2203</f>
        <v>9000</v>
      </c>
      <c r="I2203" s="2"/>
      <c r="J2203" s="1" t="s">
        <v>757</v>
      </c>
      <c r="K2203" s="2">
        <v>45909.0</v>
      </c>
      <c r="L2203" s="5"/>
      <c r="M2203" s="9" t="s">
        <v>43</v>
      </c>
      <c r="N2203" s="9" t="s">
        <v>49</v>
      </c>
      <c r="O2203" s="10">
        <f>'data on outstanding creditors'!$E2203*100/107</f>
        <v>8411.214953</v>
      </c>
      <c r="P2203" s="10">
        <f>'data on outstanding creditors'!$E2203-'data on outstanding creditors'!$O2203</f>
        <v>588.7850467</v>
      </c>
      <c r="Q2203" s="7">
        <f>DAY('data on outstanding creditors'!$B2203)</f>
        <v>7</v>
      </c>
      <c r="R2203" s="7">
        <f>MONTH('data on outstanding creditors'!$B2203)</f>
        <v>7</v>
      </c>
      <c r="S2203" s="7">
        <f>YEAR('data on outstanding creditors'!$B2203)</f>
        <v>2025</v>
      </c>
      <c r="T2203" s="11" t="str">
        <f>'data on outstanding creditors'!$C2203&amp;" "&amp;'data on outstanding creditors'!$D2203&amp;" "&amp;TEXT('data on outstanding creditors'!$E2203,"#,##0.00")</f>
        <v>หจก.เอส.ที.เมดิคอล แอนซ์ เซอร์วิส B.526.68 9,000.00</v>
      </c>
      <c r="U2203" s="12"/>
    </row>
    <row r="2204" ht="13.5" customHeight="1">
      <c r="A2204" s="1" t="s">
        <v>3139</v>
      </c>
      <c r="B2204" s="2">
        <v>45845.0</v>
      </c>
      <c r="C2204" s="9" t="s">
        <v>3140</v>
      </c>
      <c r="D2204" s="1" t="s">
        <v>3141</v>
      </c>
      <c r="E2204" s="4">
        <v>42500.0</v>
      </c>
      <c r="F2204" s="4"/>
      <c r="G2204" s="4"/>
      <c r="H2204" s="4">
        <f>'data on outstanding creditors'!$E2204-'data on outstanding creditors'!$F2204-'data on outstanding creditors'!$G2204</f>
        <v>42500</v>
      </c>
      <c r="I2204" s="2"/>
      <c r="J2204" s="1" t="s">
        <v>646</v>
      </c>
      <c r="K2204" s="2">
        <v>45915.0</v>
      </c>
      <c r="L2204" s="5"/>
      <c r="M2204" s="9" t="s">
        <v>43</v>
      </c>
      <c r="N2204" s="9" t="s">
        <v>49</v>
      </c>
      <c r="O2204" s="10">
        <f>'data on outstanding creditors'!$E2204*100/107</f>
        <v>39719.62617</v>
      </c>
      <c r="P2204" s="10">
        <f>'data on outstanding creditors'!$E2204-'data on outstanding creditors'!$O2204</f>
        <v>2780.373832</v>
      </c>
      <c r="Q2204" s="7">
        <f>DAY('data on outstanding creditors'!$B2204)</f>
        <v>7</v>
      </c>
      <c r="R2204" s="7">
        <f>MONTH('data on outstanding creditors'!$B2204)</f>
        <v>7</v>
      </c>
      <c r="S2204" s="7">
        <f>YEAR('data on outstanding creditors'!$B2204)</f>
        <v>2025</v>
      </c>
      <c r="T2204" s="11" t="str">
        <f>'data on outstanding creditors'!$C2204&amp;" "&amp;'data on outstanding creditors'!$D2204&amp;" "&amp;TEXT('data on outstanding creditors'!$E2204,"#,##0.00")</f>
        <v>บ. เทคแคร์ เมดิคอล INV202501022 42,500.00</v>
      </c>
      <c r="U2204" s="12"/>
    </row>
    <row r="2205" ht="13.5" customHeight="1">
      <c r="A2205" s="1" t="s">
        <v>3142</v>
      </c>
      <c r="B2205" s="2">
        <v>45845.0</v>
      </c>
      <c r="C2205" s="9" t="s">
        <v>2310</v>
      </c>
      <c r="D2205" s="1" t="s">
        <v>3143</v>
      </c>
      <c r="E2205" s="4">
        <v>30000.0</v>
      </c>
      <c r="F2205" s="4"/>
      <c r="G2205" s="4"/>
      <c r="H2205" s="4">
        <f>'data on outstanding creditors'!$E2205-'data on outstanding creditors'!$F2205-'data on outstanding creditors'!$G2205</f>
        <v>30000</v>
      </c>
      <c r="I2205" s="2"/>
      <c r="J2205" s="1" t="s">
        <v>757</v>
      </c>
      <c r="K2205" s="2">
        <v>45909.0</v>
      </c>
      <c r="L2205" s="5"/>
      <c r="M2205" s="9" t="s">
        <v>43</v>
      </c>
      <c r="N2205" s="9" t="s">
        <v>49</v>
      </c>
      <c r="O2205" s="10">
        <f>'data on outstanding creditors'!$E2205*100/107</f>
        <v>28037.38318</v>
      </c>
      <c r="P2205" s="10">
        <f>'data on outstanding creditors'!$E2205-'data on outstanding creditors'!$O2205</f>
        <v>1962.616822</v>
      </c>
      <c r="Q2205" s="7">
        <f>DAY('data on outstanding creditors'!$B2205)</f>
        <v>7</v>
      </c>
      <c r="R2205" s="7">
        <f>MONTH('data on outstanding creditors'!$B2205)</f>
        <v>7</v>
      </c>
      <c r="S2205" s="7">
        <f>YEAR('data on outstanding creditors'!$B2205)</f>
        <v>2025</v>
      </c>
      <c r="T2205" s="11" t="str">
        <f>'data on outstanding creditors'!$C2205&amp;" "&amp;'data on outstanding creditors'!$D2205&amp;" "&amp;TEXT('data on outstanding creditors'!$E2205,"#,##0.00")</f>
        <v>บ.เอ็นจี โปรเกรสซีฟ 032.07.68 30,000.00</v>
      </c>
      <c r="U2205" s="12"/>
    </row>
    <row r="2206" ht="13.5" customHeight="1">
      <c r="A2206" s="1" t="s">
        <v>3144</v>
      </c>
      <c r="B2206" s="2">
        <v>45845.0</v>
      </c>
      <c r="C2206" s="9" t="s">
        <v>2310</v>
      </c>
      <c r="D2206" s="1" t="s">
        <v>3145</v>
      </c>
      <c r="E2206" s="4">
        <v>50000.0</v>
      </c>
      <c r="F2206" s="4"/>
      <c r="G2206" s="4"/>
      <c r="H2206" s="4">
        <f>'data on outstanding creditors'!$E2206-'data on outstanding creditors'!$F2206-'data on outstanding creditors'!$G2206</f>
        <v>50000</v>
      </c>
      <c r="I2206" s="2"/>
      <c r="J2206" s="1" t="s">
        <v>757</v>
      </c>
      <c r="K2206" s="2">
        <v>45909.0</v>
      </c>
      <c r="L2206" s="5"/>
      <c r="M2206" s="9" t="s">
        <v>43</v>
      </c>
      <c r="N2206" s="9" t="s">
        <v>49</v>
      </c>
      <c r="O2206" s="10">
        <f>'data on outstanding creditors'!$E2206*100/107</f>
        <v>46728.97196</v>
      </c>
      <c r="P2206" s="10">
        <f>'data on outstanding creditors'!$E2206-'data on outstanding creditors'!$O2206</f>
        <v>3271.028037</v>
      </c>
      <c r="Q2206" s="7">
        <f>DAY('data on outstanding creditors'!$B2206)</f>
        <v>7</v>
      </c>
      <c r="R2206" s="7">
        <f>MONTH('data on outstanding creditors'!$B2206)</f>
        <v>7</v>
      </c>
      <c r="S2206" s="7">
        <f>YEAR('data on outstanding creditors'!$B2206)</f>
        <v>2025</v>
      </c>
      <c r="T2206" s="11" t="str">
        <f>'data on outstanding creditors'!$C2206&amp;" "&amp;'data on outstanding creditors'!$D2206&amp;" "&amp;TEXT('data on outstanding creditors'!$E2206,"#,##0.00")</f>
        <v>บ.เอ็นจี โปรเกรสซีฟ 009.07.68 50,000.00</v>
      </c>
      <c r="U2206" s="12"/>
    </row>
    <row r="2207" ht="13.5" customHeight="1">
      <c r="A2207" s="1" t="s">
        <v>3146</v>
      </c>
      <c r="B2207" s="2">
        <v>45845.0</v>
      </c>
      <c r="C2207" s="9" t="s">
        <v>2334</v>
      </c>
      <c r="D2207" s="1" t="s">
        <v>3147</v>
      </c>
      <c r="E2207" s="4">
        <v>57000.0</v>
      </c>
      <c r="F2207" s="4"/>
      <c r="G2207" s="4"/>
      <c r="H2207" s="4">
        <f>'data on outstanding creditors'!$E2207-'data on outstanding creditors'!$F2207-'data on outstanding creditors'!$G2207</f>
        <v>57000</v>
      </c>
      <c r="I2207" s="2"/>
      <c r="J2207" s="1" t="s">
        <v>757</v>
      </c>
      <c r="K2207" s="2">
        <v>45890.0</v>
      </c>
      <c r="L2207" s="5"/>
      <c r="M2207" s="9" t="s">
        <v>43</v>
      </c>
      <c r="N2207" s="9" t="s">
        <v>49</v>
      </c>
      <c r="O2207" s="10">
        <f>'data on outstanding creditors'!$E2207*100/107</f>
        <v>53271.02804</v>
      </c>
      <c r="P2207" s="10">
        <f>'data on outstanding creditors'!$E2207-'data on outstanding creditors'!$O2207</f>
        <v>3728.971963</v>
      </c>
      <c r="Q2207" s="7">
        <f>DAY('data on outstanding creditors'!$B2207)</f>
        <v>7</v>
      </c>
      <c r="R2207" s="7">
        <f>MONTH('data on outstanding creditors'!$B2207)</f>
        <v>7</v>
      </c>
      <c r="S2207" s="7">
        <f>YEAR('data on outstanding creditors'!$B2207)</f>
        <v>2025</v>
      </c>
      <c r="T2207" s="11" t="str">
        <f>'data on outstanding creditors'!$C2207&amp;" "&amp;'data on outstanding creditors'!$D2207&amp;" "&amp;TEXT('data on outstanding creditors'!$E2207,"#,##0.00")</f>
        <v>บ.ไทยก๊อส IV6826509 57,000.00</v>
      </c>
      <c r="U2207" s="12"/>
    </row>
    <row r="2208" ht="13.5" customHeight="1">
      <c r="A2208" s="1" t="s">
        <v>3148</v>
      </c>
      <c r="B2208" s="2">
        <v>45846.0</v>
      </c>
      <c r="C2208" s="9" t="s">
        <v>1029</v>
      </c>
      <c r="D2208" s="1" t="s">
        <v>3149</v>
      </c>
      <c r="E2208" s="4">
        <v>18500.0</v>
      </c>
      <c r="F2208" s="4"/>
      <c r="G2208" s="4"/>
      <c r="H2208" s="4">
        <f>'data on outstanding creditors'!$E2208-'data on outstanding creditors'!$F2208-'data on outstanding creditors'!$G2208</f>
        <v>18500</v>
      </c>
      <c r="I2208" s="2"/>
      <c r="J2208" s="1" t="s">
        <v>757</v>
      </c>
      <c r="K2208" s="2">
        <v>45957.0</v>
      </c>
      <c r="L2208" s="5"/>
      <c r="M2208" s="9" t="s">
        <v>43</v>
      </c>
      <c r="N2208" s="9" t="s">
        <v>49</v>
      </c>
      <c r="O2208" s="10">
        <f>'data on outstanding creditors'!$E2208*100/107</f>
        <v>17289.71963</v>
      </c>
      <c r="P2208" s="10">
        <f>'data on outstanding creditors'!$E2208-'data on outstanding creditors'!$O2208</f>
        <v>1210.280374</v>
      </c>
      <c r="Q2208" s="7">
        <f>DAY('data on outstanding creditors'!$B2208)</f>
        <v>8</v>
      </c>
      <c r="R2208" s="7">
        <f>MONTH('data on outstanding creditors'!$B2208)</f>
        <v>7</v>
      </c>
      <c r="S2208" s="7">
        <f>YEAR('data on outstanding creditors'!$B2208)</f>
        <v>2025</v>
      </c>
      <c r="T2208" s="11" t="str">
        <f>'data on outstanding creditors'!$C2208&amp;" "&amp;'data on outstanding creditors'!$D2208&amp;" "&amp;TEXT('data on outstanding creditors'!$E2208,"#,##0.00")</f>
        <v>บ.เอเทค เมดิคอล IV6807170 18,500.00</v>
      </c>
      <c r="U2208" s="12"/>
    </row>
    <row r="2209" ht="13.5" customHeight="1">
      <c r="A2209" s="1" t="s">
        <v>3150</v>
      </c>
      <c r="B2209" s="2">
        <v>45846.0</v>
      </c>
      <c r="C2209" s="9" t="s">
        <v>1029</v>
      </c>
      <c r="D2209" s="1" t="s">
        <v>3151</v>
      </c>
      <c r="E2209" s="4">
        <v>12300.0</v>
      </c>
      <c r="F2209" s="4"/>
      <c r="G2209" s="4"/>
      <c r="H2209" s="4">
        <f>'data on outstanding creditors'!$E2209-'data on outstanding creditors'!$F2209-'data on outstanding creditors'!$G2209</f>
        <v>12300</v>
      </c>
      <c r="I2209" s="2"/>
      <c r="J2209" s="1" t="s">
        <v>757</v>
      </c>
      <c r="K2209" s="2">
        <v>45954.0</v>
      </c>
      <c r="L2209" s="5"/>
      <c r="M2209" s="9" t="s">
        <v>43</v>
      </c>
      <c r="N2209" s="9" t="s">
        <v>49</v>
      </c>
      <c r="O2209" s="10">
        <f>'data on outstanding creditors'!$E2209*100/107</f>
        <v>11495.3271</v>
      </c>
      <c r="P2209" s="10">
        <f>'data on outstanding creditors'!$E2209-'data on outstanding creditors'!$O2209</f>
        <v>804.6728972</v>
      </c>
      <c r="Q2209" s="7">
        <f>DAY('data on outstanding creditors'!$B2209)</f>
        <v>8</v>
      </c>
      <c r="R2209" s="7">
        <f>MONTH('data on outstanding creditors'!$B2209)</f>
        <v>7</v>
      </c>
      <c r="S2209" s="7">
        <f>YEAR('data on outstanding creditors'!$B2209)</f>
        <v>2025</v>
      </c>
      <c r="T2209" s="11" t="str">
        <f>'data on outstanding creditors'!$C2209&amp;" "&amp;'data on outstanding creditors'!$D2209&amp;" "&amp;TEXT('data on outstanding creditors'!$E2209,"#,##0.00")</f>
        <v>บ.เอเทค เมดิคอล IV6807187 12,300.00</v>
      </c>
      <c r="U2209" s="12"/>
    </row>
    <row r="2210" ht="13.5" customHeight="1">
      <c r="A2210" s="1" t="s">
        <v>3152</v>
      </c>
      <c r="B2210" s="2">
        <v>45846.0</v>
      </c>
      <c r="C2210" s="9" t="s">
        <v>1029</v>
      </c>
      <c r="D2210" s="1" t="s">
        <v>3153</v>
      </c>
      <c r="E2210" s="4">
        <v>10400.0</v>
      </c>
      <c r="F2210" s="4"/>
      <c r="G2210" s="4"/>
      <c r="H2210" s="4">
        <f>'data on outstanding creditors'!$E2210-'data on outstanding creditors'!$F2210-'data on outstanding creditors'!$G2210</f>
        <v>10400</v>
      </c>
      <c r="I2210" s="2"/>
      <c r="J2210" s="1" t="s">
        <v>757</v>
      </c>
      <c r="K2210" s="2">
        <v>45957.0</v>
      </c>
      <c r="L2210" s="5"/>
      <c r="M2210" s="9" t="s">
        <v>43</v>
      </c>
      <c r="N2210" s="9" t="s">
        <v>49</v>
      </c>
      <c r="O2210" s="10">
        <f>'data on outstanding creditors'!$E2210*100/107</f>
        <v>9719.626168</v>
      </c>
      <c r="P2210" s="10">
        <f>'data on outstanding creditors'!$E2210-'data on outstanding creditors'!$O2210</f>
        <v>680.3738318</v>
      </c>
      <c r="Q2210" s="7">
        <f>DAY('data on outstanding creditors'!$B2210)</f>
        <v>8</v>
      </c>
      <c r="R2210" s="7">
        <f>MONTH('data on outstanding creditors'!$B2210)</f>
        <v>7</v>
      </c>
      <c r="S2210" s="7">
        <f>YEAR('data on outstanding creditors'!$B2210)</f>
        <v>2025</v>
      </c>
      <c r="T2210" s="11" t="str">
        <f>'data on outstanding creditors'!$C2210&amp;" "&amp;'data on outstanding creditors'!$D2210&amp;" "&amp;TEXT('data on outstanding creditors'!$E2210,"#,##0.00")</f>
        <v>บ.เอเทค เมดิคอล IV6807189 10,400.00</v>
      </c>
      <c r="U2210" s="12"/>
    </row>
    <row r="2211" ht="13.5" customHeight="1">
      <c r="A2211" s="1" t="s">
        <v>3154</v>
      </c>
      <c r="B2211" s="2">
        <v>45846.0</v>
      </c>
      <c r="C2211" s="9" t="s">
        <v>3023</v>
      </c>
      <c r="D2211" s="1" t="s">
        <v>3155</v>
      </c>
      <c r="E2211" s="4">
        <v>12000.0</v>
      </c>
      <c r="F2211" s="4"/>
      <c r="G2211" s="4"/>
      <c r="H2211" s="4">
        <f>'data on outstanding creditors'!$E2211-'data on outstanding creditors'!$F2211-'data on outstanding creditors'!$G2211</f>
        <v>12000</v>
      </c>
      <c r="I2211" s="2"/>
      <c r="J2211" s="1" t="s">
        <v>646</v>
      </c>
      <c r="K2211" s="2">
        <v>45928.0</v>
      </c>
      <c r="L2211" s="5"/>
      <c r="M2211" s="9" t="s">
        <v>43</v>
      </c>
      <c r="N2211" s="9" t="s">
        <v>49</v>
      </c>
      <c r="O2211" s="10">
        <f>'data on outstanding creditors'!$E2211*100/107</f>
        <v>11214.95327</v>
      </c>
      <c r="P2211" s="10">
        <f>'data on outstanding creditors'!$E2211-'data on outstanding creditors'!$O2211</f>
        <v>785.046729</v>
      </c>
      <c r="Q2211" s="7">
        <f>DAY('data on outstanding creditors'!$B2211)</f>
        <v>8</v>
      </c>
      <c r="R2211" s="7">
        <f>MONTH('data on outstanding creditors'!$B2211)</f>
        <v>7</v>
      </c>
      <c r="S2211" s="7">
        <f>YEAR('data on outstanding creditors'!$B2211)</f>
        <v>2025</v>
      </c>
      <c r="T2211" s="11" t="str">
        <f>'data on outstanding creditors'!$C2211&amp;" "&amp;'data on outstanding creditors'!$D2211&amp;" "&amp;TEXT('data on outstanding creditors'!$E2211,"#,##0.00")</f>
        <v>บ.ไพรม์ เมดิคอล IV6807-8830 12,000.00</v>
      </c>
      <c r="U2211" s="12"/>
    </row>
    <row r="2212" ht="13.5" customHeight="1">
      <c r="A2212" s="1" t="s">
        <v>3156</v>
      </c>
      <c r="B2212" s="2">
        <v>45846.0</v>
      </c>
      <c r="C2212" s="9" t="s">
        <v>2312</v>
      </c>
      <c r="D2212" s="1" t="s">
        <v>3157</v>
      </c>
      <c r="E2212" s="4">
        <v>7500.0</v>
      </c>
      <c r="F2212" s="4"/>
      <c r="G2212" s="4"/>
      <c r="H2212" s="4">
        <f>'data on outstanding creditors'!$E2212-'data on outstanding creditors'!$F2212-'data on outstanding creditors'!$G2212</f>
        <v>7500</v>
      </c>
      <c r="I2212" s="2"/>
      <c r="J2212" s="1" t="s">
        <v>646</v>
      </c>
      <c r="K2212" s="2">
        <v>45928.0</v>
      </c>
      <c r="L2212" s="5"/>
      <c r="M2212" s="9" t="s">
        <v>43</v>
      </c>
      <c r="N2212" s="9" t="s">
        <v>49</v>
      </c>
      <c r="O2212" s="10">
        <f>'data on outstanding creditors'!$E2212*100/107</f>
        <v>7009.345794</v>
      </c>
      <c r="P2212" s="10">
        <f>'data on outstanding creditors'!$E2212-'data on outstanding creditors'!$O2212</f>
        <v>490.6542056</v>
      </c>
      <c r="Q2212" s="7">
        <f>DAY('data on outstanding creditors'!$B2212)</f>
        <v>8</v>
      </c>
      <c r="R2212" s="7">
        <f>MONTH('data on outstanding creditors'!$B2212)</f>
        <v>7</v>
      </c>
      <c r="S2212" s="7">
        <f>YEAR('data on outstanding creditors'!$B2212)</f>
        <v>2025</v>
      </c>
      <c r="T2212" s="11" t="str">
        <f>'data on outstanding creditors'!$C2212&amp;" "&amp;'data on outstanding creditors'!$D2212&amp;" "&amp;TEXT('data on outstanding creditors'!$E2212,"#,##0.00")</f>
        <v>บ.สเตอลีน เฮลท์ SH7591 7,500.00</v>
      </c>
      <c r="U2212" s="12"/>
    </row>
    <row r="2213" ht="13.5" customHeight="1">
      <c r="A2213" s="1" t="s">
        <v>3158</v>
      </c>
      <c r="B2213" s="2">
        <v>45846.0</v>
      </c>
      <c r="C2213" s="9" t="s">
        <v>2381</v>
      </c>
      <c r="D2213" s="1" t="s">
        <v>3159</v>
      </c>
      <c r="E2213" s="4">
        <v>24260.0</v>
      </c>
      <c r="F2213" s="4"/>
      <c r="G2213" s="4"/>
      <c r="H2213" s="4">
        <f>'data on outstanding creditors'!$E2213-'data on outstanding creditors'!$F2213-'data on outstanding creditors'!$G2213</f>
        <v>24260</v>
      </c>
      <c r="I2213" s="2"/>
      <c r="J2213" s="1"/>
      <c r="K2213" s="2"/>
      <c r="L2213" s="5"/>
      <c r="M2213" s="9" t="s">
        <v>43</v>
      </c>
      <c r="N2213" s="9" t="s">
        <v>49</v>
      </c>
      <c r="O2213" s="10">
        <f>'data on outstanding creditors'!$E2213*100/107</f>
        <v>22672.8972</v>
      </c>
      <c r="P2213" s="10">
        <f>'data on outstanding creditors'!$E2213-'data on outstanding creditors'!$O2213</f>
        <v>1587.102804</v>
      </c>
      <c r="Q2213" s="7">
        <f>DAY('data on outstanding creditors'!$B2213)</f>
        <v>8</v>
      </c>
      <c r="R2213" s="7">
        <f>MONTH('data on outstanding creditors'!$B2213)</f>
        <v>7</v>
      </c>
      <c r="S2213" s="7">
        <f>YEAR('data on outstanding creditors'!$B2213)</f>
        <v>2025</v>
      </c>
      <c r="T2213" s="11" t="str">
        <f>'data on outstanding creditors'!$C2213&amp;" "&amp;'data on outstanding creditors'!$D2213&amp;" "&amp;TEXT('data on outstanding creditors'!$E2213,"#,##0.00")</f>
        <v>หจก.วีอาร์ ซัพพอร์ต IV6807199 24,260.00</v>
      </c>
      <c r="U2213" s="12"/>
    </row>
    <row r="2214" ht="13.5" customHeight="1">
      <c r="A2214" s="1"/>
      <c r="B2214" s="2">
        <v>45847.0</v>
      </c>
      <c r="C2214" s="9" t="s">
        <v>1288</v>
      </c>
      <c r="D2214" s="1" t="s">
        <v>3160</v>
      </c>
      <c r="E2214" s="4">
        <v>3852.0</v>
      </c>
      <c r="F2214" s="4"/>
      <c r="G2214" s="4"/>
      <c r="H2214" s="4">
        <f>'data on outstanding creditors'!$E2214-'data on outstanding creditors'!$F2214-'data on outstanding creditors'!$G2214</f>
        <v>3852</v>
      </c>
      <c r="I2214" s="2"/>
      <c r="J2214" s="1" t="s">
        <v>646</v>
      </c>
      <c r="K2214" s="2">
        <v>45928.0</v>
      </c>
      <c r="L2214" s="5"/>
      <c r="M2214" s="9" t="s">
        <v>43</v>
      </c>
      <c r="N2214" s="9" t="s">
        <v>23</v>
      </c>
      <c r="O2214" s="10">
        <f>'data on outstanding creditors'!$E2214*100/107</f>
        <v>3600</v>
      </c>
      <c r="P2214" s="10">
        <f>'data on outstanding creditors'!$E2214-'data on outstanding creditors'!$O2214</f>
        <v>252</v>
      </c>
      <c r="Q2214" s="7">
        <f>DAY('data on outstanding creditors'!$B2214)</f>
        <v>9</v>
      </c>
      <c r="R2214" s="7">
        <f>MONTH('data on outstanding creditors'!$B2214)</f>
        <v>7</v>
      </c>
      <c r="S2214" s="7">
        <f>YEAR('data on outstanding creditors'!$B2214)</f>
        <v>2025</v>
      </c>
      <c r="T2214" s="11" t="str">
        <f>'data on outstanding creditors'!$C2214&amp;" "&amp;'data on outstanding creditors'!$D2214&amp;" "&amp;TEXT('data on outstanding creditors'!$E2214,"#,##0.00")</f>
        <v>บ.เจ เอส วิชั่น 100515244 3,852.00</v>
      </c>
      <c r="U2214" s="12"/>
    </row>
    <row r="2215" ht="13.5" customHeight="1">
      <c r="A2215" s="1"/>
      <c r="B2215" s="2">
        <v>45847.0</v>
      </c>
      <c r="C2215" s="9" t="s">
        <v>2363</v>
      </c>
      <c r="D2215" s="1" t="s">
        <v>3161</v>
      </c>
      <c r="E2215" s="4">
        <v>21000.0</v>
      </c>
      <c r="F2215" s="4"/>
      <c r="G2215" s="4"/>
      <c r="H2215" s="4">
        <f>'data on outstanding creditors'!$E2215-'data on outstanding creditors'!$F2215-'data on outstanding creditors'!$G2215</f>
        <v>21000</v>
      </c>
      <c r="I2215" s="2"/>
      <c r="J2215" s="1" t="s">
        <v>646</v>
      </c>
      <c r="K2215" s="2">
        <v>45928.0</v>
      </c>
      <c r="L2215" s="5"/>
      <c r="M2215" s="9" t="s">
        <v>43</v>
      </c>
      <c r="N2215" s="9" t="s">
        <v>23</v>
      </c>
      <c r="O2215" s="10">
        <f>'data on outstanding creditors'!$E2215*100/107</f>
        <v>19626.16822</v>
      </c>
      <c r="P2215" s="10">
        <f>'data on outstanding creditors'!$E2215-'data on outstanding creditors'!$O2215</f>
        <v>1373.831776</v>
      </c>
      <c r="Q2215" s="7">
        <f>DAY('data on outstanding creditors'!$B2215)</f>
        <v>9</v>
      </c>
      <c r="R2215" s="7">
        <f>MONTH('data on outstanding creditors'!$B2215)</f>
        <v>7</v>
      </c>
      <c r="S2215" s="7">
        <f>YEAR('data on outstanding creditors'!$B2215)</f>
        <v>2025</v>
      </c>
      <c r="T2215" s="11" t="str">
        <f>'data on outstanding creditors'!$C2215&amp;" "&amp;'data on outstanding creditors'!$D2215&amp;" "&amp;TEXT('data on outstanding creditors'!$E2215,"#,##0.00")</f>
        <v>บ.บีเวอร์ เมดิคอล อินดัสตรี้ 685915 21,000.00</v>
      </c>
      <c r="U2215" s="12"/>
    </row>
    <row r="2216" ht="13.5" customHeight="1">
      <c r="A2216" s="1"/>
      <c r="B2216" s="2">
        <v>45847.0</v>
      </c>
      <c r="C2216" s="9" t="s">
        <v>2543</v>
      </c>
      <c r="D2216" s="1" t="s">
        <v>3162</v>
      </c>
      <c r="E2216" s="4">
        <v>10800.0</v>
      </c>
      <c r="F2216" s="4"/>
      <c r="G2216" s="4"/>
      <c r="H2216" s="4">
        <f>'data on outstanding creditors'!$E2216-'data on outstanding creditors'!$F2216-'data on outstanding creditors'!$G2216</f>
        <v>10800</v>
      </c>
      <c r="I2216" s="2"/>
      <c r="J2216" s="1" t="s">
        <v>646</v>
      </c>
      <c r="K2216" s="2">
        <v>45944.0</v>
      </c>
      <c r="L2216" s="5"/>
      <c r="M2216" s="9" t="s">
        <v>43</v>
      </c>
      <c r="N2216" s="9" t="s">
        <v>23</v>
      </c>
      <c r="O2216" s="10">
        <f>'data on outstanding creditors'!$E2216*100/107</f>
        <v>10093.45794</v>
      </c>
      <c r="P2216" s="10">
        <f>'data on outstanding creditors'!$E2216-'data on outstanding creditors'!$O2216</f>
        <v>706.5420561</v>
      </c>
      <c r="Q2216" s="7">
        <f>DAY('data on outstanding creditors'!$B2216)</f>
        <v>9</v>
      </c>
      <c r="R2216" s="7">
        <f>MONTH('data on outstanding creditors'!$B2216)</f>
        <v>7</v>
      </c>
      <c r="S2216" s="7">
        <f>YEAR('data on outstanding creditors'!$B2216)</f>
        <v>2025</v>
      </c>
      <c r="T2216" s="11" t="str">
        <f>'data on outstanding creditors'!$C2216&amp;" "&amp;'data on outstanding creditors'!$D2216&amp;" "&amp;TEXT('data on outstanding creditors'!$E2216,"#,##0.00")</f>
        <v>บ.ไฮแวน เมดิคอล HV6803993 10,800.00</v>
      </c>
      <c r="U2216" s="12"/>
    </row>
    <row r="2217" ht="13.5" customHeight="1">
      <c r="A2217" s="1" t="s">
        <v>3163</v>
      </c>
      <c r="B2217" s="2">
        <v>45847.0</v>
      </c>
      <c r="C2217" s="9" t="s">
        <v>1029</v>
      </c>
      <c r="D2217" s="1" t="s">
        <v>3164</v>
      </c>
      <c r="E2217" s="4">
        <v>21200.0</v>
      </c>
      <c r="F2217" s="4"/>
      <c r="G2217" s="4"/>
      <c r="H2217" s="4">
        <f>'data on outstanding creditors'!$E2217-'data on outstanding creditors'!$F2217-'data on outstanding creditors'!$G2217</f>
        <v>21200</v>
      </c>
      <c r="I2217" s="2"/>
      <c r="J2217" s="1" t="s">
        <v>757</v>
      </c>
      <c r="K2217" s="2">
        <v>45957.0</v>
      </c>
      <c r="L2217" s="5"/>
      <c r="M2217" s="9" t="s">
        <v>43</v>
      </c>
      <c r="N2217" s="9" t="s">
        <v>49</v>
      </c>
      <c r="O2217" s="10">
        <f>'data on outstanding creditors'!$E2217*100/107</f>
        <v>19813.08411</v>
      </c>
      <c r="P2217" s="10">
        <f>'data on outstanding creditors'!$E2217-'data on outstanding creditors'!$O2217</f>
        <v>1386.915888</v>
      </c>
      <c r="Q2217" s="7">
        <f>DAY('data on outstanding creditors'!$B2217)</f>
        <v>9</v>
      </c>
      <c r="R2217" s="7">
        <f>MONTH('data on outstanding creditors'!$B2217)</f>
        <v>7</v>
      </c>
      <c r="S2217" s="7">
        <f>YEAR('data on outstanding creditors'!$B2217)</f>
        <v>2025</v>
      </c>
      <c r="T2217" s="11" t="str">
        <f>'data on outstanding creditors'!$C2217&amp;" "&amp;'data on outstanding creditors'!$D2217&amp;" "&amp;TEXT('data on outstanding creditors'!$E2217,"#,##0.00")</f>
        <v>บ.เอเทค เมดิคอล IV6807202 21,200.00</v>
      </c>
      <c r="U2217" s="12"/>
    </row>
    <row r="2218" ht="13.5" customHeight="1">
      <c r="A2218" s="1" t="s">
        <v>3165</v>
      </c>
      <c r="B2218" s="2">
        <v>45847.0</v>
      </c>
      <c r="C2218" s="9" t="s">
        <v>1029</v>
      </c>
      <c r="D2218" s="1" t="s">
        <v>3166</v>
      </c>
      <c r="E2218" s="4">
        <v>17300.0</v>
      </c>
      <c r="F2218" s="4"/>
      <c r="G2218" s="4"/>
      <c r="H2218" s="4">
        <f>'data on outstanding creditors'!$E2218-'data on outstanding creditors'!$F2218-'data on outstanding creditors'!$G2218</f>
        <v>17300</v>
      </c>
      <c r="I2218" s="2"/>
      <c r="J2218" s="1" t="s">
        <v>757</v>
      </c>
      <c r="K2218" s="2">
        <v>45957.0</v>
      </c>
      <c r="L2218" s="5"/>
      <c r="M2218" s="9" t="s">
        <v>43</v>
      </c>
      <c r="N2218" s="9" t="s">
        <v>49</v>
      </c>
      <c r="O2218" s="10">
        <f>'data on outstanding creditors'!$E2218*100/107</f>
        <v>16168.2243</v>
      </c>
      <c r="P2218" s="10">
        <f>'data on outstanding creditors'!$E2218-'data on outstanding creditors'!$O2218</f>
        <v>1131.775701</v>
      </c>
      <c r="Q2218" s="7">
        <f>DAY('data on outstanding creditors'!$B2218)</f>
        <v>9</v>
      </c>
      <c r="R2218" s="7">
        <f>MONTH('data on outstanding creditors'!$B2218)</f>
        <v>7</v>
      </c>
      <c r="S2218" s="7">
        <f>YEAR('data on outstanding creditors'!$B2218)</f>
        <v>2025</v>
      </c>
      <c r="T2218" s="11" t="str">
        <f>'data on outstanding creditors'!$C2218&amp;" "&amp;'data on outstanding creditors'!$D2218&amp;" "&amp;TEXT('data on outstanding creditors'!$E2218,"#,##0.00")</f>
        <v>บ.เอเทค เมดิคอล IV6807214 17,300.00</v>
      </c>
      <c r="U2218" s="12"/>
    </row>
    <row r="2219" ht="13.5" customHeight="1">
      <c r="A2219" s="1" t="s">
        <v>3167</v>
      </c>
      <c r="B2219" s="2">
        <v>45847.0</v>
      </c>
      <c r="C2219" s="9" t="s">
        <v>1029</v>
      </c>
      <c r="D2219" s="1" t="s">
        <v>3168</v>
      </c>
      <c r="E2219" s="4">
        <v>17600.0</v>
      </c>
      <c r="F2219" s="4"/>
      <c r="G2219" s="4"/>
      <c r="H2219" s="4">
        <f>'data on outstanding creditors'!$E2219-'data on outstanding creditors'!$F2219-'data on outstanding creditors'!$G2219</f>
        <v>17600</v>
      </c>
      <c r="I2219" s="2"/>
      <c r="J2219" s="1" t="s">
        <v>757</v>
      </c>
      <c r="K2219" s="2">
        <v>45957.0</v>
      </c>
      <c r="L2219" s="5"/>
      <c r="M2219" s="9" t="s">
        <v>43</v>
      </c>
      <c r="N2219" s="9" t="s">
        <v>49</v>
      </c>
      <c r="O2219" s="10">
        <f>'data on outstanding creditors'!$E2219*100/107</f>
        <v>16448.59813</v>
      </c>
      <c r="P2219" s="10">
        <f>'data on outstanding creditors'!$E2219-'data on outstanding creditors'!$O2219</f>
        <v>1151.401869</v>
      </c>
      <c r="Q2219" s="7">
        <f>DAY('data on outstanding creditors'!$B2219)</f>
        <v>9</v>
      </c>
      <c r="R2219" s="7">
        <f>MONTH('data on outstanding creditors'!$B2219)</f>
        <v>7</v>
      </c>
      <c r="S2219" s="7">
        <f>YEAR('data on outstanding creditors'!$B2219)</f>
        <v>2025</v>
      </c>
      <c r="T2219" s="11" t="str">
        <f>'data on outstanding creditors'!$C2219&amp;" "&amp;'data on outstanding creditors'!$D2219&amp;" "&amp;TEXT('data on outstanding creditors'!$E2219,"#,##0.00")</f>
        <v>บ.เอเทค เมดิคอล IV6807212 17,600.00</v>
      </c>
      <c r="U2219" s="12"/>
    </row>
    <row r="2220" ht="13.5" customHeight="1">
      <c r="A2220" s="1" t="s">
        <v>3169</v>
      </c>
      <c r="B2220" s="2">
        <v>45847.0</v>
      </c>
      <c r="C2220" s="9" t="s">
        <v>1029</v>
      </c>
      <c r="D2220" s="1" t="s">
        <v>3170</v>
      </c>
      <c r="E2220" s="4">
        <v>18200.0</v>
      </c>
      <c r="F2220" s="4"/>
      <c r="G2220" s="4"/>
      <c r="H2220" s="4">
        <f>'data on outstanding creditors'!$E2220-'data on outstanding creditors'!$F2220-'data on outstanding creditors'!$G2220</f>
        <v>18200</v>
      </c>
      <c r="I2220" s="2"/>
      <c r="J2220" s="1" t="s">
        <v>757</v>
      </c>
      <c r="K2220" s="2">
        <v>45957.0</v>
      </c>
      <c r="L2220" s="5"/>
      <c r="M2220" s="9" t="s">
        <v>43</v>
      </c>
      <c r="N2220" s="9" t="s">
        <v>49</v>
      </c>
      <c r="O2220" s="10">
        <f>'data on outstanding creditors'!$E2220*100/107</f>
        <v>17009.34579</v>
      </c>
      <c r="P2220" s="10">
        <f>'data on outstanding creditors'!$E2220-'data on outstanding creditors'!$O2220</f>
        <v>1190.654206</v>
      </c>
      <c r="Q2220" s="7">
        <f>DAY('data on outstanding creditors'!$B2220)</f>
        <v>9</v>
      </c>
      <c r="R2220" s="7">
        <f>MONTH('data on outstanding creditors'!$B2220)</f>
        <v>7</v>
      </c>
      <c r="S2220" s="7">
        <f>YEAR('data on outstanding creditors'!$B2220)</f>
        <v>2025</v>
      </c>
      <c r="T2220" s="11" t="str">
        <f>'data on outstanding creditors'!$C2220&amp;" "&amp;'data on outstanding creditors'!$D2220&amp;" "&amp;TEXT('data on outstanding creditors'!$E2220,"#,##0.00")</f>
        <v>บ.เอเทค เมดิคอล IV6807213 18,200.00</v>
      </c>
      <c r="U2220" s="12"/>
    </row>
    <row r="2221" ht="13.5" customHeight="1">
      <c r="A2221" s="1" t="s">
        <v>3171</v>
      </c>
      <c r="B2221" s="2">
        <v>45847.0</v>
      </c>
      <c r="C2221" s="9" t="s">
        <v>2389</v>
      </c>
      <c r="D2221" s="1" t="s">
        <v>3172</v>
      </c>
      <c r="E2221" s="4">
        <v>34200.0</v>
      </c>
      <c r="F2221" s="4"/>
      <c r="G2221" s="4"/>
      <c r="H2221" s="4">
        <f>'data on outstanding creditors'!$E2221-'data on outstanding creditors'!$F2221-'data on outstanding creditors'!$G2221</f>
        <v>34200</v>
      </c>
      <c r="I2221" s="2"/>
      <c r="J2221" s="1"/>
      <c r="K2221" s="2"/>
      <c r="L2221" s="5"/>
      <c r="M2221" s="9" t="s">
        <v>43</v>
      </c>
      <c r="N2221" s="9" t="s">
        <v>49</v>
      </c>
      <c r="O2221" s="10">
        <f>'data on outstanding creditors'!$E2221*100/107</f>
        <v>31962.61682</v>
      </c>
      <c r="P2221" s="10">
        <f>'data on outstanding creditors'!$E2221-'data on outstanding creditors'!$O2221</f>
        <v>2237.383178</v>
      </c>
      <c r="Q2221" s="7">
        <f>DAY('data on outstanding creditors'!$B2221)</f>
        <v>9</v>
      </c>
      <c r="R2221" s="7">
        <f>MONTH('data on outstanding creditors'!$B2221)</f>
        <v>7</v>
      </c>
      <c r="S2221" s="7">
        <f>YEAR('data on outstanding creditors'!$B2221)</f>
        <v>2025</v>
      </c>
      <c r="T2221" s="11" t="str">
        <f>'data on outstanding creditors'!$C2221&amp;" "&amp;'data on outstanding creditors'!$D2221&amp;" "&amp;TEXT('data on outstanding creditors'!$E2221,"#,##0.00")</f>
        <v>บ.ซี วี พี เมดิคอล เทคโนโลยี SI01/68070177 34,200.00</v>
      </c>
      <c r="U2221" s="12"/>
    </row>
    <row r="2222" ht="13.5" customHeight="1">
      <c r="A2222" s="1" t="s">
        <v>3173</v>
      </c>
      <c r="B2222" s="2">
        <v>45847.0</v>
      </c>
      <c r="C2222" s="9" t="s">
        <v>2389</v>
      </c>
      <c r="D2222" s="1" t="s">
        <v>3174</v>
      </c>
      <c r="E2222" s="4">
        <v>60200.0</v>
      </c>
      <c r="F2222" s="4"/>
      <c r="G2222" s="4"/>
      <c r="H2222" s="4">
        <f>'data on outstanding creditors'!$E2222-'data on outstanding creditors'!$F2222-'data on outstanding creditors'!$G2222</f>
        <v>60200</v>
      </c>
      <c r="I2222" s="2"/>
      <c r="J2222" s="1"/>
      <c r="K2222" s="2"/>
      <c r="L2222" s="5"/>
      <c r="M2222" s="9" t="s">
        <v>43</v>
      </c>
      <c r="N2222" s="9" t="s">
        <v>49</v>
      </c>
      <c r="O2222" s="10">
        <f>'data on outstanding creditors'!$E2222*100/107</f>
        <v>56261.68224</v>
      </c>
      <c r="P2222" s="10">
        <f>'data on outstanding creditors'!$E2222-'data on outstanding creditors'!$O2222</f>
        <v>3938.317757</v>
      </c>
      <c r="Q2222" s="7">
        <f>DAY('data on outstanding creditors'!$B2222)</f>
        <v>9</v>
      </c>
      <c r="R2222" s="7">
        <f>MONTH('data on outstanding creditors'!$B2222)</f>
        <v>7</v>
      </c>
      <c r="S2222" s="7">
        <f>YEAR('data on outstanding creditors'!$B2222)</f>
        <v>2025</v>
      </c>
      <c r="T2222" s="11" t="str">
        <f>'data on outstanding creditors'!$C2222&amp;" "&amp;'data on outstanding creditors'!$D2222&amp;" "&amp;TEXT('data on outstanding creditors'!$E2222,"#,##0.00")</f>
        <v>บ.ซี วี พี เมดิคอล เทคโนโลยี SI01/68070178 60,200.00</v>
      </c>
      <c r="U2222" s="12"/>
    </row>
    <row r="2223" ht="13.5" customHeight="1">
      <c r="A2223" s="1"/>
      <c r="B2223" s="2">
        <v>45852.0</v>
      </c>
      <c r="C2223" s="9" t="s">
        <v>2363</v>
      </c>
      <c r="D2223" s="1" t="s">
        <v>3175</v>
      </c>
      <c r="E2223" s="4">
        <v>32500.0</v>
      </c>
      <c r="F2223" s="4"/>
      <c r="G2223" s="4"/>
      <c r="H2223" s="4">
        <f>'data on outstanding creditors'!$E2223-'data on outstanding creditors'!$F2223-'data on outstanding creditors'!$G2223</f>
        <v>32500</v>
      </c>
      <c r="I2223" s="2"/>
      <c r="J2223" s="1" t="s">
        <v>646</v>
      </c>
      <c r="K2223" s="2">
        <v>45928.0</v>
      </c>
      <c r="L2223" s="5"/>
      <c r="M2223" s="9" t="s">
        <v>43</v>
      </c>
      <c r="N2223" s="9" t="s">
        <v>23</v>
      </c>
      <c r="O2223" s="10">
        <f>'data on outstanding creditors'!$E2223*100/107</f>
        <v>30373.83178</v>
      </c>
      <c r="P2223" s="10">
        <f>'data on outstanding creditors'!$E2223-'data on outstanding creditors'!$O2223</f>
        <v>2126.168224</v>
      </c>
      <c r="Q2223" s="7">
        <f>DAY('data on outstanding creditors'!$B2223)</f>
        <v>14</v>
      </c>
      <c r="R2223" s="7">
        <f>MONTH('data on outstanding creditors'!$B2223)</f>
        <v>7</v>
      </c>
      <c r="S2223" s="7">
        <f>YEAR('data on outstanding creditors'!$B2223)</f>
        <v>2025</v>
      </c>
      <c r="T2223" s="11" t="str">
        <f>'data on outstanding creditors'!$C2223&amp;" "&amp;'data on outstanding creditors'!$D2223&amp;" "&amp;TEXT('data on outstanding creditors'!$E2223,"#,##0.00")</f>
        <v>บ.บีเวอร์ เมดิคอล อินดัสตรี้ 685947 32,500.00</v>
      </c>
      <c r="U2223" s="12"/>
    </row>
    <row r="2224" ht="13.5" customHeight="1">
      <c r="A2224" s="1" t="s">
        <v>3176</v>
      </c>
      <c r="B2224" s="2">
        <v>45852.0</v>
      </c>
      <c r="C2224" s="9" t="s">
        <v>1029</v>
      </c>
      <c r="D2224" s="1" t="s">
        <v>3177</v>
      </c>
      <c r="E2224" s="4">
        <v>12300.0</v>
      </c>
      <c r="F2224" s="4"/>
      <c r="G2224" s="4"/>
      <c r="H2224" s="4">
        <f>'data on outstanding creditors'!$E2224-'data on outstanding creditors'!$F2224-'data on outstanding creditors'!$G2224</f>
        <v>12300</v>
      </c>
      <c r="I2224" s="2"/>
      <c r="J2224" s="1" t="s">
        <v>757</v>
      </c>
      <c r="K2224" s="2">
        <v>45954.0</v>
      </c>
      <c r="L2224" s="5"/>
      <c r="M2224" s="9" t="s">
        <v>43</v>
      </c>
      <c r="N2224" s="9" t="s">
        <v>49</v>
      </c>
      <c r="O2224" s="10">
        <f>'data on outstanding creditors'!$E2224*100/107</f>
        <v>11495.3271</v>
      </c>
      <c r="P2224" s="10">
        <f>'data on outstanding creditors'!$E2224-'data on outstanding creditors'!$O2224</f>
        <v>804.6728972</v>
      </c>
      <c r="Q2224" s="7">
        <f>DAY('data on outstanding creditors'!$B2224)</f>
        <v>14</v>
      </c>
      <c r="R2224" s="7">
        <f>MONTH('data on outstanding creditors'!$B2224)</f>
        <v>7</v>
      </c>
      <c r="S2224" s="7">
        <f>YEAR('data on outstanding creditors'!$B2224)</f>
        <v>2025</v>
      </c>
      <c r="T2224" s="11" t="str">
        <f>'data on outstanding creditors'!$C2224&amp;" "&amp;'data on outstanding creditors'!$D2224&amp;" "&amp;TEXT('data on outstanding creditors'!$E2224,"#,##0.00")</f>
        <v>บ.เอเทค เมดิคอล IV6807287 12,300.00</v>
      </c>
      <c r="U2224" s="12"/>
    </row>
    <row r="2225" ht="13.5" customHeight="1">
      <c r="A2225" s="1" t="s">
        <v>3178</v>
      </c>
      <c r="B2225" s="2">
        <v>45852.0</v>
      </c>
      <c r="C2225" s="9" t="s">
        <v>1029</v>
      </c>
      <c r="D2225" s="1" t="s">
        <v>3179</v>
      </c>
      <c r="E2225" s="4">
        <v>17600.0</v>
      </c>
      <c r="F2225" s="4"/>
      <c r="G2225" s="4"/>
      <c r="H2225" s="4">
        <f>'data on outstanding creditors'!$E2225-'data on outstanding creditors'!$F2225-'data on outstanding creditors'!$G2225</f>
        <v>17600</v>
      </c>
      <c r="I2225" s="2"/>
      <c r="J2225" s="1"/>
      <c r="K2225" s="2"/>
      <c r="L2225" s="5"/>
      <c r="M2225" s="9" t="s">
        <v>43</v>
      </c>
      <c r="N2225" s="9" t="s">
        <v>49</v>
      </c>
      <c r="O2225" s="10">
        <f>'data on outstanding creditors'!$E2225*100/107</f>
        <v>16448.59813</v>
      </c>
      <c r="P2225" s="10">
        <f>'data on outstanding creditors'!$E2225-'data on outstanding creditors'!$O2225</f>
        <v>1151.401869</v>
      </c>
      <c r="Q2225" s="7">
        <f>DAY('data on outstanding creditors'!$B2225)</f>
        <v>14</v>
      </c>
      <c r="R2225" s="7">
        <f>MONTH('data on outstanding creditors'!$B2225)</f>
        <v>7</v>
      </c>
      <c r="S2225" s="7">
        <f>YEAR('data on outstanding creditors'!$B2225)</f>
        <v>2025</v>
      </c>
      <c r="T2225" s="11" t="str">
        <f>'data on outstanding creditors'!$C2225&amp;" "&amp;'data on outstanding creditors'!$D2225&amp;" "&amp;TEXT('data on outstanding creditors'!$E2225,"#,##0.00")</f>
        <v>บ.เอเทค เมดิคอล IV6807300 17,600.00</v>
      </c>
      <c r="U2225" s="12"/>
    </row>
    <row r="2226" ht="13.5" customHeight="1">
      <c r="A2226" s="1" t="s">
        <v>3180</v>
      </c>
      <c r="B2226" s="2">
        <v>45852.0</v>
      </c>
      <c r="C2226" s="9" t="s">
        <v>1029</v>
      </c>
      <c r="D2226" s="1" t="s">
        <v>3181</v>
      </c>
      <c r="E2226" s="4">
        <v>19100.0</v>
      </c>
      <c r="F2226" s="4"/>
      <c r="G2226" s="4"/>
      <c r="H2226" s="4">
        <f>'data on outstanding creditors'!$E2226-'data on outstanding creditors'!$F2226-'data on outstanding creditors'!$G2226</f>
        <v>19100</v>
      </c>
      <c r="I2226" s="2"/>
      <c r="J2226" s="1" t="s">
        <v>757</v>
      </c>
      <c r="K2226" s="2">
        <v>45957.0</v>
      </c>
      <c r="L2226" s="5"/>
      <c r="M2226" s="9" t="s">
        <v>43</v>
      </c>
      <c r="N2226" s="9" t="s">
        <v>49</v>
      </c>
      <c r="O2226" s="10">
        <f>'data on outstanding creditors'!$E2226*100/107</f>
        <v>17850.46729</v>
      </c>
      <c r="P2226" s="10">
        <f>'data on outstanding creditors'!$E2226-'data on outstanding creditors'!$O2226</f>
        <v>1249.53271</v>
      </c>
      <c r="Q2226" s="7">
        <f>DAY('data on outstanding creditors'!$B2226)</f>
        <v>14</v>
      </c>
      <c r="R2226" s="7">
        <f>MONTH('data on outstanding creditors'!$B2226)</f>
        <v>7</v>
      </c>
      <c r="S2226" s="7">
        <f>YEAR('data on outstanding creditors'!$B2226)</f>
        <v>2025</v>
      </c>
      <c r="T2226" s="11" t="str">
        <f>'data on outstanding creditors'!$C2226&amp;" "&amp;'data on outstanding creditors'!$D2226&amp;" "&amp;TEXT('data on outstanding creditors'!$E2226,"#,##0.00")</f>
        <v>บ.เอเทค เมดิคอล IV6807340 19,100.00</v>
      </c>
      <c r="U2226" s="12"/>
    </row>
    <row r="2227" ht="13.5" customHeight="1">
      <c r="A2227" s="1" t="s">
        <v>3182</v>
      </c>
      <c r="B2227" s="2">
        <v>45852.0</v>
      </c>
      <c r="C2227" s="9" t="s">
        <v>1288</v>
      </c>
      <c r="D2227" s="1" t="s">
        <v>3183</v>
      </c>
      <c r="E2227" s="4">
        <v>6955.0</v>
      </c>
      <c r="F2227" s="4"/>
      <c r="G2227" s="4"/>
      <c r="H2227" s="4">
        <f>'data on outstanding creditors'!$E2227-'data on outstanding creditors'!$F2227-'data on outstanding creditors'!$G2227</f>
        <v>6955</v>
      </c>
      <c r="I2227" s="2"/>
      <c r="J2227" s="1" t="s">
        <v>646</v>
      </c>
      <c r="K2227" s="2">
        <v>45928.0</v>
      </c>
      <c r="L2227" s="5"/>
      <c r="M2227" s="9" t="s">
        <v>43</v>
      </c>
      <c r="N2227" s="9" t="s">
        <v>49</v>
      </c>
      <c r="O2227" s="10">
        <f>'data on outstanding creditors'!$E2227*100/107</f>
        <v>6500</v>
      </c>
      <c r="P2227" s="10">
        <f>'data on outstanding creditors'!$E2227-'data on outstanding creditors'!$O2227</f>
        <v>455</v>
      </c>
      <c r="Q2227" s="7">
        <f>DAY('data on outstanding creditors'!$B2227)</f>
        <v>14</v>
      </c>
      <c r="R2227" s="7">
        <f>MONTH('data on outstanding creditors'!$B2227)</f>
        <v>7</v>
      </c>
      <c r="S2227" s="7">
        <f>YEAR('data on outstanding creditors'!$B2227)</f>
        <v>2025</v>
      </c>
      <c r="T2227" s="11" t="str">
        <f>'data on outstanding creditors'!$C2227&amp;" "&amp;'data on outstanding creditors'!$D2227&amp;" "&amp;TEXT('data on outstanding creditors'!$E2227,"#,##0.00")</f>
        <v>บ.เจ เอส วิชั่น 100517505 6,955.00</v>
      </c>
      <c r="U2227" s="12"/>
    </row>
    <row r="2228" ht="13.5" customHeight="1">
      <c r="A2228" s="1" t="s">
        <v>3184</v>
      </c>
      <c r="B2228" s="2">
        <v>45852.0</v>
      </c>
      <c r="C2228" s="9" t="s">
        <v>1114</v>
      </c>
      <c r="D2228" s="1" t="s">
        <v>3185</v>
      </c>
      <c r="E2228" s="4">
        <v>6300.0</v>
      </c>
      <c r="F2228" s="4"/>
      <c r="G2228" s="4"/>
      <c r="H2228" s="4">
        <f>'data on outstanding creditors'!$E2228-'data on outstanding creditors'!$F2228-'data on outstanding creditors'!$G2228</f>
        <v>6300</v>
      </c>
      <c r="I2228" s="2"/>
      <c r="J2228" s="1" t="s">
        <v>646</v>
      </c>
      <c r="K2228" s="2">
        <v>45952.0</v>
      </c>
      <c r="L2228" s="5"/>
      <c r="M2228" s="9" t="s">
        <v>43</v>
      </c>
      <c r="N2228" s="9" t="s">
        <v>49</v>
      </c>
      <c r="O2228" s="10">
        <f>'data on outstanding creditors'!$E2228*100/107</f>
        <v>5887.850467</v>
      </c>
      <c r="P2228" s="10">
        <f>'data on outstanding creditors'!$E2228-'data on outstanding creditors'!$O2228</f>
        <v>412.1495327</v>
      </c>
      <c r="Q2228" s="7">
        <f>DAY('data on outstanding creditors'!$B2228)</f>
        <v>14</v>
      </c>
      <c r="R2228" s="7">
        <f>MONTH('data on outstanding creditors'!$B2228)</f>
        <v>7</v>
      </c>
      <c r="S2228" s="7">
        <f>YEAR('data on outstanding creditors'!$B2228)</f>
        <v>2025</v>
      </c>
      <c r="T2228" s="11" t="str">
        <f>'data on outstanding creditors'!$C2228&amp;" "&amp;'data on outstanding creditors'!$D2228&amp;" "&amp;TEXT('data on outstanding creditors'!$E2228,"#,##0.00")</f>
        <v>หจก.อิเลฟเว่น พลัซ EL680703035 6,300.00</v>
      </c>
      <c r="U2228" s="12"/>
    </row>
    <row r="2229" ht="13.5" customHeight="1">
      <c r="A2229" s="1" t="s">
        <v>3186</v>
      </c>
      <c r="B2229" s="2">
        <v>45853.0</v>
      </c>
      <c r="C2229" s="9" t="s">
        <v>286</v>
      </c>
      <c r="D2229" s="1" t="s">
        <v>3187</v>
      </c>
      <c r="E2229" s="4">
        <v>20000.0</v>
      </c>
      <c r="F2229" s="4"/>
      <c r="G2229" s="4"/>
      <c r="H2229" s="4">
        <f>'data on outstanding creditors'!$E2229-'data on outstanding creditors'!$F2229-'data on outstanding creditors'!$G2229</f>
        <v>20000</v>
      </c>
      <c r="I2229" s="2"/>
      <c r="J2229" s="1" t="s">
        <v>757</v>
      </c>
      <c r="K2229" s="2">
        <v>45957.0</v>
      </c>
      <c r="L2229" s="5"/>
      <c r="M2229" s="9" t="s">
        <v>43</v>
      </c>
      <c r="N2229" s="9" t="s">
        <v>49</v>
      </c>
      <c r="O2229" s="10">
        <f>'data on outstanding creditors'!$E2229*100/107</f>
        <v>18691.58879</v>
      </c>
      <c r="P2229" s="10">
        <f>'data on outstanding creditors'!$E2229-'data on outstanding creditors'!$O2229</f>
        <v>1308.411215</v>
      </c>
      <c r="Q2229" s="7">
        <f>DAY('data on outstanding creditors'!$B2229)</f>
        <v>15</v>
      </c>
      <c r="R2229" s="7">
        <f>MONTH('data on outstanding creditors'!$B2229)</f>
        <v>7</v>
      </c>
      <c r="S2229" s="7">
        <f>YEAR('data on outstanding creditors'!$B2229)</f>
        <v>2025</v>
      </c>
      <c r="T2229" s="11" t="str">
        <f>'data on outstanding creditors'!$C2229&amp;" "&amp;'data on outstanding creditors'!$D2229&amp;" "&amp;TEXT('data on outstanding creditors'!$E2229,"#,##0.00")</f>
        <v>บ.เอ็ม ดี ซี (ประเทศไทย) IV25070424 20,000.00</v>
      </c>
      <c r="U2229" s="12"/>
    </row>
    <row r="2230" ht="13.5" customHeight="1">
      <c r="A2230" s="1"/>
      <c r="B2230" s="2">
        <v>45854.0</v>
      </c>
      <c r="C2230" s="9" t="s">
        <v>310</v>
      </c>
      <c r="D2230" s="1" t="s">
        <v>3188</v>
      </c>
      <c r="E2230" s="4">
        <v>7900.0</v>
      </c>
      <c r="F2230" s="4"/>
      <c r="G2230" s="4"/>
      <c r="H2230" s="4">
        <f>'data on outstanding creditors'!$E2230-'data on outstanding creditors'!$F2230-'data on outstanding creditors'!$G2230</f>
        <v>7900</v>
      </c>
      <c r="I2230" s="2"/>
      <c r="J2230" s="1" t="s">
        <v>646</v>
      </c>
      <c r="K2230" s="2">
        <v>45954.0</v>
      </c>
      <c r="L2230" s="5"/>
      <c r="M2230" s="9" t="s">
        <v>43</v>
      </c>
      <c r="N2230" s="9" t="s">
        <v>23</v>
      </c>
      <c r="O2230" s="10">
        <f>'data on outstanding creditors'!$E2230*100/107</f>
        <v>7383.17757</v>
      </c>
      <c r="P2230" s="10">
        <f>'data on outstanding creditors'!$E2230-'data on outstanding creditors'!$O2230</f>
        <v>516.8224299</v>
      </c>
      <c r="Q2230" s="7">
        <f>DAY('data on outstanding creditors'!$B2230)</f>
        <v>16</v>
      </c>
      <c r="R2230" s="7">
        <f>MONTH('data on outstanding creditors'!$B2230)</f>
        <v>7</v>
      </c>
      <c r="S2230" s="7">
        <f>YEAR('data on outstanding creditors'!$B2230)</f>
        <v>2025</v>
      </c>
      <c r="T2230" s="11" t="str">
        <f>'data on outstanding creditors'!$C2230&amp;" "&amp;'data on outstanding creditors'!$D2230&amp;" "&amp;TEXT('data on outstanding creditors'!$E2230,"#,##0.00")</f>
        <v>หสม.สุวิดา เทรดดิ้ง 6801517 7,900.00</v>
      </c>
      <c r="U2230" s="12"/>
    </row>
    <row r="2231" ht="13.5" customHeight="1">
      <c r="A2231" s="1"/>
      <c r="B2231" s="2">
        <v>45854.0</v>
      </c>
      <c r="C2231" s="9" t="s">
        <v>688</v>
      </c>
      <c r="D2231" s="1" t="s">
        <v>3189</v>
      </c>
      <c r="E2231" s="4">
        <v>56175.0</v>
      </c>
      <c r="F2231" s="4"/>
      <c r="G2231" s="4"/>
      <c r="H2231" s="4">
        <f>'data on outstanding creditors'!$E2231-'data on outstanding creditors'!$F2231-'data on outstanding creditors'!$G2231</f>
        <v>56175</v>
      </c>
      <c r="I2231" s="2"/>
      <c r="J2231" s="1" t="s">
        <v>757</v>
      </c>
      <c r="K2231" s="2">
        <v>45898.0</v>
      </c>
      <c r="L2231" s="5"/>
      <c r="M2231" s="9" t="s">
        <v>43</v>
      </c>
      <c r="N2231" s="9" t="s">
        <v>23</v>
      </c>
      <c r="O2231" s="10">
        <f>'data on outstanding creditors'!$E2231*100/107</f>
        <v>52500</v>
      </c>
      <c r="P2231" s="10">
        <f>'data on outstanding creditors'!$E2231-'data on outstanding creditors'!$O2231</f>
        <v>3675</v>
      </c>
      <c r="Q2231" s="7">
        <f>DAY('data on outstanding creditors'!$B2231)</f>
        <v>16</v>
      </c>
      <c r="R2231" s="7">
        <f>MONTH('data on outstanding creditors'!$B2231)</f>
        <v>7</v>
      </c>
      <c r="S2231" s="7">
        <f>YEAR('data on outstanding creditors'!$B2231)</f>
        <v>2025</v>
      </c>
      <c r="T2231" s="11" t="str">
        <f>'data on outstanding creditors'!$C2231&amp;" "&amp;'data on outstanding creditors'!$D2231&amp;" "&amp;TEXT('data on outstanding creditors'!$E2231,"#,##0.00")</f>
        <v>บ.โอเร็กซ์ เทรดดิ้ง 680701203 56,175.00</v>
      </c>
      <c r="U2231" s="12"/>
    </row>
    <row r="2232" ht="13.5" customHeight="1">
      <c r="A2232" s="1"/>
      <c r="B2232" s="2">
        <v>45854.0</v>
      </c>
      <c r="C2232" s="9" t="s">
        <v>1637</v>
      </c>
      <c r="D2232" s="1" t="s">
        <v>3190</v>
      </c>
      <c r="E2232" s="4">
        <v>7200.0</v>
      </c>
      <c r="F2232" s="4"/>
      <c r="G2232" s="4"/>
      <c r="H2232" s="4">
        <f>'data on outstanding creditors'!$E2232-'data on outstanding creditors'!$F2232-'data on outstanding creditors'!$G2232</f>
        <v>7200</v>
      </c>
      <c r="I2232" s="2"/>
      <c r="J2232" s="1" t="s">
        <v>646</v>
      </c>
      <c r="K2232" s="2">
        <v>45944.0</v>
      </c>
      <c r="L2232" s="5"/>
      <c r="M2232" s="9" t="s">
        <v>43</v>
      </c>
      <c r="N2232" s="9" t="s">
        <v>23</v>
      </c>
      <c r="O2232" s="10">
        <f>'data on outstanding creditors'!$E2232*100/107</f>
        <v>6728.971963</v>
      </c>
      <c r="P2232" s="10">
        <f>'data on outstanding creditors'!$E2232-'data on outstanding creditors'!$O2232</f>
        <v>471.0280374</v>
      </c>
      <c r="Q2232" s="7">
        <f>DAY('data on outstanding creditors'!$B2232)</f>
        <v>16</v>
      </c>
      <c r="R2232" s="7">
        <f>MONTH('data on outstanding creditors'!$B2232)</f>
        <v>7</v>
      </c>
      <c r="S2232" s="7">
        <f>YEAR('data on outstanding creditors'!$B2232)</f>
        <v>2025</v>
      </c>
      <c r="T2232" s="11" t="str">
        <f>'data on outstanding creditors'!$C2232&amp;" "&amp;'data on outstanding creditors'!$D2232&amp;" "&amp;TEXT('data on outstanding creditors'!$E2232,"#,##0.00")</f>
        <v>บ.บีเจเอช เมดิคอล 330757400600 7,200.00</v>
      </c>
      <c r="U2232" s="12"/>
    </row>
    <row r="2233" ht="13.5" customHeight="1">
      <c r="A2233" s="1"/>
      <c r="B2233" s="2">
        <v>45854.0</v>
      </c>
      <c r="C2233" s="9" t="s">
        <v>2924</v>
      </c>
      <c r="D2233" s="1" t="s">
        <v>3191</v>
      </c>
      <c r="E2233" s="4">
        <v>16200.0</v>
      </c>
      <c r="F2233" s="4"/>
      <c r="G2233" s="4"/>
      <c r="H2233" s="4">
        <f>'data on outstanding creditors'!$E2233-'data on outstanding creditors'!$F2233-'data on outstanding creditors'!$G2233</f>
        <v>16200</v>
      </c>
      <c r="I2233" s="2"/>
      <c r="J2233" s="1" t="s">
        <v>646</v>
      </c>
      <c r="K2233" s="2">
        <v>45944.0</v>
      </c>
      <c r="L2233" s="5"/>
      <c r="M2233" s="9" t="s">
        <v>43</v>
      </c>
      <c r="N2233" s="9" t="s">
        <v>23</v>
      </c>
      <c r="O2233" s="10">
        <f>'data on outstanding creditors'!$E2233*100/107</f>
        <v>15140.18692</v>
      </c>
      <c r="P2233" s="10">
        <f>'data on outstanding creditors'!$E2233-'data on outstanding creditors'!$O2233</f>
        <v>1059.813084</v>
      </c>
      <c r="Q2233" s="7">
        <f>DAY('data on outstanding creditors'!$B2233)</f>
        <v>16</v>
      </c>
      <c r="R2233" s="7">
        <f>MONTH('data on outstanding creditors'!$B2233)</f>
        <v>7</v>
      </c>
      <c r="S2233" s="7">
        <f>YEAR('data on outstanding creditors'!$B2233)</f>
        <v>2025</v>
      </c>
      <c r="T2233" s="11" t="str">
        <f>'data on outstanding creditors'!$C2233&amp;" "&amp;'data on outstanding creditors'!$D2233&amp;" "&amp;TEXT('data on outstanding creditors'!$E2233,"#,##0.00")</f>
        <v>บ.เอฟ.ซี.พี 107000005012 16,200.00</v>
      </c>
      <c r="U2233" s="12"/>
    </row>
    <row r="2234" ht="13.5" customHeight="1">
      <c r="A2234" s="1"/>
      <c r="B2234" s="2">
        <v>45854.0</v>
      </c>
      <c r="C2234" s="9" t="s">
        <v>2294</v>
      </c>
      <c r="D2234" s="1" t="s">
        <v>3192</v>
      </c>
      <c r="E2234" s="4">
        <v>4500.0</v>
      </c>
      <c r="F2234" s="4"/>
      <c r="G2234" s="4"/>
      <c r="H2234" s="4">
        <f>'data on outstanding creditors'!$E2234-'data on outstanding creditors'!$F2234-'data on outstanding creditors'!$G2234</f>
        <v>4500</v>
      </c>
      <c r="I2234" s="2"/>
      <c r="J2234" s="1" t="s">
        <v>757</v>
      </c>
      <c r="K2234" s="2">
        <v>45898.0</v>
      </c>
      <c r="L2234" s="5"/>
      <c r="M2234" s="9" t="s">
        <v>43</v>
      </c>
      <c r="N2234" s="9" t="s">
        <v>23</v>
      </c>
      <c r="O2234" s="10">
        <f>'data on outstanding creditors'!$E2234*100/107</f>
        <v>4205.607477</v>
      </c>
      <c r="P2234" s="10">
        <f>'data on outstanding creditors'!$E2234-'data on outstanding creditors'!$O2234</f>
        <v>294.3925234</v>
      </c>
      <c r="Q2234" s="7">
        <f>DAY('data on outstanding creditors'!$B2234)</f>
        <v>16</v>
      </c>
      <c r="R2234" s="7">
        <f>MONTH('data on outstanding creditors'!$B2234)</f>
        <v>7</v>
      </c>
      <c r="S2234" s="7">
        <f>YEAR('data on outstanding creditors'!$B2234)</f>
        <v>2025</v>
      </c>
      <c r="T2234" s="11" t="str">
        <f>'data on outstanding creditors'!$C2234&amp;" "&amp;'data on outstanding creditors'!$D2234&amp;" "&amp;TEXT('data on outstanding creditors'!$E2234,"#,##0.00")</f>
        <v>บ.แอสเซ้นท์ เมดิคอล IV2025070197 4,500.00</v>
      </c>
      <c r="U2234" s="12"/>
    </row>
    <row r="2235" ht="13.5" customHeight="1">
      <c r="A2235" s="1"/>
      <c r="B2235" s="2">
        <v>45854.0</v>
      </c>
      <c r="C2235" s="9" t="s">
        <v>688</v>
      </c>
      <c r="D2235" s="1" t="s">
        <v>3193</v>
      </c>
      <c r="E2235" s="4">
        <v>18190.0</v>
      </c>
      <c r="F2235" s="4"/>
      <c r="G2235" s="4"/>
      <c r="H2235" s="4">
        <f>'data on outstanding creditors'!$E2235-'data on outstanding creditors'!$F2235-'data on outstanding creditors'!$G2235</f>
        <v>18190</v>
      </c>
      <c r="I2235" s="2"/>
      <c r="J2235" s="1"/>
      <c r="K2235" s="2"/>
      <c r="L2235" s="5"/>
      <c r="M2235" s="9" t="s">
        <v>43</v>
      </c>
      <c r="N2235" s="9" t="s">
        <v>23</v>
      </c>
      <c r="O2235" s="10">
        <f>'data on outstanding creditors'!$E2235*100/107</f>
        <v>17000</v>
      </c>
      <c r="P2235" s="10">
        <f>'data on outstanding creditors'!$E2235-'data on outstanding creditors'!$O2235</f>
        <v>1190</v>
      </c>
      <c r="Q2235" s="7">
        <f>DAY('data on outstanding creditors'!$B2235)</f>
        <v>16</v>
      </c>
      <c r="R2235" s="7">
        <f>MONTH('data on outstanding creditors'!$B2235)</f>
        <v>7</v>
      </c>
      <c r="S2235" s="7">
        <f>YEAR('data on outstanding creditors'!$B2235)</f>
        <v>2025</v>
      </c>
      <c r="T2235" s="11" t="str">
        <f>'data on outstanding creditors'!$C2235&amp;" "&amp;'data on outstanding creditors'!$D2235&amp;" "&amp;TEXT('data on outstanding creditors'!$E2235,"#,##0.00")</f>
        <v>บ.โอเร็กซ์ เทรดดิ้ง 680701875 18,190.00</v>
      </c>
      <c r="U2235" s="12"/>
    </row>
    <row r="2236" ht="13.5" customHeight="1">
      <c r="A2236" s="1" t="s">
        <v>3194</v>
      </c>
      <c r="B2236" s="2">
        <v>45854.0</v>
      </c>
      <c r="C2236" s="9" t="s">
        <v>2343</v>
      </c>
      <c r="D2236" s="1" t="s">
        <v>3195</v>
      </c>
      <c r="E2236" s="4">
        <v>1800.0</v>
      </c>
      <c r="F2236" s="4"/>
      <c r="G2236" s="4"/>
      <c r="H2236" s="4">
        <f>'data on outstanding creditors'!$E2236-'data on outstanding creditors'!$F2236-'data on outstanding creditors'!$G2236</f>
        <v>1800</v>
      </c>
      <c r="I2236" s="2"/>
      <c r="J2236" s="1" t="s">
        <v>757</v>
      </c>
      <c r="K2236" s="2">
        <v>45909.0</v>
      </c>
      <c r="L2236" s="5"/>
      <c r="M2236" s="9" t="s">
        <v>43</v>
      </c>
      <c r="N2236" s="9" t="s">
        <v>49</v>
      </c>
      <c r="O2236" s="10">
        <f>'data on outstanding creditors'!$E2236*100/107</f>
        <v>1682.242991</v>
      </c>
      <c r="P2236" s="10">
        <f>'data on outstanding creditors'!$E2236-'data on outstanding creditors'!$O2236</f>
        <v>117.7570093</v>
      </c>
      <c r="Q2236" s="7">
        <f>DAY('data on outstanding creditors'!$B2236)</f>
        <v>16</v>
      </c>
      <c r="R2236" s="7">
        <f>MONTH('data on outstanding creditors'!$B2236)</f>
        <v>7</v>
      </c>
      <c r="S2236" s="7">
        <f>YEAR('data on outstanding creditors'!$B2236)</f>
        <v>2025</v>
      </c>
      <c r="T2236" s="11" t="str">
        <f>'data on outstanding creditors'!$C2236&amp;" "&amp;'data on outstanding creditors'!$D2236&amp;" "&amp;TEXT('data on outstanding creditors'!$E2236,"#,##0.00")</f>
        <v>บ.ทริมเมอร์ IV250702082 1,800.00</v>
      </c>
      <c r="U2236" s="12"/>
    </row>
    <row r="2237" ht="13.5" customHeight="1">
      <c r="A2237" s="1" t="s">
        <v>3196</v>
      </c>
      <c r="B2237" s="2">
        <v>45854.0</v>
      </c>
      <c r="C2237" s="9" t="s">
        <v>2472</v>
      </c>
      <c r="D2237" s="1" t="s">
        <v>3197</v>
      </c>
      <c r="E2237" s="4">
        <v>32000.0</v>
      </c>
      <c r="F2237" s="4"/>
      <c r="G2237" s="4"/>
      <c r="H2237" s="4">
        <f>'data on outstanding creditors'!$E2237-'data on outstanding creditors'!$F2237-'data on outstanding creditors'!$G2237</f>
        <v>32000</v>
      </c>
      <c r="I2237" s="2"/>
      <c r="J2237" s="1" t="s">
        <v>757</v>
      </c>
      <c r="K2237" s="2">
        <v>45917.0</v>
      </c>
      <c r="L2237" s="5"/>
      <c r="M2237" s="9" t="s">
        <v>43</v>
      </c>
      <c r="N2237" s="9" t="s">
        <v>49</v>
      </c>
      <c r="O2237" s="10">
        <f>'data on outstanding creditors'!$E2237*100/107</f>
        <v>29906.54206</v>
      </c>
      <c r="P2237" s="10">
        <f>'data on outstanding creditors'!$E2237-'data on outstanding creditors'!$O2237</f>
        <v>2093.457944</v>
      </c>
      <c r="Q2237" s="7">
        <f>DAY('data on outstanding creditors'!$B2237)</f>
        <v>16</v>
      </c>
      <c r="R2237" s="7">
        <f>MONTH('data on outstanding creditors'!$B2237)</f>
        <v>7</v>
      </c>
      <c r="S2237" s="7">
        <f>YEAR('data on outstanding creditors'!$B2237)</f>
        <v>2025</v>
      </c>
      <c r="T2237" s="11" t="str">
        <f>'data on outstanding creditors'!$C2237&amp;" "&amp;'data on outstanding creditors'!$D2237&amp;" "&amp;TEXT('data on outstanding creditors'!$E2237,"#,##0.00")</f>
        <v>บ.เอเมอร์สัน กรุ๊ป IV6807284 32,000.00</v>
      </c>
      <c r="U2237" s="12"/>
    </row>
    <row r="2238" ht="13.5" customHeight="1">
      <c r="A2238" s="1" t="s">
        <v>3198</v>
      </c>
      <c r="B2238" s="2">
        <v>45855.0</v>
      </c>
      <c r="C2238" s="9" t="s">
        <v>3199</v>
      </c>
      <c r="D2238" s="1" t="s">
        <v>3200</v>
      </c>
      <c r="E2238" s="4">
        <v>474000.0</v>
      </c>
      <c r="F2238" s="4"/>
      <c r="G2238" s="4"/>
      <c r="H2238" s="4">
        <f>'data on outstanding creditors'!$E2238-'data on outstanding creditors'!$F2238-'data on outstanding creditors'!$G2238</f>
        <v>474000</v>
      </c>
      <c r="I2238" s="2"/>
      <c r="J2238" s="1" t="s">
        <v>646</v>
      </c>
      <c r="K2238" s="2">
        <v>45928.0</v>
      </c>
      <c r="L2238" s="5"/>
      <c r="M2238" s="9" t="s">
        <v>43</v>
      </c>
      <c r="N2238" s="9" t="s">
        <v>49</v>
      </c>
      <c r="O2238" s="10">
        <f>'data on outstanding creditors'!$E2238*100/107</f>
        <v>442990.6542</v>
      </c>
      <c r="P2238" s="10">
        <f>'data on outstanding creditors'!$E2238-'data on outstanding creditors'!$O2238</f>
        <v>31009.34579</v>
      </c>
      <c r="Q2238" s="7">
        <f>DAY('data on outstanding creditors'!$B2238)</f>
        <v>17</v>
      </c>
      <c r="R2238" s="7">
        <f>MONTH('data on outstanding creditors'!$B2238)</f>
        <v>7</v>
      </c>
      <c r="S2238" s="7">
        <f>YEAR('data on outstanding creditors'!$B2238)</f>
        <v>2025</v>
      </c>
      <c r="T2238" s="11" t="str">
        <f>'data on outstanding creditors'!$C2238&amp;" "&amp;'data on outstanding creditors'!$D2238&amp;" "&amp;TEXT('data on outstanding creditors'!$E2238,"#,##0.00")</f>
        <v>บ.เอียร์โทน (ประเทศไทย) 468070025 474,000.00</v>
      </c>
      <c r="U2238" s="12"/>
    </row>
    <row r="2239" ht="13.5" customHeight="1">
      <c r="A2239" s="1" t="s">
        <v>3201</v>
      </c>
      <c r="B2239" s="2">
        <v>45855.0</v>
      </c>
      <c r="C2239" s="9" t="s">
        <v>520</v>
      </c>
      <c r="D2239" s="1" t="s">
        <v>3202</v>
      </c>
      <c r="E2239" s="4">
        <v>42514.5</v>
      </c>
      <c r="F2239" s="4"/>
      <c r="G2239" s="4"/>
      <c r="H2239" s="4">
        <f>'data on outstanding creditors'!$E2239-'data on outstanding creditors'!$F2239-'data on outstanding creditors'!$G2239</f>
        <v>42514.5</v>
      </c>
      <c r="I2239" s="2"/>
      <c r="J2239" s="1" t="s">
        <v>757</v>
      </c>
      <c r="K2239" s="2">
        <v>45937.0</v>
      </c>
      <c r="L2239" s="5"/>
      <c r="M2239" s="9" t="s">
        <v>43</v>
      </c>
      <c r="N2239" s="9" t="s">
        <v>49</v>
      </c>
      <c r="O2239" s="10">
        <f>'data on outstanding creditors'!$E2239*100/107</f>
        <v>39733.17757</v>
      </c>
      <c r="P2239" s="10">
        <f>'data on outstanding creditors'!$E2239-'data on outstanding creditors'!$O2239</f>
        <v>2781.32243</v>
      </c>
      <c r="Q2239" s="7">
        <f>DAY('data on outstanding creditors'!$B2239)</f>
        <v>17</v>
      </c>
      <c r="R2239" s="7">
        <f>MONTH('data on outstanding creditors'!$B2239)</f>
        <v>7</v>
      </c>
      <c r="S2239" s="7">
        <f>YEAR('data on outstanding creditors'!$B2239)</f>
        <v>2025</v>
      </c>
      <c r="T2239" s="11" t="str">
        <f>'data on outstanding creditors'!$C2239&amp;" "&amp;'data on outstanding creditors'!$D2239&amp;" "&amp;TEXT('data on outstanding creditors'!$E2239,"#,##0.00")</f>
        <v>บ.ซิลลิคฟาร์มา 1317687598 42,514.50</v>
      </c>
      <c r="U2239" s="12"/>
    </row>
    <row r="2240" ht="13.5" customHeight="1">
      <c r="A2240" s="1" t="s">
        <v>3203</v>
      </c>
      <c r="B2240" s="2">
        <v>45855.0</v>
      </c>
      <c r="C2240" s="9" t="s">
        <v>3204</v>
      </c>
      <c r="D2240" s="1" t="s">
        <v>3205</v>
      </c>
      <c r="E2240" s="4">
        <v>29900.0</v>
      </c>
      <c r="F2240" s="4"/>
      <c r="G2240" s="4"/>
      <c r="H2240" s="4">
        <f>'data on outstanding creditors'!$E2240-'data on outstanding creditors'!$F2240-'data on outstanding creditors'!$G2240</f>
        <v>29900</v>
      </c>
      <c r="I2240" s="2"/>
      <c r="J2240" s="1" t="s">
        <v>646</v>
      </c>
      <c r="K2240" s="2">
        <v>45954.0</v>
      </c>
      <c r="L2240" s="5"/>
      <c r="M2240" s="9" t="s">
        <v>43</v>
      </c>
      <c r="N2240" s="9" t="s">
        <v>49</v>
      </c>
      <c r="O2240" s="10">
        <f>'data on outstanding creditors'!$E2240*100/107</f>
        <v>27943.92523</v>
      </c>
      <c r="P2240" s="10">
        <f>'data on outstanding creditors'!$E2240-'data on outstanding creditors'!$O2240</f>
        <v>1956.074766</v>
      </c>
      <c r="Q2240" s="7">
        <f>DAY('data on outstanding creditors'!$B2240)</f>
        <v>17</v>
      </c>
      <c r="R2240" s="7">
        <f>MONTH('data on outstanding creditors'!$B2240)</f>
        <v>7</v>
      </c>
      <c r="S2240" s="7">
        <f>YEAR('data on outstanding creditors'!$B2240)</f>
        <v>2025</v>
      </c>
      <c r="T2240" s="11" t="str">
        <f>'data on outstanding creditors'!$C2240&amp;" "&amp;'data on outstanding creditors'!$D2240&amp;" "&amp;TEXT('data on outstanding creditors'!$E2240,"#,##0.00")</f>
        <v>บ.ชัยศิริ เวชภัณฑ์ C25-4890 29,900.00</v>
      </c>
      <c r="U2240" s="12"/>
    </row>
    <row r="2241" ht="13.5" customHeight="1">
      <c r="A2241" s="1" t="s">
        <v>3206</v>
      </c>
      <c r="B2241" s="2">
        <v>45855.0</v>
      </c>
      <c r="C2241" s="9" t="s">
        <v>520</v>
      </c>
      <c r="D2241" s="1" t="s">
        <v>3207</v>
      </c>
      <c r="E2241" s="4">
        <v>94050.0</v>
      </c>
      <c r="F2241" s="4"/>
      <c r="G2241" s="4"/>
      <c r="H2241" s="4">
        <f>'data on outstanding creditors'!$E2241-'data on outstanding creditors'!$F2241-'data on outstanding creditors'!$G2241</f>
        <v>94050</v>
      </c>
      <c r="I2241" s="2"/>
      <c r="J2241" s="1" t="s">
        <v>757</v>
      </c>
      <c r="K2241" s="2">
        <v>45937.0</v>
      </c>
      <c r="L2241" s="5"/>
      <c r="M2241" s="9" t="s">
        <v>43</v>
      </c>
      <c r="N2241" s="9" t="s">
        <v>49</v>
      </c>
      <c r="O2241" s="10">
        <f>'data on outstanding creditors'!$E2241*100/107</f>
        <v>87897.19626</v>
      </c>
      <c r="P2241" s="10">
        <f>'data on outstanding creditors'!$E2241-'data on outstanding creditors'!$O2241</f>
        <v>6152.803738</v>
      </c>
      <c r="Q2241" s="7">
        <f>DAY('data on outstanding creditors'!$B2241)</f>
        <v>17</v>
      </c>
      <c r="R2241" s="7">
        <f>MONTH('data on outstanding creditors'!$B2241)</f>
        <v>7</v>
      </c>
      <c r="S2241" s="7">
        <f>YEAR('data on outstanding creditors'!$B2241)</f>
        <v>2025</v>
      </c>
      <c r="T2241" s="11" t="str">
        <f>'data on outstanding creditors'!$C2241&amp;" "&amp;'data on outstanding creditors'!$D2241&amp;" "&amp;TEXT('data on outstanding creditors'!$E2241,"#,##0.00")</f>
        <v>บ.ซิลลิคฟาร์มา 1317559379 94,050.00</v>
      </c>
      <c r="U2241" s="12"/>
    </row>
    <row r="2242" ht="13.5" customHeight="1">
      <c r="A2242" s="1"/>
      <c r="B2242" s="2">
        <v>45856.0</v>
      </c>
      <c r="C2242" s="9" t="s">
        <v>965</v>
      </c>
      <c r="D2242" s="1" t="s">
        <v>3208</v>
      </c>
      <c r="E2242" s="4">
        <v>48000.0</v>
      </c>
      <c r="F2242" s="4"/>
      <c r="G2242" s="4"/>
      <c r="H2242" s="4">
        <f>'data on outstanding creditors'!$E2242-'data on outstanding creditors'!$F2242-'data on outstanding creditors'!$G2242</f>
        <v>48000</v>
      </c>
      <c r="I2242" s="2"/>
      <c r="J2242" s="1" t="s">
        <v>646</v>
      </c>
      <c r="K2242" s="2">
        <v>45944.0</v>
      </c>
      <c r="L2242" s="5"/>
      <c r="M2242" s="9" t="s">
        <v>43</v>
      </c>
      <c r="N2242" s="9" t="s">
        <v>23</v>
      </c>
      <c r="O2242" s="10">
        <f>'data on outstanding creditors'!$E2242*100/107</f>
        <v>44859.81308</v>
      </c>
      <c r="P2242" s="10">
        <f>'data on outstanding creditors'!$E2242-'data on outstanding creditors'!$O2242</f>
        <v>3140.186916</v>
      </c>
      <c r="Q2242" s="7">
        <f>DAY('data on outstanding creditors'!$B2242)</f>
        <v>18</v>
      </c>
      <c r="R2242" s="7">
        <f>MONTH('data on outstanding creditors'!$B2242)</f>
        <v>7</v>
      </c>
      <c r="S2242" s="7">
        <f>YEAR('data on outstanding creditors'!$B2242)</f>
        <v>2025</v>
      </c>
      <c r="T2242" s="11" t="str">
        <f>'data on outstanding creditors'!$C2242&amp;" "&amp;'data on outstanding creditors'!$D2242&amp;" "&amp;TEXT('data on outstanding creditors'!$E2242,"#,##0.00")</f>
        <v>บ.แปซิฟิค เฮลธ์แคร์(ไทยแลนด์) 68034612 48,000.00</v>
      </c>
      <c r="U2242" s="12"/>
    </row>
    <row r="2243" ht="13.5" customHeight="1">
      <c r="A2243" s="1"/>
      <c r="B2243" s="2">
        <v>45856.0</v>
      </c>
      <c r="C2243" s="9" t="s">
        <v>1114</v>
      </c>
      <c r="D2243" s="1" t="s">
        <v>3209</v>
      </c>
      <c r="E2243" s="4">
        <v>9250.0</v>
      </c>
      <c r="F2243" s="4"/>
      <c r="G2243" s="4"/>
      <c r="H2243" s="4">
        <f>'data on outstanding creditors'!$E2243-'data on outstanding creditors'!$F2243-'data on outstanding creditors'!$G2243</f>
        <v>9250</v>
      </c>
      <c r="I2243" s="2"/>
      <c r="J2243" s="1" t="s">
        <v>646</v>
      </c>
      <c r="K2243" s="2">
        <v>45928.0</v>
      </c>
      <c r="L2243" s="5"/>
      <c r="M2243" s="9" t="s">
        <v>43</v>
      </c>
      <c r="N2243" s="9" t="s">
        <v>23</v>
      </c>
      <c r="O2243" s="10">
        <f>'data on outstanding creditors'!$E2243*100/107</f>
        <v>8644.859813</v>
      </c>
      <c r="P2243" s="10">
        <f>'data on outstanding creditors'!$E2243-'data on outstanding creditors'!$O2243</f>
        <v>605.1401869</v>
      </c>
      <c r="Q2243" s="7">
        <f>DAY('data on outstanding creditors'!$B2243)</f>
        <v>18</v>
      </c>
      <c r="R2243" s="7">
        <f>MONTH('data on outstanding creditors'!$B2243)</f>
        <v>7</v>
      </c>
      <c r="S2243" s="7">
        <f>YEAR('data on outstanding creditors'!$B2243)</f>
        <v>2025</v>
      </c>
      <c r="T2243" s="11" t="str">
        <f>'data on outstanding creditors'!$C2243&amp;" "&amp;'data on outstanding creditors'!$D2243&amp;" "&amp;TEXT('data on outstanding creditors'!$E2243,"#,##0.00")</f>
        <v>หจก.อิเลฟเว่น พลัซ EL680708077 9,250.00</v>
      </c>
      <c r="U2243" s="12"/>
    </row>
    <row r="2244" ht="13.5" customHeight="1">
      <c r="A2244" s="1" t="s">
        <v>3210</v>
      </c>
      <c r="B2244" s="2">
        <v>45856.0</v>
      </c>
      <c r="C2244" s="9" t="s">
        <v>1029</v>
      </c>
      <c r="D2244" s="1" t="s">
        <v>3211</v>
      </c>
      <c r="E2244" s="4">
        <v>17600.0</v>
      </c>
      <c r="F2244" s="4"/>
      <c r="G2244" s="4"/>
      <c r="H2244" s="4">
        <f>'data on outstanding creditors'!$E2244-'data on outstanding creditors'!$F2244-'data on outstanding creditors'!$G2244</f>
        <v>17600</v>
      </c>
      <c r="I2244" s="2"/>
      <c r="J2244" s="1"/>
      <c r="K2244" s="2"/>
      <c r="L2244" s="5"/>
      <c r="M2244" s="9" t="s">
        <v>43</v>
      </c>
      <c r="N2244" s="9" t="s">
        <v>49</v>
      </c>
      <c r="O2244" s="10">
        <f>'data on outstanding creditors'!$E2244*100/107</f>
        <v>16448.59813</v>
      </c>
      <c r="P2244" s="10">
        <f>'data on outstanding creditors'!$E2244-'data on outstanding creditors'!$O2244</f>
        <v>1151.401869</v>
      </c>
      <c r="Q2244" s="7">
        <f>DAY('data on outstanding creditors'!$B2244)</f>
        <v>18</v>
      </c>
      <c r="R2244" s="7">
        <f>MONTH('data on outstanding creditors'!$B2244)</f>
        <v>7</v>
      </c>
      <c r="S2244" s="7">
        <f>YEAR('data on outstanding creditors'!$B2244)</f>
        <v>2025</v>
      </c>
      <c r="T2244" s="11" t="str">
        <f>'data on outstanding creditors'!$C2244&amp;" "&amp;'data on outstanding creditors'!$D2244&amp;" "&amp;TEXT('data on outstanding creditors'!$E2244,"#,##0.00")</f>
        <v>บ.เอเทค เมดิคอล IV6807433 17,600.00</v>
      </c>
      <c r="U2244" s="12"/>
    </row>
    <row r="2245" ht="13.5" customHeight="1">
      <c r="A2245" s="1" t="s">
        <v>3212</v>
      </c>
      <c r="B2245" s="2">
        <v>45856.0</v>
      </c>
      <c r="C2245" s="9" t="s">
        <v>2357</v>
      </c>
      <c r="D2245" s="1" t="s">
        <v>3213</v>
      </c>
      <c r="E2245" s="4">
        <v>3000.0</v>
      </c>
      <c r="F2245" s="4"/>
      <c r="G2245" s="4"/>
      <c r="H2245" s="4">
        <f>'data on outstanding creditors'!$E2245-'data on outstanding creditors'!$F2245-'data on outstanding creditors'!$G2245</f>
        <v>3000</v>
      </c>
      <c r="I2245" s="2"/>
      <c r="J2245" s="1" t="s">
        <v>646</v>
      </c>
      <c r="K2245" s="2">
        <v>45928.0</v>
      </c>
      <c r="L2245" s="5"/>
      <c r="M2245" s="9" t="s">
        <v>43</v>
      </c>
      <c r="N2245" s="9" t="s">
        <v>49</v>
      </c>
      <c r="O2245" s="10">
        <f>'data on outstanding creditors'!$E2245*100/107</f>
        <v>2803.738318</v>
      </c>
      <c r="P2245" s="10">
        <f>'data on outstanding creditors'!$E2245-'data on outstanding creditors'!$O2245</f>
        <v>196.2616822</v>
      </c>
      <c r="Q2245" s="7">
        <f>DAY('data on outstanding creditors'!$B2245)</f>
        <v>18</v>
      </c>
      <c r="R2245" s="7">
        <f>MONTH('data on outstanding creditors'!$B2245)</f>
        <v>7</v>
      </c>
      <c r="S2245" s="7">
        <f>YEAR('data on outstanding creditors'!$B2245)</f>
        <v>2025</v>
      </c>
      <c r="T2245" s="11" t="str">
        <f>'data on outstanding creditors'!$C2245&amp;" "&amp;'data on outstanding creditors'!$D2245&amp;" "&amp;TEXT('data on outstanding creditors'!$E2245,"#,##0.00")</f>
        <v>บ.แอรอน เมดิคอล IV6807040 3,000.00</v>
      </c>
      <c r="U2245" s="12"/>
    </row>
    <row r="2246" ht="13.5" customHeight="1">
      <c r="A2246" s="1" t="s">
        <v>3214</v>
      </c>
      <c r="B2246" s="2">
        <v>45859.0</v>
      </c>
      <c r="C2246" s="9" t="s">
        <v>2956</v>
      </c>
      <c r="D2246" s="1" t="s">
        <v>3215</v>
      </c>
      <c r="E2246" s="4">
        <v>10000.0</v>
      </c>
      <c r="F2246" s="4"/>
      <c r="G2246" s="4"/>
      <c r="H2246" s="4">
        <f>'data on outstanding creditors'!$E2246-'data on outstanding creditors'!$F2246-'data on outstanding creditors'!$G2246</f>
        <v>10000</v>
      </c>
      <c r="I2246" s="2"/>
      <c r="J2246" s="1" t="s">
        <v>757</v>
      </c>
      <c r="K2246" s="2">
        <v>45883.0</v>
      </c>
      <c r="L2246" s="5"/>
      <c r="M2246" s="9" t="s">
        <v>43</v>
      </c>
      <c r="N2246" s="9" t="s">
        <v>49</v>
      </c>
      <c r="O2246" s="10">
        <f>'data on outstanding creditors'!$E2246*100/107</f>
        <v>9345.794393</v>
      </c>
      <c r="P2246" s="10">
        <f>'data on outstanding creditors'!$E2246-'data on outstanding creditors'!$O2246</f>
        <v>654.2056075</v>
      </c>
      <c r="Q2246" s="7">
        <f>DAY('data on outstanding creditors'!$B2246)</f>
        <v>21</v>
      </c>
      <c r="R2246" s="7">
        <f>MONTH('data on outstanding creditors'!$B2246)</f>
        <v>7</v>
      </c>
      <c r="S2246" s="7">
        <f>YEAR('data on outstanding creditors'!$B2246)</f>
        <v>2025</v>
      </c>
      <c r="T2246" s="11" t="str">
        <f>'data on outstanding creditors'!$C2246&amp;" "&amp;'data on outstanding creditors'!$D2246&amp;" "&amp;TEXT('data on outstanding creditors'!$E2246,"#,##0.00")</f>
        <v>บ.แอม เบส พลัส AM6807/158 10,000.00</v>
      </c>
      <c r="U2246" s="12"/>
    </row>
    <row r="2247" ht="13.5" customHeight="1">
      <c r="A2247" s="1" t="s">
        <v>3216</v>
      </c>
      <c r="B2247" s="2">
        <v>45859.0</v>
      </c>
      <c r="C2247" s="9" t="s">
        <v>304</v>
      </c>
      <c r="D2247" s="1" t="s">
        <v>3217</v>
      </c>
      <c r="E2247" s="4">
        <v>50000.0</v>
      </c>
      <c r="F2247" s="4"/>
      <c r="G2247" s="4"/>
      <c r="H2247" s="4">
        <f>'data on outstanding creditors'!$E2247-'data on outstanding creditors'!$F2247-'data on outstanding creditors'!$G2247</f>
        <v>50000</v>
      </c>
      <c r="I2247" s="2"/>
      <c r="J2247" s="1" t="s">
        <v>646</v>
      </c>
      <c r="K2247" s="2">
        <v>45906.0</v>
      </c>
      <c r="L2247" s="5"/>
      <c r="M2247" s="9" t="s">
        <v>43</v>
      </c>
      <c r="N2247" s="9" t="s">
        <v>49</v>
      </c>
      <c r="O2247" s="10">
        <f>'data on outstanding creditors'!$E2247*100/107</f>
        <v>46728.97196</v>
      </c>
      <c r="P2247" s="10">
        <f>'data on outstanding creditors'!$E2247-'data on outstanding creditors'!$O2247</f>
        <v>3271.028037</v>
      </c>
      <c r="Q2247" s="7">
        <f>DAY('data on outstanding creditors'!$B2247)</f>
        <v>21</v>
      </c>
      <c r="R2247" s="7">
        <f>MONTH('data on outstanding creditors'!$B2247)</f>
        <v>7</v>
      </c>
      <c r="S2247" s="7">
        <f>YEAR('data on outstanding creditors'!$B2247)</f>
        <v>2025</v>
      </c>
      <c r="T2247" s="11" t="str">
        <f>'data on outstanding creditors'!$C2247&amp;" "&amp;'data on outstanding creditors'!$D2247&amp;" "&amp;TEXT('data on outstanding creditors'!$E2247,"#,##0.00")</f>
        <v>บ.แนชเชอเริล มีเดีย 680/1428 50,000.00</v>
      </c>
      <c r="U2247" s="12"/>
    </row>
    <row r="2248" ht="13.5" customHeight="1">
      <c r="A2248" s="1"/>
      <c r="B2248" s="2">
        <v>45859.0</v>
      </c>
      <c r="C2248" s="9" t="s">
        <v>2402</v>
      </c>
      <c r="D2248" s="1" t="s">
        <v>3218</v>
      </c>
      <c r="E2248" s="4">
        <v>5000.0</v>
      </c>
      <c r="F2248" s="4"/>
      <c r="G2248" s="4"/>
      <c r="H2248" s="4">
        <f>'data on outstanding creditors'!$E2248-'data on outstanding creditors'!$F2248-'data on outstanding creditors'!$G2248</f>
        <v>5000</v>
      </c>
      <c r="I2248" s="2"/>
      <c r="J2248" s="1" t="s">
        <v>757</v>
      </c>
      <c r="K2248" s="2">
        <v>45898.0</v>
      </c>
      <c r="L2248" s="5"/>
      <c r="M2248" s="9" t="s">
        <v>43</v>
      </c>
      <c r="N2248" s="9" t="s">
        <v>23</v>
      </c>
      <c r="O2248" s="10">
        <f>'data on outstanding creditors'!$E2248*100/107</f>
        <v>4672.897196</v>
      </c>
      <c r="P2248" s="10">
        <f>'data on outstanding creditors'!$E2248-'data on outstanding creditors'!$O2248</f>
        <v>327.1028037</v>
      </c>
      <c r="Q2248" s="7">
        <f>DAY('data on outstanding creditors'!$B2248)</f>
        <v>21</v>
      </c>
      <c r="R2248" s="7">
        <f>MONTH('data on outstanding creditors'!$B2248)</f>
        <v>7</v>
      </c>
      <c r="S2248" s="7">
        <f>YEAR('data on outstanding creditors'!$B2248)</f>
        <v>2025</v>
      </c>
      <c r="T2248" s="11" t="str">
        <f>'data on outstanding creditors'!$C2248&amp;" "&amp;'data on outstanding creditors'!$D2248&amp;" "&amp;TEXT('data on outstanding creditors'!$E2248,"#,##0.00")</f>
        <v>บ.แมคคา โปรดักชั่น 2173/68 5,000.00</v>
      </c>
      <c r="U2248" s="12"/>
    </row>
    <row r="2249" ht="13.5" customHeight="1">
      <c r="A2249" s="1"/>
      <c r="B2249" s="2">
        <v>45859.0</v>
      </c>
      <c r="C2249" s="9" t="s">
        <v>2325</v>
      </c>
      <c r="D2249" s="1" t="s">
        <v>3219</v>
      </c>
      <c r="E2249" s="4">
        <v>4200.0</v>
      </c>
      <c r="F2249" s="4"/>
      <c r="G2249" s="4"/>
      <c r="H2249" s="4">
        <f>'data on outstanding creditors'!$E2249-'data on outstanding creditors'!$F2249-'data on outstanding creditors'!$G2249</f>
        <v>4200</v>
      </c>
      <c r="I2249" s="2"/>
      <c r="J2249" s="1" t="s">
        <v>757</v>
      </c>
      <c r="K2249" s="2">
        <v>45914.0</v>
      </c>
      <c r="L2249" s="5"/>
      <c r="M2249" s="9" t="s">
        <v>43</v>
      </c>
      <c r="N2249" s="9" t="s">
        <v>23</v>
      </c>
      <c r="O2249" s="10">
        <f>'data on outstanding creditors'!$E2249*100/107</f>
        <v>3925.233645</v>
      </c>
      <c r="P2249" s="10">
        <f>'data on outstanding creditors'!$E2249-'data on outstanding creditors'!$O2249</f>
        <v>274.7663551</v>
      </c>
      <c r="Q2249" s="7">
        <f>DAY('data on outstanding creditors'!$B2249)</f>
        <v>21</v>
      </c>
      <c r="R2249" s="7">
        <f>MONTH('data on outstanding creditors'!$B2249)</f>
        <v>7</v>
      </c>
      <c r="S2249" s="7">
        <f>YEAR('data on outstanding creditors'!$B2249)</f>
        <v>2025</v>
      </c>
      <c r="T2249" s="11" t="str">
        <f>'data on outstanding creditors'!$C2249&amp;" "&amp;'data on outstanding creditors'!$D2249&amp;" "&amp;TEXT('data on outstanding creditors'!$E2249,"#,##0.00")</f>
        <v>บ.ดีริช เมดิคอล IN-680717002 4,200.00</v>
      </c>
      <c r="U2249" s="12"/>
    </row>
    <row r="2250" ht="13.5" customHeight="1">
      <c r="A2250" s="1"/>
      <c r="B2250" s="2">
        <v>45859.0</v>
      </c>
      <c r="C2250" s="9" t="s">
        <v>3220</v>
      </c>
      <c r="D2250" s="1" t="s">
        <v>3221</v>
      </c>
      <c r="E2250" s="4">
        <v>33500.0</v>
      </c>
      <c r="F2250" s="4"/>
      <c r="G2250" s="4"/>
      <c r="H2250" s="4">
        <f>'data on outstanding creditors'!$E2250-'data on outstanding creditors'!$F2250-'data on outstanding creditors'!$G2250</f>
        <v>33500</v>
      </c>
      <c r="I2250" s="2"/>
      <c r="J2250" s="1" t="s">
        <v>646</v>
      </c>
      <c r="K2250" s="2">
        <v>45928.0</v>
      </c>
      <c r="L2250" s="5"/>
      <c r="M2250" s="9" t="s">
        <v>43</v>
      </c>
      <c r="N2250" s="9" t="s">
        <v>23</v>
      </c>
      <c r="O2250" s="10">
        <f>'data on outstanding creditors'!$E2250*100/107</f>
        <v>31308.41121</v>
      </c>
      <c r="P2250" s="10">
        <f>'data on outstanding creditors'!$E2250-'data on outstanding creditors'!$O2250</f>
        <v>2191.588785</v>
      </c>
      <c r="Q2250" s="7">
        <f>DAY('data on outstanding creditors'!$B2250)</f>
        <v>21</v>
      </c>
      <c r="R2250" s="7">
        <f>MONTH('data on outstanding creditors'!$B2250)</f>
        <v>7</v>
      </c>
      <c r="S2250" s="7">
        <f>YEAR('data on outstanding creditors'!$B2250)</f>
        <v>2025</v>
      </c>
      <c r="T2250" s="11" t="str">
        <f>'data on outstanding creditors'!$C2250&amp;" "&amp;'data on outstanding creditors'!$D2250&amp;" "&amp;TEXT('data on outstanding creditors'!$E2250,"#,##0.00")</f>
        <v>บ.เจเอ็นที เมดิคอล แอนด์ เซอร์วิส IV68-00363 33,500.00</v>
      </c>
      <c r="U2250" s="12"/>
    </row>
    <row r="2251" ht="13.5" customHeight="1">
      <c r="A2251" s="1" t="s">
        <v>3222</v>
      </c>
      <c r="B2251" s="2">
        <v>45859.0</v>
      </c>
      <c r="C2251" s="9" t="s">
        <v>1114</v>
      </c>
      <c r="D2251" s="1" t="s">
        <v>3223</v>
      </c>
      <c r="E2251" s="4">
        <v>10140.0</v>
      </c>
      <c r="F2251" s="4"/>
      <c r="G2251" s="4"/>
      <c r="H2251" s="4">
        <f>'data on outstanding creditors'!$E2251-'data on outstanding creditors'!$F2251-'data on outstanding creditors'!$G2251</f>
        <v>10140</v>
      </c>
      <c r="I2251" s="2"/>
      <c r="J2251" s="1" t="s">
        <v>646</v>
      </c>
      <c r="K2251" s="2">
        <v>45894.0</v>
      </c>
      <c r="L2251" s="5"/>
      <c r="M2251" s="9" t="s">
        <v>43</v>
      </c>
      <c r="N2251" s="9" t="s">
        <v>49</v>
      </c>
      <c r="O2251" s="10">
        <f>'data on outstanding creditors'!$E2251*100/107</f>
        <v>9476.635514</v>
      </c>
      <c r="P2251" s="10">
        <f>'data on outstanding creditors'!$E2251-'data on outstanding creditors'!$O2251</f>
        <v>663.364486</v>
      </c>
      <c r="Q2251" s="7">
        <f>DAY('data on outstanding creditors'!$B2251)</f>
        <v>21</v>
      </c>
      <c r="R2251" s="7">
        <f>MONTH('data on outstanding creditors'!$B2251)</f>
        <v>7</v>
      </c>
      <c r="S2251" s="7">
        <f>YEAR('data on outstanding creditors'!$B2251)</f>
        <v>2025</v>
      </c>
      <c r="T2251" s="11" t="str">
        <f>'data on outstanding creditors'!$C2251&amp;" "&amp;'data on outstanding creditors'!$D2251&amp;" "&amp;TEXT('data on outstanding creditors'!$E2251,"#,##0.00")</f>
        <v>หจก.อิเลฟเว่น พลัซ EL680717139 10,140.00</v>
      </c>
      <c r="U2251" s="12"/>
    </row>
    <row r="2252" ht="13.5" customHeight="1">
      <c r="A2252" s="1" t="s">
        <v>3224</v>
      </c>
      <c r="B2252" s="2">
        <v>45859.0</v>
      </c>
      <c r="C2252" s="9" t="s">
        <v>2277</v>
      </c>
      <c r="D2252" s="1" t="s">
        <v>3225</v>
      </c>
      <c r="E2252" s="4">
        <v>31000.0</v>
      </c>
      <c r="F2252" s="4"/>
      <c r="G2252" s="4"/>
      <c r="H2252" s="4">
        <f>'data on outstanding creditors'!$E2252-'data on outstanding creditors'!$F2252-'data on outstanding creditors'!$G2252</f>
        <v>31000</v>
      </c>
      <c r="I2252" s="2"/>
      <c r="J2252" s="1" t="s">
        <v>646</v>
      </c>
      <c r="K2252" s="2">
        <v>45928.0</v>
      </c>
      <c r="L2252" s="5"/>
      <c r="M2252" s="9" t="s">
        <v>43</v>
      </c>
      <c r="N2252" s="9" t="s">
        <v>49</v>
      </c>
      <c r="O2252" s="10">
        <f>'data on outstanding creditors'!$E2252*100/107</f>
        <v>28971.96262</v>
      </c>
      <c r="P2252" s="10">
        <f>'data on outstanding creditors'!$E2252-'data on outstanding creditors'!$O2252</f>
        <v>2028.037383</v>
      </c>
      <c r="Q2252" s="7">
        <f>DAY('data on outstanding creditors'!$B2252)</f>
        <v>21</v>
      </c>
      <c r="R2252" s="7">
        <f>MONTH('data on outstanding creditors'!$B2252)</f>
        <v>7</v>
      </c>
      <c r="S2252" s="7">
        <f>YEAR('data on outstanding creditors'!$B2252)</f>
        <v>2025</v>
      </c>
      <c r="T2252" s="11" t="str">
        <f>'data on outstanding creditors'!$C2252&amp;" "&amp;'data on outstanding creditors'!$D2252&amp;" "&amp;TEXT('data on outstanding creditors'!$E2252,"#,##0.00")</f>
        <v>บ.เอ็ม.เอส.วาย เมดิคอล ซัพพลาย BL2025070005 31,000.00</v>
      </c>
      <c r="U2252" s="12"/>
    </row>
    <row r="2253" ht="13.5" customHeight="1">
      <c r="A2253" s="1" t="s">
        <v>3226</v>
      </c>
      <c r="B2253" s="2">
        <v>45859.0</v>
      </c>
      <c r="C2253" s="9" t="s">
        <v>2315</v>
      </c>
      <c r="D2253" s="1" t="s">
        <v>3227</v>
      </c>
      <c r="E2253" s="4">
        <v>26000.0</v>
      </c>
      <c r="F2253" s="4"/>
      <c r="G2253" s="4"/>
      <c r="H2253" s="4">
        <f>'data on outstanding creditors'!$E2253-'data on outstanding creditors'!$F2253-'data on outstanding creditors'!$G2253</f>
        <v>26000</v>
      </c>
      <c r="I2253" s="2"/>
      <c r="J2253" s="1" t="s">
        <v>646</v>
      </c>
      <c r="K2253" s="2">
        <v>45928.0</v>
      </c>
      <c r="L2253" s="5"/>
      <c r="M2253" s="9" t="s">
        <v>43</v>
      </c>
      <c r="N2253" s="9" t="s">
        <v>49</v>
      </c>
      <c r="O2253" s="10">
        <f>'data on outstanding creditors'!$E2253*100/107</f>
        <v>24299.06542</v>
      </c>
      <c r="P2253" s="10">
        <f>'data on outstanding creditors'!$E2253-'data on outstanding creditors'!$O2253</f>
        <v>1700.934579</v>
      </c>
      <c r="Q2253" s="7">
        <f>DAY('data on outstanding creditors'!$B2253)</f>
        <v>21</v>
      </c>
      <c r="R2253" s="7">
        <f>MONTH('data on outstanding creditors'!$B2253)</f>
        <v>7</v>
      </c>
      <c r="S2253" s="7">
        <f>YEAR('data on outstanding creditors'!$B2253)</f>
        <v>2025</v>
      </c>
      <c r="T2253" s="11" t="str">
        <f>'data on outstanding creditors'!$C2253&amp;" "&amp;'data on outstanding creditors'!$D2253&amp;" "&amp;TEXT('data on outstanding creditors'!$E2253,"#,##0.00")</f>
        <v>บ.เรียลเมดคอร์ป IV25063935 26,000.00</v>
      </c>
      <c r="U2253" s="12"/>
    </row>
    <row r="2254" ht="13.5" customHeight="1">
      <c r="A2254" s="1" t="s">
        <v>3228</v>
      </c>
      <c r="B2254" s="2">
        <v>45859.0</v>
      </c>
      <c r="C2254" s="9" t="s">
        <v>3229</v>
      </c>
      <c r="D2254" s="1" t="s">
        <v>3230</v>
      </c>
      <c r="E2254" s="4">
        <v>2792.7</v>
      </c>
      <c r="F2254" s="4"/>
      <c r="G2254" s="4"/>
      <c r="H2254" s="4">
        <f>'data on outstanding creditors'!$E2254-'data on outstanding creditors'!$F2254-'data on outstanding creditors'!$G2254</f>
        <v>2792.7</v>
      </c>
      <c r="I2254" s="2"/>
      <c r="J2254" s="1" t="s">
        <v>646</v>
      </c>
      <c r="K2254" s="2">
        <v>45928.0</v>
      </c>
      <c r="L2254" s="5"/>
      <c r="M2254" s="9" t="s">
        <v>43</v>
      </c>
      <c r="N2254" s="9" t="s">
        <v>49</v>
      </c>
      <c r="O2254" s="10">
        <f>'data on outstanding creditors'!$E2254*100/107</f>
        <v>2610</v>
      </c>
      <c r="P2254" s="10">
        <f>'data on outstanding creditors'!$E2254-'data on outstanding creditors'!$O2254</f>
        <v>182.7</v>
      </c>
      <c r="Q2254" s="7">
        <f>DAY('data on outstanding creditors'!$B2254)</f>
        <v>21</v>
      </c>
      <c r="R2254" s="7">
        <f>MONTH('data on outstanding creditors'!$B2254)</f>
        <v>7</v>
      </c>
      <c r="S2254" s="7">
        <f>YEAR('data on outstanding creditors'!$B2254)</f>
        <v>2025</v>
      </c>
      <c r="T2254" s="11" t="str">
        <f>'data on outstanding creditors'!$C2254&amp;" "&amp;'data on outstanding creditors'!$D2254&amp;" "&amp;TEXT('data on outstanding creditors'!$E2254,"#,##0.00")</f>
        <v>บ.จีแอล เมด 5071207191 2,792.70</v>
      </c>
      <c r="U2254" s="12"/>
    </row>
    <row r="2255" ht="13.5" customHeight="1">
      <c r="A2255" s="1" t="s">
        <v>3231</v>
      </c>
      <c r="B2255" s="2">
        <v>45860.0</v>
      </c>
      <c r="C2255" s="9" t="s">
        <v>1029</v>
      </c>
      <c r="D2255" s="1" t="s">
        <v>3232</v>
      </c>
      <c r="E2255" s="4">
        <v>20000.0</v>
      </c>
      <c r="F2255" s="4"/>
      <c r="G2255" s="4"/>
      <c r="H2255" s="4">
        <f>'data on outstanding creditors'!$E2255-'data on outstanding creditors'!$F2255-'data on outstanding creditors'!$G2255</f>
        <v>20000</v>
      </c>
      <c r="I2255" s="2"/>
      <c r="J2255" s="1" t="s">
        <v>757</v>
      </c>
      <c r="K2255" s="2">
        <v>45957.0</v>
      </c>
      <c r="L2255" s="5"/>
      <c r="M2255" s="9" t="s">
        <v>43</v>
      </c>
      <c r="N2255" s="9" t="s">
        <v>49</v>
      </c>
      <c r="O2255" s="10">
        <f>'data on outstanding creditors'!$E2255*100/107</f>
        <v>18691.58879</v>
      </c>
      <c r="P2255" s="10">
        <f>'data on outstanding creditors'!$E2255-'data on outstanding creditors'!$O2255</f>
        <v>1308.411215</v>
      </c>
      <c r="Q2255" s="7">
        <f>DAY('data on outstanding creditors'!$B2255)</f>
        <v>22</v>
      </c>
      <c r="R2255" s="7">
        <f>MONTH('data on outstanding creditors'!$B2255)</f>
        <v>7</v>
      </c>
      <c r="S2255" s="7">
        <f>YEAR('data on outstanding creditors'!$B2255)</f>
        <v>2025</v>
      </c>
      <c r="T2255" s="11" t="str">
        <f>'data on outstanding creditors'!$C2255&amp;" "&amp;'data on outstanding creditors'!$D2255&amp;" "&amp;TEXT('data on outstanding creditors'!$E2255,"#,##0.00")</f>
        <v>บ.เอเทค เมดิคอล IV6807508 20,000.00</v>
      </c>
      <c r="U2255" s="12"/>
    </row>
    <row r="2256" ht="13.5" customHeight="1">
      <c r="A2256" s="1" t="s">
        <v>3233</v>
      </c>
      <c r="B2256" s="2">
        <v>45860.0</v>
      </c>
      <c r="C2256" s="9" t="s">
        <v>1029</v>
      </c>
      <c r="D2256" s="1" t="s">
        <v>3234</v>
      </c>
      <c r="E2256" s="4">
        <v>11400.0</v>
      </c>
      <c r="F2256" s="4"/>
      <c r="G2256" s="4"/>
      <c r="H2256" s="4">
        <f>'data on outstanding creditors'!$E2256-'data on outstanding creditors'!$F2256-'data on outstanding creditors'!$G2256</f>
        <v>11400</v>
      </c>
      <c r="I2256" s="2"/>
      <c r="J2256" s="1"/>
      <c r="K2256" s="2"/>
      <c r="L2256" s="5"/>
      <c r="M2256" s="9" t="s">
        <v>43</v>
      </c>
      <c r="N2256" s="9" t="s">
        <v>49</v>
      </c>
      <c r="O2256" s="10">
        <f>'data on outstanding creditors'!$E2256*100/107</f>
        <v>10654.20561</v>
      </c>
      <c r="P2256" s="10">
        <f>'data on outstanding creditors'!$E2256-'data on outstanding creditors'!$O2256</f>
        <v>745.7943925</v>
      </c>
      <c r="Q2256" s="7">
        <f>DAY('data on outstanding creditors'!$B2256)</f>
        <v>22</v>
      </c>
      <c r="R2256" s="7">
        <f>MONTH('data on outstanding creditors'!$B2256)</f>
        <v>7</v>
      </c>
      <c r="S2256" s="7">
        <f>YEAR('data on outstanding creditors'!$B2256)</f>
        <v>2025</v>
      </c>
      <c r="T2256" s="11" t="str">
        <f>'data on outstanding creditors'!$C2256&amp;" "&amp;'data on outstanding creditors'!$D2256&amp;" "&amp;TEXT('data on outstanding creditors'!$E2256,"#,##0.00")</f>
        <v>บ.เอเทค เมดิคอล IV6807509 11,400.00</v>
      </c>
      <c r="U2256" s="12"/>
    </row>
    <row r="2257" ht="13.5" customHeight="1">
      <c r="A2257" s="1" t="s">
        <v>3235</v>
      </c>
      <c r="B2257" s="2">
        <v>45860.0</v>
      </c>
      <c r="C2257" s="9" t="s">
        <v>1029</v>
      </c>
      <c r="D2257" s="1" t="s">
        <v>3236</v>
      </c>
      <c r="E2257" s="4">
        <v>11700.0</v>
      </c>
      <c r="F2257" s="4"/>
      <c r="G2257" s="4"/>
      <c r="H2257" s="4">
        <f>'data on outstanding creditors'!$E2257-'data on outstanding creditors'!$F2257-'data on outstanding creditors'!$G2257</f>
        <v>11700</v>
      </c>
      <c r="I2257" s="2"/>
      <c r="J2257" s="1"/>
      <c r="K2257" s="2"/>
      <c r="L2257" s="5"/>
      <c r="M2257" s="9" t="s">
        <v>43</v>
      </c>
      <c r="N2257" s="9" t="s">
        <v>49</v>
      </c>
      <c r="O2257" s="10">
        <f>'data on outstanding creditors'!$E2257*100/107</f>
        <v>10934.57944</v>
      </c>
      <c r="P2257" s="10">
        <f>'data on outstanding creditors'!$E2257-'data on outstanding creditors'!$O2257</f>
        <v>765.4205607</v>
      </c>
      <c r="Q2257" s="7">
        <f>DAY('data on outstanding creditors'!$B2257)</f>
        <v>22</v>
      </c>
      <c r="R2257" s="7">
        <f>MONTH('data on outstanding creditors'!$B2257)</f>
        <v>7</v>
      </c>
      <c r="S2257" s="7">
        <f>YEAR('data on outstanding creditors'!$B2257)</f>
        <v>2025</v>
      </c>
      <c r="T2257" s="11" t="str">
        <f>'data on outstanding creditors'!$C2257&amp;" "&amp;'data on outstanding creditors'!$D2257&amp;" "&amp;TEXT('data on outstanding creditors'!$E2257,"#,##0.00")</f>
        <v>บ.เอเทค เมดิคอล IV6807510 11,700.00</v>
      </c>
      <c r="U2257" s="12"/>
    </row>
    <row r="2258" ht="13.5" customHeight="1">
      <c r="A2258" s="1"/>
      <c r="B2258" s="2">
        <v>45861.0</v>
      </c>
      <c r="C2258" s="9" t="s">
        <v>2387</v>
      </c>
      <c r="D2258" s="1" t="s">
        <v>3237</v>
      </c>
      <c r="E2258" s="4">
        <v>67600.0</v>
      </c>
      <c r="F2258" s="4"/>
      <c r="G2258" s="4"/>
      <c r="H2258" s="4">
        <f>'data on outstanding creditors'!$E2258-'data on outstanding creditors'!$F2258-'data on outstanding creditors'!$G2258</f>
        <v>67600</v>
      </c>
      <c r="I2258" s="2"/>
      <c r="J2258" s="1" t="s">
        <v>757</v>
      </c>
      <c r="K2258" s="2">
        <v>45912.0</v>
      </c>
      <c r="L2258" s="5"/>
      <c r="M2258" s="9" t="s">
        <v>43</v>
      </c>
      <c r="N2258" s="9" t="s">
        <v>23</v>
      </c>
      <c r="O2258" s="10">
        <f>'data on outstanding creditors'!$E2258*100/107</f>
        <v>63177.57009</v>
      </c>
      <c r="P2258" s="10">
        <f>'data on outstanding creditors'!$E2258-'data on outstanding creditors'!$O2258</f>
        <v>4422.429907</v>
      </c>
      <c r="Q2258" s="7">
        <f>DAY('data on outstanding creditors'!$B2258)</f>
        <v>23</v>
      </c>
      <c r="R2258" s="7">
        <f>MONTH('data on outstanding creditors'!$B2258)</f>
        <v>7</v>
      </c>
      <c r="S2258" s="7">
        <f>YEAR('data on outstanding creditors'!$B2258)</f>
        <v>2025</v>
      </c>
      <c r="T2258" s="11" t="str">
        <f>'data on outstanding creditors'!$C2258&amp;" "&amp;'data on outstanding creditors'!$D2258&amp;" "&amp;TEXT('data on outstanding creditors'!$E2258,"#,##0.00")</f>
        <v>บ.บุนย์วานิช อินเตอร์เนชั่นแนล FM680681 67,600.00</v>
      </c>
      <c r="U2258" s="12"/>
    </row>
    <row r="2259" ht="13.5" customHeight="1">
      <c r="A2259" s="1" t="s">
        <v>3238</v>
      </c>
      <c r="B2259" s="2">
        <v>45861.0</v>
      </c>
      <c r="C2259" s="9" t="s">
        <v>1029</v>
      </c>
      <c r="D2259" s="1" t="s">
        <v>3239</v>
      </c>
      <c r="E2259" s="4">
        <v>1000.0</v>
      </c>
      <c r="F2259" s="4"/>
      <c r="G2259" s="4"/>
      <c r="H2259" s="4">
        <f>'data on outstanding creditors'!$E2259-'data on outstanding creditors'!$F2259-'data on outstanding creditors'!$G2259</f>
        <v>1000</v>
      </c>
      <c r="I2259" s="2"/>
      <c r="J2259" s="1" t="s">
        <v>757</v>
      </c>
      <c r="K2259" s="2">
        <v>45909.0</v>
      </c>
      <c r="L2259" s="5"/>
      <c r="M2259" s="9" t="s">
        <v>43</v>
      </c>
      <c r="N2259" s="9" t="s">
        <v>49</v>
      </c>
      <c r="O2259" s="10">
        <f>'data on outstanding creditors'!$E2259*100/107</f>
        <v>934.5794393</v>
      </c>
      <c r="P2259" s="10">
        <f>'data on outstanding creditors'!$E2259-'data on outstanding creditors'!$O2259</f>
        <v>65.42056075</v>
      </c>
      <c r="Q2259" s="7">
        <f>DAY('data on outstanding creditors'!$B2259)</f>
        <v>23</v>
      </c>
      <c r="R2259" s="7">
        <f>MONTH('data on outstanding creditors'!$B2259)</f>
        <v>7</v>
      </c>
      <c r="S2259" s="7">
        <f>YEAR('data on outstanding creditors'!$B2259)</f>
        <v>2025</v>
      </c>
      <c r="T2259" s="11" t="str">
        <f>'data on outstanding creditors'!$C2259&amp;" "&amp;'data on outstanding creditors'!$D2259&amp;" "&amp;TEXT('data on outstanding creditors'!$E2259,"#,##0.00")</f>
        <v>บ.เอเทค เมดิคอล IV6804279 1,000.00</v>
      </c>
      <c r="U2259" s="12"/>
    </row>
    <row r="2260" ht="13.5" customHeight="1">
      <c r="A2260" s="1" t="s">
        <v>3240</v>
      </c>
      <c r="B2260" s="2">
        <v>45861.0</v>
      </c>
      <c r="C2260" s="9" t="s">
        <v>2334</v>
      </c>
      <c r="D2260" s="1" t="s">
        <v>3241</v>
      </c>
      <c r="E2260" s="4">
        <v>78000.0</v>
      </c>
      <c r="F2260" s="4"/>
      <c r="G2260" s="4"/>
      <c r="H2260" s="4">
        <f>'data on outstanding creditors'!$E2260-'data on outstanding creditors'!$F2260-'data on outstanding creditors'!$G2260</f>
        <v>78000</v>
      </c>
      <c r="I2260" s="2"/>
      <c r="J2260" s="1" t="s">
        <v>757</v>
      </c>
      <c r="K2260" s="2">
        <v>45891.0</v>
      </c>
      <c r="L2260" s="5"/>
      <c r="M2260" s="9" t="s">
        <v>43</v>
      </c>
      <c r="N2260" s="9" t="s">
        <v>49</v>
      </c>
      <c r="O2260" s="10">
        <f>'data on outstanding creditors'!$E2260*100/107</f>
        <v>72897.19626</v>
      </c>
      <c r="P2260" s="10">
        <f>'data on outstanding creditors'!$E2260-'data on outstanding creditors'!$O2260</f>
        <v>5102.803738</v>
      </c>
      <c r="Q2260" s="7">
        <f>DAY('data on outstanding creditors'!$B2260)</f>
        <v>23</v>
      </c>
      <c r="R2260" s="7">
        <f>MONTH('data on outstanding creditors'!$B2260)</f>
        <v>7</v>
      </c>
      <c r="S2260" s="7">
        <f>YEAR('data on outstanding creditors'!$B2260)</f>
        <v>2025</v>
      </c>
      <c r="T2260" s="11" t="str">
        <f>'data on outstanding creditors'!$C2260&amp;" "&amp;'data on outstanding creditors'!$D2260&amp;" "&amp;TEXT('data on outstanding creditors'!$E2260,"#,##0.00")</f>
        <v>บ.ไทยก๊อส IV6828910 78,000.00</v>
      </c>
      <c r="U2260" s="12"/>
    </row>
    <row r="2261" ht="13.5" customHeight="1">
      <c r="A2261" s="1" t="s">
        <v>3242</v>
      </c>
      <c r="B2261" s="2">
        <v>45861.0</v>
      </c>
      <c r="C2261" s="9" t="s">
        <v>1029</v>
      </c>
      <c r="D2261" s="1" t="s">
        <v>3243</v>
      </c>
      <c r="E2261" s="4">
        <v>15800.0</v>
      </c>
      <c r="F2261" s="4"/>
      <c r="G2261" s="4"/>
      <c r="H2261" s="4">
        <f>'data on outstanding creditors'!$E2261-'data on outstanding creditors'!$F2261-'data on outstanding creditors'!$G2261</f>
        <v>15800</v>
      </c>
      <c r="I2261" s="2"/>
      <c r="J2261" s="1" t="s">
        <v>757</v>
      </c>
      <c r="K2261" s="2">
        <v>45957.0</v>
      </c>
      <c r="L2261" s="5"/>
      <c r="M2261" s="9" t="s">
        <v>43</v>
      </c>
      <c r="N2261" s="9" t="s">
        <v>49</v>
      </c>
      <c r="O2261" s="10">
        <f>'data on outstanding creditors'!$E2261*100/107</f>
        <v>14766.35514</v>
      </c>
      <c r="P2261" s="10">
        <f>'data on outstanding creditors'!$E2261-'data on outstanding creditors'!$O2261</f>
        <v>1033.64486</v>
      </c>
      <c r="Q2261" s="7">
        <f>DAY('data on outstanding creditors'!$B2261)</f>
        <v>23</v>
      </c>
      <c r="R2261" s="7">
        <f>MONTH('data on outstanding creditors'!$B2261)</f>
        <v>7</v>
      </c>
      <c r="S2261" s="7">
        <f>YEAR('data on outstanding creditors'!$B2261)</f>
        <v>2025</v>
      </c>
      <c r="T2261" s="11" t="str">
        <f>'data on outstanding creditors'!$C2261&amp;" "&amp;'data on outstanding creditors'!$D2261&amp;" "&amp;TEXT('data on outstanding creditors'!$E2261,"#,##0.00")</f>
        <v>บ.เอเทค เมดิคอล IV6807513 15,800.00</v>
      </c>
      <c r="U2261" s="12"/>
    </row>
    <row r="2262" ht="13.5" customHeight="1">
      <c r="A2262" s="1" t="s">
        <v>3244</v>
      </c>
      <c r="B2262" s="2">
        <v>45862.0</v>
      </c>
      <c r="C2262" s="9" t="s">
        <v>2312</v>
      </c>
      <c r="D2262" s="1" t="s">
        <v>3245</v>
      </c>
      <c r="E2262" s="4">
        <v>15000.0</v>
      </c>
      <c r="F2262" s="4"/>
      <c r="G2262" s="4"/>
      <c r="H2262" s="4">
        <f>'data on outstanding creditors'!$E2262-'data on outstanding creditors'!$F2262-'data on outstanding creditors'!$G2262</f>
        <v>15000</v>
      </c>
      <c r="I2262" s="2"/>
      <c r="J2262" s="1" t="s">
        <v>646</v>
      </c>
      <c r="K2262" s="2">
        <v>45928.0</v>
      </c>
      <c r="L2262" s="5"/>
      <c r="M2262" s="9" t="s">
        <v>43</v>
      </c>
      <c r="N2262" s="9" t="s">
        <v>49</v>
      </c>
      <c r="O2262" s="10">
        <f>'data on outstanding creditors'!$E2262*100/107</f>
        <v>14018.69159</v>
      </c>
      <c r="P2262" s="10">
        <f>'data on outstanding creditors'!$E2262-'data on outstanding creditors'!$O2262</f>
        <v>981.3084112</v>
      </c>
      <c r="Q2262" s="7">
        <f>DAY('data on outstanding creditors'!$B2262)</f>
        <v>24</v>
      </c>
      <c r="R2262" s="7">
        <f>MONTH('data on outstanding creditors'!$B2262)</f>
        <v>7</v>
      </c>
      <c r="S2262" s="7">
        <f>YEAR('data on outstanding creditors'!$B2262)</f>
        <v>2025</v>
      </c>
      <c r="T2262" s="11" t="str">
        <f>'data on outstanding creditors'!$C2262&amp;" "&amp;'data on outstanding creditors'!$D2262&amp;" "&amp;TEXT('data on outstanding creditors'!$E2262,"#,##0.00")</f>
        <v>บ.สเตอลีน เฮลท์ SH7734 15,000.00</v>
      </c>
      <c r="U2262" s="12"/>
    </row>
    <row r="2263" ht="13.5" customHeight="1">
      <c r="A2263" s="1" t="s">
        <v>3246</v>
      </c>
      <c r="B2263" s="2">
        <v>45862.0</v>
      </c>
      <c r="C2263" s="9" t="s">
        <v>1059</v>
      </c>
      <c r="D2263" s="1" t="s">
        <v>3247</v>
      </c>
      <c r="E2263" s="4">
        <v>60000.0</v>
      </c>
      <c r="F2263" s="4"/>
      <c r="G2263" s="4"/>
      <c r="H2263" s="4">
        <f>'data on outstanding creditors'!$E2263-'data on outstanding creditors'!$F2263-'data on outstanding creditors'!$G2263</f>
        <v>60000</v>
      </c>
      <c r="I2263" s="2"/>
      <c r="J2263" s="1" t="s">
        <v>646</v>
      </c>
      <c r="K2263" s="2">
        <v>45906.0</v>
      </c>
      <c r="L2263" s="5"/>
      <c r="M2263" s="9" t="s">
        <v>43</v>
      </c>
      <c r="N2263" s="9" t="s">
        <v>49</v>
      </c>
      <c r="O2263" s="10">
        <f>'data on outstanding creditors'!$E2263*100/107</f>
        <v>56074.76636</v>
      </c>
      <c r="P2263" s="10">
        <f>'data on outstanding creditors'!$E2263-'data on outstanding creditors'!$O2263</f>
        <v>3925.233645</v>
      </c>
      <c r="Q2263" s="7">
        <f>DAY('data on outstanding creditors'!$B2263)</f>
        <v>24</v>
      </c>
      <c r="R2263" s="7">
        <f>MONTH('data on outstanding creditors'!$B2263)</f>
        <v>7</v>
      </c>
      <c r="S2263" s="7">
        <f>YEAR('data on outstanding creditors'!$B2263)</f>
        <v>2025</v>
      </c>
      <c r="T2263" s="11" t="str">
        <f>'data on outstanding creditors'!$C2263&amp;" "&amp;'data on outstanding creditors'!$D2263&amp;" "&amp;TEXT('data on outstanding creditors'!$E2263,"#,##0.00")</f>
        <v>หจก.ภาสิน 62999 60,000.00</v>
      </c>
      <c r="U2263" s="12"/>
    </row>
    <row r="2264" ht="13.5" customHeight="1">
      <c r="A2264" s="1" t="s">
        <v>3248</v>
      </c>
      <c r="B2264" s="2">
        <v>45862.0</v>
      </c>
      <c r="C2264" s="9" t="s">
        <v>1029</v>
      </c>
      <c r="D2264" s="1" t="s">
        <v>3249</v>
      </c>
      <c r="E2264" s="4">
        <v>11400.0</v>
      </c>
      <c r="F2264" s="4"/>
      <c r="G2264" s="4"/>
      <c r="H2264" s="4">
        <f>'data on outstanding creditors'!$E2264-'data on outstanding creditors'!$F2264-'data on outstanding creditors'!$G2264</f>
        <v>11400</v>
      </c>
      <c r="I2264" s="2"/>
      <c r="J2264" s="1"/>
      <c r="K2264" s="2"/>
      <c r="L2264" s="5"/>
      <c r="M2264" s="9" t="s">
        <v>43</v>
      </c>
      <c r="N2264" s="9" t="s">
        <v>49</v>
      </c>
      <c r="O2264" s="10">
        <f>'data on outstanding creditors'!$E2264*100/107</f>
        <v>10654.20561</v>
      </c>
      <c r="P2264" s="10">
        <f>'data on outstanding creditors'!$E2264-'data on outstanding creditors'!$O2264</f>
        <v>745.7943925</v>
      </c>
      <c r="Q2264" s="7">
        <f>DAY('data on outstanding creditors'!$B2264)</f>
        <v>24</v>
      </c>
      <c r="R2264" s="7">
        <f>MONTH('data on outstanding creditors'!$B2264)</f>
        <v>7</v>
      </c>
      <c r="S2264" s="7">
        <f>YEAR('data on outstanding creditors'!$B2264)</f>
        <v>2025</v>
      </c>
      <c r="T2264" s="11" t="str">
        <f>'data on outstanding creditors'!$C2264&amp;" "&amp;'data on outstanding creditors'!$D2264&amp;" "&amp;TEXT('data on outstanding creditors'!$E2264,"#,##0.00")</f>
        <v>บ.เอเทค เมดิคอล IV6807582 11,400.00</v>
      </c>
      <c r="U2264" s="12"/>
    </row>
    <row r="2265" ht="13.5" customHeight="1">
      <c r="A2265" s="1"/>
      <c r="B2265" s="2">
        <v>45863.0</v>
      </c>
      <c r="C2265" s="9" t="s">
        <v>281</v>
      </c>
      <c r="D2265" s="1" t="s">
        <v>3250</v>
      </c>
      <c r="E2265" s="4">
        <v>24000.0</v>
      </c>
      <c r="F2265" s="4"/>
      <c r="G2265" s="4"/>
      <c r="H2265" s="4">
        <f>'data on outstanding creditors'!$E2265-'data on outstanding creditors'!$F2265-'data on outstanding creditors'!$G2265</f>
        <v>24000</v>
      </c>
      <c r="I2265" s="2"/>
      <c r="J2265" s="1" t="s">
        <v>757</v>
      </c>
      <c r="K2265" s="2">
        <v>45914.0</v>
      </c>
      <c r="L2265" s="5"/>
      <c r="M2265" s="9" t="s">
        <v>43</v>
      </c>
      <c r="N2265" s="9" t="s">
        <v>23</v>
      </c>
      <c r="O2265" s="10">
        <f>'data on outstanding creditors'!$E2265*100/107</f>
        <v>22429.90654</v>
      </c>
      <c r="P2265" s="10">
        <f>'data on outstanding creditors'!$E2265-'data on outstanding creditors'!$O2265</f>
        <v>1570.093458</v>
      </c>
      <c r="Q2265" s="7">
        <f>DAY('data on outstanding creditors'!$B2265)</f>
        <v>25</v>
      </c>
      <c r="R2265" s="7">
        <f>MONTH('data on outstanding creditors'!$B2265)</f>
        <v>7</v>
      </c>
      <c r="S2265" s="7">
        <f>YEAR('data on outstanding creditors'!$B2265)</f>
        <v>2025</v>
      </c>
      <c r="T2265" s="11" t="str">
        <f>'data on outstanding creditors'!$C2265&amp;" "&amp;'data on outstanding creditors'!$D2265&amp;" "&amp;TEXT('data on outstanding creditors'!$E2265,"#,##0.00")</f>
        <v>บ.เมดิทอป 1563006 24,000.00</v>
      </c>
      <c r="U2265" s="12"/>
    </row>
    <row r="2266" ht="13.5" customHeight="1">
      <c r="A2266" s="1" t="s">
        <v>3251</v>
      </c>
      <c r="B2266" s="2">
        <v>45867.0</v>
      </c>
      <c r="C2266" s="9" t="s">
        <v>1114</v>
      </c>
      <c r="D2266" s="1" t="s">
        <v>3252</v>
      </c>
      <c r="E2266" s="4">
        <v>10200.0</v>
      </c>
      <c r="F2266" s="4"/>
      <c r="G2266" s="4"/>
      <c r="H2266" s="4">
        <f>'data on outstanding creditors'!$E2266-'data on outstanding creditors'!$F2266-'data on outstanding creditors'!$G2266</f>
        <v>10200</v>
      </c>
      <c r="I2266" s="2"/>
      <c r="J2266" s="1" t="s">
        <v>646</v>
      </c>
      <c r="K2266" s="2">
        <v>45894.0</v>
      </c>
      <c r="L2266" s="5"/>
      <c r="M2266" s="9" t="s">
        <v>43</v>
      </c>
      <c r="N2266" s="9" t="s">
        <v>49</v>
      </c>
      <c r="O2266" s="10">
        <f>'data on outstanding creditors'!$E2266*100/107</f>
        <v>9532.71028</v>
      </c>
      <c r="P2266" s="10">
        <f>'data on outstanding creditors'!$E2266-'data on outstanding creditors'!$O2266</f>
        <v>667.2897196</v>
      </c>
      <c r="Q2266" s="7">
        <f>DAY('data on outstanding creditors'!$B2266)</f>
        <v>29</v>
      </c>
      <c r="R2266" s="7">
        <f>MONTH('data on outstanding creditors'!$B2266)</f>
        <v>7</v>
      </c>
      <c r="S2266" s="7">
        <f>YEAR('data on outstanding creditors'!$B2266)</f>
        <v>2025</v>
      </c>
      <c r="T2266" s="11" t="str">
        <f>'data on outstanding creditors'!$C2266&amp;" "&amp;'data on outstanding creditors'!$D2266&amp;" "&amp;TEXT('data on outstanding creditors'!$E2266,"#,##0.00")</f>
        <v>หจก.อิเลฟเว่น พลัซ EL680724205 10,200.00</v>
      </c>
      <c r="U2266" s="12"/>
    </row>
    <row r="2267" ht="13.5" customHeight="1">
      <c r="A2267" s="1" t="s">
        <v>3253</v>
      </c>
      <c r="B2267" s="2">
        <v>45867.0</v>
      </c>
      <c r="C2267" s="9" t="s">
        <v>1029</v>
      </c>
      <c r="D2267" s="1" t="s">
        <v>3254</v>
      </c>
      <c r="E2267" s="4">
        <v>19100.0</v>
      </c>
      <c r="F2267" s="4"/>
      <c r="G2267" s="4"/>
      <c r="H2267" s="4">
        <f>'data on outstanding creditors'!$E2267-'data on outstanding creditors'!$F2267-'data on outstanding creditors'!$G2267</f>
        <v>19100</v>
      </c>
      <c r="I2267" s="2"/>
      <c r="J2267" s="1"/>
      <c r="K2267" s="2"/>
      <c r="L2267" s="5"/>
      <c r="M2267" s="9" t="s">
        <v>43</v>
      </c>
      <c r="N2267" s="9" t="s">
        <v>49</v>
      </c>
      <c r="O2267" s="10">
        <f>'data on outstanding creditors'!$E2267*100/107</f>
        <v>17850.46729</v>
      </c>
      <c r="P2267" s="10">
        <f>'data on outstanding creditors'!$E2267-'data on outstanding creditors'!$O2267</f>
        <v>1249.53271</v>
      </c>
      <c r="Q2267" s="7">
        <f>DAY('data on outstanding creditors'!$B2267)</f>
        <v>29</v>
      </c>
      <c r="R2267" s="7">
        <f>MONTH('data on outstanding creditors'!$B2267)</f>
        <v>7</v>
      </c>
      <c r="S2267" s="7">
        <f>YEAR('data on outstanding creditors'!$B2267)</f>
        <v>2025</v>
      </c>
      <c r="T2267" s="11" t="str">
        <f>'data on outstanding creditors'!$C2267&amp;" "&amp;'data on outstanding creditors'!$D2267&amp;" "&amp;TEXT('data on outstanding creditors'!$E2267,"#,##0.00")</f>
        <v>บ.เอเทค เมดิคอล IV6807589 19,100.00</v>
      </c>
      <c r="U2267" s="12"/>
    </row>
    <row r="2268" ht="13.5" customHeight="1">
      <c r="A2268" s="1" t="s">
        <v>3255</v>
      </c>
      <c r="B2268" s="2">
        <v>45867.0</v>
      </c>
      <c r="C2268" s="9" t="s">
        <v>1029</v>
      </c>
      <c r="D2268" s="1" t="s">
        <v>3256</v>
      </c>
      <c r="E2268" s="4">
        <v>14100.0</v>
      </c>
      <c r="F2268" s="4"/>
      <c r="G2268" s="4"/>
      <c r="H2268" s="4">
        <f>'data on outstanding creditors'!$E2268-'data on outstanding creditors'!$F2268-'data on outstanding creditors'!$G2268</f>
        <v>14100</v>
      </c>
      <c r="I2268" s="2"/>
      <c r="J2268" s="1"/>
      <c r="K2268" s="2"/>
      <c r="L2268" s="5"/>
      <c r="M2268" s="9" t="s">
        <v>43</v>
      </c>
      <c r="N2268" s="9" t="s">
        <v>49</v>
      </c>
      <c r="O2268" s="10">
        <f>'data on outstanding creditors'!$E2268*100/107</f>
        <v>13177.57009</v>
      </c>
      <c r="P2268" s="10">
        <f>'data on outstanding creditors'!$E2268-'data on outstanding creditors'!$O2268</f>
        <v>922.4299065</v>
      </c>
      <c r="Q2268" s="7">
        <f>DAY('data on outstanding creditors'!$B2268)</f>
        <v>29</v>
      </c>
      <c r="R2268" s="7">
        <f>MONTH('data on outstanding creditors'!$B2268)</f>
        <v>7</v>
      </c>
      <c r="S2268" s="7">
        <f>YEAR('data on outstanding creditors'!$B2268)</f>
        <v>2025</v>
      </c>
      <c r="T2268" s="11" t="str">
        <f>'data on outstanding creditors'!$C2268&amp;" "&amp;'data on outstanding creditors'!$D2268&amp;" "&amp;TEXT('data on outstanding creditors'!$E2268,"#,##0.00")</f>
        <v>บ.เอเทค เมดิคอล IV6807606 14,100.00</v>
      </c>
      <c r="U2268" s="12"/>
    </row>
    <row r="2269" ht="13.5" customHeight="1">
      <c r="A2269" s="1" t="s">
        <v>3257</v>
      </c>
      <c r="B2269" s="2">
        <v>45867.0</v>
      </c>
      <c r="C2269" s="9" t="s">
        <v>1029</v>
      </c>
      <c r="D2269" s="1" t="s">
        <v>3258</v>
      </c>
      <c r="E2269" s="4">
        <v>20000.0</v>
      </c>
      <c r="F2269" s="4"/>
      <c r="G2269" s="4"/>
      <c r="H2269" s="4">
        <f>'data on outstanding creditors'!$E2269-'data on outstanding creditors'!$F2269-'data on outstanding creditors'!$G2269</f>
        <v>20000</v>
      </c>
      <c r="I2269" s="2"/>
      <c r="J2269" s="1" t="s">
        <v>757</v>
      </c>
      <c r="K2269" s="2">
        <v>45957.0</v>
      </c>
      <c r="L2269" s="5"/>
      <c r="M2269" s="9" t="s">
        <v>43</v>
      </c>
      <c r="N2269" s="9" t="s">
        <v>49</v>
      </c>
      <c r="O2269" s="10">
        <f>'data on outstanding creditors'!$E2269*100/107</f>
        <v>18691.58879</v>
      </c>
      <c r="P2269" s="10">
        <f>'data on outstanding creditors'!$E2269-'data on outstanding creditors'!$O2269</f>
        <v>1308.411215</v>
      </c>
      <c r="Q2269" s="7">
        <f>DAY('data on outstanding creditors'!$B2269)</f>
        <v>29</v>
      </c>
      <c r="R2269" s="7">
        <f>MONTH('data on outstanding creditors'!$B2269)</f>
        <v>7</v>
      </c>
      <c r="S2269" s="7">
        <f>YEAR('data on outstanding creditors'!$B2269)</f>
        <v>2025</v>
      </c>
      <c r="T2269" s="11" t="str">
        <f>'data on outstanding creditors'!$C2269&amp;" "&amp;'data on outstanding creditors'!$D2269&amp;" "&amp;TEXT('data on outstanding creditors'!$E2269,"#,##0.00")</f>
        <v>บ.เอเทค เมดิคอล IV25070876 20,000.00</v>
      </c>
      <c r="U2269" s="12"/>
    </row>
    <row r="2270" ht="13.5" customHeight="1">
      <c r="A2270" s="1" t="s">
        <v>3259</v>
      </c>
      <c r="B2270" s="2">
        <v>45868.0</v>
      </c>
      <c r="C2270" s="9" t="s">
        <v>2330</v>
      </c>
      <c r="D2270" s="1" t="s">
        <v>3260</v>
      </c>
      <c r="E2270" s="4">
        <v>38500.0</v>
      </c>
      <c r="F2270" s="4"/>
      <c r="G2270" s="4"/>
      <c r="H2270" s="4">
        <f>'data on outstanding creditors'!$E2270-'data on outstanding creditors'!$F2270-'data on outstanding creditors'!$G2270</f>
        <v>38500</v>
      </c>
      <c r="I2270" s="2"/>
      <c r="J2270" s="1" t="s">
        <v>646</v>
      </c>
      <c r="K2270" s="2">
        <v>45944.0</v>
      </c>
      <c r="L2270" s="5"/>
      <c r="M2270" s="9" t="s">
        <v>43</v>
      </c>
      <c r="N2270" s="9" t="s">
        <v>49</v>
      </c>
      <c r="O2270" s="10">
        <f>'data on outstanding creditors'!$E2270*100/107</f>
        <v>35981.30841</v>
      </c>
      <c r="P2270" s="10">
        <f>'data on outstanding creditors'!$E2270-'data on outstanding creditors'!$O2270</f>
        <v>2518.691589</v>
      </c>
      <c r="Q2270" s="7">
        <f>DAY('data on outstanding creditors'!$B2270)</f>
        <v>30</v>
      </c>
      <c r="R2270" s="7">
        <f>MONTH('data on outstanding creditors'!$B2270)</f>
        <v>7</v>
      </c>
      <c r="S2270" s="7">
        <f>YEAR('data on outstanding creditors'!$B2270)</f>
        <v>2025</v>
      </c>
      <c r="T2270" s="11" t="str">
        <f>'data on outstanding creditors'!$C2270&amp;" "&amp;'data on outstanding creditors'!$D2270&amp;" "&amp;TEXT('data on outstanding creditors'!$E2270,"#,##0.00")</f>
        <v>บ.อี ฟอร์ แอล เอม M6807-0750 38,500.00</v>
      </c>
      <c r="U2270" s="12"/>
    </row>
    <row r="2271" ht="13.5" customHeight="1">
      <c r="A2271" s="1" t="s">
        <v>3261</v>
      </c>
      <c r="B2271" s="2">
        <v>45868.0</v>
      </c>
      <c r="C2271" s="9" t="s">
        <v>1114</v>
      </c>
      <c r="D2271" s="1" t="s">
        <v>3262</v>
      </c>
      <c r="E2271" s="4">
        <v>2880.0</v>
      </c>
      <c r="F2271" s="4"/>
      <c r="G2271" s="4"/>
      <c r="H2271" s="4">
        <f>'data on outstanding creditors'!$E2271-'data on outstanding creditors'!$F2271-'data on outstanding creditors'!$G2271</f>
        <v>2880</v>
      </c>
      <c r="I2271" s="2"/>
      <c r="J2271" s="1" t="s">
        <v>646</v>
      </c>
      <c r="K2271" s="2">
        <v>45928.0</v>
      </c>
      <c r="L2271" s="5"/>
      <c r="M2271" s="9" t="s">
        <v>43</v>
      </c>
      <c r="N2271" s="9" t="s">
        <v>49</v>
      </c>
      <c r="O2271" s="10">
        <f>'data on outstanding creditors'!$E2271*100/107</f>
        <v>2691.588785</v>
      </c>
      <c r="P2271" s="10">
        <f>'data on outstanding creditors'!$E2271-'data on outstanding creditors'!$O2271</f>
        <v>188.411215</v>
      </c>
      <c r="Q2271" s="7">
        <f>DAY('data on outstanding creditors'!$B2271)</f>
        <v>30</v>
      </c>
      <c r="R2271" s="7">
        <f>MONTH('data on outstanding creditors'!$B2271)</f>
        <v>7</v>
      </c>
      <c r="S2271" s="7">
        <f>YEAR('data on outstanding creditors'!$B2271)</f>
        <v>2025</v>
      </c>
      <c r="T2271" s="11" t="str">
        <f>'data on outstanding creditors'!$C2271&amp;" "&amp;'data on outstanding creditors'!$D2271&amp;" "&amp;TEXT('data on outstanding creditors'!$E2271,"#,##0.00")</f>
        <v>หจก.อิเลฟเว่น พลัซ EL680726227 2,880.00</v>
      </c>
      <c r="U2271" s="12"/>
    </row>
    <row r="2272" ht="13.5" customHeight="1">
      <c r="A2272" s="1" t="s">
        <v>3263</v>
      </c>
      <c r="B2272" s="2">
        <v>45868.0</v>
      </c>
      <c r="C2272" s="9" t="s">
        <v>2343</v>
      </c>
      <c r="D2272" s="1" t="s">
        <v>3264</v>
      </c>
      <c r="E2272" s="4">
        <v>19300.0</v>
      </c>
      <c r="F2272" s="4"/>
      <c r="G2272" s="4"/>
      <c r="H2272" s="4">
        <f>'data on outstanding creditors'!$E2272-'data on outstanding creditors'!$F2272-'data on outstanding creditors'!$G2272</f>
        <v>19300</v>
      </c>
      <c r="I2272" s="2"/>
      <c r="J2272" s="1" t="s">
        <v>757</v>
      </c>
      <c r="K2272" s="2">
        <v>45891.0</v>
      </c>
      <c r="L2272" s="5"/>
      <c r="M2272" s="9" t="s">
        <v>43</v>
      </c>
      <c r="N2272" s="9" t="s">
        <v>49</v>
      </c>
      <c r="O2272" s="10">
        <f>'data on outstanding creditors'!$E2272*100/107</f>
        <v>18037.38318</v>
      </c>
      <c r="P2272" s="10">
        <f>'data on outstanding creditors'!$E2272-'data on outstanding creditors'!$O2272</f>
        <v>1262.616822</v>
      </c>
      <c r="Q2272" s="7">
        <f>DAY('data on outstanding creditors'!$B2272)</f>
        <v>30</v>
      </c>
      <c r="R2272" s="7">
        <f>MONTH('data on outstanding creditors'!$B2272)</f>
        <v>7</v>
      </c>
      <c r="S2272" s="7">
        <f>YEAR('data on outstanding creditors'!$B2272)</f>
        <v>2025</v>
      </c>
      <c r="T2272" s="11" t="str">
        <f>'data on outstanding creditors'!$C2272&amp;" "&amp;'data on outstanding creditors'!$D2272&amp;" "&amp;TEXT('data on outstanding creditors'!$E2272,"#,##0.00")</f>
        <v>บ.ทริมเมอร์ IV250702291 19,300.00</v>
      </c>
      <c r="U2272" s="12"/>
    </row>
    <row r="2273" ht="13.5" customHeight="1">
      <c r="A2273" s="1" t="s">
        <v>3265</v>
      </c>
      <c r="B2273" s="2">
        <v>45869.0</v>
      </c>
      <c r="C2273" s="9" t="s">
        <v>697</v>
      </c>
      <c r="D2273" s="1" t="s">
        <v>3266</v>
      </c>
      <c r="E2273" s="4">
        <v>39556.0</v>
      </c>
      <c r="F2273" s="4"/>
      <c r="G2273" s="4"/>
      <c r="H2273" s="4">
        <f>'data on outstanding creditors'!$E2273-'data on outstanding creditors'!$F2273-'data on outstanding creditors'!$G2273</f>
        <v>39556</v>
      </c>
      <c r="I2273" s="2"/>
      <c r="J2273" s="1"/>
      <c r="K2273" s="2"/>
      <c r="L2273" s="5"/>
      <c r="M2273" s="9" t="s">
        <v>43</v>
      </c>
      <c r="N2273" s="9" t="s">
        <v>49</v>
      </c>
      <c r="O2273" s="10">
        <f>'data on outstanding creditors'!$E2273*100/107</f>
        <v>36968.2243</v>
      </c>
      <c r="P2273" s="10">
        <f>'data on outstanding creditors'!$E2273-'data on outstanding creditors'!$O2273</f>
        <v>2587.775701</v>
      </c>
      <c r="Q2273" s="7">
        <f>DAY('data on outstanding creditors'!$B2273)</f>
        <v>31</v>
      </c>
      <c r="R2273" s="7">
        <f>MONTH('data on outstanding creditors'!$B2273)</f>
        <v>7</v>
      </c>
      <c r="S2273" s="7">
        <f>YEAR('data on outstanding creditors'!$B2273)</f>
        <v>2025</v>
      </c>
      <c r="T2273" s="11" t="str">
        <f>'data on outstanding creditors'!$C2273&amp;" "&amp;'data on outstanding creditors'!$D2273&amp;" "&amp;TEXT('data on outstanding creditors'!$E2273,"#,##0.00")</f>
        <v>หจก.บุรีรัมย์ออกซิเย่น 708 39,556.00</v>
      </c>
      <c r="U2273" s="12"/>
    </row>
    <row r="2274" ht="13.5" customHeight="1">
      <c r="A2274" s="1"/>
      <c r="B2274" s="2">
        <v>45869.0</v>
      </c>
      <c r="C2274" s="9" t="s">
        <v>3267</v>
      </c>
      <c r="D2274" s="1" t="s">
        <v>3268</v>
      </c>
      <c r="E2274" s="4">
        <v>310389.6</v>
      </c>
      <c r="F2274" s="4"/>
      <c r="G2274" s="4"/>
      <c r="H2274" s="4">
        <f>'data on outstanding creditors'!$E2274-'data on outstanding creditors'!$F2274-'data on outstanding creditors'!$G2274</f>
        <v>310389.6</v>
      </c>
      <c r="I2274" s="2"/>
      <c r="J2274" s="1" t="s">
        <v>646</v>
      </c>
      <c r="K2274" s="2">
        <v>45915.0</v>
      </c>
      <c r="L2274" s="5"/>
      <c r="M2274" s="9" t="s">
        <v>43</v>
      </c>
      <c r="N2274" s="9" t="s">
        <v>49</v>
      </c>
      <c r="O2274" s="10">
        <f>'data on outstanding creditors'!$E2274*100/107</f>
        <v>290083.7383</v>
      </c>
      <c r="P2274" s="10">
        <f>'data on outstanding creditors'!$E2274-'data on outstanding creditors'!$O2274</f>
        <v>20305.86168</v>
      </c>
      <c r="Q2274" s="7">
        <f>DAY('data on outstanding creditors'!$B2274)</f>
        <v>31</v>
      </c>
      <c r="R2274" s="7">
        <f>MONTH('data on outstanding creditors'!$B2274)</f>
        <v>7</v>
      </c>
      <c r="S2274" s="7">
        <f>YEAR('data on outstanding creditors'!$B2274)</f>
        <v>2025</v>
      </c>
      <c r="T2274" s="11" t="str">
        <f>'data on outstanding creditors'!$C2274&amp;" "&amp;'data on outstanding creditors'!$D2274&amp;" "&amp;TEXT('data on outstanding creditors'!$E2274,"#,##0.00")</f>
        <v>บ.ลินเด้ (ประเทศไทย) 02000159 310,389.60</v>
      </c>
      <c r="U2274" s="12"/>
    </row>
    <row r="2275" ht="13.5" customHeight="1">
      <c r="A2275" s="1" t="s">
        <v>3269</v>
      </c>
      <c r="B2275" s="2">
        <v>45869.0</v>
      </c>
      <c r="C2275" s="9" t="s">
        <v>1029</v>
      </c>
      <c r="D2275" s="1" t="s">
        <v>3270</v>
      </c>
      <c r="E2275" s="4">
        <v>11400.0</v>
      </c>
      <c r="F2275" s="4"/>
      <c r="G2275" s="4"/>
      <c r="H2275" s="4">
        <f>'data on outstanding creditors'!$E2275-'data on outstanding creditors'!$F2275-'data on outstanding creditors'!$G2275</f>
        <v>11400</v>
      </c>
      <c r="I2275" s="2"/>
      <c r="J2275" s="1"/>
      <c r="K2275" s="2"/>
      <c r="L2275" s="5"/>
      <c r="M2275" s="9" t="s">
        <v>43</v>
      </c>
      <c r="N2275" s="9" t="s">
        <v>49</v>
      </c>
      <c r="O2275" s="10">
        <f>'data on outstanding creditors'!$E2275*100/107</f>
        <v>10654.20561</v>
      </c>
      <c r="P2275" s="10">
        <f>'data on outstanding creditors'!$E2275-'data on outstanding creditors'!$O2275</f>
        <v>745.7943925</v>
      </c>
      <c r="Q2275" s="7">
        <f>DAY('data on outstanding creditors'!$B2275)</f>
        <v>31</v>
      </c>
      <c r="R2275" s="7">
        <f>MONTH('data on outstanding creditors'!$B2275)</f>
        <v>7</v>
      </c>
      <c r="S2275" s="7">
        <f>YEAR('data on outstanding creditors'!$B2275)</f>
        <v>2025</v>
      </c>
      <c r="T2275" s="11" t="str">
        <f>'data on outstanding creditors'!$C2275&amp;" "&amp;'data on outstanding creditors'!$D2275&amp;" "&amp;TEXT('data on outstanding creditors'!$E2275,"#,##0.00")</f>
        <v>บ.เอเทค เมดิคอล IV6808010 11,400.00</v>
      </c>
      <c r="U2275" s="12"/>
    </row>
    <row r="2276" ht="13.5" customHeight="1">
      <c r="A2276" s="1" t="s">
        <v>3271</v>
      </c>
      <c r="B2276" s="2">
        <v>45870.0</v>
      </c>
      <c r="C2276" s="9" t="s">
        <v>286</v>
      </c>
      <c r="D2276" s="1" t="s">
        <v>3272</v>
      </c>
      <c r="E2276" s="4">
        <v>5600.0</v>
      </c>
      <c r="F2276" s="4"/>
      <c r="G2276" s="4"/>
      <c r="H2276" s="4">
        <f>'data on outstanding creditors'!$E2276-'data on outstanding creditors'!$F2276-'data on outstanding creditors'!$G2276</f>
        <v>5600</v>
      </c>
      <c r="I2276" s="2"/>
      <c r="J2276" s="1" t="s">
        <v>757</v>
      </c>
      <c r="K2276" s="2">
        <v>45965.0</v>
      </c>
      <c r="L2276" s="5"/>
      <c r="M2276" s="9" t="s">
        <v>43</v>
      </c>
      <c r="N2276" s="9" t="s">
        <v>49</v>
      </c>
      <c r="O2276" s="10">
        <f>'data on outstanding creditors'!$E2276*100/107</f>
        <v>5233.64486</v>
      </c>
      <c r="P2276" s="10">
        <f>'data on outstanding creditors'!$E2276-'data on outstanding creditors'!$O2276</f>
        <v>366.3551402</v>
      </c>
      <c r="Q2276" s="7">
        <f>DAY('data on outstanding creditors'!$B2276)</f>
        <v>1</v>
      </c>
      <c r="R2276" s="7">
        <f>MONTH('data on outstanding creditors'!$B2276)</f>
        <v>8</v>
      </c>
      <c r="S2276" s="7">
        <f>YEAR('data on outstanding creditors'!$B2276)</f>
        <v>2025</v>
      </c>
      <c r="T2276" s="11" t="str">
        <f>'data on outstanding creditors'!$C2276&amp;" "&amp;'data on outstanding creditors'!$D2276&amp;" "&amp;TEXT('data on outstanding creditors'!$E2276,"#,##0.00")</f>
        <v>บ.เอ็ม ดี ซี (ประเทศไทย) IV25080065 5,600.00</v>
      </c>
      <c r="U2276" s="12"/>
    </row>
    <row r="2277" ht="13.5" customHeight="1">
      <c r="A2277" s="1" t="s">
        <v>3273</v>
      </c>
      <c r="B2277" s="2">
        <v>45870.0</v>
      </c>
      <c r="C2277" s="9" t="s">
        <v>2408</v>
      </c>
      <c r="D2277" s="1" t="s">
        <v>3274</v>
      </c>
      <c r="E2277" s="4">
        <v>11164.38</v>
      </c>
      <c r="F2277" s="4"/>
      <c r="G2277" s="4"/>
      <c r="H2277" s="4">
        <f>'data on outstanding creditors'!$E2277-'data on outstanding creditors'!$F2277-'data on outstanding creditors'!$G2277</f>
        <v>11164.38</v>
      </c>
      <c r="I2277" s="2"/>
      <c r="J2277" s="1" t="s">
        <v>646</v>
      </c>
      <c r="K2277" s="2">
        <v>45929.0</v>
      </c>
      <c r="L2277" s="5"/>
      <c r="M2277" s="9" t="s">
        <v>43</v>
      </c>
      <c r="N2277" s="9" t="s">
        <v>49</v>
      </c>
      <c r="O2277" s="10">
        <f>'data on outstanding creditors'!$E2277*100/107</f>
        <v>10434</v>
      </c>
      <c r="P2277" s="10">
        <f>'data on outstanding creditors'!$E2277-'data on outstanding creditors'!$O2277</f>
        <v>730.38</v>
      </c>
      <c r="Q2277" s="7">
        <f>DAY('data on outstanding creditors'!$B2277)</f>
        <v>1</v>
      </c>
      <c r="R2277" s="7">
        <f>MONTH('data on outstanding creditors'!$B2277)</f>
        <v>8</v>
      </c>
      <c r="S2277" s="7">
        <f>YEAR('data on outstanding creditors'!$B2277)</f>
        <v>2025</v>
      </c>
      <c r="T2277" s="11" t="str">
        <f>'data on outstanding creditors'!$C2277&amp;" "&amp;'data on outstanding creditors'!$D2277&amp;" "&amp;TEXT('data on outstanding creditors'!$E2277,"#,##0.00")</f>
        <v>บ.จอห์นสัน แอนด์ จอห์นสัน(ประเทศไทย) 998569628 11,164.38</v>
      </c>
      <c r="U2277" s="12"/>
    </row>
    <row r="2278" ht="13.5" customHeight="1">
      <c r="A2278" s="1" t="s">
        <v>3275</v>
      </c>
      <c r="B2278" s="2">
        <v>45870.0</v>
      </c>
      <c r="C2278" s="9" t="s">
        <v>2305</v>
      </c>
      <c r="D2278" s="1" t="s">
        <v>3276</v>
      </c>
      <c r="E2278" s="4">
        <v>26800.0</v>
      </c>
      <c r="F2278" s="4"/>
      <c r="G2278" s="4"/>
      <c r="H2278" s="4">
        <f>'data on outstanding creditors'!$E2278-'data on outstanding creditors'!$F2278-'data on outstanding creditors'!$G2278</f>
        <v>26800</v>
      </c>
      <c r="I2278" s="2"/>
      <c r="J2278" s="1" t="s">
        <v>757</v>
      </c>
      <c r="K2278" s="2">
        <v>45909.0</v>
      </c>
      <c r="L2278" s="5"/>
      <c r="M2278" s="9" t="s">
        <v>43</v>
      </c>
      <c r="N2278" s="9" t="s">
        <v>49</v>
      </c>
      <c r="O2278" s="10">
        <f>'data on outstanding creditors'!$E2278*100/107</f>
        <v>25046.72897</v>
      </c>
      <c r="P2278" s="10">
        <f>'data on outstanding creditors'!$E2278-'data on outstanding creditors'!$O2278</f>
        <v>1753.271028</v>
      </c>
      <c r="Q2278" s="7">
        <f>DAY('data on outstanding creditors'!$B2278)</f>
        <v>1</v>
      </c>
      <c r="R2278" s="7">
        <f>MONTH('data on outstanding creditors'!$B2278)</f>
        <v>8</v>
      </c>
      <c r="S2278" s="7">
        <f>YEAR('data on outstanding creditors'!$B2278)</f>
        <v>2025</v>
      </c>
      <c r="T2278" s="11" t="str">
        <f>'data on outstanding creditors'!$C2278&amp;" "&amp;'data on outstanding creditors'!$D2278&amp;" "&amp;TEXT('data on outstanding creditors'!$E2278,"#,##0.00")</f>
        <v>บ.ฟิวเจอร์ เมดิคอล ซัพพลาย IV2508-00036 26,800.00</v>
      </c>
      <c r="U2278" s="12"/>
    </row>
    <row r="2279" ht="13.5" customHeight="1">
      <c r="A2279" s="1" t="s">
        <v>3277</v>
      </c>
      <c r="B2279" s="2">
        <v>45870.0</v>
      </c>
      <c r="C2279" s="9" t="s">
        <v>3278</v>
      </c>
      <c r="D2279" s="1" t="s">
        <v>3279</v>
      </c>
      <c r="E2279" s="4">
        <v>16000.0</v>
      </c>
      <c r="F2279" s="4"/>
      <c r="G2279" s="4"/>
      <c r="H2279" s="4">
        <f>'data on outstanding creditors'!$E2279-'data on outstanding creditors'!$F2279-'data on outstanding creditors'!$G2279</f>
        <v>16000</v>
      </c>
      <c r="I2279" s="2"/>
      <c r="J2279" s="1" t="s">
        <v>757</v>
      </c>
      <c r="K2279" s="2">
        <v>45909.0</v>
      </c>
      <c r="L2279" s="5"/>
      <c r="M2279" s="9" t="s">
        <v>43</v>
      </c>
      <c r="N2279" s="9" t="s">
        <v>49</v>
      </c>
      <c r="O2279" s="10">
        <f>'data on outstanding creditors'!$E2279*100/107</f>
        <v>14953.27103</v>
      </c>
      <c r="P2279" s="10">
        <f>'data on outstanding creditors'!$E2279-'data on outstanding creditors'!$O2279</f>
        <v>1046.728972</v>
      </c>
      <c r="Q2279" s="7">
        <f>DAY('data on outstanding creditors'!$B2279)</f>
        <v>1</v>
      </c>
      <c r="R2279" s="7">
        <f>MONTH('data on outstanding creditors'!$B2279)</f>
        <v>8</v>
      </c>
      <c r="S2279" s="7">
        <f>YEAR('data on outstanding creditors'!$B2279)</f>
        <v>2025</v>
      </c>
      <c r="T2279" s="11" t="str">
        <f>'data on outstanding creditors'!$C2279&amp;" "&amp;'data on outstanding creditors'!$D2279&amp;" "&amp;TEXT('data on outstanding creditors'!$E2279,"#,##0.00")</f>
        <v>บ.เดรเกอร์ เมดิคัล (ประเทสไทย) SE2507-233 16,000.00</v>
      </c>
      <c r="U2279" s="12"/>
    </row>
    <row r="2280" ht="13.5" customHeight="1">
      <c r="A2280" s="1" t="s">
        <v>3280</v>
      </c>
      <c r="B2280" s="2">
        <v>45870.0</v>
      </c>
      <c r="C2280" s="9" t="s">
        <v>2339</v>
      </c>
      <c r="D2280" s="1" t="s">
        <v>3281</v>
      </c>
      <c r="E2280" s="4">
        <v>15000.0</v>
      </c>
      <c r="F2280" s="4"/>
      <c r="G2280" s="4"/>
      <c r="H2280" s="4">
        <f>'data on outstanding creditors'!$E2280-'data on outstanding creditors'!$F2280-'data on outstanding creditors'!$G2280</f>
        <v>15000</v>
      </c>
      <c r="I2280" s="2"/>
      <c r="J2280" s="1" t="s">
        <v>757</v>
      </c>
      <c r="K2280" s="2">
        <v>45922.0</v>
      </c>
      <c r="L2280" s="5"/>
      <c r="M2280" s="9" t="s">
        <v>43</v>
      </c>
      <c r="N2280" s="9" t="s">
        <v>49</v>
      </c>
      <c r="O2280" s="10">
        <f>'data on outstanding creditors'!$E2280*100/107</f>
        <v>14018.69159</v>
      </c>
      <c r="P2280" s="10">
        <f>'data on outstanding creditors'!$E2280-'data on outstanding creditors'!$O2280</f>
        <v>981.3084112</v>
      </c>
      <c r="Q2280" s="7">
        <f>DAY('data on outstanding creditors'!$B2280)</f>
        <v>1</v>
      </c>
      <c r="R2280" s="7">
        <f>MONTH('data on outstanding creditors'!$B2280)</f>
        <v>8</v>
      </c>
      <c r="S2280" s="7">
        <f>YEAR('data on outstanding creditors'!$B2280)</f>
        <v>2025</v>
      </c>
      <c r="T2280" s="11" t="str">
        <f>'data on outstanding creditors'!$C2280&amp;" "&amp;'data on outstanding creditors'!$D2280&amp;" "&amp;TEXT('data on outstanding creditors'!$E2280,"#,##0.00")</f>
        <v>บ.ไอแคร์ เมดิคัล BL68-07/576 15,000.00</v>
      </c>
      <c r="U2280" s="12"/>
    </row>
    <row r="2281" ht="13.5" customHeight="1">
      <c r="A2281" s="1" t="s">
        <v>3282</v>
      </c>
      <c r="B2281" s="2">
        <v>45870.0</v>
      </c>
      <c r="C2281" s="9" t="s">
        <v>1029</v>
      </c>
      <c r="D2281" s="1" t="s">
        <v>3283</v>
      </c>
      <c r="E2281" s="4">
        <v>10800.0</v>
      </c>
      <c r="F2281" s="4"/>
      <c r="G2281" s="4"/>
      <c r="H2281" s="4">
        <f>'data on outstanding creditors'!$E2281-'data on outstanding creditors'!$F2281-'data on outstanding creditors'!$G2281</f>
        <v>10800</v>
      </c>
      <c r="I2281" s="2"/>
      <c r="J2281" s="1"/>
      <c r="K2281" s="2"/>
      <c r="L2281" s="5"/>
      <c r="M2281" s="9" t="s">
        <v>43</v>
      </c>
      <c r="N2281" s="9" t="s">
        <v>49</v>
      </c>
      <c r="O2281" s="10">
        <f>'data on outstanding creditors'!$E2281*100/107</f>
        <v>10093.45794</v>
      </c>
      <c r="P2281" s="10">
        <f>'data on outstanding creditors'!$E2281-'data on outstanding creditors'!$O2281</f>
        <v>706.5420561</v>
      </c>
      <c r="Q2281" s="7">
        <f>DAY('data on outstanding creditors'!$B2281)</f>
        <v>1</v>
      </c>
      <c r="R2281" s="7">
        <f>MONTH('data on outstanding creditors'!$B2281)</f>
        <v>8</v>
      </c>
      <c r="S2281" s="7">
        <f>YEAR('data on outstanding creditors'!$B2281)</f>
        <v>2025</v>
      </c>
      <c r="T2281" s="11" t="str">
        <f>'data on outstanding creditors'!$C2281&amp;" "&amp;'data on outstanding creditors'!$D2281&amp;" "&amp;TEXT('data on outstanding creditors'!$E2281,"#,##0.00")</f>
        <v>บ.เอเทค เมดิคอล IV6808204 10,800.00</v>
      </c>
      <c r="U2281" s="12"/>
    </row>
    <row r="2282" ht="13.5" customHeight="1">
      <c r="A2282" s="1" t="s">
        <v>3284</v>
      </c>
      <c r="B2282" s="2">
        <v>45873.0</v>
      </c>
      <c r="C2282" s="9" t="s">
        <v>2389</v>
      </c>
      <c r="D2282" s="1" t="s">
        <v>3285</v>
      </c>
      <c r="E2282" s="4">
        <v>88500.0</v>
      </c>
      <c r="F2282" s="4"/>
      <c r="G2282" s="4"/>
      <c r="H2282" s="4">
        <f>'data on outstanding creditors'!$E2282-'data on outstanding creditors'!$F2282-'data on outstanding creditors'!$G2282</f>
        <v>88500</v>
      </c>
      <c r="I2282" s="2"/>
      <c r="J2282" s="1"/>
      <c r="K2282" s="2"/>
      <c r="L2282" s="5"/>
      <c r="M2282" s="9" t="s">
        <v>43</v>
      </c>
      <c r="N2282" s="9" t="s">
        <v>49</v>
      </c>
      <c r="O2282" s="10">
        <f>'data on outstanding creditors'!$E2282*100/107</f>
        <v>82710.28037</v>
      </c>
      <c r="P2282" s="10">
        <f>'data on outstanding creditors'!$E2282-'data on outstanding creditors'!$O2282</f>
        <v>5789.719626</v>
      </c>
      <c r="Q2282" s="7">
        <f>DAY('data on outstanding creditors'!$B2282)</f>
        <v>4</v>
      </c>
      <c r="R2282" s="7">
        <f>MONTH('data on outstanding creditors'!$B2282)</f>
        <v>8</v>
      </c>
      <c r="S2282" s="7">
        <f>YEAR('data on outstanding creditors'!$B2282)</f>
        <v>2025</v>
      </c>
      <c r="T2282" s="11" t="str">
        <f>'data on outstanding creditors'!$C2282&amp;" "&amp;'data on outstanding creditors'!$D2282&amp;" "&amp;TEXT('data on outstanding creditors'!$E2282,"#,##0.00")</f>
        <v>บ.ซี วี พี เมดิคอล เทคโนโลยี SI01/68070423 88,500.00</v>
      </c>
      <c r="U2282" s="12"/>
    </row>
    <row r="2283" ht="13.5" customHeight="1">
      <c r="A2283" s="1" t="s">
        <v>3286</v>
      </c>
      <c r="B2283" s="2">
        <v>45873.0</v>
      </c>
      <c r="C2283" s="9" t="s">
        <v>2389</v>
      </c>
      <c r="D2283" s="1" t="s">
        <v>3287</v>
      </c>
      <c r="E2283" s="4">
        <v>34200.0</v>
      </c>
      <c r="F2283" s="4"/>
      <c r="G2283" s="4"/>
      <c r="H2283" s="4">
        <f>'data on outstanding creditors'!$E2283-'data on outstanding creditors'!$F2283-'data on outstanding creditors'!$G2283</f>
        <v>34200</v>
      </c>
      <c r="I2283" s="2"/>
      <c r="J2283" s="1"/>
      <c r="K2283" s="2"/>
      <c r="L2283" s="5"/>
      <c r="M2283" s="9" t="s">
        <v>43</v>
      </c>
      <c r="N2283" s="9" t="s">
        <v>49</v>
      </c>
      <c r="O2283" s="10">
        <f>'data on outstanding creditors'!$E2283*100/107</f>
        <v>31962.61682</v>
      </c>
      <c r="P2283" s="10">
        <f>'data on outstanding creditors'!$E2283-'data on outstanding creditors'!$O2283</f>
        <v>2237.383178</v>
      </c>
      <c r="Q2283" s="7">
        <f>DAY('data on outstanding creditors'!$B2283)</f>
        <v>4</v>
      </c>
      <c r="R2283" s="7">
        <f>MONTH('data on outstanding creditors'!$B2283)</f>
        <v>8</v>
      </c>
      <c r="S2283" s="7">
        <f>YEAR('data on outstanding creditors'!$B2283)</f>
        <v>2025</v>
      </c>
      <c r="T2283" s="11" t="str">
        <f>'data on outstanding creditors'!$C2283&amp;" "&amp;'data on outstanding creditors'!$D2283&amp;" "&amp;TEXT('data on outstanding creditors'!$E2283,"#,##0.00")</f>
        <v>บ.ซี วี พี เมดิคอล เทคโนโลยี SI01/68070424 34,200.00</v>
      </c>
      <c r="U2283" s="12"/>
    </row>
    <row r="2284" ht="13.5" customHeight="1">
      <c r="A2284" s="1"/>
      <c r="B2284" s="2">
        <v>45874.0</v>
      </c>
      <c r="C2284" s="9" t="s">
        <v>2510</v>
      </c>
      <c r="D2284" s="1" t="s">
        <v>3288</v>
      </c>
      <c r="E2284" s="4">
        <v>9900.0</v>
      </c>
      <c r="F2284" s="4"/>
      <c r="G2284" s="4"/>
      <c r="H2284" s="4">
        <f>'data on outstanding creditors'!$E2284-'data on outstanding creditors'!$F2284-'data on outstanding creditors'!$G2284</f>
        <v>9900</v>
      </c>
      <c r="I2284" s="2"/>
      <c r="J2284" s="1" t="s">
        <v>757</v>
      </c>
      <c r="K2284" s="2">
        <v>45914.0</v>
      </c>
      <c r="L2284" s="5"/>
      <c r="M2284" s="9" t="s">
        <v>43</v>
      </c>
      <c r="N2284" s="9" t="s">
        <v>23</v>
      </c>
      <c r="O2284" s="10">
        <f>'data on outstanding creditors'!$E2284*100/107</f>
        <v>9252.336449</v>
      </c>
      <c r="P2284" s="10">
        <f>'data on outstanding creditors'!$E2284-'data on outstanding creditors'!$O2284</f>
        <v>647.6635514</v>
      </c>
      <c r="Q2284" s="7">
        <f>DAY('data on outstanding creditors'!$B2284)</f>
        <v>5</v>
      </c>
      <c r="R2284" s="7">
        <f>MONTH('data on outstanding creditors'!$B2284)</f>
        <v>8</v>
      </c>
      <c r="S2284" s="7">
        <f>YEAR('data on outstanding creditors'!$B2284)</f>
        <v>2025</v>
      </c>
      <c r="T2284" s="11" t="str">
        <f>'data on outstanding creditors'!$C2284&amp;" "&amp;'data on outstanding creditors'!$D2284&amp;" "&amp;TEXT('data on outstanding creditors'!$E2284,"#,##0.00")</f>
        <v>บ.อินเตอร์ เมดิคอล 6803716 9,900.00</v>
      </c>
      <c r="U2284" s="12"/>
    </row>
    <row r="2285" ht="13.5" customHeight="1">
      <c r="A2285" s="1"/>
      <c r="B2285" s="2">
        <v>45874.0</v>
      </c>
      <c r="C2285" s="9" t="s">
        <v>1114</v>
      </c>
      <c r="D2285" s="1" t="s">
        <v>3289</v>
      </c>
      <c r="E2285" s="4">
        <v>3450.0</v>
      </c>
      <c r="F2285" s="4"/>
      <c r="G2285" s="4"/>
      <c r="H2285" s="4">
        <f>'data on outstanding creditors'!$E2285-'data on outstanding creditors'!$F2285-'data on outstanding creditors'!$G2285</f>
        <v>3450</v>
      </c>
      <c r="I2285" s="2"/>
      <c r="J2285" s="1" t="s">
        <v>646</v>
      </c>
      <c r="K2285" s="2">
        <v>45952.0</v>
      </c>
      <c r="L2285" s="5"/>
      <c r="M2285" s="9" t="s">
        <v>43</v>
      </c>
      <c r="N2285" s="9" t="s">
        <v>23</v>
      </c>
      <c r="O2285" s="10">
        <f>'data on outstanding creditors'!$E2285*100/107</f>
        <v>3224.299065</v>
      </c>
      <c r="P2285" s="10">
        <f>'data on outstanding creditors'!$E2285-'data on outstanding creditors'!$O2285</f>
        <v>225.7009346</v>
      </c>
      <c r="Q2285" s="7">
        <f>DAY('data on outstanding creditors'!$B2285)</f>
        <v>5</v>
      </c>
      <c r="R2285" s="7">
        <f>MONTH('data on outstanding creditors'!$B2285)</f>
        <v>8</v>
      </c>
      <c r="S2285" s="7">
        <f>YEAR('data on outstanding creditors'!$B2285)</f>
        <v>2025</v>
      </c>
      <c r="T2285" s="11" t="str">
        <f>'data on outstanding creditors'!$C2285&amp;" "&amp;'data on outstanding creditors'!$D2285&amp;" "&amp;TEXT('data on outstanding creditors'!$E2285,"#,##0.00")</f>
        <v>หจก.อิเลฟเว่น พลัซ EL680721157 3,450.00</v>
      </c>
      <c r="U2285" s="12"/>
    </row>
    <row r="2286" ht="13.5" customHeight="1">
      <c r="A2286" s="1"/>
      <c r="B2286" s="2">
        <v>45874.0</v>
      </c>
      <c r="C2286" s="9" t="s">
        <v>2292</v>
      </c>
      <c r="D2286" s="1" t="s">
        <v>3290</v>
      </c>
      <c r="E2286" s="4">
        <v>75840.0</v>
      </c>
      <c r="F2286" s="4"/>
      <c r="G2286" s="4"/>
      <c r="H2286" s="4">
        <f>'data on outstanding creditors'!$E2286-'data on outstanding creditors'!$F2286-'data on outstanding creditors'!$G2286</f>
        <v>75840</v>
      </c>
      <c r="I2286" s="2"/>
      <c r="J2286" s="1" t="s">
        <v>646</v>
      </c>
      <c r="K2286" s="2">
        <v>45928.0</v>
      </c>
      <c r="L2286" s="5"/>
      <c r="M2286" s="9" t="s">
        <v>43</v>
      </c>
      <c r="N2286" s="9" t="s">
        <v>23</v>
      </c>
      <c r="O2286" s="10">
        <f>'data on outstanding creditors'!$E2286*100/107</f>
        <v>70878.50467</v>
      </c>
      <c r="P2286" s="10">
        <f>'data on outstanding creditors'!$E2286-'data on outstanding creditors'!$O2286</f>
        <v>4961.495327</v>
      </c>
      <c r="Q2286" s="7">
        <f>DAY('data on outstanding creditors'!$B2286)</f>
        <v>5</v>
      </c>
      <c r="R2286" s="7">
        <f>MONTH('data on outstanding creditors'!$B2286)</f>
        <v>8</v>
      </c>
      <c r="S2286" s="7">
        <f>YEAR('data on outstanding creditors'!$B2286)</f>
        <v>2025</v>
      </c>
      <c r="T2286" s="11" t="str">
        <f>'data on outstanding creditors'!$C2286&amp;" "&amp;'data on outstanding creditors'!$D2286&amp;" "&amp;TEXT('data on outstanding creditors'!$E2286,"#,##0.00")</f>
        <v>บ.ไบโอคอททอน IV25007675 75,840.00</v>
      </c>
      <c r="U2286" s="12"/>
    </row>
    <row r="2287" ht="13.5" customHeight="1">
      <c r="A2287" s="1"/>
      <c r="B2287" s="2">
        <v>45874.0</v>
      </c>
      <c r="C2287" s="9" t="s">
        <v>2363</v>
      </c>
      <c r="D2287" s="1" t="s">
        <v>3291</v>
      </c>
      <c r="E2287" s="4">
        <v>28000.0</v>
      </c>
      <c r="F2287" s="4"/>
      <c r="G2287" s="4"/>
      <c r="H2287" s="4">
        <f>'data on outstanding creditors'!$E2287-'data on outstanding creditors'!$F2287-'data on outstanding creditors'!$G2287</f>
        <v>28000</v>
      </c>
      <c r="I2287" s="2"/>
      <c r="J2287" s="1" t="s">
        <v>757</v>
      </c>
      <c r="K2287" s="2">
        <v>45914.0</v>
      </c>
      <c r="L2287" s="5"/>
      <c r="M2287" s="9" t="s">
        <v>43</v>
      </c>
      <c r="N2287" s="9" t="s">
        <v>23</v>
      </c>
      <c r="O2287" s="10">
        <f>'data on outstanding creditors'!$E2287*100/107</f>
        <v>26168.2243</v>
      </c>
      <c r="P2287" s="10">
        <f>'data on outstanding creditors'!$E2287-'data on outstanding creditors'!$O2287</f>
        <v>1831.775701</v>
      </c>
      <c r="Q2287" s="7">
        <f>DAY('data on outstanding creditors'!$B2287)</f>
        <v>5</v>
      </c>
      <c r="R2287" s="7">
        <f>MONTH('data on outstanding creditors'!$B2287)</f>
        <v>8</v>
      </c>
      <c r="S2287" s="7">
        <f>YEAR('data on outstanding creditors'!$B2287)</f>
        <v>2025</v>
      </c>
      <c r="T2287" s="11" t="str">
        <f>'data on outstanding creditors'!$C2287&amp;" "&amp;'data on outstanding creditors'!$D2287&amp;" "&amp;TEXT('data on outstanding creditors'!$E2287,"#,##0.00")</f>
        <v>บ.บีเวอร์ เมดิคอล อินดัสตรี้ 686569 28,000.00</v>
      </c>
      <c r="U2287" s="12"/>
    </row>
    <row r="2288" ht="13.5" customHeight="1">
      <c r="A2288" s="1"/>
      <c r="B2288" s="2">
        <v>45874.0</v>
      </c>
      <c r="C2288" s="9" t="s">
        <v>2334</v>
      </c>
      <c r="D2288" s="1" t="s">
        <v>3292</v>
      </c>
      <c r="E2288" s="4">
        <v>31800.0</v>
      </c>
      <c r="F2288" s="4"/>
      <c r="G2288" s="4"/>
      <c r="H2288" s="4">
        <f>'data on outstanding creditors'!$E2288-'data on outstanding creditors'!$F2288-'data on outstanding creditors'!$G2288</f>
        <v>31800</v>
      </c>
      <c r="I2288" s="2"/>
      <c r="J2288" s="1" t="s">
        <v>757</v>
      </c>
      <c r="K2288" s="2">
        <v>45914.0</v>
      </c>
      <c r="L2288" s="5"/>
      <c r="M2288" s="9" t="s">
        <v>43</v>
      </c>
      <c r="N2288" s="9" t="s">
        <v>23</v>
      </c>
      <c r="O2288" s="10">
        <f>'data on outstanding creditors'!$E2288*100/107</f>
        <v>29719.62617</v>
      </c>
      <c r="P2288" s="10">
        <f>'data on outstanding creditors'!$E2288-'data on outstanding creditors'!$O2288</f>
        <v>2080.373832</v>
      </c>
      <c r="Q2288" s="7">
        <f>DAY('data on outstanding creditors'!$B2288)</f>
        <v>5</v>
      </c>
      <c r="R2288" s="7">
        <f>MONTH('data on outstanding creditors'!$B2288)</f>
        <v>8</v>
      </c>
      <c r="S2288" s="7">
        <f>YEAR('data on outstanding creditors'!$B2288)</f>
        <v>2025</v>
      </c>
      <c r="T2288" s="11" t="str">
        <f>'data on outstanding creditors'!$C2288&amp;" "&amp;'data on outstanding creditors'!$D2288&amp;" "&amp;TEXT('data on outstanding creditors'!$E2288,"#,##0.00")</f>
        <v>บ.ไทยก๊อส IV6829584 31,800.00</v>
      </c>
      <c r="U2288" s="12"/>
    </row>
    <row r="2289" ht="13.5" customHeight="1">
      <c r="A2289" s="1"/>
      <c r="B2289" s="2">
        <v>45874.0</v>
      </c>
      <c r="C2289" s="9" t="s">
        <v>688</v>
      </c>
      <c r="D2289" s="1" t="s">
        <v>3293</v>
      </c>
      <c r="E2289" s="4">
        <v>128400.0</v>
      </c>
      <c r="F2289" s="4"/>
      <c r="G2289" s="4"/>
      <c r="H2289" s="4">
        <f>'data on outstanding creditors'!$E2289-'data on outstanding creditors'!$F2289-'data on outstanding creditors'!$G2289</f>
        <v>128400</v>
      </c>
      <c r="I2289" s="2"/>
      <c r="J2289" s="1" t="s">
        <v>757</v>
      </c>
      <c r="K2289" s="2">
        <v>45914.0</v>
      </c>
      <c r="L2289" s="5"/>
      <c r="M2289" s="9" t="s">
        <v>43</v>
      </c>
      <c r="N2289" s="9" t="s">
        <v>23</v>
      </c>
      <c r="O2289" s="10">
        <f>'data on outstanding creditors'!$E2289*100/107</f>
        <v>120000</v>
      </c>
      <c r="P2289" s="10">
        <f>'data on outstanding creditors'!$E2289-'data on outstanding creditors'!$O2289</f>
        <v>8400</v>
      </c>
      <c r="Q2289" s="7">
        <f>DAY('data on outstanding creditors'!$B2289)</f>
        <v>5</v>
      </c>
      <c r="R2289" s="7">
        <f>MONTH('data on outstanding creditors'!$B2289)</f>
        <v>8</v>
      </c>
      <c r="S2289" s="7">
        <f>YEAR('data on outstanding creditors'!$B2289)</f>
        <v>2025</v>
      </c>
      <c r="T2289" s="11" t="str">
        <f>'data on outstanding creditors'!$C2289&amp;" "&amp;'data on outstanding creditors'!$D2289&amp;" "&amp;TEXT('data on outstanding creditors'!$E2289,"#,##0.00")</f>
        <v>บ.โอเร็กซ์ เทรดดิ้ง 680704362 128,400.00</v>
      </c>
      <c r="U2289" s="12"/>
    </row>
    <row r="2290" ht="13.5" customHeight="1">
      <c r="A2290" s="1"/>
      <c r="B2290" s="2">
        <v>45874.0</v>
      </c>
      <c r="C2290" s="9" t="s">
        <v>1114</v>
      </c>
      <c r="D2290" s="1" t="s">
        <v>3294</v>
      </c>
      <c r="E2290" s="4">
        <v>1800.0</v>
      </c>
      <c r="F2290" s="4"/>
      <c r="G2290" s="4"/>
      <c r="H2290" s="4">
        <f>'data on outstanding creditors'!$E2290-'data on outstanding creditors'!$F2290-'data on outstanding creditors'!$G2290</f>
        <v>1800</v>
      </c>
      <c r="I2290" s="2"/>
      <c r="J2290" s="1" t="s">
        <v>646</v>
      </c>
      <c r="K2290" s="2">
        <v>45952.0</v>
      </c>
      <c r="L2290" s="5"/>
      <c r="M2290" s="9" t="s">
        <v>43</v>
      </c>
      <c r="N2290" s="9" t="s">
        <v>23</v>
      </c>
      <c r="O2290" s="10">
        <f>'data on outstanding creditors'!$E2290*100/107</f>
        <v>1682.242991</v>
      </c>
      <c r="P2290" s="10">
        <f>'data on outstanding creditors'!$E2290-'data on outstanding creditors'!$O2290</f>
        <v>117.7570093</v>
      </c>
      <c r="Q2290" s="7">
        <f>DAY('data on outstanding creditors'!$B2290)</f>
        <v>5</v>
      </c>
      <c r="R2290" s="7">
        <f>MONTH('data on outstanding creditors'!$B2290)</f>
        <v>8</v>
      </c>
      <c r="S2290" s="7">
        <f>YEAR('data on outstanding creditors'!$B2290)</f>
        <v>2025</v>
      </c>
      <c r="T2290" s="11" t="str">
        <f>'data on outstanding creditors'!$C2290&amp;" "&amp;'data on outstanding creditors'!$D2290&amp;" "&amp;TEXT('data on outstanding creditors'!$E2290,"#,##0.00")</f>
        <v>หจก.อิเลฟเว่น พลัซ EL680801010 1,800.00</v>
      </c>
      <c r="U2290" s="12"/>
    </row>
    <row r="2291" ht="13.5" customHeight="1">
      <c r="A2291" s="1"/>
      <c r="B2291" s="2">
        <v>45874.0</v>
      </c>
      <c r="C2291" s="9" t="s">
        <v>1114</v>
      </c>
      <c r="D2291" s="1" t="s">
        <v>3295</v>
      </c>
      <c r="E2291" s="4">
        <v>40000.0</v>
      </c>
      <c r="F2291" s="4"/>
      <c r="G2291" s="4"/>
      <c r="H2291" s="4">
        <f>'data on outstanding creditors'!$E2291-'data on outstanding creditors'!$F2291-'data on outstanding creditors'!$G2291</f>
        <v>40000</v>
      </c>
      <c r="I2291" s="2"/>
      <c r="J2291" s="1" t="s">
        <v>646</v>
      </c>
      <c r="K2291" s="2">
        <v>45952.0</v>
      </c>
      <c r="L2291" s="5"/>
      <c r="M2291" s="9" t="s">
        <v>43</v>
      </c>
      <c r="N2291" s="9" t="s">
        <v>23</v>
      </c>
      <c r="O2291" s="10">
        <f>'data on outstanding creditors'!$E2291*100/107</f>
        <v>37383.17757</v>
      </c>
      <c r="P2291" s="10">
        <f>'data on outstanding creditors'!$E2291-'data on outstanding creditors'!$O2291</f>
        <v>2616.82243</v>
      </c>
      <c r="Q2291" s="7">
        <f>DAY('data on outstanding creditors'!$B2291)</f>
        <v>5</v>
      </c>
      <c r="R2291" s="7">
        <f>MONTH('data on outstanding creditors'!$B2291)</f>
        <v>8</v>
      </c>
      <c r="S2291" s="7">
        <f>YEAR('data on outstanding creditors'!$B2291)</f>
        <v>2025</v>
      </c>
      <c r="T2291" s="11" t="str">
        <f>'data on outstanding creditors'!$C2291&amp;" "&amp;'data on outstanding creditors'!$D2291&amp;" "&amp;TEXT('data on outstanding creditors'!$E2291,"#,##0.00")</f>
        <v>หจก.อิเลฟเว่น พลัซ EL680801016 40,000.00</v>
      </c>
      <c r="U2291" s="12"/>
    </row>
    <row r="2292" ht="13.5" customHeight="1">
      <c r="A2292" s="1"/>
      <c r="B2292" s="2">
        <v>45874.0</v>
      </c>
      <c r="C2292" s="9" t="s">
        <v>3220</v>
      </c>
      <c r="D2292" s="1" t="s">
        <v>3296</v>
      </c>
      <c r="E2292" s="4">
        <v>64000.0</v>
      </c>
      <c r="F2292" s="4"/>
      <c r="G2292" s="4"/>
      <c r="H2292" s="4">
        <f>'data on outstanding creditors'!$E2292-'data on outstanding creditors'!$F2292-'data on outstanding creditors'!$G2292</f>
        <v>64000</v>
      </c>
      <c r="I2292" s="2"/>
      <c r="J2292" s="1" t="s">
        <v>646</v>
      </c>
      <c r="K2292" s="2">
        <v>45928.0</v>
      </c>
      <c r="L2292" s="5"/>
      <c r="M2292" s="9" t="s">
        <v>43</v>
      </c>
      <c r="N2292" s="9" t="s">
        <v>23</v>
      </c>
      <c r="O2292" s="10">
        <f>'data on outstanding creditors'!$E2292*100/107</f>
        <v>59813.08411</v>
      </c>
      <c r="P2292" s="10">
        <f>'data on outstanding creditors'!$E2292-'data on outstanding creditors'!$O2292</f>
        <v>4186.915888</v>
      </c>
      <c r="Q2292" s="7">
        <f>DAY('data on outstanding creditors'!$B2292)</f>
        <v>5</v>
      </c>
      <c r="R2292" s="7">
        <f>MONTH('data on outstanding creditors'!$B2292)</f>
        <v>8</v>
      </c>
      <c r="S2292" s="7">
        <f>YEAR('data on outstanding creditors'!$B2292)</f>
        <v>2025</v>
      </c>
      <c r="T2292" s="11" t="str">
        <f>'data on outstanding creditors'!$C2292&amp;" "&amp;'data on outstanding creditors'!$D2292&amp;" "&amp;TEXT('data on outstanding creditors'!$E2292,"#,##0.00")</f>
        <v>บ.เจเอ็นที เมดิคอล แอนด์ เซอร์วิส IV68-00384 64,000.00</v>
      </c>
      <c r="U2292" s="12"/>
    </row>
    <row r="2293" ht="13.5" customHeight="1">
      <c r="A2293" s="1"/>
      <c r="B2293" s="2">
        <v>45874.0</v>
      </c>
      <c r="C2293" s="9" t="s">
        <v>2486</v>
      </c>
      <c r="D2293" s="1" t="s">
        <v>3297</v>
      </c>
      <c r="E2293" s="4">
        <v>20000.0</v>
      </c>
      <c r="F2293" s="4"/>
      <c r="G2293" s="4"/>
      <c r="H2293" s="4">
        <f>'data on outstanding creditors'!$E2293-'data on outstanding creditors'!$F2293-'data on outstanding creditors'!$G2293</f>
        <v>20000</v>
      </c>
      <c r="I2293" s="2"/>
      <c r="J2293" s="1" t="s">
        <v>757</v>
      </c>
      <c r="K2293" s="2">
        <v>45914.0</v>
      </c>
      <c r="L2293" s="5"/>
      <c r="M2293" s="9" t="s">
        <v>43</v>
      </c>
      <c r="N2293" s="9" t="s">
        <v>23</v>
      </c>
      <c r="O2293" s="10">
        <f>'data on outstanding creditors'!$E2293*100/107</f>
        <v>18691.58879</v>
      </c>
      <c r="P2293" s="10">
        <f>'data on outstanding creditors'!$E2293-'data on outstanding creditors'!$O2293</f>
        <v>1308.411215</v>
      </c>
      <c r="Q2293" s="7">
        <f>DAY('data on outstanding creditors'!$B2293)</f>
        <v>5</v>
      </c>
      <c r="R2293" s="7">
        <f>MONTH('data on outstanding creditors'!$B2293)</f>
        <v>8</v>
      </c>
      <c r="S2293" s="7">
        <f>YEAR('data on outstanding creditors'!$B2293)</f>
        <v>2025</v>
      </c>
      <c r="T2293" s="11" t="str">
        <f>'data on outstanding creditors'!$C2293&amp;" "&amp;'data on outstanding creditors'!$D2293&amp;" "&amp;TEXT('data on outstanding creditors'!$E2293,"#,##0.00")</f>
        <v>บ.ไทยเพียวดีไวซ์ 68/08052 20,000.00</v>
      </c>
      <c r="U2293" s="12"/>
    </row>
    <row r="2294" ht="13.5" customHeight="1">
      <c r="A2294" s="1"/>
      <c r="B2294" s="2">
        <v>45874.0</v>
      </c>
      <c r="C2294" s="9" t="s">
        <v>688</v>
      </c>
      <c r="D2294" s="1" t="s">
        <v>3298</v>
      </c>
      <c r="E2294" s="4">
        <v>19260.0</v>
      </c>
      <c r="F2294" s="4"/>
      <c r="G2294" s="4"/>
      <c r="H2294" s="4">
        <f>'data on outstanding creditors'!$E2294-'data on outstanding creditors'!$F2294-'data on outstanding creditors'!$G2294</f>
        <v>19260</v>
      </c>
      <c r="I2294" s="2"/>
      <c r="J2294" s="1" t="s">
        <v>757</v>
      </c>
      <c r="K2294" s="2">
        <v>45915.0</v>
      </c>
      <c r="L2294" s="5"/>
      <c r="M2294" s="9" t="s">
        <v>43</v>
      </c>
      <c r="N2294" s="9" t="s">
        <v>23</v>
      </c>
      <c r="O2294" s="10">
        <f>'data on outstanding creditors'!$E2294*100/107</f>
        <v>18000</v>
      </c>
      <c r="P2294" s="10">
        <f>'data on outstanding creditors'!$E2294-'data on outstanding creditors'!$O2294</f>
        <v>1260</v>
      </c>
      <c r="Q2294" s="7">
        <f>DAY('data on outstanding creditors'!$B2294)</f>
        <v>5</v>
      </c>
      <c r="R2294" s="7">
        <f>MONTH('data on outstanding creditors'!$B2294)</f>
        <v>8</v>
      </c>
      <c r="S2294" s="7">
        <f>YEAR('data on outstanding creditors'!$B2294)</f>
        <v>2025</v>
      </c>
      <c r="T2294" s="11" t="str">
        <f>'data on outstanding creditors'!$C2294&amp;" "&amp;'data on outstanding creditors'!$D2294&amp;" "&amp;TEXT('data on outstanding creditors'!$E2294,"#,##0.00")</f>
        <v>บ.โอเร็กซ์ เทรดดิ้ง 680705154 19,260.00</v>
      </c>
      <c r="U2294" s="12"/>
    </row>
    <row r="2295" ht="13.5" customHeight="1">
      <c r="A2295" s="1"/>
      <c r="B2295" s="2">
        <v>45874.0</v>
      </c>
      <c r="C2295" s="9" t="s">
        <v>2363</v>
      </c>
      <c r="D2295" s="1" t="s">
        <v>3299</v>
      </c>
      <c r="E2295" s="4">
        <v>30000.0</v>
      </c>
      <c r="F2295" s="4"/>
      <c r="G2295" s="4"/>
      <c r="H2295" s="4">
        <f>'data on outstanding creditors'!$E2295-'data on outstanding creditors'!$F2295-'data on outstanding creditors'!$G2295</f>
        <v>30000</v>
      </c>
      <c r="I2295" s="2"/>
      <c r="J2295" s="1" t="s">
        <v>757</v>
      </c>
      <c r="K2295" s="2">
        <v>45915.0</v>
      </c>
      <c r="L2295" s="5"/>
      <c r="M2295" s="9" t="s">
        <v>43</v>
      </c>
      <c r="N2295" s="9" t="s">
        <v>23</v>
      </c>
      <c r="O2295" s="10">
        <f>'data on outstanding creditors'!$E2295*100/107</f>
        <v>28037.38318</v>
      </c>
      <c r="P2295" s="10">
        <f>'data on outstanding creditors'!$E2295-'data on outstanding creditors'!$O2295</f>
        <v>1962.616822</v>
      </c>
      <c r="Q2295" s="7">
        <f>DAY('data on outstanding creditors'!$B2295)</f>
        <v>5</v>
      </c>
      <c r="R2295" s="7">
        <f>MONTH('data on outstanding creditors'!$B2295)</f>
        <v>8</v>
      </c>
      <c r="S2295" s="7">
        <f>YEAR('data on outstanding creditors'!$B2295)</f>
        <v>2025</v>
      </c>
      <c r="T2295" s="11" t="str">
        <f>'data on outstanding creditors'!$C2295&amp;" "&amp;'data on outstanding creditors'!$D2295&amp;" "&amp;TEXT('data on outstanding creditors'!$E2295,"#,##0.00")</f>
        <v>บ.บีเวอร์ เมดิคอล อินดัสตรี้ 686695 30,000.00</v>
      </c>
      <c r="U2295" s="12"/>
    </row>
    <row r="2296" ht="13.5" customHeight="1">
      <c r="A2296" s="1" t="s">
        <v>3300</v>
      </c>
      <c r="B2296" s="2">
        <v>45874.0</v>
      </c>
      <c r="C2296" s="9" t="s">
        <v>286</v>
      </c>
      <c r="D2296" s="1" t="s">
        <v>3301</v>
      </c>
      <c r="E2296" s="4">
        <v>20000.0</v>
      </c>
      <c r="F2296" s="4"/>
      <c r="G2296" s="4"/>
      <c r="H2296" s="4">
        <f>'data on outstanding creditors'!$E2296-'data on outstanding creditors'!$F2296-'data on outstanding creditors'!$G2296</f>
        <v>20000</v>
      </c>
      <c r="I2296" s="2"/>
      <c r="J2296" s="1" t="s">
        <v>757</v>
      </c>
      <c r="K2296" s="2">
        <v>45957.0</v>
      </c>
      <c r="L2296" s="5"/>
      <c r="M2296" s="9" t="s">
        <v>43</v>
      </c>
      <c r="N2296" s="9" t="s">
        <v>49</v>
      </c>
      <c r="O2296" s="10">
        <f>'data on outstanding creditors'!$E2296*100/107</f>
        <v>18691.58879</v>
      </c>
      <c r="P2296" s="10">
        <f>'data on outstanding creditors'!$E2296-'data on outstanding creditors'!$O2296</f>
        <v>1308.411215</v>
      </c>
      <c r="Q2296" s="7">
        <f>DAY('data on outstanding creditors'!$B2296)</f>
        <v>5</v>
      </c>
      <c r="R2296" s="7">
        <f>MONTH('data on outstanding creditors'!$B2296)</f>
        <v>8</v>
      </c>
      <c r="S2296" s="7">
        <f>YEAR('data on outstanding creditors'!$B2296)</f>
        <v>2025</v>
      </c>
      <c r="T2296" s="11" t="str">
        <f>'data on outstanding creditors'!$C2296&amp;" "&amp;'data on outstanding creditors'!$D2296&amp;" "&amp;TEXT('data on outstanding creditors'!$E2296,"#,##0.00")</f>
        <v>บ.เอ็ม ดี ซี (ประเทศไทย) IV25080173 20,000.00</v>
      </c>
      <c r="U2296" s="12"/>
    </row>
    <row r="2297" ht="13.5" customHeight="1">
      <c r="A2297" s="1" t="s">
        <v>3302</v>
      </c>
      <c r="B2297" s="2">
        <v>45874.0</v>
      </c>
      <c r="C2297" s="9" t="s">
        <v>1029</v>
      </c>
      <c r="D2297" s="1" t="s">
        <v>3303</v>
      </c>
      <c r="E2297" s="4">
        <v>11400.0</v>
      </c>
      <c r="F2297" s="4"/>
      <c r="G2297" s="4"/>
      <c r="H2297" s="4">
        <f>'data on outstanding creditors'!$E2297-'data on outstanding creditors'!$F2297-'data on outstanding creditors'!$G2297</f>
        <v>11400</v>
      </c>
      <c r="I2297" s="2"/>
      <c r="J2297" s="1"/>
      <c r="K2297" s="2"/>
      <c r="L2297" s="5"/>
      <c r="M2297" s="9" t="s">
        <v>43</v>
      </c>
      <c r="N2297" s="9" t="s">
        <v>49</v>
      </c>
      <c r="O2297" s="10">
        <f>'data on outstanding creditors'!$E2297*100/107</f>
        <v>10654.20561</v>
      </c>
      <c r="P2297" s="10">
        <f>'data on outstanding creditors'!$E2297-'data on outstanding creditors'!$O2297</f>
        <v>745.7943925</v>
      </c>
      <c r="Q2297" s="7">
        <f>DAY('data on outstanding creditors'!$B2297)</f>
        <v>5</v>
      </c>
      <c r="R2297" s="7">
        <f>MONTH('data on outstanding creditors'!$B2297)</f>
        <v>8</v>
      </c>
      <c r="S2297" s="7">
        <f>YEAR('data on outstanding creditors'!$B2297)</f>
        <v>2025</v>
      </c>
      <c r="T2297" s="11" t="str">
        <f>'data on outstanding creditors'!$C2297&amp;" "&amp;'data on outstanding creditors'!$D2297&amp;" "&amp;TEXT('data on outstanding creditors'!$E2297,"#,##0.00")</f>
        <v>บ.เอเทค เมดิคอล IV6808077 11,400.00</v>
      </c>
      <c r="U2297" s="12"/>
    </row>
    <row r="2298" ht="13.5" customHeight="1">
      <c r="A2298" s="1" t="s">
        <v>3304</v>
      </c>
      <c r="B2298" s="2">
        <v>45874.0</v>
      </c>
      <c r="C2298" s="9" t="s">
        <v>286</v>
      </c>
      <c r="D2298" s="1" t="s">
        <v>3305</v>
      </c>
      <c r="E2298" s="4">
        <v>3000.0</v>
      </c>
      <c r="F2298" s="4"/>
      <c r="G2298" s="4"/>
      <c r="H2298" s="4">
        <f>'data on outstanding creditors'!$E2298-'data on outstanding creditors'!$F2298-'data on outstanding creditors'!$G2298</f>
        <v>3000</v>
      </c>
      <c r="I2298" s="2"/>
      <c r="J2298" s="1" t="s">
        <v>757</v>
      </c>
      <c r="K2298" s="2">
        <v>45909.0</v>
      </c>
      <c r="L2298" s="5"/>
      <c r="M2298" s="9" t="s">
        <v>43</v>
      </c>
      <c r="N2298" s="9" t="s">
        <v>49</v>
      </c>
      <c r="O2298" s="10">
        <f>'data on outstanding creditors'!$E2298*100/107</f>
        <v>2803.738318</v>
      </c>
      <c r="P2298" s="10">
        <f>'data on outstanding creditors'!$E2298-'data on outstanding creditors'!$O2298</f>
        <v>196.2616822</v>
      </c>
      <c r="Q2298" s="7">
        <f>DAY('data on outstanding creditors'!$B2298)</f>
        <v>5</v>
      </c>
      <c r="R2298" s="7">
        <f>MONTH('data on outstanding creditors'!$B2298)</f>
        <v>8</v>
      </c>
      <c r="S2298" s="7">
        <f>YEAR('data on outstanding creditors'!$B2298)</f>
        <v>2025</v>
      </c>
      <c r="T2298" s="11" t="str">
        <f>'data on outstanding creditors'!$C2298&amp;" "&amp;'data on outstanding creditors'!$D2298&amp;" "&amp;TEXT('data on outstanding creditors'!$E2298,"#,##0.00")</f>
        <v>บ.เอ็ม ดี ซี (ประเทศไทย) IV25080064 3,000.00</v>
      </c>
      <c r="U2298" s="12"/>
    </row>
    <row r="2299" ht="13.5" customHeight="1">
      <c r="A2299" s="1" t="s">
        <v>3306</v>
      </c>
      <c r="B2299" s="2">
        <v>45874.0</v>
      </c>
      <c r="C2299" s="9" t="s">
        <v>399</v>
      </c>
      <c r="D2299" s="1" t="s">
        <v>3307</v>
      </c>
      <c r="E2299" s="4">
        <v>8185.5</v>
      </c>
      <c r="F2299" s="4"/>
      <c r="G2299" s="4"/>
      <c r="H2299" s="4">
        <f>'data on outstanding creditors'!$E2299-'data on outstanding creditors'!$F2299-'data on outstanding creditors'!$G2299</f>
        <v>8185.5</v>
      </c>
      <c r="I2299" s="2"/>
      <c r="J2299" s="1" t="s">
        <v>646</v>
      </c>
      <c r="K2299" s="2">
        <v>45943.0</v>
      </c>
      <c r="L2299" s="5"/>
      <c r="M2299" s="9" t="s">
        <v>43</v>
      </c>
      <c r="N2299" s="9" t="s">
        <v>49</v>
      </c>
      <c r="O2299" s="10">
        <f>'data on outstanding creditors'!$E2299*100/107</f>
        <v>7650</v>
      </c>
      <c r="P2299" s="10">
        <f>'data on outstanding creditors'!$E2299-'data on outstanding creditors'!$O2299</f>
        <v>535.5</v>
      </c>
      <c r="Q2299" s="7">
        <f>DAY('data on outstanding creditors'!$B2299)</f>
        <v>5</v>
      </c>
      <c r="R2299" s="7">
        <f>MONTH('data on outstanding creditors'!$B2299)</f>
        <v>8</v>
      </c>
      <c r="S2299" s="7">
        <f>YEAR('data on outstanding creditors'!$B2299)</f>
        <v>2025</v>
      </c>
      <c r="T2299" s="11" t="str">
        <f>'data on outstanding creditors'!$C2299&amp;" "&amp;'data on outstanding creditors'!$D2299&amp;" "&amp;TEXT('data on outstanding creditors'!$E2299,"#,##0.00")</f>
        <v>บ.ดีเคเอสเอช(ประเทศไทย) 5344100593 8,185.50</v>
      </c>
      <c r="U2299" s="12"/>
    </row>
    <row r="2300" ht="13.5" customHeight="1">
      <c r="A2300" s="1" t="s">
        <v>3308</v>
      </c>
      <c r="B2300" s="2">
        <v>45875.0</v>
      </c>
      <c r="C2300" s="9" t="s">
        <v>1029</v>
      </c>
      <c r="D2300" s="1" t="s">
        <v>3309</v>
      </c>
      <c r="E2300" s="4">
        <v>17600.0</v>
      </c>
      <c r="F2300" s="4"/>
      <c r="G2300" s="4"/>
      <c r="H2300" s="4">
        <f>'data on outstanding creditors'!$E2300-'data on outstanding creditors'!$F2300-'data on outstanding creditors'!$G2300</f>
        <v>17600</v>
      </c>
      <c r="I2300" s="2"/>
      <c r="J2300" s="1" t="s">
        <v>757</v>
      </c>
      <c r="K2300" s="2">
        <v>45957.0</v>
      </c>
      <c r="L2300" s="5"/>
      <c r="M2300" s="9" t="s">
        <v>43</v>
      </c>
      <c r="N2300" s="9" t="s">
        <v>49</v>
      </c>
      <c r="O2300" s="10">
        <f>'data on outstanding creditors'!$E2300*100/107</f>
        <v>16448.59813</v>
      </c>
      <c r="P2300" s="10">
        <f>'data on outstanding creditors'!$E2300-'data on outstanding creditors'!$O2300</f>
        <v>1151.401869</v>
      </c>
      <c r="Q2300" s="7">
        <f>DAY('data on outstanding creditors'!$B2300)</f>
        <v>6</v>
      </c>
      <c r="R2300" s="7">
        <f>MONTH('data on outstanding creditors'!$B2300)</f>
        <v>8</v>
      </c>
      <c r="S2300" s="7">
        <f>YEAR('data on outstanding creditors'!$B2300)</f>
        <v>2025</v>
      </c>
      <c r="T2300" s="11" t="str">
        <f>'data on outstanding creditors'!$C2300&amp;" "&amp;'data on outstanding creditors'!$D2300&amp;" "&amp;TEXT('data on outstanding creditors'!$E2300,"#,##0.00")</f>
        <v>บ.เอเทค เมดิคอล IV6808102 17,600.00</v>
      </c>
      <c r="U2300" s="12"/>
    </row>
    <row r="2301" ht="13.5" customHeight="1">
      <c r="A2301" s="1" t="s">
        <v>3310</v>
      </c>
      <c r="B2301" s="2">
        <v>45875.0</v>
      </c>
      <c r="C2301" s="9" t="s">
        <v>1029</v>
      </c>
      <c r="D2301" s="1" t="s">
        <v>3311</v>
      </c>
      <c r="E2301" s="4">
        <v>15500.0</v>
      </c>
      <c r="F2301" s="4"/>
      <c r="G2301" s="4"/>
      <c r="H2301" s="4">
        <f>'data on outstanding creditors'!$E2301-'data on outstanding creditors'!$F2301-'data on outstanding creditors'!$G2301</f>
        <v>15500</v>
      </c>
      <c r="I2301" s="2"/>
      <c r="J2301" s="1" t="s">
        <v>757</v>
      </c>
      <c r="K2301" s="2">
        <v>45957.0</v>
      </c>
      <c r="L2301" s="5"/>
      <c r="M2301" s="9" t="s">
        <v>43</v>
      </c>
      <c r="N2301" s="9" t="s">
        <v>49</v>
      </c>
      <c r="O2301" s="10">
        <f>'data on outstanding creditors'!$E2301*100/107</f>
        <v>14485.98131</v>
      </c>
      <c r="P2301" s="10">
        <f>'data on outstanding creditors'!$E2301-'data on outstanding creditors'!$O2301</f>
        <v>1014.018692</v>
      </c>
      <c r="Q2301" s="7">
        <f>DAY('data on outstanding creditors'!$B2301)</f>
        <v>6</v>
      </c>
      <c r="R2301" s="7">
        <f>MONTH('data on outstanding creditors'!$B2301)</f>
        <v>8</v>
      </c>
      <c r="S2301" s="7">
        <f>YEAR('data on outstanding creditors'!$B2301)</f>
        <v>2025</v>
      </c>
      <c r="T2301" s="11" t="str">
        <f>'data on outstanding creditors'!$C2301&amp;" "&amp;'data on outstanding creditors'!$D2301&amp;" "&amp;TEXT('data on outstanding creditors'!$E2301,"#,##0.00")</f>
        <v>บ.เอเทค เมดิคอล IV6808101 15,500.00</v>
      </c>
      <c r="U2301" s="12"/>
    </row>
    <row r="2302" ht="13.5" customHeight="1">
      <c r="A2302" s="1" t="s">
        <v>3312</v>
      </c>
      <c r="B2302" s="2">
        <v>45875.0</v>
      </c>
      <c r="C2302" s="9" t="s">
        <v>2275</v>
      </c>
      <c r="D2302" s="1" t="s">
        <v>3313</v>
      </c>
      <c r="E2302" s="4">
        <v>15000.0</v>
      </c>
      <c r="F2302" s="4"/>
      <c r="G2302" s="4"/>
      <c r="H2302" s="4">
        <f>'data on outstanding creditors'!$E2302-'data on outstanding creditors'!$F2302-'data on outstanding creditors'!$G2302</f>
        <v>15000</v>
      </c>
      <c r="I2302" s="2"/>
      <c r="J2302" s="1" t="s">
        <v>757</v>
      </c>
      <c r="K2302" s="2">
        <v>45909.0</v>
      </c>
      <c r="L2302" s="5"/>
      <c r="M2302" s="9" t="s">
        <v>43</v>
      </c>
      <c r="N2302" s="9" t="s">
        <v>49</v>
      </c>
      <c r="O2302" s="10">
        <f>'data on outstanding creditors'!$E2302*100/107</f>
        <v>14018.69159</v>
      </c>
      <c r="P2302" s="10">
        <f>'data on outstanding creditors'!$E2302-'data on outstanding creditors'!$O2302</f>
        <v>981.3084112</v>
      </c>
      <c r="Q2302" s="7">
        <f>DAY('data on outstanding creditors'!$B2302)</f>
        <v>6</v>
      </c>
      <c r="R2302" s="7">
        <f>MONTH('data on outstanding creditors'!$B2302)</f>
        <v>8</v>
      </c>
      <c r="S2302" s="7">
        <f>YEAR('data on outstanding creditors'!$B2302)</f>
        <v>2025</v>
      </c>
      <c r="T2302" s="11" t="str">
        <f>'data on outstanding creditors'!$C2302&amp;" "&amp;'data on outstanding creditors'!$D2302&amp;" "&amp;TEXT('data on outstanding creditors'!$E2302,"#,##0.00")</f>
        <v>บ.ยู.พี.เมดิคอล ซอลเตอร์ 682288 15,000.00</v>
      </c>
      <c r="U2302" s="12"/>
    </row>
    <row r="2303" ht="13.5" customHeight="1">
      <c r="A2303" s="1" t="s">
        <v>3314</v>
      </c>
      <c r="B2303" s="2">
        <v>45875.0</v>
      </c>
      <c r="C2303" s="9" t="s">
        <v>399</v>
      </c>
      <c r="D2303" s="1" t="s">
        <v>3315</v>
      </c>
      <c r="E2303" s="4">
        <v>5350.0</v>
      </c>
      <c r="F2303" s="4"/>
      <c r="G2303" s="4"/>
      <c r="H2303" s="4">
        <f>'data on outstanding creditors'!$E2303-'data on outstanding creditors'!$F2303-'data on outstanding creditors'!$G2303</f>
        <v>5350</v>
      </c>
      <c r="I2303" s="2"/>
      <c r="J2303" s="1" t="s">
        <v>646</v>
      </c>
      <c r="K2303" s="2">
        <v>45943.0</v>
      </c>
      <c r="L2303" s="5"/>
      <c r="M2303" s="9" t="s">
        <v>43</v>
      </c>
      <c r="N2303" s="9" t="s">
        <v>49</v>
      </c>
      <c r="O2303" s="10">
        <f>'data on outstanding creditors'!$E2303*100/107</f>
        <v>5000</v>
      </c>
      <c r="P2303" s="10">
        <f>'data on outstanding creditors'!$E2303-'data on outstanding creditors'!$O2303</f>
        <v>350</v>
      </c>
      <c r="Q2303" s="7">
        <f>DAY('data on outstanding creditors'!$B2303)</f>
        <v>6</v>
      </c>
      <c r="R2303" s="7">
        <f>MONTH('data on outstanding creditors'!$B2303)</f>
        <v>8</v>
      </c>
      <c r="S2303" s="7">
        <f>YEAR('data on outstanding creditors'!$B2303)</f>
        <v>2025</v>
      </c>
      <c r="T2303" s="11" t="str">
        <f>'data on outstanding creditors'!$C2303&amp;" "&amp;'data on outstanding creditors'!$D2303&amp;" "&amp;TEXT('data on outstanding creditors'!$E2303,"#,##0.00")</f>
        <v>บ.ดีเคเอสเอช(ประเทศไทย) 5344109740 5,350.00</v>
      </c>
      <c r="U2303" s="12"/>
    </row>
    <row r="2304" ht="13.5" customHeight="1">
      <c r="A2304" s="1" t="s">
        <v>3316</v>
      </c>
      <c r="B2304" s="2">
        <v>45875.0</v>
      </c>
      <c r="C2304" s="9" t="s">
        <v>2334</v>
      </c>
      <c r="D2304" s="1" t="s">
        <v>3317</v>
      </c>
      <c r="E2304" s="4">
        <v>84000.0</v>
      </c>
      <c r="F2304" s="4"/>
      <c r="G2304" s="4"/>
      <c r="H2304" s="4">
        <f>'data on outstanding creditors'!$E2304-'data on outstanding creditors'!$F2304-'data on outstanding creditors'!$G2304</f>
        <v>84000</v>
      </c>
      <c r="I2304" s="2"/>
      <c r="J2304" s="1" t="s">
        <v>757</v>
      </c>
      <c r="K2304" s="2">
        <v>45909.0</v>
      </c>
      <c r="L2304" s="5"/>
      <c r="M2304" s="9" t="s">
        <v>43</v>
      </c>
      <c r="N2304" s="9" t="s">
        <v>49</v>
      </c>
      <c r="O2304" s="10">
        <f>'data on outstanding creditors'!$E2304*100/107</f>
        <v>78504.6729</v>
      </c>
      <c r="P2304" s="10">
        <f>'data on outstanding creditors'!$E2304-'data on outstanding creditors'!$O2304</f>
        <v>5495.327103</v>
      </c>
      <c r="Q2304" s="7">
        <f>DAY('data on outstanding creditors'!$B2304)</f>
        <v>6</v>
      </c>
      <c r="R2304" s="7">
        <f>MONTH('data on outstanding creditors'!$B2304)</f>
        <v>8</v>
      </c>
      <c r="S2304" s="7">
        <f>YEAR('data on outstanding creditors'!$B2304)</f>
        <v>2025</v>
      </c>
      <c r="T2304" s="11" t="str">
        <f>'data on outstanding creditors'!$C2304&amp;" "&amp;'data on outstanding creditors'!$D2304&amp;" "&amp;TEXT('data on outstanding creditors'!$E2304,"#,##0.00")</f>
        <v>บ.ไทยก๊อส IV6830653 84,000.00</v>
      </c>
      <c r="U2304" s="12"/>
    </row>
    <row r="2305" ht="13.5" customHeight="1">
      <c r="A2305" s="1" t="s">
        <v>3318</v>
      </c>
      <c r="B2305" s="2">
        <v>45876.0</v>
      </c>
      <c r="C2305" s="9" t="s">
        <v>2740</v>
      </c>
      <c r="D2305" s="1" t="s">
        <v>3319</v>
      </c>
      <c r="E2305" s="4">
        <v>13750.0</v>
      </c>
      <c r="F2305" s="4"/>
      <c r="G2305" s="4"/>
      <c r="H2305" s="4">
        <f>'data on outstanding creditors'!$E2305-'data on outstanding creditors'!$F2305-'data on outstanding creditors'!$G2305</f>
        <v>13750</v>
      </c>
      <c r="I2305" s="2"/>
      <c r="J2305" s="1" t="s">
        <v>757</v>
      </c>
      <c r="K2305" s="2">
        <v>45922.0</v>
      </c>
      <c r="L2305" s="5"/>
      <c r="M2305" s="9" t="s">
        <v>43</v>
      </c>
      <c r="N2305" s="9" t="s">
        <v>49</v>
      </c>
      <c r="O2305" s="10">
        <f>'data on outstanding creditors'!$E2305*100/107</f>
        <v>12850.46729</v>
      </c>
      <c r="P2305" s="10">
        <f>'data on outstanding creditors'!$E2305-'data on outstanding creditors'!$O2305</f>
        <v>899.5327103</v>
      </c>
      <c r="Q2305" s="7">
        <f>DAY('data on outstanding creditors'!$B2305)</f>
        <v>7</v>
      </c>
      <c r="R2305" s="7">
        <f>MONTH('data on outstanding creditors'!$B2305)</f>
        <v>8</v>
      </c>
      <c r="S2305" s="7">
        <f>YEAR('data on outstanding creditors'!$B2305)</f>
        <v>2025</v>
      </c>
      <c r="T2305" s="11" t="str">
        <f>'data on outstanding creditors'!$C2305&amp;" "&amp;'data on outstanding creditors'!$D2305&amp;" "&amp;TEXT('data on outstanding creditors'!$E2305,"#,##0.00")</f>
        <v>บ.ไพ ออริตี้ แคร์ โปรดักส์ IV6801098 13,750.00</v>
      </c>
      <c r="U2305" s="12"/>
    </row>
    <row r="2306" ht="13.5" customHeight="1">
      <c r="A2306" s="1" t="s">
        <v>3320</v>
      </c>
      <c r="B2306" s="2">
        <v>45876.0</v>
      </c>
      <c r="C2306" s="9" t="s">
        <v>1029</v>
      </c>
      <c r="D2306" s="1" t="s">
        <v>3321</v>
      </c>
      <c r="E2306" s="4">
        <v>11400.0</v>
      </c>
      <c r="F2306" s="4"/>
      <c r="G2306" s="4"/>
      <c r="H2306" s="4">
        <f>'data on outstanding creditors'!$E2306-'data on outstanding creditors'!$F2306-'data on outstanding creditors'!$G2306</f>
        <v>11400</v>
      </c>
      <c r="I2306" s="2"/>
      <c r="J2306" s="1"/>
      <c r="K2306" s="2"/>
      <c r="L2306" s="5"/>
      <c r="M2306" s="9" t="s">
        <v>43</v>
      </c>
      <c r="N2306" s="9" t="s">
        <v>49</v>
      </c>
      <c r="O2306" s="10">
        <f>'data on outstanding creditors'!$E2306*100/107</f>
        <v>10654.20561</v>
      </c>
      <c r="P2306" s="10">
        <f>'data on outstanding creditors'!$E2306-'data on outstanding creditors'!$O2306</f>
        <v>745.7943925</v>
      </c>
      <c r="Q2306" s="7">
        <f>DAY('data on outstanding creditors'!$B2306)</f>
        <v>7</v>
      </c>
      <c r="R2306" s="7">
        <f>MONTH('data on outstanding creditors'!$B2306)</f>
        <v>8</v>
      </c>
      <c r="S2306" s="7">
        <f>YEAR('data on outstanding creditors'!$B2306)</f>
        <v>2025</v>
      </c>
      <c r="T2306" s="11" t="str">
        <f>'data on outstanding creditors'!$C2306&amp;" "&amp;'data on outstanding creditors'!$D2306&amp;" "&amp;TEXT('data on outstanding creditors'!$E2306,"#,##0.00")</f>
        <v>บ.เอเทค เมดิคอล IV6808158 11,400.00</v>
      </c>
      <c r="U2306" s="12"/>
    </row>
    <row r="2307" ht="13.5" customHeight="1">
      <c r="A2307" s="1"/>
      <c r="B2307" s="2">
        <v>45877.0</v>
      </c>
      <c r="C2307" s="9" t="s">
        <v>1114</v>
      </c>
      <c r="D2307" s="1" t="s">
        <v>3322</v>
      </c>
      <c r="E2307" s="4">
        <v>2600.0</v>
      </c>
      <c r="F2307" s="4"/>
      <c r="G2307" s="4"/>
      <c r="H2307" s="4">
        <f>'data on outstanding creditors'!$E2307-'data on outstanding creditors'!$F2307-'data on outstanding creditors'!$G2307</f>
        <v>2600</v>
      </c>
      <c r="I2307" s="2"/>
      <c r="J2307" s="1" t="s">
        <v>646</v>
      </c>
      <c r="K2307" s="2">
        <v>45952.0</v>
      </c>
      <c r="L2307" s="5"/>
      <c r="M2307" s="9" t="s">
        <v>43</v>
      </c>
      <c r="N2307" s="9" t="s">
        <v>23</v>
      </c>
      <c r="O2307" s="10">
        <f>'data on outstanding creditors'!$E2307*100/107</f>
        <v>2429.906542</v>
      </c>
      <c r="P2307" s="10">
        <f>'data on outstanding creditors'!$E2307-'data on outstanding creditors'!$O2307</f>
        <v>170.0934579</v>
      </c>
      <c r="Q2307" s="7">
        <f>DAY('data on outstanding creditors'!$B2307)</f>
        <v>8</v>
      </c>
      <c r="R2307" s="7">
        <f>MONTH('data on outstanding creditors'!$B2307)</f>
        <v>8</v>
      </c>
      <c r="S2307" s="7">
        <f>YEAR('data on outstanding creditors'!$B2307)</f>
        <v>2025</v>
      </c>
      <c r="T2307" s="11" t="str">
        <f>'data on outstanding creditors'!$C2307&amp;" "&amp;'data on outstanding creditors'!$D2307&amp;" "&amp;TEXT('data on outstanding creditors'!$E2307,"#,##0.00")</f>
        <v>หจก.อิเลฟเว่น พลัซ EL680725213 2,600.00</v>
      </c>
      <c r="U2307" s="12"/>
    </row>
    <row r="2308" ht="13.5" customHeight="1">
      <c r="A2308" s="1"/>
      <c r="B2308" s="2">
        <v>45877.0</v>
      </c>
      <c r="C2308" s="9" t="s">
        <v>1114</v>
      </c>
      <c r="D2308" s="1" t="s">
        <v>3323</v>
      </c>
      <c r="E2308" s="4">
        <v>10800.0</v>
      </c>
      <c r="F2308" s="4"/>
      <c r="G2308" s="4"/>
      <c r="H2308" s="4">
        <f>'data on outstanding creditors'!$E2308-'data on outstanding creditors'!$F2308-'data on outstanding creditors'!$G2308</f>
        <v>10800</v>
      </c>
      <c r="I2308" s="2"/>
      <c r="J2308" s="1" t="s">
        <v>646</v>
      </c>
      <c r="K2308" s="2">
        <v>45952.0</v>
      </c>
      <c r="L2308" s="5"/>
      <c r="M2308" s="9" t="s">
        <v>43</v>
      </c>
      <c r="N2308" s="9" t="s">
        <v>23</v>
      </c>
      <c r="O2308" s="10">
        <f>'data on outstanding creditors'!$E2308*100/107</f>
        <v>10093.45794</v>
      </c>
      <c r="P2308" s="10">
        <f>'data on outstanding creditors'!$E2308-'data on outstanding creditors'!$O2308</f>
        <v>706.5420561</v>
      </c>
      <c r="Q2308" s="7">
        <f>DAY('data on outstanding creditors'!$B2308)</f>
        <v>8</v>
      </c>
      <c r="R2308" s="7">
        <f>MONTH('data on outstanding creditors'!$B2308)</f>
        <v>8</v>
      </c>
      <c r="S2308" s="7">
        <f>YEAR('data on outstanding creditors'!$B2308)</f>
        <v>2025</v>
      </c>
      <c r="T2308" s="11" t="str">
        <f>'data on outstanding creditors'!$C2308&amp;" "&amp;'data on outstanding creditors'!$D2308&amp;" "&amp;TEXT('data on outstanding creditors'!$E2308,"#,##0.00")</f>
        <v>หจก.อิเลฟเว่น พลัซ EL680724201 10,800.00</v>
      </c>
      <c r="U2308" s="12"/>
    </row>
    <row r="2309" ht="13.5" customHeight="1">
      <c r="A2309" s="1" t="s">
        <v>3324</v>
      </c>
      <c r="B2309" s="2">
        <v>45877.0</v>
      </c>
      <c r="C2309" s="9" t="s">
        <v>1029</v>
      </c>
      <c r="D2309" s="1" t="s">
        <v>3325</v>
      </c>
      <c r="E2309" s="4">
        <v>21500.0</v>
      </c>
      <c r="F2309" s="4"/>
      <c r="G2309" s="4"/>
      <c r="H2309" s="4">
        <f>'data on outstanding creditors'!$E2309-'data on outstanding creditors'!$F2309-'data on outstanding creditors'!$G2309</f>
        <v>21500</v>
      </c>
      <c r="I2309" s="2"/>
      <c r="J2309" s="1" t="s">
        <v>757</v>
      </c>
      <c r="K2309" s="2">
        <v>45909.0</v>
      </c>
      <c r="L2309" s="5"/>
      <c r="M2309" s="9" t="s">
        <v>43</v>
      </c>
      <c r="N2309" s="9" t="s">
        <v>49</v>
      </c>
      <c r="O2309" s="10">
        <f>'data on outstanding creditors'!$E2309*100/107</f>
        <v>20093.45794</v>
      </c>
      <c r="P2309" s="10">
        <f>'data on outstanding creditors'!$E2309-'data on outstanding creditors'!$O2309</f>
        <v>1406.542056</v>
      </c>
      <c r="Q2309" s="7">
        <f>DAY('data on outstanding creditors'!$B2309)</f>
        <v>8</v>
      </c>
      <c r="R2309" s="7">
        <f>MONTH('data on outstanding creditors'!$B2309)</f>
        <v>8</v>
      </c>
      <c r="S2309" s="7">
        <f>YEAR('data on outstanding creditors'!$B2309)</f>
        <v>2025</v>
      </c>
      <c r="T2309" s="11" t="str">
        <f>'data on outstanding creditors'!$C2309&amp;" "&amp;'data on outstanding creditors'!$D2309&amp;" "&amp;TEXT('data on outstanding creditors'!$E2309,"#,##0.00")</f>
        <v>บ.เอเทค เมดิคอล IV6808126 21,500.00</v>
      </c>
      <c r="U2309" s="12"/>
    </row>
    <row r="2310" ht="13.5" customHeight="1">
      <c r="A2310" s="1" t="s">
        <v>3326</v>
      </c>
      <c r="B2310" s="2">
        <v>45877.0</v>
      </c>
      <c r="C2310" s="9" t="s">
        <v>2408</v>
      </c>
      <c r="D2310" s="1" t="s">
        <v>3327</v>
      </c>
      <c r="E2310" s="4">
        <v>12240.8</v>
      </c>
      <c r="F2310" s="4"/>
      <c r="G2310" s="4"/>
      <c r="H2310" s="4">
        <f>'data on outstanding creditors'!$E2310-'data on outstanding creditors'!$F2310-'data on outstanding creditors'!$G2310</f>
        <v>12240.8</v>
      </c>
      <c r="I2310" s="2"/>
      <c r="J2310" s="1" t="s">
        <v>646</v>
      </c>
      <c r="K2310" s="2">
        <v>45929.0</v>
      </c>
      <c r="L2310" s="5"/>
      <c r="M2310" s="9" t="s">
        <v>43</v>
      </c>
      <c r="N2310" s="9" t="s">
        <v>49</v>
      </c>
      <c r="O2310" s="10">
        <f>'data on outstanding creditors'!$E2310*100/107</f>
        <v>11440</v>
      </c>
      <c r="P2310" s="10">
        <f>'data on outstanding creditors'!$E2310-'data on outstanding creditors'!$O2310</f>
        <v>800.8</v>
      </c>
      <c r="Q2310" s="7">
        <f>DAY('data on outstanding creditors'!$B2310)</f>
        <v>8</v>
      </c>
      <c r="R2310" s="7">
        <f>MONTH('data on outstanding creditors'!$B2310)</f>
        <v>8</v>
      </c>
      <c r="S2310" s="7">
        <f>YEAR('data on outstanding creditors'!$B2310)</f>
        <v>2025</v>
      </c>
      <c r="T2310" s="11" t="str">
        <f>'data on outstanding creditors'!$C2310&amp;" "&amp;'data on outstanding creditors'!$D2310&amp;" "&amp;TEXT('data on outstanding creditors'!$E2310,"#,##0.00")</f>
        <v>บ.จอห์นสัน แอนด์ จอห์นสัน(ประเทศไทย) 9985772801 12,240.80</v>
      </c>
      <c r="U2310" s="12"/>
    </row>
    <row r="2311" ht="13.5" customHeight="1">
      <c r="A2311" s="1" t="s">
        <v>3328</v>
      </c>
      <c r="B2311" s="2">
        <v>45877.0</v>
      </c>
      <c r="C2311" s="9" t="s">
        <v>399</v>
      </c>
      <c r="D2311" s="1" t="s">
        <v>3329</v>
      </c>
      <c r="E2311" s="4">
        <v>10272.0</v>
      </c>
      <c r="F2311" s="4"/>
      <c r="G2311" s="4"/>
      <c r="H2311" s="4">
        <f>'data on outstanding creditors'!$E2311-'data on outstanding creditors'!$F2311-'data on outstanding creditors'!$G2311</f>
        <v>10272</v>
      </c>
      <c r="I2311" s="2"/>
      <c r="J2311" s="1" t="s">
        <v>646</v>
      </c>
      <c r="K2311" s="2">
        <v>45943.0</v>
      </c>
      <c r="L2311" s="5"/>
      <c r="M2311" s="9" t="s">
        <v>43</v>
      </c>
      <c r="N2311" s="9" t="s">
        <v>49</v>
      </c>
      <c r="O2311" s="10">
        <f>'data on outstanding creditors'!$E2311*100/107</f>
        <v>9600</v>
      </c>
      <c r="P2311" s="10">
        <f>'data on outstanding creditors'!$E2311-'data on outstanding creditors'!$O2311</f>
        <v>672</v>
      </c>
      <c r="Q2311" s="7">
        <f>DAY('data on outstanding creditors'!$B2311)</f>
        <v>8</v>
      </c>
      <c r="R2311" s="7">
        <f>MONTH('data on outstanding creditors'!$B2311)</f>
        <v>8</v>
      </c>
      <c r="S2311" s="7">
        <f>YEAR('data on outstanding creditors'!$B2311)</f>
        <v>2025</v>
      </c>
      <c r="T2311" s="11" t="str">
        <f>'data on outstanding creditors'!$C2311&amp;" "&amp;'data on outstanding creditors'!$D2311&amp;" "&amp;TEXT('data on outstanding creditors'!$E2311,"#,##0.00")</f>
        <v>บ.ดีเคเอสเอช(ประเทศไทย) 5344131692 10,272.00</v>
      </c>
      <c r="U2311" s="12"/>
    </row>
    <row r="2312" ht="13.5" customHeight="1">
      <c r="A2312" s="1" t="s">
        <v>3330</v>
      </c>
      <c r="B2312" s="2">
        <v>45877.0</v>
      </c>
      <c r="C2312" s="9" t="s">
        <v>1029</v>
      </c>
      <c r="D2312" s="1" t="s">
        <v>3331</v>
      </c>
      <c r="E2312" s="4">
        <v>15800.0</v>
      </c>
      <c r="F2312" s="4"/>
      <c r="G2312" s="4"/>
      <c r="H2312" s="4">
        <f>'data on outstanding creditors'!$E2312-'data on outstanding creditors'!$F2312-'data on outstanding creditors'!$G2312</f>
        <v>15800</v>
      </c>
      <c r="I2312" s="2"/>
      <c r="J2312" s="1" t="s">
        <v>757</v>
      </c>
      <c r="K2312" s="2">
        <v>45954.0</v>
      </c>
      <c r="L2312" s="5"/>
      <c r="M2312" s="9" t="s">
        <v>43</v>
      </c>
      <c r="N2312" s="9" t="s">
        <v>49</v>
      </c>
      <c r="O2312" s="10">
        <f>'data on outstanding creditors'!$E2312*100/107</f>
        <v>14766.35514</v>
      </c>
      <c r="P2312" s="10">
        <f>'data on outstanding creditors'!$E2312-'data on outstanding creditors'!$O2312</f>
        <v>1033.64486</v>
      </c>
      <c r="Q2312" s="7">
        <f>DAY('data on outstanding creditors'!$B2312)</f>
        <v>8</v>
      </c>
      <c r="R2312" s="7">
        <f>MONTH('data on outstanding creditors'!$B2312)</f>
        <v>8</v>
      </c>
      <c r="S2312" s="7">
        <f>YEAR('data on outstanding creditors'!$B2312)</f>
        <v>2025</v>
      </c>
      <c r="T2312" s="11" t="str">
        <f>'data on outstanding creditors'!$C2312&amp;" "&amp;'data on outstanding creditors'!$D2312&amp;" "&amp;TEXT('data on outstanding creditors'!$E2312,"#,##0.00")</f>
        <v>บ.เอเทค เมดิคอล IV6808163 15,800.00</v>
      </c>
      <c r="U2312" s="12"/>
    </row>
    <row r="2313" ht="13.5" customHeight="1">
      <c r="A2313" s="1" t="s">
        <v>3332</v>
      </c>
      <c r="B2313" s="2">
        <v>45877.0</v>
      </c>
      <c r="C2313" s="9" t="s">
        <v>1029</v>
      </c>
      <c r="D2313" s="1" t="s">
        <v>3333</v>
      </c>
      <c r="E2313" s="4">
        <v>15200.0</v>
      </c>
      <c r="F2313" s="4"/>
      <c r="G2313" s="4"/>
      <c r="H2313" s="4">
        <f>'data on outstanding creditors'!$E2313-'data on outstanding creditors'!$F2313-'data on outstanding creditors'!$G2313</f>
        <v>15200</v>
      </c>
      <c r="I2313" s="2"/>
      <c r="J2313" s="1" t="s">
        <v>757</v>
      </c>
      <c r="K2313" s="2">
        <v>45957.0</v>
      </c>
      <c r="L2313" s="5"/>
      <c r="M2313" s="9" t="s">
        <v>43</v>
      </c>
      <c r="N2313" s="9" t="s">
        <v>49</v>
      </c>
      <c r="O2313" s="10">
        <f>'data on outstanding creditors'!$E2313*100/107</f>
        <v>14205.60748</v>
      </c>
      <c r="P2313" s="10">
        <f>'data on outstanding creditors'!$E2313-'data on outstanding creditors'!$O2313</f>
        <v>994.3925234</v>
      </c>
      <c r="Q2313" s="7">
        <f>DAY('data on outstanding creditors'!$B2313)</f>
        <v>8</v>
      </c>
      <c r="R2313" s="7">
        <f>MONTH('data on outstanding creditors'!$B2313)</f>
        <v>8</v>
      </c>
      <c r="S2313" s="7">
        <f>YEAR('data on outstanding creditors'!$B2313)</f>
        <v>2025</v>
      </c>
      <c r="T2313" s="11" t="str">
        <f>'data on outstanding creditors'!$C2313&amp;" "&amp;'data on outstanding creditors'!$D2313&amp;" "&amp;TEXT('data on outstanding creditors'!$E2313,"#,##0.00")</f>
        <v>บ.เอเทค เมดิคอล IV6808162 15,200.00</v>
      </c>
      <c r="U2313" s="12"/>
    </row>
    <row r="2314" ht="13.5" customHeight="1">
      <c r="A2314" s="1" t="s">
        <v>3334</v>
      </c>
      <c r="B2314" s="2">
        <v>45877.0</v>
      </c>
      <c r="C2314" s="9" t="s">
        <v>1029</v>
      </c>
      <c r="D2314" s="1" t="s">
        <v>3335</v>
      </c>
      <c r="E2314" s="4">
        <v>17600.0</v>
      </c>
      <c r="F2314" s="4"/>
      <c r="G2314" s="4"/>
      <c r="H2314" s="4">
        <f>'data on outstanding creditors'!$E2314-'data on outstanding creditors'!$F2314-'data on outstanding creditors'!$G2314</f>
        <v>17600</v>
      </c>
      <c r="I2314" s="2"/>
      <c r="J2314" s="1" t="s">
        <v>757</v>
      </c>
      <c r="K2314" s="2">
        <v>45954.0</v>
      </c>
      <c r="L2314" s="5"/>
      <c r="M2314" s="9" t="s">
        <v>43</v>
      </c>
      <c r="N2314" s="9" t="s">
        <v>49</v>
      </c>
      <c r="O2314" s="10">
        <f>'data on outstanding creditors'!$E2314*100/107</f>
        <v>16448.59813</v>
      </c>
      <c r="P2314" s="10">
        <f>'data on outstanding creditors'!$E2314-'data on outstanding creditors'!$O2314</f>
        <v>1151.401869</v>
      </c>
      <c r="Q2314" s="7">
        <f>DAY('data on outstanding creditors'!$B2314)</f>
        <v>8</v>
      </c>
      <c r="R2314" s="7">
        <f>MONTH('data on outstanding creditors'!$B2314)</f>
        <v>8</v>
      </c>
      <c r="S2314" s="7">
        <f>YEAR('data on outstanding creditors'!$B2314)</f>
        <v>2025</v>
      </c>
      <c r="T2314" s="11" t="str">
        <f>'data on outstanding creditors'!$C2314&amp;" "&amp;'data on outstanding creditors'!$D2314&amp;" "&amp;TEXT('data on outstanding creditors'!$E2314,"#,##0.00")</f>
        <v>บ.เอเทค เมดิคอล IV6808177 17,600.00</v>
      </c>
      <c r="U2314" s="12"/>
    </row>
    <row r="2315" ht="13.5" customHeight="1">
      <c r="A2315" s="1" t="s">
        <v>3336</v>
      </c>
      <c r="B2315" s="2">
        <v>45877.0</v>
      </c>
      <c r="C2315" s="9" t="s">
        <v>286</v>
      </c>
      <c r="D2315" s="1" t="s">
        <v>3337</v>
      </c>
      <c r="E2315" s="4">
        <v>20000.0</v>
      </c>
      <c r="F2315" s="4"/>
      <c r="G2315" s="4"/>
      <c r="H2315" s="4">
        <f>'data on outstanding creditors'!$E2315-'data on outstanding creditors'!$F2315-'data on outstanding creditors'!$G2315</f>
        <v>20000</v>
      </c>
      <c r="I2315" s="2"/>
      <c r="J2315" s="1" t="s">
        <v>757</v>
      </c>
      <c r="K2315" s="2">
        <v>45957.0</v>
      </c>
      <c r="L2315" s="5"/>
      <c r="M2315" s="9" t="s">
        <v>43</v>
      </c>
      <c r="N2315" s="9" t="s">
        <v>49</v>
      </c>
      <c r="O2315" s="10">
        <f>'data on outstanding creditors'!$E2315*100/107</f>
        <v>18691.58879</v>
      </c>
      <c r="P2315" s="10">
        <f>'data on outstanding creditors'!$E2315-'data on outstanding creditors'!$O2315</f>
        <v>1308.411215</v>
      </c>
      <c r="Q2315" s="7">
        <f>DAY('data on outstanding creditors'!$B2315)</f>
        <v>8</v>
      </c>
      <c r="R2315" s="7">
        <f>MONTH('data on outstanding creditors'!$B2315)</f>
        <v>8</v>
      </c>
      <c r="S2315" s="7">
        <f>YEAR('data on outstanding creditors'!$B2315)</f>
        <v>2025</v>
      </c>
      <c r="T2315" s="11" t="str">
        <f>'data on outstanding creditors'!$C2315&amp;" "&amp;'data on outstanding creditors'!$D2315&amp;" "&amp;TEXT('data on outstanding creditors'!$E2315,"#,##0.00")</f>
        <v>บ.เอ็ม ดี ซี (ประเทศไทย) IV25080712 20,000.00</v>
      </c>
      <c r="U2315" s="12"/>
    </row>
    <row r="2316" ht="13.5" customHeight="1">
      <c r="A2316" s="1" t="s">
        <v>3338</v>
      </c>
      <c r="B2316" s="2">
        <v>45882.0</v>
      </c>
      <c r="C2316" s="9" t="s">
        <v>286</v>
      </c>
      <c r="D2316" s="1" t="s">
        <v>3339</v>
      </c>
      <c r="E2316" s="4">
        <v>66000.0</v>
      </c>
      <c r="F2316" s="4"/>
      <c r="G2316" s="4"/>
      <c r="H2316" s="4">
        <f>'data on outstanding creditors'!$E2316-'data on outstanding creditors'!$F2316-'data on outstanding creditors'!$G2316</f>
        <v>66000</v>
      </c>
      <c r="I2316" s="2"/>
      <c r="J2316" s="1" t="s">
        <v>757</v>
      </c>
      <c r="K2316" s="2">
        <v>45909.0</v>
      </c>
      <c r="L2316" s="5"/>
      <c r="M2316" s="9" t="s">
        <v>43</v>
      </c>
      <c r="N2316" s="9" t="s">
        <v>49</v>
      </c>
      <c r="O2316" s="10">
        <f>'data on outstanding creditors'!$E2316*100/107</f>
        <v>61682.24299</v>
      </c>
      <c r="P2316" s="10">
        <f>'data on outstanding creditors'!$E2316-'data on outstanding creditors'!$O2316</f>
        <v>4317.757009</v>
      </c>
      <c r="Q2316" s="7">
        <f>DAY('data on outstanding creditors'!$B2316)</f>
        <v>13</v>
      </c>
      <c r="R2316" s="7">
        <f>MONTH('data on outstanding creditors'!$B2316)</f>
        <v>8</v>
      </c>
      <c r="S2316" s="7">
        <f>YEAR('data on outstanding creditors'!$B2316)</f>
        <v>2025</v>
      </c>
      <c r="T2316" s="11" t="str">
        <f>'data on outstanding creditors'!$C2316&amp;" "&amp;'data on outstanding creditors'!$D2316&amp;" "&amp;TEXT('data on outstanding creditors'!$E2316,"#,##0.00")</f>
        <v>บ.เอ็ม ดี ซี (ประเทศไทย) IV25080242 66,000.00</v>
      </c>
      <c r="U2316" s="12"/>
    </row>
    <row r="2317" ht="13.5" customHeight="1">
      <c r="A2317" s="1" t="s">
        <v>3340</v>
      </c>
      <c r="B2317" s="2">
        <v>45882.0</v>
      </c>
      <c r="C2317" s="9" t="s">
        <v>1288</v>
      </c>
      <c r="D2317" s="1" t="s">
        <v>3341</v>
      </c>
      <c r="E2317" s="4">
        <v>3210.0</v>
      </c>
      <c r="F2317" s="4"/>
      <c r="G2317" s="4"/>
      <c r="H2317" s="4">
        <f>'data on outstanding creditors'!$E2317-'data on outstanding creditors'!$F2317-'data on outstanding creditors'!$G2317</f>
        <v>3210</v>
      </c>
      <c r="I2317" s="2"/>
      <c r="J2317" s="1" t="s">
        <v>757</v>
      </c>
      <c r="K2317" s="2">
        <v>45922.0</v>
      </c>
      <c r="L2317" s="5"/>
      <c r="M2317" s="9" t="s">
        <v>43</v>
      </c>
      <c r="N2317" s="9" t="s">
        <v>49</v>
      </c>
      <c r="O2317" s="10">
        <f>'data on outstanding creditors'!$E2317*100/107</f>
        <v>3000</v>
      </c>
      <c r="P2317" s="10">
        <f>'data on outstanding creditors'!$E2317-'data on outstanding creditors'!$O2317</f>
        <v>210</v>
      </c>
      <c r="Q2317" s="7">
        <f>DAY('data on outstanding creditors'!$B2317)</f>
        <v>13</v>
      </c>
      <c r="R2317" s="7">
        <f>MONTH('data on outstanding creditors'!$B2317)</f>
        <v>8</v>
      </c>
      <c r="S2317" s="7">
        <f>YEAR('data on outstanding creditors'!$B2317)</f>
        <v>2025</v>
      </c>
      <c r="T2317" s="11" t="str">
        <f>'data on outstanding creditors'!$C2317&amp;" "&amp;'data on outstanding creditors'!$D2317&amp;" "&amp;TEXT('data on outstanding creditors'!$E2317,"#,##0.00")</f>
        <v>บ.เจ เอส วิชั่น 100523504 3,210.00</v>
      </c>
      <c r="U2317" s="12"/>
    </row>
    <row r="2318" ht="13.5" customHeight="1">
      <c r="A2318" s="1" t="s">
        <v>3342</v>
      </c>
      <c r="B2318" s="2">
        <v>45882.0</v>
      </c>
      <c r="C2318" s="9" t="s">
        <v>1029</v>
      </c>
      <c r="D2318" s="1" t="s">
        <v>3343</v>
      </c>
      <c r="E2318" s="4">
        <v>12300.0</v>
      </c>
      <c r="F2318" s="4"/>
      <c r="G2318" s="4"/>
      <c r="H2318" s="4">
        <f>'data on outstanding creditors'!$E2318-'data on outstanding creditors'!$F2318-'data on outstanding creditors'!$G2318</f>
        <v>12300</v>
      </c>
      <c r="I2318" s="2"/>
      <c r="J2318" s="1"/>
      <c r="K2318" s="2"/>
      <c r="L2318" s="5"/>
      <c r="M2318" s="9" t="s">
        <v>43</v>
      </c>
      <c r="N2318" s="9" t="s">
        <v>49</v>
      </c>
      <c r="O2318" s="10">
        <f>'data on outstanding creditors'!$E2318*100/107</f>
        <v>11495.3271</v>
      </c>
      <c r="P2318" s="10">
        <f>'data on outstanding creditors'!$E2318-'data on outstanding creditors'!$O2318</f>
        <v>804.6728972</v>
      </c>
      <c r="Q2318" s="7">
        <f>DAY('data on outstanding creditors'!$B2318)</f>
        <v>13</v>
      </c>
      <c r="R2318" s="7">
        <f>MONTH('data on outstanding creditors'!$B2318)</f>
        <v>8</v>
      </c>
      <c r="S2318" s="7">
        <f>YEAR('data on outstanding creditors'!$B2318)</f>
        <v>2025</v>
      </c>
      <c r="T2318" s="11" t="str">
        <f>'data on outstanding creditors'!$C2318&amp;" "&amp;'data on outstanding creditors'!$D2318&amp;" "&amp;TEXT('data on outstanding creditors'!$E2318,"#,##0.00")</f>
        <v>บ.เอเทค เมดิคอล IV6808229 12,300.00</v>
      </c>
      <c r="U2318" s="12"/>
    </row>
    <row r="2319" ht="13.5" customHeight="1">
      <c r="A2319" s="1" t="s">
        <v>3344</v>
      </c>
      <c r="B2319" s="2">
        <v>45882.0</v>
      </c>
      <c r="C2319" s="9" t="s">
        <v>1029</v>
      </c>
      <c r="D2319" s="1" t="s">
        <v>3345</v>
      </c>
      <c r="E2319" s="4">
        <v>20000.0</v>
      </c>
      <c r="F2319" s="4"/>
      <c r="G2319" s="4"/>
      <c r="H2319" s="4">
        <f>'data on outstanding creditors'!$E2319-'data on outstanding creditors'!$F2319-'data on outstanding creditors'!$G2319</f>
        <v>20000</v>
      </c>
      <c r="I2319" s="2"/>
      <c r="J2319" s="1" t="s">
        <v>757</v>
      </c>
      <c r="K2319" s="2">
        <v>45957.0</v>
      </c>
      <c r="L2319" s="5"/>
      <c r="M2319" s="9" t="s">
        <v>43</v>
      </c>
      <c r="N2319" s="9" t="s">
        <v>49</v>
      </c>
      <c r="O2319" s="10">
        <f>'data on outstanding creditors'!$E2319*100/107</f>
        <v>18691.58879</v>
      </c>
      <c r="P2319" s="10">
        <f>'data on outstanding creditors'!$E2319-'data on outstanding creditors'!$O2319</f>
        <v>1308.411215</v>
      </c>
      <c r="Q2319" s="7">
        <f>DAY('data on outstanding creditors'!$B2319)</f>
        <v>13</v>
      </c>
      <c r="R2319" s="7">
        <f>MONTH('data on outstanding creditors'!$B2319)</f>
        <v>8</v>
      </c>
      <c r="S2319" s="7">
        <f>YEAR('data on outstanding creditors'!$B2319)</f>
        <v>2025</v>
      </c>
      <c r="T2319" s="11" t="str">
        <f>'data on outstanding creditors'!$C2319&amp;" "&amp;'data on outstanding creditors'!$D2319&amp;" "&amp;TEXT('data on outstanding creditors'!$E2319,"#,##0.00")</f>
        <v>บ.เอเทค เมดิคอล IV6808230 20,000.00</v>
      </c>
      <c r="U2319" s="12"/>
    </row>
    <row r="2320" ht="13.5" customHeight="1">
      <c r="A2320" s="1" t="s">
        <v>3346</v>
      </c>
      <c r="B2320" s="2">
        <v>45882.0</v>
      </c>
      <c r="C2320" s="9" t="s">
        <v>286</v>
      </c>
      <c r="D2320" s="1" t="s">
        <v>3347</v>
      </c>
      <c r="E2320" s="4">
        <v>5600.0</v>
      </c>
      <c r="F2320" s="4"/>
      <c r="G2320" s="4"/>
      <c r="H2320" s="4">
        <f>'data on outstanding creditors'!$E2320-'data on outstanding creditors'!$F2320-'data on outstanding creditors'!$G2320</f>
        <v>5600</v>
      </c>
      <c r="I2320" s="2"/>
      <c r="J2320" s="1" t="s">
        <v>757</v>
      </c>
      <c r="K2320" s="2">
        <v>45965.0</v>
      </c>
      <c r="L2320" s="5"/>
      <c r="M2320" s="9" t="s">
        <v>43</v>
      </c>
      <c r="N2320" s="9" t="s">
        <v>49</v>
      </c>
      <c r="O2320" s="10">
        <f>'data on outstanding creditors'!$E2320*100/107</f>
        <v>5233.64486</v>
      </c>
      <c r="P2320" s="10">
        <f>'data on outstanding creditors'!$E2320-'data on outstanding creditors'!$O2320</f>
        <v>366.3551402</v>
      </c>
      <c r="Q2320" s="7">
        <f>DAY('data on outstanding creditors'!$B2320)</f>
        <v>13</v>
      </c>
      <c r="R2320" s="7">
        <f>MONTH('data on outstanding creditors'!$B2320)</f>
        <v>8</v>
      </c>
      <c r="S2320" s="7">
        <f>YEAR('data on outstanding creditors'!$B2320)</f>
        <v>2025</v>
      </c>
      <c r="T2320" s="11" t="str">
        <f>'data on outstanding creditors'!$C2320&amp;" "&amp;'data on outstanding creditors'!$D2320&amp;" "&amp;TEXT('data on outstanding creditors'!$E2320,"#,##0.00")</f>
        <v>บ.เอ็ม ดี ซี (ประเทศไทย) IV25080399 5,600.00</v>
      </c>
      <c r="U2320" s="12"/>
    </row>
    <row r="2321" ht="13.5" customHeight="1">
      <c r="A2321" s="1" t="s">
        <v>3348</v>
      </c>
      <c r="B2321" s="2">
        <v>45884.0</v>
      </c>
      <c r="C2321" s="9" t="s">
        <v>3349</v>
      </c>
      <c r="D2321" s="1" t="s">
        <v>3350</v>
      </c>
      <c r="E2321" s="4">
        <v>3300.0</v>
      </c>
      <c r="F2321" s="4"/>
      <c r="G2321" s="4"/>
      <c r="H2321" s="4">
        <f>'data on outstanding creditors'!$E2321-'data on outstanding creditors'!$F2321-'data on outstanding creditors'!$G2321</f>
        <v>3300</v>
      </c>
      <c r="I2321" s="2"/>
      <c r="J2321" s="1" t="s">
        <v>757</v>
      </c>
      <c r="K2321" s="2">
        <v>45926.0</v>
      </c>
      <c r="L2321" s="5"/>
      <c r="M2321" s="9" t="s">
        <v>43</v>
      </c>
      <c r="N2321" s="9" t="s">
        <v>49</v>
      </c>
      <c r="O2321" s="10">
        <f>'data on outstanding creditors'!$E2321*100/107</f>
        <v>3084.11215</v>
      </c>
      <c r="P2321" s="10">
        <f>'data on outstanding creditors'!$E2321-'data on outstanding creditors'!$O2321</f>
        <v>215.8878505</v>
      </c>
      <c r="Q2321" s="7">
        <f>DAY('data on outstanding creditors'!$B2321)</f>
        <v>15</v>
      </c>
      <c r="R2321" s="7">
        <f>MONTH('data on outstanding creditors'!$B2321)</f>
        <v>8</v>
      </c>
      <c r="S2321" s="7">
        <f>YEAR('data on outstanding creditors'!$B2321)</f>
        <v>2025</v>
      </c>
      <c r="T2321" s="11" t="str">
        <f>'data on outstanding creditors'!$C2321&amp;" "&amp;'data on outstanding creditors'!$D2321&amp;" "&amp;TEXT('data on outstanding creditors'!$E2321,"#,##0.00")</f>
        <v>บ.มาร์ธา กรุ๊ป NG6801029 3,300.00</v>
      </c>
      <c r="U2321" s="12"/>
    </row>
    <row r="2322" ht="13.5" customHeight="1">
      <c r="A2322" s="1"/>
      <c r="B2322" s="2">
        <v>45884.0</v>
      </c>
      <c r="C2322" s="9" t="s">
        <v>399</v>
      </c>
      <c r="D2322" s="1" t="s">
        <v>3351</v>
      </c>
      <c r="E2322" s="4">
        <v>101650.0</v>
      </c>
      <c r="F2322" s="4"/>
      <c r="G2322" s="4"/>
      <c r="H2322" s="4">
        <f>'data on outstanding creditors'!$E2322-'data on outstanding creditors'!$F2322-'data on outstanding creditors'!$G2322</f>
        <v>101650</v>
      </c>
      <c r="I2322" s="2"/>
      <c r="J2322" s="1" t="s">
        <v>646</v>
      </c>
      <c r="K2322" s="2">
        <v>45943.0</v>
      </c>
      <c r="L2322" s="5"/>
      <c r="M2322" s="9" t="s">
        <v>43</v>
      </c>
      <c r="N2322" s="9" t="s">
        <v>23</v>
      </c>
      <c r="O2322" s="10">
        <f>'data on outstanding creditors'!$E2322*100/107</f>
        <v>95000</v>
      </c>
      <c r="P2322" s="10">
        <f>'data on outstanding creditors'!$E2322-'data on outstanding creditors'!$O2322</f>
        <v>6650</v>
      </c>
      <c r="Q2322" s="7">
        <f>DAY('data on outstanding creditors'!$B2322)</f>
        <v>15</v>
      </c>
      <c r="R2322" s="7">
        <f>MONTH('data on outstanding creditors'!$B2322)</f>
        <v>8</v>
      </c>
      <c r="S2322" s="7">
        <f>YEAR('data on outstanding creditors'!$B2322)</f>
        <v>2025</v>
      </c>
      <c r="T2322" s="11" t="str">
        <f>'data on outstanding creditors'!$C2322&amp;" "&amp;'data on outstanding creditors'!$D2322&amp;" "&amp;TEXT('data on outstanding creditors'!$E2322,"#,##0.00")</f>
        <v>บ.ดีเคเอสเอช(ประเทศไทย) 5344149657 101,650.00</v>
      </c>
      <c r="U2322" s="12"/>
    </row>
    <row r="2323" ht="13.5" customHeight="1">
      <c r="A2323" s="1"/>
      <c r="B2323" s="2">
        <v>45884.0</v>
      </c>
      <c r="C2323" s="9" t="s">
        <v>399</v>
      </c>
      <c r="D2323" s="1" t="s">
        <v>3352</v>
      </c>
      <c r="E2323" s="4">
        <v>30816.0</v>
      </c>
      <c r="F2323" s="4"/>
      <c r="G2323" s="4"/>
      <c r="H2323" s="4">
        <f>'data on outstanding creditors'!$E2323-'data on outstanding creditors'!$F2323-'data on outstanding creditors'!$G2323</f>
        <v>30816</v>
      </c>
      <c r="I2323" s="2"/>
      <c r="J2323" s="1" t="s">
        <v>646</v>
      </c>
      <c r="K2323" s="2">
        <v>45943.0</v>
      </c>
      <c r="L2323" s="5"/>
      <c r="M2323" s="9" t="s">
        <v>43</v>
      </c>
      <c r="N2323" s="9" t="s">
        <v>23</v>
      </c>
      <c r="O2323" s="10">
        <f>'data on outstanding creditors'!$E2323*100/107</f>
        <v>28800</v>
      </c>
      <c r="P2323" s="10">
        <f>'data on outstanding creditors'!$E2323-'data on outstanding creditors'!$O2323</f>
        <v>2016</v>
      </c>
      <c r="Q2323" s="7">
        <f>DAY('data on outstanding creditors'!$B2323)</f>
        <v>15</v>
      </c>
      <c r="R2323" s="7">
        <f>MONTH('data on outstanding creditors'!$B2323)</f>
        <v>8</v>
      </c>
      <c r="S2323" s="7">
        <f>YEAR('data on outstanding creditors'!$B2323)</f>
        <v>2025</v>
      </c>
      <c r="T2323" s="11" t="str">
        <f>'data on outstanding creditors'!$C2323&amp;" "&amp;'data on outstanding creditors'!$D2323&amp;" "&amp;TEXT('data on outstanding creditors'!$E2323,"#,##0.00")</f>
        <v>บ.ดีเคเอสเอช(ประเทศไทย) 5344150873 30,816.00</v>
      </c>
      <c r="U2323" s="12"/>
    </row>
    <row r="2324" ht="13.5" customHeight="1">
      <c r="A2324" s="1"/>
      <c r="B2324" s="2">
        <v>45884.0</v>
      </c>
      <c r="C2324" s="9" t="s">
        <v>399</v>
      </c>
      <c r="D2324" s="1" t="s">
        <v>3353</v>
      </c>
      <c r="E2324" s="4">
        <v>45967.2</v>
      </c>
      <c r="F2324" s="4"/>
      <c r="G2324" s="4"/>
      <c r="H2324" s="4">
        <f>'data on outstanding creditors'!$E2324-'data on outstanding creditors'!$F2324-'data on outstanding creditors'!$G2324</f>
        <v>45967.2</v>
      </c>
      <c r="I2324" s="2"/>
      <c r="J2324" s="1" t="s">
        <v>646</v>
      </c>
      <c r="K2324" s="2">
        <v>45943.0</v>
      </c>
      <c r="L2324" s="5"/>
      <c r="M2324" s="9" t="s">
        <v>43</v>
      </c>
      <c r="N2324" s="9" t="s">
        <v>23</v>
      </c>
      <c r="O2324" s="10">
        <f>'data on outstanding creditors'!$E2324*100/107</f>
        <v>42960</v>
      </c>
      <c r="P2324" s="10">
        <f>'data on outstanding creditors'!$E2324-'data on outstanding creditors'!$O2324</f>
        <v>3007.2</v>
      </c>
      <c r="Q2324" s="7">
        <f>DAY('data on outstanding creditors'!$B2324)</f>
        <v>15</v>
      </c>
      <c r="R2324" s="7">
        <f>MONTH('data on outstanding creditors'!$B2324)</f>
        <v>8</v>
      </c>
      <c r="S2324" s="7">
        <f>YEAR('data on outstanding creditors'!$B2324)</f>
        <v>2025</v>
      </c>
      <c r="T2324" s="11" t="str">
        <f>'data on outstanding creditors'!$C2324&amp;" "&amp;'data on outstanding creditors'!$D2324&amp;" "&amp;TEXT('data on outstanding creditors'!$E2324,"#,##0.00")</f>
        <v>บ.ดีเคเอสเอช(ประเทศไทย) 5344149651 45,967.20</v>
      </c>
      <c r="U2324" s="12"/>
    </row>
    <row r="2325" ht="13.5" customHeight="1">
      <c r="A2325" s="1" t="s">
        <v>3354</v>
      </c>
      <c r="B2325" s="2">
        <v>45884.0</v>
      </c>
      <c r="C2325" s="9" t="s">
        <v>3355</v>
      </c>
      <c r="D2325" s="1" t="s">
        <v>3356</v>
      </c>
      <c r="E2325" s="4">
        <v>19500.0</v>
      </c>
      <c r="F2325" s="4"/>
      <c r="G2325" s="4"/>
      <c r="H2325" s="4">
        <f>'data on outstanding creditors'!$E2325-'data on outstanding creditors'!$F2325-'data on outstanding creditors'!$G2325</f>
        <v>19500</v>
      </c>
      <c r="I2325" s="2"/>
      <c r="J2325" s="1" t="s">
        <v>757</v>
      </c>
      <c r="K2325" s="2">
        <v>45935.0</v>
      </c>
      <c r="L2325" s="5"/>
      <c r="M2325" s="9" t="s">
        <v>43</v>
      </c>
      <c r="N2325" s="9" t="s">
        <v>49</v>
      </c>
      <c r="O2325" s="10">
        <f>'data on outstanding creditors'!$E2325*100/107</f>
        <v>18224.29907</v>
      </c>
      <c r="P2325" s="10">
        <f>'data on outstanding creditors'!$E2325-'data on outstanding creditors'!$O2325</f>
        <v>1275.700935</v>
      </c>
      <c r="Q2325" s="7">
        <f>DAY('data on outstanding creditors'!$B2325)</f>
        <v>15</v>
      </c>
      <c r="R2325" s="7">
        <f>MONTH('data on outstanding creditors'!$B2325)</f>
        <v>8</v>
      </c>
      <c r="S2325" s="7">
        <f>YEAR('data on outstanding creditors'!$B2325)</f>
        <v>2025</v>
      </c>
      <c r="T2325" s="11" t="str">
        <f>'data on outstanding creditors'!$C2325&amp;" "&amp;'data on outstanding creditors'!$D2325&amp;" "&amp;TEXT('data on outstanding creditors'!$E2325,"#,##0.00")</f>
        <v>บ.เอ็นโดเมด เซอร์วิส SV2025080024 19,500.00</v>
      </c>
      <c r="U2325" s="12"/>
    </row>
    <row r="2326" ht="13.5" customHeight="1">
      <c r="A2326" s="1" t="s">
        <v>3357</v>
      </c>
      <c r="B2326" s="2">
        <v>45884.0</v>
      </c>
      <c r="C2326" s="9" t="s">
        <v>399</v>
      </c>
      <c r="D2326" s="1" t="s">
        <v>3358</v>
      </c>
      <c r="E2326" s="4">
        <v>96300.0</v>
      </c>
      <c r="F2326" s="4"/>
      <c r="G2326" s="4"/>
      <c r="H2326" s="4">
        <f>'data on outstanding creditors'!$E2326-'data on outstanding creditors'!$F2326-'data on outstanding creditors'!$G2326</f>
        <v>96300</v>
      </c>
      <c r="I2326" s="2"/>
      <c r="J2326" s="1" t="s">
        <v>757</v>
      </c>
      <c r="K2326" s="2">
        <v>45937.0</v>
      </c>
      <c r="L2326" s="5"/>
      <c r="M2326" s="9" t="s">
        <v>43</v>
      </c>
      <c r="N2326" s="9" t="s">
        <v>49</v>
      </c>
      <c r="O2326" s="10">
        <f>'data on outstanding creditors'!$E2326*100/107</f>
        <v>90000</v>
      </c>
      <c r="P2326" s="10">
        <f>'data on outstanding creditors'!$E2326-'data on outstanding creditors'!$O2326</f>
        <v>6300</v>
      </c>
      <c r="Q2326" s="7">
        <f>DAY('data on outstanding creditors'!$B2326)</f>
        <v>15</v>
      </c>
      <c r="R2326" s="7">
        <f>MONTH('data on outstanding creditors'!$B2326)</f>
        <v>8</v>
      </c>
      <c r="S2326" s="7">
        <f>YEAR('data on outstanding creditors'!$B2326)</f>
        <v>2025</v>
      </c>
      <c r="T2326" s="11" t="str">
        <f>'data on outstanding creditors'!$C2326&amp;" "&amp;'data on outstanding creditors'!$D2326&amp;" "&amp;TEXT('data on outstanding creditors'!$E2326,"#,##0.00")</f>
        <v>บ.ดีเคเอสเอช(ประเทศไทย) 5344162874 96,300.00</v>
      </c>
      <c r="U2326" s="12"/>
    </row>
    <row r="2327" ht="13.5" customHeight="1">
      <c r="A2327" s="1" t="s">
        <v>3359</v>
      </c>
      <c r="B2327" s="2">
        <v>45884.0</v>
      </c>
      <c r="C2327" s="9" t="s">
        <v>1029</v>
      </c>
      <c r="D2327" s="1" t="s">
        <v>3360</v>
      </c>
      <c r="E2327" s="4">
        <v>6900.0</v>
      </c>
      <c r="F2327" s="4"/>
      <c r="G2327" s="4"/>
      <c r="H2327" s="4">
        <f>'data on outstanding creditors'!$E2327-'data on outstanding creditors'!$F2327-'data on outstanding creditors'!$G2327</f>
        <v>6900</v>
      </c>
      <c r="I2327" s="2"/>
      <c r="J2327" s="1" t="s">
        <v>757</v>
      </c>
      <c r="K2327" s="2">
        <v>45922.0</v>
      </c>
      <c r="L2327" s="5"/>
      <c r="M2327" s="9" t="s">
        <v>43</v>
      </c>
      <c r="N2327" s="9" t="s">
        <v>49</v>
      </c>
      <c r="O2327" s="10">
        <f>'data on outstanding creditors'!$E2327*100/107</f>
        <v>6448.598131</v>
      </c>
      <c r="P2327" s="10">
        <f>'data on outstanding creditors'!$E2327-'data on outstanding creditors'!$O2327</f>
        <v>451.4018692</v>
      </c>
      <c r="Q2327" s="7">
        <f>DAY('data on outstanding creditors'!$B2327)</f>
        <v>15</v>
      </c>
      <c r="R2327" s="7">
        <f>MONTH('data on outstanding creditors'!$B2327)</f>
        <v>8</v>
      </c>
      <c r="S2327" s="7">
        <f>YEAR('data on outstanding creditors'!$B2327)</f>
        <v>2025</v>
      </c>
      <c r="T2327" s="11" t="str">
        <f>'data on outstanding creditors'!$C2327&amp;" "&amp;'data on outstanding creditors'!$D2327&amp;" "&amp;TEXT('data on outstanding creditors'!$E2327,"#,##0.00")</f>
        <v>บ.เอเทค เมดิคอล IV6806152 6,900.00</v>
      </c>
      <c r="U2327" s="12"/>
    </row>
    <row r="2328" ht="13.5" customHeight="1">
      <c r="A2328" s="1" t="s">
        <v>3361</v>
      </c>
      <c r="B2328" s="2">
        <v>45884.0</v>
      </c>
      <c r="C2328" s="9" t="s">
        <v>2343</v>
      </c>
      <c r="D2328" s="1" t="s">
        <v>3362</v>
      </c>
      <c r="E2328" s="4">
        <v>27150.0</v>
      </c>
      <c r="F2328" s="4"/>
      <c r="G2328" s="4"/>
      <c r="H2328" s="4">
        <f>'data on outstanding creditors'!$E2328-'data on outstanding creditors'!$F2328-'data on outstanding creditors'!$G2328</f>
        <v>27150</v>
      </c>
      <c r="I2328" s="2"/>
      <c r="J2328" s="1" t="s">
        <v>757</v>
      </c>
      <c r="K2328" s="2">
        <v>45922.0</v>
      </c>
      <c r="L2328" s="5"/>
      <c r="M2328" s="9" t="s">
        <v>43</v>
      </c>
      <c r="N2328" s="9" t="s">
        <v>49</v>
      </c>
      <c r="O2328" s="10">
        <f>'data on outstanding creditors'!$E2328*100/107</f>
        <v>25373.83178</v>
      </c>
      <c r="P2328" s="10">
        <f>'data on outstanding creditors'!$E2328-'data on outstanding creditors'!$O2328</f>
        <v>1776.168224</v>
      </c>
      <c r="Q2328" s="7">
        <f>DAY('data on outstanding creditors'!$B2328)</f>
        <v>15</v>
      </c>
      <c r="R2328" s="7">
        <f>MONTH('data on outstanding creditors'!$B2328)</f>
        <v>8</v>
      </c>
      <c r="S2328" s="7">
        <f>YEAR('data on outstanding creditors'!$B2328)</f>
        <v>2025</v>
      </c>
      <c r="T2328" s="11" t="str">
        <f>'data on outstanding creditors'!$C2328&amp;" "&amp;'data on outstanding creditors'!$D2328&amp;" "&amp;TEXT('data on outstanding creditors'!$E2328,"#,##0.00")</f>
        <v>บ.ทริมเมอร์ IV 250802503 27,150.00</v>
      </c>
      <c r="U2328" s="12"/>
    </row>
    <row r="2329" ht="13.5" customHeight="1">
      <c r="A2329" s="1" t="s">
        <v>3363</v>
      </c>
      <c r="B2329" s="2">
        <v>45884.0</v>
      </c>
      <c r="C2329" s="9" t="s">
        <v>1034</v>
      </c>
      <c r="D2329" s="1" t="s">
        <v>3364</v>
      </c>
      <c r="E2329" s="4">
        <v>3600.0</v>
      </c>
      <c r="F2329" s="4"/>
      <c r="G2329" s="4"/>
      <c r="H2329" s="4">
        <f>'data on outstanding creditors'!$E2329-'data on outstanding creditors'!$F2329-'data on outstanding creditors'!$G2329</f>
        <v>3600</v>
      </c>
      <c r="I2329" s="2"/>
      <c r="J2329" s="1" t="s">
        <v>646</v>
      </c>
      <c r="K2329" s="2">
        <v>45928.0</v>
      </c>
      <c r="L2329" s="5"/>
      <c r="M2329" s="9" t="s">
        <v>43</v>
      </c>
      <c r="N2329" s="9" t="s">
        <v>49</v>
      </c>
      <c r="O2329" s="10">
        <f>'data on outstanding creditors'!$E2329*100/107</f>
        <v>3364.485981</v>
      </c>
      <c r="P2329" s="10">
        <f>'data on outstanding creditors'!$E2329-'data on outstanding creditors'!$O2329</f>
        <v>235.5140187</v>
      </c>
      <c r="Q2329" s="7">
        <f>DAY('data on outstanding creditors'!$B2329)</f>
        <v>15</v>
      </c>
      <c r="R2329" s="7">
        <f>MONTH('data on outstanding creditors'!$B2329)</f>
        <v>8</v>
      </c>
      <c r="S2329" s="7">
        <f>YEAR('data on outstanding creditors'!$B2329)</f>
        <v>2025</v>
      </c>
      <c r="T2329" s="11" t="str">
        <f>'data on outstanding creditors'!$C2329&amp;" "&amp;'data on outstanding creditors'!$D2329&amp;" "&amp;TEXT('data on outstanding creditors'!$E2329,"#,##0.00")</f>
        <v>บ.แบงค็อก เมดิคอลส์ โปร IV17814/68 3,600.00</v>
      </c>
      <c r="U2329" s="12"/>
    </row>
    <row r="2330" ht="13.5" customHeight="1">
      <c r="A2330" s="1" t="s">
        <v>3365</v>
      </c>
      <c r="B2330" s="2">
        <v>45884.0</v>
      </c>
      <c r="C2330" s="9" t="s">
        <v>399</v>
      </c>
      <c r="D2330" s="1" t="s">
        <v>3366</v>
      </c>
      <c r="E2330" s="4">
        <v>20500.0</v>
      </c>
      <c r="F2330" s="4"/>
      <c r="G2330" s="4"/>
      <c r="H2330" s="4">
        <f>'data on outstanding creditors'!$E2330-'data on outstanding creditors'!$F2330-'data on outstanding creditors'!$G2330</f>
        <v>20500</v>
      </c>
      <c r="I2330" s="2"/>
      <c r="J2330" s="1" t="s">
        <v>646</v>
      </c>
      <c r="K2330" s="2">
        <v>45943.0</v>
      </c>
      <c r="L2330" s="5"/>
      <c r="M2330" s="9" t="s">
        <v>43</v>
      </c>
      <c r="N2330" s="9" t="s">
        <v>49</v>
      </c>
      <c r="O2330" s="10">
        <f>'data on outstanding creditors'!$E2330*100/107</f>
        <v>19158.8785</v>
      </c>
      <c r="P2330" s="10">
        <f>'data on outstanding creditors'!$E2330-'data on outstanding creditors'!$O2330</f>
        <v>1341.121495</v>
      </c>
      <c r="Q2330" s="7">
        <f>DAY('data on outstanding creditors'!$B2330)</f>
        <v>15</v>
      </c>
      <c r="R2330" s="7">
        <f>MONTH('data on outstanding creditors'!$B2330)</f>
        <v>8</v>
      </c>
      <c r="S2330" s="7">
        <f>YEAR('data on outstanding creditors'!$B2330)</f>
        <v>2025</v>
      </c>
      <c r="T2330" s="11" t="str">
        <f>'data on outstanding creditors'!$C2330&amp;" "&amp;'data on outstanding creditors'!$D2330&amp;" "&amp;TEXT('data on outstanding creditors'!$E2330,"#,##0.00")</f>
        <v>บ.ดีเคเอสเอช(ประเทศไทย) 5344170243 20,500.00</v>
      </c>
      <c r="U2330" s="12"/>
    </row>
    <row r="2331" ht="13.5" customHeight="1">
      <c r="A2331" s="1" t="s">
        <v>3367</v>
      </c>
      <c r="B2331" s="2">
        <v>45884.0</v>
      </c>
      <c r="C2331" s="9" t="s">
        <v>1029</v>
      </c>
      <c r="D2331" s="1" t="s">
        <v>3368</v>
      </c>
      <c r="E2331" s="4">
        <v>17600.0</v>
      </c>
      <c r="F2331" s="4"/>
      <c r="G2331" s="4"/>
      <c r="H2331" s="4">
        <f>'data on outstanding creditors'!$E2331-'data on outstanding creditors'!$F2331-'data on outstanding creditors'!$G2331</f>
        <v>17600</v>
      </c>
      <c r="I2331" s="2"/>
      <c r="J2331" s="1" t="s">
        <v>757</v>
      </c>
      <c r="K2331" s="2">
        <v>45957.0</v>
      </c>
      <c r="L2331" s="5"/>
      <c r="M2331" s="9" t="s">
        <v>43</v>
      </c>
      <c r="N2331" s="9" t="s">
        <v>49</v>
      </c>
      <c r="O2331" s="10">
        <f>'data on outstanding creditors'!$E2331*100/107</f>
        <v>16448.59813</v>
      </c>
      <c r="P2331" s="10">
        <f>'data on outstanding creditors'!$E2331-'data on outstanding creditors'!$O2331</f>
        <v>1151.401869</v>
      </c>
      <c r="Q2331" s="7">
        <f>DAY('data on outstanding creditors'!$B2331)</f>
        <v>15</v>
      </c>
      <c r="R2331" s="7">
        <f>MONTH('data on outstanding creditors'!$B2331)</f>
        <v>8</v>
      </c>
      <c r="S2331" s="7">
        <f>YEAR('data on outstanding creditors'!$B2331)</f>
        <v>2025</v>
      </c>
      <c r="T2331" s="11" t="str">
        <f>'data on outstanding creditors'!$C2331&amp;" "&amp;'data on outstanding creditors'!$D2331&amp;" "&amp;TEXT('data on outstanding creditors'!$E2331,"#,##0.00")</f>
        <v>บ.เอเทค เมดิคอล IV6808272 17,600.00</v>
      </c>
      <c r="U2331" s="12"/>
    </row>
    <row r="2332" ht="13.5" customHeight="1">
      <c r="A2332" s="1" t="s">
        <v>3369</v>
      </c>
      <c r="B2332" s="2">
        <v>45884.0</v>
      </c>
      <c r="C2332" s="9" t="s">
        <v>2279</v>
      </c>
      <c r="D2332" s="1" t="s">
        <v>3370</v>
      </c>
      <c r="E2332" s="4">
        <v>54000.0</v>
      </c>
      <c r="F2332" s="4"/>
      <c r="G2332" s="4"/>
      <c r="H2332" s="4">
        <f>'data on outstanding creditors'!$E2332-'data on outstanding creditors'!$F2332-'data on outstanding creditors'!$G2332</f>
        <v>54000</v>
      </c>
      <c r="I2332" s="2"/>
      <c r="J2332" s="1"/>
      <c r="K2332" s="2"/>
      <c r="L2332" s="5"/>
      <c r="M2332" s="9" t="s">
        <v>43</v>
      </c>
      <c r="N2332" s="9" t="s">
        <v>49</v>
      </c>
      <c r="O2332" s="10">
        <f>'data on outstanding creditors'!$E2332*100/107</f>
        <v>50467.28972</v>
      </c>
      <c r="P2332" s="10">
        <f>'data on outstanding creditors'!$E2332-'data on outstanding creditors'!$O2332</f>
        <v>3532.71028</v>
      </c>
      <c r="Q2332" s="7">
        <f>DAY('data on outstanding creditors'!$B2332)</f>
        <v>15</v>
      </c>
      <c r="R2332" s="7">
        <f>MONTH('data on outstanding creditors'!$B2332)</f>
        <v>8</v>
      </c>
      <c r="S2332" s="7">
        <f>YEAR('data on outstanding creditors'!$B2332)</f>
        <v>2025</v>
      </c>
      <c r="T2332" s="11" t="str">
        <f>'data on outstanding creditors'!$C2332&amp;" "&amp;'data on outstanding creditors'!$D2332&amp;" "&amp;TEXT('data on outstanding creditors'!$E2332,"#,##0.00")</f>
        <v>บ.ออร์โธ เอ็นเตอร์ไพรส์ EBL2025080032 54,000.00</v>
      </c>
      <c r="U2332" s="12"/>
    </row>
    <row r="2333" ht="13.5" customHeight="1">
      <c r="A2333" s="1" t="s">
        <v>3371</v>
      </c>
      <c r="B2333" s="2">
        <v>45887.0</v>
      </c>
      <c r="C2333" s="9" t="s">
        <v>3372</v>
      </c>
      <c r="D2333" s="1" t="s">
        <v>3373</v>
      </c>
      <c r="E2333" s="4">
        <v>9500.0</v>
      </c>
      <c r="F2333" s="4"/>
      <c r="G2333" s="4"/>
      <c r="H2333" s="4">
        <f>'data on outstanding creditors'!$E2333-'data on outstanding creditors'!$F2333-'data on outstanding creditors'!$G2333</f>
        <v>9500</v>
      </c>
      <c r="I2333" s="2"/>
      <c r="J2333" s="1" t="s">
        <v>646</v>
      </c>
      <c r="K2333" s="2">
        <v>45944.0</v>
      </c>
      <c r="L2333" s="5"/>
      <c r="M2333" s="9" t="s">
        <v>43</v>
      </c>
      <c r="N2333" s="9" t="s">
        <v>49</v>
      </c>
      <c r="O2333" s="10">
        <f>'data on outstanding creditors'!$E2333*100/107</f>
        <v>8878.504673</v>
      </c>
      <c r="P2333" s="10">
        <f>'data on outstanding creditors'!$E2333-'data on outstanding creditors'!$O2333</f>
        <v>621.4953271</v>
      </c>
      <c r="Q2333" s="7">
        <f>DAY('data on outstanding creditors'!$B2333)</f>
        <v>18</v>
      </c>
      <c r="R2333" s="7">
        <f>MONTH('data on outstanding creditors'!$B2333)</f>
        <v>8</v>
      </c>
      <c r="S2333" s="7">
        <f>YEAR('data on outstanding creditors'!$B2333)</f>
        <v>2025</v>
      </c>
      <c r="T2333" s="11" t="str">
        <f>'data on outstanding creditors'!$C2333&amp;" "&amp;'data on outstanding creditors'!$D2333&amp;" "&amp;TEXT('data on outstanding creditors'!$E2333,"#,##0.00")</f>
        <v>บ.ฟาซิแคร์ SIV2508096 9,500.00</v>
      </c>
      <c r="U2333" s="12"/>
    </row>
    <row r="2334" ht="13.5" customHeight="1">
      <c r="A2334" s="1" t="s">
        <v>3374</v>
      </c>
      <c r="B2334" s="2">
        <v>45887.0</v>
      </c>
      <c r="C2334" s="9" t="s">
        <v>1034</v>
      </c>
      <c r="D2334" s="1" t="s">
        <v>3375</v>
      </c>
      <c r="E2334" s="4">
        <v>3325.0</v>
      </c>
      <c r="F2334" s="4"/>
      <c r="G2334" s="4"/>
      <c r="H2334" s="4">
        <f>'data on outstanding creditors'!$E2334-'data on outstanding creditors'!$F2334-'data on outstanding creditors'!$G2334</f>
        <v>3325</v>
      </c>
      <c r="I2334" s="2"/>
      <c r="J2334" s="1" t="s">
        <v>646</v>
      </c>
      <c r="K2334" s="2">
        <v>45928.0</v>
      </c>
      <c r="L2334" s="5"/>
      <c r="M2334" s="9" t="s">
        <v>43</v>
      </c>
      <c r="N2334" s="9" t="s">
        <v>49</v>
      </c>
      <c r="O2334" s="10">
        <f>'data on outstanding creditors'!$E2334*100/107</f>
        <v>3107.476636</v>
      </c>
      <c r="P2334" s="10">
        <f>'data on outstanding creditors'!$E2334-'data on outstanding creditors'!$O2334</f>
        <v>217.5233645</v>
      </c>
      <c r="Q2334" s="7">
        <f>DAY('data on outstanding creditors'!$B2334)</f>
        <v>18</v>
      </c>
      <c r="R2334" s="7">
        <f>MONTH('data on outstanding creditors'!$B2334)</f>
        <v>8</v>
      </c>
      <c r="S2334" s="7">
        <f>YEAR('data on outstanding creditors'!$B2334)</f>
        <v>2025</v>
      </c>
      <c r="T2334" s="11" t="str">
        <f>'data on outstanding creditors'!$C2334&amp;" "&amp;'data on outstanding creditors'!$D2334&amp;" "&amp;TEXT('data on outstanding creditors'!$E2334,"#,##0.00")</f>
        <v>บ.แบงค็อก เมดิคอลส์ โปร IV17906/68 3,325.00</v>
      </c>
      <c r="U2334" s="12"/>
    </row>
    <row r="2335" ht="13.5" customHeight="1">
      <c r="A2335" s="1" t="s">
        <v>3376</v>
      </c>
      <c r="B2335" s="2">
        <v>45887.0</v>
      </c>
      <c r="C2335" s="9" t="s">
        <v>1034</v>
      </c>
      <c r="D2335" s="1" t="s">
        <v>3377</v>
      </c>
      <c r="E2335" s="4">
        <v>350.0</v>
      </c>
      <c r="F2335" s="4"/>
      <c r="G2335" s="4"/>
      <c r="H2335" s="4">
        <f>'data on outstanding creditors'!$E2335-'data on outstanding creditors'!$F2335-'data on outstanding creditors'!$G2335</f>
        <v>350</v>
      </c>
      <c r="I2335" s="2"/>
      <c r="J2335" s="1" t="s">
        <v>646</v>
      </c>
      <c r="K2335" s="2">
        <v>45928.0</v>
      </c>
      <c r="L2335" s="5"/>
      <c r="M2335" s="9" t="s">
        <v>43</v>
      </c>
      <c r="N2335" s="9" t="s">
        <v>49</v>
      </c>
      <c r="O2335" s="10">
        <f>'data on outstanding creditors'!$E2335*100/107</f>
        <v>327.1028037</v>
      </c>
      <c r="P2335" s="10">
        <f>'data on outstanding creditors'!$E2335-'data on outstanding creditors'!$O2335</f>
        <v>22.89719626</v>
      </c>
      <c r="Q2335" s="7">
        <f>DAY('data on outstanding creditors'!$B2335)</f>
        <v>18</v>
      </c>
      <c r="R2335" s="7">
        <f>MONTH('data on outstanding creditors'!$B2335)</f>
        <v>8</v>
      </c>
      <c r="S2335" s="7">
        <f>YEAR('data on outstanding creditors'!$B2335)</f>
        <v>2025</v>
      </c>
      <c r="T2335" s="11" t="str">
        <f>'data on outstanding creditors'!$C2335&amp;" "&amp;'data on outstanding creditors'!$D2335&amp;" "&amp;TEXT('data on outstanding creditors'!$E2335,"#,##0.00")</f>
        <v>บ.แบงค็อก เมดิคอลส์ โปร IV17908/68 350.00</v>
      </c>
      <c r="U2335" s="12"/>
    </row>
    <row r="2336" ht="13.5" customHeight="1">
      <c r="A2336" s="1" t="s">
        <v>3378</v>
      </c>
      <c r="B2336" s="2">
        <v>45887.0</v>
      </c>
      <c r="C2336" s="9" t="s">
        <v>1029</v>
      </c>
      <c r="D2336" s="1" t="s">
        <v>3379</v>
      </c>
      <c r="E2336" s="4">
        <v>11400.0</v>
      </c>
      <c r="F2336" s="4"/>
      <c r="G2336" s="4"/>
      <c r="H2336" s="4">
        <f>'data on outstanding creditors'!$E2336-'data on outstanding creditors'!$F2336-'data on outstanding creditors'!$G2336</f>
        <v>11400</v>
      </c>
      <c r="I2336" s="2"/>
      <c r="J2336" s="1"/>
      <c r="K2336" s="2"/>
      <c r="L2336" s="5"/>
      <c r="M2336" s="9" t="s">
        <v>43</v>
      </c>
      <c r="N2336" s="9" t="s">
        <v>49</v>
      </c>
      <c r="O2336" s="10">
        <f>'data on outstanding creditors'!$E2336*100/107</f>
        <v>10654.20561</v>
      </c>
      <c r="P2336" s="10">
        <f>'data on outstanding creditors'!$E2336-'data on outstanding creditors'!$O2336</f>
        <v>745.7943925</v>
      </c>
      <c r="Q2336" s="7">
        <f>DAY('data on outstanding creditors'!$B2336)</f>
        <v>18</v>
      </c>
      <c r="R2336" s="7">
        <f>MONTH('data on outstanding creditors'!$B2336)</f>
        <v>8</v>
      </c>
      <c r="S2336" s="7">
        <f>YEAR('data on outstanding creditors'!$B2336)</f>
        <v>2025</v>
      </c>
      <c r="T2336" s="11" t="str">
        <f>'data on outstanding creditors'!$C2336&amp;" "&amp;'data on outstanding creditors'!$D2336&amp;" "&amp;TEXT('data on outstanding creditors'!$E2336,"#,##0.00")</f>
        <v>บ.เอเทค เมดิคอล IV6808296 11,400.00</v>
      </c>
      <c r="U2336" s="12"/>
    </row>
    <row r="2337" ht="13.5" customHeight="1">
      <c r="A2337" s="1" t="s">
        <v>3380</v>
      </c>
      <c r="B2337" s="2">
        <v>45887.0</v>
      </c>
      <c r="C2337" s="9" t="s">
        <v>1029</v>
      </c>
      <c r="D2337" s="1" t="s">
        <v>3381</v>
      </c>
      <c r="E2337" s="4">
        <v>17600.0</v>
      </c>
      <c r="F2337" s="4"/>
      <c r="G2337" s="4"/>
      <c r="H2337" s="4">
        <f>'data on outstanding creditors'!$E2337-'data on outstanding creditors'!$F2337-'data on outstanding creditors'!$G2337</f>
        <v>17600</v>
      </c>
      <c r="I2337" s="2"/>
      <c r="J2337" s="1" t="s">
        <v>757</v>
      </c>
      <c r="K2337" s="2">
        <v>45957.0</v>
      </c>
      <c r="L2337" s="5"/>
      <c r="M2337" s="9" t="s">
        <v>43</v>
      </c>
      <c r="N2337" s="9" t="s">
        <v>49</v>
      </c>
      <c r="O2337" s="10">
        <f>'data on outstanding creditors'!$E2337*100/107</f>
        <v>16448.59813</v>
      </c>
      <c r="P2337" s="10">
        <f>'data on outstanding creditors'!$E2337-'data on outstanding creditors'!$O2337</f>
        <v>1151.401869</v>
      </c>
      <c r="Q2337" s="7">
        <f>DAY('data on outstanding creditors'!$B2337)</f>
        <v>18</v>
      </c>
      <c r="R2337" s="7">
        <f>MONTH('data on outstanding creditors'!$B2337)</f>
        <v>8</v>
      </c>
      <c r="S2337" s="7">
        <f>YEAR('data on outstanding creditors'!$B2337)</f>
        <v>2025</v>
      </c>
      <c r="T2337" s="11" t="str">
        <f>'data on outstanding creditors'!$C2337&amp;" "&amp;'data on outstanding creditors'!$D2337&amp;" "&amp;TEXT('data on outstanding creditors'!$E2337,"#,##0.00")</f>
        <v>บ.เอเทค เมดิคอล IV6808326 17,600.00</v>
      </c>
      <c r="U2337" s="12"/>
    </row>
    <row r="2338" ht="13.5" customHeight="1">
      <c r="A2338" s="1" t="s">
        <v>3382</v>
      </c>
      <c r="B2338" s="2">
        <v>45887.0</v>
      </c>
      <c r="C2338" s="9" t="s">
        <v>1029</v>
      </c>
      <c r="D2338" s="1" t="s">
        <v>3383</v>
      </c>
      <c r="E2338" s="4">
        <v>27100.0</v>
      </c>
      <c r="F2338" s="4"/>
      <c r="G2338" s="4"/>
      <c r="H2338" s="4">
        <f>'data on outstanding creditors'!$E2338-'data on outstanding creditors'!$F2338-'data on outstanding creditors'!$G2338</f>
        <v>27100</v>
      </c>
      <c r="I2338" s="2"/>
      <c r="J2338" s="1" t="s">
        <v>757</v>
      </c>
      <c r="K2338" s="2">
        <v>45911.0</v>
      </c>
      <c r="L2338" s="5"/>
      <c r="M2338" s="9" t="s">
        <v>43</v>
      </c>
      <c r="N2338" s="9" t="s">
        <v>49</v>
      </c>
      <c r="O2338" s="10">
        <f>'data on outstanding creditors'!$E2338*100/107</f>
        <v>25327.1028</v>
      </c>
      <c r="P2338" s="10">
        <f>'data on outstanding creditors'!$E2338-'data on outstanding creditors'!$O2338</f>
        <v>1772.897196</v>
      </c>
      <c r="Q2338" s="7">
        <f>DAY('data on outstanding creditors'!$B2338)</f>
        <v>18</v>
      </c>
      <c r="R2338" s="7">
        <f>MONTH('data on outstanding creditors'!$B2338)</f>
        <v>8</v>
      </c>
      <c r="S2338" s="7">
        <f>YEAR('data on outstanding creditors'!$B2338)</f>
        <v>2025</v>
      </c>
      <c r="T2338" s="11" t="str">
        <f>'data on outstanding creditors'!$C2338&amp;" "&amp;'data on outstanding creditors'!$D2338&amp;" "&amp;TEXT('data on outstanding creditors'!$E2338,"#,##0.00")</f>
        <v>บ.เอเทค เมดิคอล IV6808328 27,100.00</v>
      </c>
      <c r="U2338" s="12"/>
    </row>
    <row r="2339" ht="13.5" customHeight="1">
      <c r="A2339" s="1" t="s">
        <v>3384</v>
      </c>
      <c r="B2339" s="2">
        <v>45888.0</v>
      </c>
      <c r="C2339" s="9" t="s">
        <v>2285</v>
      </c>
      <c r="D2339" s="1" t="s">
        <v>3385</v>
      </c>
      <c r="E2339" s="4">
        <v>2040.0</v>
      </c>
      <c r="F2339" s="4"/>
      <c r="G2339" s="4"/>
      <c r="H2339" s="4">
        <f>'data on outstanding creditors'!$E2339-'data on outstanding creditors'!$F2339-'data on outstanding creditors'!$G2339</f>
        <v>2040</v>
      </c>
      <c r="I2339" s="2"/>
      <c r="J2339" s="1" t="s">
        <v>646</v>
      </c>
      <c r="K2339" s="2">
        <v>45952.0</v>
      </c>
      <c r="L2339" s="5"/>
      <c r="M2339" s="9" t="s">
        <v>43</v>
      </c>
      <c r="N2339" s="9" t="s">
        <v>49</v>
      </c>
      <c r="O2339" s="10">
        <f>'data on outstanding creditors'!$E2339*100/107</f>
        <v>1906.542056</v>
      </c>
      <c r="P2339" s="10">
        <f>'data on outstanding creditors'!$E2339-'data on outstanding creditors'!$O2339</f>
        <v>133.4579439</v>
      </c>
      <c r="Q2339" s="7">
        <f>DAY('data on outstanding creditors'!$B2339)</f>
        <v>19</v>
      </c>
      <c r="R2339" s="7">
        <f>MONTH('data on outstanding creditors'!$B2339)</f>
        <v>8</v>
      </c>
      <c r="S2339" s="7">
        <f>YEAR('data on outstanding creditors'!$B2339)</f>
        <v>2025</v>
      </c>
      <c r="T2339" s="11" t="str">
        <f>'data on outstanding creditors'!$C2339&amp;" "&amp;'data on outstanding creditors'!$D2339&amp;" "&amp;TEXT('data on outstanding creditors'!$E2339,"#,##0.00")</f>
        <v>บ.อีออนเมด INT-AOM25080362 2,040.00</v>
      </c>
      <c r="U2339" s="12"/>
    </row>
    <row r="2340" ht="13.5" customHeight="1">
      <c r="A2340" s="1" t="s">
        <v>3386</v>
      </c>
      <c r="B2340" s="2">
        <v>45888.0</v>
      </c>
      <c r="C2340" s="9" t="s">
        <v>3023</v>
      </c>
      <c r="D2340" s="1" t="s">
        <v>3387</v>
      </c>
      <c r="E2340" s="4">
        <v>19000.0</v>
      </c>
      <c r="F2340" s="4"/>
      <c r="G2340" s="4"/>
      <c r="H2340" s="4">
        <f>'data on outstanding creditors'!$E2340-'data on outstanding creditors'!$F2340-'data on outstanding creditors'!$G2340</f>
        <v>19000</v>
      </c>
      <c r="I2340" s="2"/>
      <c r="J2340" s="1" t="s">
        <v>757</v>
      </c>
      <c r="K2340" s="2">
        <v>45923.0</v>
      </c>
      <c r="L2340" s="5"/>
      <c r="M2340" s="9" t="s">
        <v>43</v>
      </c>
      <c r="N2340" s="9" t="s">
        <v>49</v>
      </c>
      <c r="O2340" s="10">
        <f>'data on outstanding creditors'!$E2340*100/107</f>
        <v>17757.00935</v>
      </c>
      <c r="P2340" s="10">
        <f>'data on outstanding creditors'!$E2340-'data on outstanding creditors'!$O2340</f>
        <v>1242.990654</v>
      </c>
      <c r="Q2340" s="7">
        <f>DAY('data on outstanding creditors'!$B2340)</f>
        <v>19</v>
      </c>
      <c r="R2340" s="7">
        <f>MONTH('data on outstanding creditors'!$B2340)</f>
        <v>8</v>
      </c>
      <c r="S2340" s="7">
        <f>YEAR('data on outstanding creditors'!$B2340)</f>
        <v>2025</v>
      </c>
      <c r="T2340" s="11" t="str">
        <f>'data on outstanding creditors'!$C2340&amp;" "&amp;'data on outstanding creditors'!$D2340&amp;" "&amp;TEXT('data on outstanding creditors'!$E2340,"#,##0.00")</f>
        <v>บ.ไพรม์ เมดิคอล IV6808-11116 19,000.00</v>
      </c>
      <c r="U2340" s="12"/>
    </row>
    <row r="2341" ht="13.5" customHeight="1">
      <c r="A2341" s="1" t="s">
        <v>3388</v>
      </c>
      <c r="B2341" s="2">
        <v>45888.0</v>
      </c>
      <c r="C2341" s="9" t="s">
        <v>1029</v>
      </c>
      <c r="D2341" s="1" t="s">
        <v>3389</v>
      </c>
      <c r="E2341" s="4">
        <v>19100.0</v>
      </c>
      <c r="F2341" s="4"/>
      <c r="G2341" s="4"/>
      <c r="H2341" s="4">
        <f>'data on outstanding creditors'!$E2341-'data on outstanding creditors'!$F2341-'data on outstanding creditors'!$G2341</f>
        <v>19100</v>
      </c>
      <c r="I2341" s="2"/>
      <c r="J2341" s="1" t="s">
        <v>757</v>
      </c>
      <c r="K2341" s="2">
        <v>45957.0</v>
      </c>
      <c r="L2341" s="5"/>
      <c r="M2341" s="9" t="s">
        <v>43</v>
      </c>
      <c r="N2341" s="9" t="s">
        <v>49</v>
      </c>
      <c r="O2341" s="10">
        <f>'data on outstanding creditors'!$E2341*100/107</f>
        <v>17850.46729</v>
      </c>
      <c r="P2341" s="10">
        <f>'data on outstanding creditors'!$E2341-'data on outstanding creditors'!$O2341</f>
        <v>1249.53271</v>
      </c>
      <c r="Q2341" s="7">
        <f>DAY('data on outstanding creditors'!$B2341)</f>
        <v>19</v>
      </c>
      <c r="R2341" s="7">
        <f>MONTH('data on outstanding creditors'!$B2341)</f>
        <v>8</v>
      </c>
      <c r="S2341" s="7">
        <f>YEAR('data on outstanding creditors'!$B2341)</f>
        <v>2025</v>
      </c>
      <c r="T2341" s="11" t="str">
        <f>'data on outstanding creditors'!$C2341&amp;" "&amp;'data on outstanding creditors'!$D2341&amp;" "&amp;TEXT('data on outstanding creditors'!$E2341,"#,##0.00")</f>
        <v>บ.เอเทค เมดิคอล IV6808363 19,100.00</v>
      </c>
      <c r="U2341" s="12"/>
    </row>
    <row r="2342" ht="13.5" customHeight="1">
      <c r="A2342" s="1" t="s">
        <v>3390</v>
      </c>
      <c r="B2342" s="2">
        <v>45888.0</v>
      </c>
      <c r="C2342" s="9" t="s">
        <v>1029</v>
      </c>
      <c r="D2342" s="1" t="s">
        <v>3391</v>
      </c>
      <c r="E2342" s="4">
        <v>17600.0</v>
      </c>
      <c r="F2342" s="4"/>
      <c r="G2342" s="4"/>
      <c r="H2342" s="4">
        <f>'data on outstanding creditors'!$E2342-'data on outstanding creditors'!$F2342-'data on outstanding creditors'!$G2342</f>
        <v>17600</v>
      </c>
      <c r="I2342" s="2"/>
      <c r="J2342" s="1" t="s">
        <v>757</v>
      </c>
      <c r="K2342" s="2">
        <v>45957.0</v>
      </c>
      <c r="L2342" s="5"/>
      <c r="M2342" s="9" t="s">
        <v>43</v>
      </c>
      <c r="N2342" s="9" t="s">
        <v>49</v>
      </c>
      <c r="O2342" s="10">
        <f>'data on outstanding creditors'!$E2342*100/107</f>
        <v>16448.59813</v>
      </c>
      <c r="P2342" s="10">
        <f>'data on outstanding creditors'!$E2342-'data on outstanding creditors'!$O2342</f>
        <v>1151.401869</v>
      </c>
      <c r="Q2342" s="7">
        <f>DAY('data on outstanding creditors'!$B2342)</f>
        <v>19</v>
      </c>
      <c r="R2342" s="7">
        <f>MONTH('data on outstanding creditors'!$B2342)</f>
        <v>8</v>
      </c>
      <c r="S2342" s="7">
        <f>YEAR('data on outstanding creditors'!$B2342)</f>
        <v>2025</v>
      </c>
      <c r="T2342" s="11" t="str">
        <f>'data on outstanding creditors'!$C2342&amp;" "&amp;'data on outstanding creditors'!$D2342&amp;" "&amp;TEXT('data on outstanding creditors'!$E2342,"#,##0.00")</f>
        <v>บ.เอเทค เมดิคอล IV6808362 17,600.00</v>
      </c>
      <c r="U2342" s="12"/>
    </row>
    <row r="2343" ht="13.5" customHeight="1">
      <c r="A2343" s="1" t="s">
        <v>3392</v>
      </c>
      <c r="B2343" s="2">
        <v>45888.0</v>
      </c>
      <c r="C2343" s="9" t="s">
        <v>1029</v>
      </c>
      <c r="D2343" s="1" t="s">
        <v>3393</v>
      </c>
      <c r="E2343" s="4">
        <v>19100.0</v>
      </c>
      <c r="F2343" s="4"/>
      <c r="G2343" s="4"/>
      <c r="H2343" s="4">
        <f>'data on outstanding creditors'!$E2343-'data on outstanding creditors'!$F2343-'data on outstanding creditors'!$G2343</f>
        <v>19100</v>
      </c>
      <c r="I2343" s="2"/>
      <c r="J2343" s="1" t="s">
        <v>757</v>
      </c>
      <c r="K2343" s="2">
        <v>45957.0</v>
      </c>
      <c r="L2343" s="5"/>
      <c r="M2343" s="9" t="s">
        <v>43</v>
      </c>
      <c r="N2343" s="9" t="s">
        <v>49</v>
      </c>
      <c r="O2343" s="10">
        <f>'data on outstanding creditors'!$E2343*100/107</f>
        <v>17850.46729</v>
      </c>
      <c r="P2343" s="10">
        <f>'data on outstanding creditors'!$E2343-'data on outstanding creditors'!$O2343</f>
        <v>1249.53271</v>
      </c>
      <c r="Q2343" s="7">
        <f>DAY('data on outstanding creditors'!$B2343)</f>
        <v>19</v>
      </c>
      <c r="R2343" s="7">
        <f>MONTH('data on outstanding creditors'!$B2343)</f>
        <v>8</v>
      </c>
      <c r="S2343" s="7">
        <f>YEAR('data on outstanding creditors'!$B2343)</f>
        <v>2025</v>
      </c>
      <c r="T2343" s="11" t="str">
        <f>'data on outstanding creditors'!$C2343&amp;" "&amp;'data on outstanding creditors'!$D2343&amp;" "&amp;TEXT('data on outstanding creditors'!$E2343,"#,##0.00")</f>
        <v>บ.เอเทค เมดิคอล IV6808361 19,100.00</v>
      </c>
      <c r="U2343" s="12"/>
    </row>
    <row r="2344" ht="13.5" customHeight="1">
      <c r="A2344" s="1" t="s">
        <v>3394</v>
      </c>
      <c r="B2344" s="2">
        <v>45889.0</v>
      </c>
      <c r="C2344" s="9" t="s">
        <v>520</v>
      </c>
      <c r="D2344" s="1" t="s">
        <v>3395</v>
      </c>
      <c r="E2344" s="4">
        <v>72000.0</v>
      </c>
      <c r="F2344" s="4"/>
      <c r="G2344" s="4"/>
      <c r="H2344" s="4">
        <f>'data on outstanding creditors'!$E2344-'data on outstanding creditors'!$F2344-'data on outstanding creditors'!$G2344</f>
        <v>72000</v>
      </c>
      <c r="I2344" s="2"/>
      <c r="J2344" s="1" t="s">
        <v>757</v>
      </c>
      <c r="K2344" s="2">
        <v>45923.0</v>
      </c>
      <c r="L2344" s="5"/>
      <c r="M2344" s="9" t="s">
        <v>43</v>
      </c>
      <c r="N2344" s="9" t="s">
        <v>49</v>
      </c>
      <c r="O2344" s="10">
        <f>'data on outstanding creditors'!$E2344*100/107</f>
        <v>67289.71963</v>
      </c>
      <c r="P2344" s="10">
        <f>'data on outstanding creditors'!$E2344-'data on outstanding creditors'!$O2344</f>
        <v>4710.280374</v>
      </c>
      <c r="Q2344" s="7">
        <f>DAY('data on outstanding creditors'!$B2344)</f>
        <v>20</v>
      </c>
      <c r="R2344" s="7">
        <f>MONTH('data on outstanding creditors'!$B2344)</f>
        <v>8</v>
      </c>
      <c r="S2344" s="7">
        <f>YEAR('data on outstanding creditors'!$B2344)</f>
        <v>2025</v>
      </c>
      <c r="T2344" s="11" t="str">
        <f>'data on outstanding creditors'!$C2344&amp;" "&amp;'data on outstanding creditors'!$D2344&amp;" "&amp;TEXT('data on outstanding creditors'!$E2344,"#,##0.00")</f>
        <v>บ.ซิลลิคฟาร์มา 1317950123 72,000.00</v>
      </c>
      <c r="U2344" s="12"/>
    </row>
    <row r="2345" ht="13.5" customHeight="1">
      <c r="A2345" s="1" t="s">
        <v>3396</v>
      </c>
      <c r="B2345" s="2">
        <v>45889.0</v>
      </c>
      <c r="C2345" s="9" t="s">
        <v>286</v>
      </c>
      <c r="D2345" s="1" t="s">
        <v>3397</v>
      </c>
      <c r="E2345" s="4">
        <v>20000.0</v>
      </c>
      <c r="F2345" s="4"/>
      <c r="G2345" s="4"/>
      <c r="H2345" s="4">
        <f>'data on outstanding creditors'!$E2345-'data on outstanding creditors'!$F2345-'data on outstanding creditors'!$G2345</f>
        <v>20000</v>
      </c>
      <c r="I2345" s="2"/>
      <c r="J2345" s="1"/>
      <c r="K2345" s="2"/>
      <c r="L2345" s="5"/>
      <c r="M2345" s="9" t="s">
        <v>43</v>
      </c>
      <c r="N2345" s="9" t="s">
        <v>49</v>
      </c>
      <c r="O2345" s="10">
        <f>'data on outstanding creditors'!$E2345*100/107</f>
        <v>18691.58879</v>
      </c>
      <c r="P2345" s="10">
        <f>'data on outstanding creditors'!$E2345-'data on outstanding creditors'!$O2345</f>
        <v>1308.411215</v>
      </c>
      <c r="Q2345" s="7">
        <f>DAY('data on outstanding creditors'!$B2345)</f>
        <v>20</v>
      </c>
      <c r="R2345" s="7">
        <f>MONTH('data on outstanding creditors'!$B2345)</f>
        <v>8</v>
      </c>
      <c r="S2345" s="7">
        <f>YEAR('data on outstanding creditors'!$B2345)</f>
        <v>2025</v>
      </c>
      <c r="T2345" s="11" t="str">
        <f>'data on outstanding creditors'!$C2345&amp;" "&amp;'data on outstanding creditors'!$D2345&amp;" "&amp;TEXT('data on outstanding creditors'!$E2345,"#,##0.00")</f>
        <v>บ.เอ็ม ดี ซี (ประเทศไทย) IV25080610 20,000.00</v>
      </c>
      <c r="U2345" s="12"/>
    </row>
    <row r="2346" ht="13.5" customHeight="1">
      <c r="A2346" s="1" t="s">
        <v>3398</v>
      </c>
      <c r="B2346" s="2">
        <v>45889.0</v>
      </c>
      <c r="C2346" s="9" t="s">
        <v>520</v>
      </c>
      <c r="D2346" s="1" t="s">
        <v>3399</v>
      </c>
      <c r="E2346" s="4">
        <v>44940.0</v>
      </c>
      <c r="F2346" s="4"/>
      <c r="G2346" s="4"/>
      <c r="H2346" s="4">
        <f>'data on outstanding creditors'!$E2346-'data on outstanding creditors'!$F2346-'data on outstanding creditors'!$G2346</f>
        <v>44940</v>
      </c>
      <c r="I2346" s="2"/>
      <c r="J2346" s="1"/>
      <c r="K2346" s="2"/>
      <c r="L2346" s="5"/>
      <c r="M2346" s="9" t="s">
        <v>43</v>
      </c>
      <c r="N2346" s="9" t="s">
        <v>49</v>
      </c>
      <c r="O2346" s="10">
        <f>'data on outstanding creditors'!$E2346*100/107</f>
        <v>42000</v>
      </c>
      <c r="P2346" s="10">
        <f>'data on outstanding creditors'!$E2346-'data on outstanding creditors'!$O2346</f>
        <v>2940</v>
      </c>
      <c r="Q2346" s="7">
        <f>DAY('data on outstanding creditors'!$B2346)</f>
        <v>20</v>
      </c>
      <c r="R2346" s="7">
        <f>MONTH('data on outstanding creditors'!$B2346)</f>
        <v>8</v>
      </c>
      <c r="S2346" s="7">
        <f>YEAR('data on outstanding creditors'!$B2346)</f>
        <v>2025</v>
      </c>
      <c r="T2346" s="11" t="str">
        <f>'data on outstanding creditors'!$C2346&amp;" "&amp;'data on outstanding creditors'!$D2346&amp;" "&amp;TEXT('data on outstanding creditors'!$E2346,"#,##0.00")</f>
        <v>บ.ซิลลิคฟาร์มา 1318127402 44,940.00</v>
      </c>
      <c r="U2346" s="12"/>
    </row>
    <row r="2347" ht="13.5" customHeight="1">
      <c r="A2347" s="1"/>
      <c r="B2347" s="2">
        <v>45890.0</v>
      </c>
      <c r="C2347" s="9" t="s">
        <v>688</v>
      </c>
      <c r="D2347" s="1" t="s">
        <v>3400</v>
      </c>
      <c r="E2347" s="4">
        <v>41516.0</v>
      </c>
      <c r="F2347" s="4"/>
      <c r="G2347" s="4"/>
      <c r="H2347" s="4">
        <f>'data on outstanding creditors'!$E2347-'data on outstanding creditors'!$F2347-'data on outstanding creditors'!$G2347</f>
        <v>41516</v>
      </c>
      <c r="I2347" s="2"/>
      <c r="J2347" s="1" t="s">
        <v>757</v>
      </c>
      <c r="K2347" s="2">
        <v>45924.0</v>
      </c>
      <c r="L2347" s="5"/>
      <c r="M2347" s="9" t="s">
        <v>43</v>
      </c>
      <c r="N2347" s="9" t="s">
        <v>23</v>
      </c>
      <c r="O2347" s="10">
        <f>'data on outstanding creditors'!$E2347*100/107</f>
        <v>38800</v>
      </c>
      <c r="P2347" s="10">
        <f>'data on outstanding creditors'!$E2347-'data on outstanding creditors'!$O2347</f>
        <v>2716</v>
      </c>
      <c r="Q2347" s="7">
        <f>DAY('data on outstanding creditors'!$B2347)</f>
        <v>21</v>
      </c>
      <c r="R2347" s="7">
        <f>MONTH('data on outstanding creditors'!$B2347)</f>
        <v>8</v>
      </c>
      <c r="S2347" s="7">
        <f>YEAR('data on outstanding creditors'!$B2347)</f>
        <v>2025</v>
      </c>
      <c r="T2347" s="11" t="str">
        <f>'data on outstanding creditors'!$C2347&amp;" "&amp;'data on outstanding creditors'!$D2347&amp;" "&amp;TEXT('data on outstanding creditors'!$E2347,"#,##0.00")</f>
        <v>บ.โอเร็กซ์ เทรดดิ้ง 680801669 41,516.00</v>
      </c>
      <c r="U2347" s="12"/>
    </row>
    <row r="2348" ht="13.5" customHeight="1">
      <c r="A2348" s="1"/>
      <c r="B2348" s="2">
        <v>45890.0</v>
      </c>
      <c r="C2348" s="9" t="s">
        <v>399</v>
      </c>
      <c r="D2348" s="1" t="s">
        <v>3401</v>
      </c>
      <c r="E2348" s="4">
        <v>86670.0</v>
      </c>
      <c r="F2348" s="4"/>
      <c r="G2348" s="4"/>
      <c r="H2348" s="4">
        <f>'data on outstanding creditors'!$E2348-'data on outstanding creditors'!$F2348-'data on outstanding creditors'!$G2348</f>
        <v>86670</v>
      </c>
      <c r="I2348" s="2"/>
      <c r="J2348" s="1"/>
      <c r="K2348" s="2"/>
      <c r="L2348" s="5"/>
      <c r="M2348" s="9" t="s">
        <v>43</v>
      </c>
      <c r="N2348" s="9" t="s">
        <v>23</v>
      </c>
      <c r="O2348" s="10">
        <f>'data on outstanding creditors'!$E2348*100/107</f>
        <v>81000</v>
      </c>
      <c r="P2348" s="10">
        <f>'data on outstanding creditors'!$E2348-'data on outstanding creditors'!$O2348</f>
        <v>5670</v>
      </c>
      <c r="Q2348" s="7">
        <f>DAY('data on outstanding creditors'!$B2348)</f>
        <v>21</v>
      </c>
      <c r="R2348" s="7">
        <f>MONTH('data on outstanding creditors'!$B2348)</f>
        <v>8</v>
      </c>
      <c r="S2348" s="7">
        <f>YEAR('data on outstanding creditors'!$B2348)</f>
        <v>2025</v>
      </c>
      <c r="T2348" s="11" t="str">
        <f>'data on outstanding creditors'!$C2348&amp;" "&amp;'data on outstanding creditors'!$D2348&amp;" "&amp;TEXT('data on outstanding creditors'!$E2348,"#,##0.00")</f>
        <v>บ.ดีเคเอสเอช(ประเทศไทย) 5344176976 86,670.00</v>
      </c>
      <c r="U2348" s="12"/>
    </row>
    <row r="2349" ht="13.5" customHeight="1">
      <c r="A2349" s="1"/>
      <c r="B2349" s="2">
        <v>45890.0</v>
      </c>
      <c r="C2349" s="9" t="s">
        <v>688</v>
      </c>
      <c r="D2349" s="1" t="s">
        <v>3402</v>
      </c>
      <c r="E2349" s="4">
        <v>9630.0</v>
      </c>
      <c r="F2349" s="4"/>
      <c r="G2349" s="4"/>
      <c r="H2349" s="4">
        <f>'data on outstanding creditors'!$E2349-'data on outstanding creditors'!$F2349-'data on outstanding creditors'!$G2349</f>
        <v>9630</v>
      </c>
      <c r="I2349" s="2"/>
      <c r="J2349" s="1" t="s">
        <v>757</v>
      </c>
      <c r="K2349" s="2">
        <v>45924.0</v>
      </c>
      <c r="L2349" s="5"/>
      <c r="M2349" s="9" t="s">
        <v>43</v>
      </c>
      <c r="N2349" s="9" t="s">
        <v>23</v>
      </c>
      <c r="O2349" s="10">
        <f>'data on outstanding creditors'!$E2349*100/107</f>
        <v>9000</v>
      </c>
      <c r="P2349" s="10">
        <f>'data on outstanding creditors'!$E2349-'data on outstanding creditors'!$O2349</f>
        <v>630</v>
      </c>
      <c r="Q2349" s="7">
        <f>DAY('data on outstanding creditors'!$B2349)</f>
        <v>21</v>
      </c>
      <c r="R2349" s="7">
        <f>MONTH('data on outstanding creditors'!$B2349)</f>
        <v>8</v>
      </c>
      <c r="S2349" s="7">
        <f>YEAR('data on outstanding creditors'!$B2349)</f>
        <v>2025</v>
      </c>
      <c r="T2349" s="11" t="str">
        <f>'data on outstanding creditors'!$C2349&amp;" "&amp;'data on outstanding creditors'!$D2349&amp;" "&amp;TEXT('data on outstanding creditors'!$E2349,"#,##0.00")</f>
        <v>บ.โอเร็กซ์ เทรดดิ้ง 680802729 9,630.00</v>
      </c>
      <c r="U2349" s="12"/>
    </row>
    <row r="2350" ht="13.5" customHeight="1">
      <c r="A2350" s="1" t="s">
        <v>3403</v>
      </c>
      <c r="B2350" s="2">
        <v>45890.0</v>
      </c>
      <c r="C2350" s="9" t="s">
        <v>2359</v>
      </c>
      <c r="D2350" s="1" t="s">
        <v>3404</v>
      </c>
      <c r="E2350" s="4">
        <v>35000.0</v>
      </c>
      <c r="F2350" s="4"/>
      <c r="G2350" s="4"/>
      <c r="H2350" s="4">
        <f>'data on outstanding creditors'!$E2350-'data on outstanding creditors'!$F2350-'data on outstanding creditors'!$G2350</f>
        <v>35000</v>
      </c>
      <c r="I2350" s="2"/>
      <c r="J2350" s="1" t="s">
        <v>646</v>
      </c>
      <c r="K2350" s="2">
        <v>45954.0</v>
      </c>
      <c r="L2350" s="5"/>
      <c r="M2350" s="9" t="s">
        <v>43</v>
      </c>
      <c r="N2350" s="9" t="s">
        <v>49</v>
      </c>
      <c r="O2350" s="10">
        <f>'data on outstanding creditors'!$E2350*100/107</f>
        <v>32710.28037</v>
      </c>
      <c r="P2350" s="10">
        <f>'data on outstanding creditors'!$E2350-'data on outstanding creditors'!$O2350</f>
        <v>2289.719626</v>
      </c>
      <c r="Q2350" s="7">
        <f>DAY('data on outstanding creditors'!$B2350)</f>
        <v>21</v>
      </c>
      <c r="R2350" s="7">
        <f>MONTH('data on outstanding creditors'!$B2350)</f>
        <v>8</v>
      </c>
      <c r="S2350" s="7">
        <f>YEAR('data on outstanding creditors'!$B2350)</f>
        <v>2025</v>
      </c>
      <c r="T2350" s="11" t="str">
        <f>'data on outstanding creditors'!$C2350&amp;" "&amp;'data on outstanding creditors'!$D2350&amp;" "&amp;TEXT('data on outstanding creditors'!$E2350,"#,##0.00")</f>
        <v>หจก.เอ แอนด์ ที เมดิคอลซายด์ B6807061 35,000.00</v>
      </c>
      <c r="U2350" s="12"/>
    </row>
    <row r="2351" ht="13.5" customHeight="1">
      <c r="A2351" s="1" t="s">
        <v>3405</v>
      </c>
      <c r="B2351" s="2">
        <v>45890.0</v>
      </c>
      <c r="C2351" s="9" t="s">
        <v>2317</v>
      </c>
      <c r="D2351" s="1" t="s">
        <v>3406</v>
      </c>
      <c r="E2351" s="4">
        <v>36800.0</v>
      </c>
      <c r="F2351" s="4"/>
      <c r="G2351" s="4"/>
      <c r="H2351" s="4">
        <f>'data on outstanding creditors'!$E2351-'data on outstanding creditors'!$F2351-'data on outstanding creditors'!$G2351</f>
        <v>36800</v>
      </c>
      <c r="I2351" s="2"/>
      <c r="J2351" s="1" t="s">
        <v>757</v>
      </c>
      <c r="K2351" s="2">
        <v>45935.0</v>
      </c>
      <c r="L2351" s="5"/>
      <c r="M2351" s="9" t="s">
        <v>43</v>
      </c>
      <c r="N2351" s="9" t="s">
        <v>49</v>
      </c>
      <c r="O2351" s="10">
        <f>'data on outstanding creditors'!$E2351*100/107</f>
        <v>34392.52336</v>
      </c>
      <c r="P2351" s="10">
        <f>'data on outstanding creditors'!$E2351-'data on outstanding creditors'!$O2351</f>
        <v>2407.476636</v>
      </c>
      <c r="Q2351" s="7">
        <f>DAY('data on outstanding creditors'!$B2351)</f>
        <v>21</v>
      </c>
      <c r="R2351" s="7">
        <f>MONTH('data on outstanding creditors'!$B2351)</f>
        <v>8</v>
      </c>
      <c r="S2351" s="7">
        <f>YEAR('data on outstanding creditors'!$B2351)</f>
        <v>2025</v>
      </c>
      <c r="T2351" s="11" t="str">
        <f>'data on outstanding creditors'!$C2351&amp;" "&amp;'data on outstanding creditors'!$D2351&amp;" "&amp;TEXT('data on outstanding creditors'!$E2351,"#,##0.00")</f>
        <v>บ.เซอจิ-แคร์ A680515 36,800.00</v>
      </c>
      <c r="U2351" s="12"/>
    </row>
    <row r="2352" ht="13.5" customHeight="1">
      <c r="A2352" s="1" t="s">
        <v>3407</v>
      </c>
      <c r="B2352" s="2">
        <v>45890.0</v>
      </c>
      <c r="C2352" s="9" t="s">
        <v>2275</v>
      </c>
      <c r="D2352" s="1" t="s">
        <v>3408</v>
      </c>
      <c r="E2352" s="4">
        <v>4500.0</v>
      </c>
      <c r="F2352" s="4"/>
      <c r="G2352" s="4"/>
      <c r="H2352" s="4">
        <f>'data on outstanding creditors'!$E2352-'data on outstanding creditors'!$F2352-'data on outstanding creditors'!$G2352</f>
        <v>4500</v>
      </c>
      <c r="I2352" s="2"/>
      <c r="J2352" s="1" t="s">
        <v>757</v>
      </c>
      <c r="K2352" s="2">
        <v>45922.0</v>
      </c>
      <c r="L2352" s="5"/>
      <c r="M2352" s="9" t="s">
        <v>43</v>
      </c>
      <c r="N2352" s="9" t="s">
        <v>49</v>
      </c>
      <c r="O2352" s="10">
        <f>'data on outstanding creditors'!$E2352*100/107</f>
        <v>4205.607477</v>
      </c>
      <c r="P2352" s="10">
        <f>'data on outstanding creditors'!$E2352-'data on outstanding creditors'!$O2352</f>
        <v>294.3925234</v>
      </c>
      <c r="Q2352" s="7">
        <f>DAY('data on outstanding creditors'!$B2352)</f>
        <v>21</v>
      </c>
      <c r="R2352" s="7">
        <f>MONTH('data on outstanding creditors'!$B2352)</f>
        <v>8</v>
      </c>
      <c r="S2352" s="7">
        <f>YEAR('data on outstanding creditors'!$B2352)</f>
        <v>2025</v>
      </c>
      <c r="T2352" s="11" t="str">
        <f>'data on outstanding creditors'!$C2352&amp;" "&amp;'data on outstanding creditors'!$D2352&amp;" "&amp;TEXT('data on outstanding creditors'!$E2352,"#,##0.00")</f>
        <v>บ.ยู.พี.เมดิคอล ซอลเตอร์ 682433 4,500.00</v>
      </c>
      <c r="U2352" s="12"/>
    </row>
    <row r="2353" ht="13.5" customHeight="1">
      <c r="A2353" s="1" t="s">
        <v>3409</v>
      </c>
      <c r="B2353" s="2">
        <v>45890.0</v>
      </c>
      <c r="C2353" s="9" t="s">
        <v>281</v>
      </c>
      <c r="D2353" s="1" t="s">
        <v>3410</v>
      </c>
      <c r="E2353" s="4">
        <v>16050.0</v>
      </c>
      <c r="F2353" s="4"/>
      <c r="G2353" s="4"/>
      <c r="H2353" s="4">
        <f>'data on outstanding creditors'!$E2353-'data on outstanding creditors'!$F2353-'data on outstanding creditors'!$G2353</f>
        <v>16050</v>
      </c>
      <c r="I2353" s="2"/>
      <c r="J2353" s="1" t="s">
        <v>757</v>
      </c>
      <c r="K2353" s="2">
        <v>45937.0</v>
      </c>
      <c r="L2353" s="5"/>
      <c r="M2353" s="9" t="s">
        <v>43</v>
      </c>
      <c r="N2353" s="9" t="s">
        <v>49</v>
      </c>
      <c r="O2353" s="10">
        <f>'data on outstanding creditors'!$E2353*100/107</f>
        <v>15000</v>
      </c>
      <c r="P2353" s="10">
        <f>'data on outstanding creditors'!$E2353-'data on outstanding creditors'!$O2353</f>
        <v>1050</v>
      </c>
      <c r="Q2353" s="7">
        <f>DAY('data on outstanding creditors'!$B2353)</f>
        <v>21</v>
      </c>
      <c r="R2353" s="7">
        <f>MONTH('data on outstanding creditors'!$B2353)</f>
        <v>8</v>
      </c>
      <c r="S2353" s="7">
        <f>YEAR('data on outstanding creditors'!$B2353)</f>
        <v>2025</v>
      </c>
      <c r="T2353" s="11" t="str">
        <f>'data on outstanding creditors'!$C2353&amp;" "&amp;'data on outstanding creditors'!$D2353&amp;" "&amp;TEXT('data on outstanding creditors'!$E2353,"#,##0.00")</f>
        <v>บ.เมดิทอป 1565844 16,050.00</v>
      </c>
      <c r="U2353" s="12"/>
    </row>
    <row r="2354" ht="13.5" customHeight="1">
      <c r="A2354" s="1" t="s">
        <v>3411</v>
      </c>
      <c r="B2354" s="2">
        <v>45890.0</v>
      </c>
      <c r="C2354" s="9" t="s">
        <v>2315</v>
      </c>
      <c r="D2354" s="1" t="s">
        <v>3412</v>
      </c>
      <c r="E2354" s="4">
        <v>3600.0</v>
      </c>
      <c r="F2354" s="4"/>
      <c r="G2354" s="4"/>
      <c r="H2354" s="4">
        <f>'data on outstanding creditors'!$E2354-'data on outstanding creditors'!$F2354-'data on outstanding creditors'!$G2354</f>
        <v>3600</v>
      </c>
      <c r="I2354" s="2"/>
      <c r="J2354" s="1" t="s">
        <v>646</v>
      </c>
      <c r="K2354" s="2">
        <v>45944.0</v>
      </c>
      <c r="L2354" s="5"/>
      <c r="M2354" s="9" t="s">
        <v>43</v>
      </c>
      <c r="N2354" s="9" t="s">
        <v>49</v>
      </c>
      <c r="O2354" s="10">
        <f>'data on outstanding creditors'!$E2354*100/107</f>
        <v>3364.485981</v>
      </c>
      <c r="P2354" s="10">
        <f>'data on outstanding creditors'!$E2354-'data on outstanding creditors'!$O2354</f>
        <v>235.5140187</v>
      </c>
      <c r="Q2354" s="7">
        <f>DAY('data on outstanding creditors'!$B2354)</f>
        <v>21</v>
      </c>
      <c r="R2354" s="7">
        <f>MONTH('data on outstanding creditors'!$B2354)</f>
        <v>8</v>
      </c>
      <c r="S2354" s="7">
        <f>YEAR('data on outstanding creditors'!$B2354)</f>
        <v>2025</v>
      </c>
      <c r="T2354" s="11" t="str">
        <f>'data on outstanding creditors'!$C2354&amp;" "&amp;'data on outstanding creditors'!$D2354&amp;" "&amp;TEXT('data on outstanding creditors'!$E2354,"#,##0.00")</f>
        <v>บ.เรียลเมดคอร์ป IV25083476 3,600.00</v>
      </c>
      <c r="U2354" s="12"/>
    </row>
    <row r="2355" ht="13.5" customHeight="1">
      <c r="A2355" s="1" t="s">
        <v>3413</v>
      </c>
      <c r="B2355" s="2">
        <v>45890.0</v>
      </c>
      <c r="C2355" s="9" t="s">
        <v>1029</v>
      </c>
      <c r="D2355" s="1" t="s">
        <v>3414</v>
      </c>
      <c r="E2355" s="4">
        <v>20300.0</v>
      </c>
      <c r="F2355" s="4"/>
      <c r="G2355" s="4"/>
      <c r="H2355" s="4">
        <f>'data on outstanding creditors'!$E2355-'data on outstanding creditors'!$F2355-'data on outstanding creditors'!$G2355</f>
        <v>20300</v>
      </c>
      <c r="I2355" s="2"/>
      <c r="J2355" s="1"/>
      <c r="K2355" s="2"/>
      <c r="L2355" s="5"/>
      <c r="M2355" s="9" t="s">
        <v>43</v>
      </c>
      <c r="N2355" s="9" t="s">
        <v>49</v>
      </c>
      <c r="O2355" s="10">
        <f>'data on outstanding creditors'!$E2355*100/107</f>
        <v>18971.96262</v>
      </c>
      <c r="P2355" s="10">
        <f>'data on outstanding creditors'!$E2355-'data on outstanding creditors'!$O2355</f>
        <v>1328.037383</v>
      </c>
      <c r="Q2355" s="7">
        <f>DAY('data on outstanding creditors'!$B2355)</f>
        <v>21</v>
      </c>
      <c r="R2355" s="7">
        <f>MONTH('data on outstanding creditors'!$B2355)</f>
        <v>8</v>
      </c>
      <c r="S2355" s="7">
        <f>YEAR('data on outstanding creditors'!$B2355)</f>
        <v>2025</v>
      </c>
      <c r="T2355" s="11" t="str">
        <f>'data on outstanding creditors'!$C2355&amp;" "&amp;'data on outstanding creditors'!$D2355&amp;" "&amp;TEXT('data on outstanding creditors'!$E2355,"#,##0.00")</f>
        <v>บ.เอเทค เมดิคอล IV6808436 20,300.00</v>
      </c>
      <c r="U2355" s="12"/>
    </row>
    <row r="2356" ht="13.5" customHeight="1">
      <c r="A2356" s="1" t="s">
        <v>3415</v>
      </c>
      <c r="B2356" s="2">
        <v>45891.0</v>
      </c>
      <c r="C2356" s="9" t="s">
        <v>2334</v>
      </c>
      <c r="D2356" s="1" t="s">
        <v>3416</v>
      </c>
      <c r="E2356" s="4">
        <v>37700.0</v>
      </c>
      <c r="F2356" s="4"/>
      <c r="G2356" s="4"/>
      <c r="H2356" s="4">
        <f>'data on outstanding creditors'!$E2356-'data on outstanding creditors'!$F2356-'data on outstanding creditors'!$G2356</f>
        <v>37700</v>
      </c>
      <c r="I2356" s="2"/>
      <c r="J2356" s="1" t="s">
        <v>757</v>
      </c>
      <c r="K2356" s="2">
        <v>45937.0</v>
      </c>
      <c r="L2356" s="5"/>
      <c r="M2356" s="9" t="s">
        <v>43</v>
      </c>
      <c r="N2356" s="9" t="s">
        <v>49</v>
      </c>
      <c r="O2356" s="10">
        <f>'data on outstanding creditors'!$E2356*100/107</f>
        <v>35233.64486</v>
      </c>
      <c r="P2356" s="10">
        <f>'data on outstanding creditors'!$E2356-'data on outstanding creditors'!$O2356</f>
        <v>2466.35514</v>
      </c>
      <c r="Q2356" s="7">
        <f>DAY('data on outstanding creditors'!$B2356)</f>
        <v>22</v>
      </c>
      <c r="R2356" s="7">
        <f>MONTH('data on outstanding creditors'!$B2356)</f>
        <v>8</v>
      </c>
      <c r="S2356" s="7">
        <f>YEAR('data on outstanding creditors'!$B2356)</f>
        <v>2025</v>
      </c>
      <c r="T2356" s="11" t="str">
        <f>'data on outstanding creditors'!$C2356&amp;" "&amp;'data on outstanding creditors'!$D2356&amp;" "&amp;TEXT('data on outstanding creditors'!$E2356,"#,##0.00")</f>
        <v>บ.ไทยก๊อส IV6833189 37,700.00</v>
      </c>
      <c r="U2356" s="12"/>
    </row>
    <row r="2357" ht="13.5" customHeight="1">
      <c r="A2357" s="1" t="s">
        <v>3417</v>
      </c>
      <c r="B2357" s="2">
        <v>45891.0</v>
      </c>
      <c r="C2357" s="9" t="s">
        <v>2956</v>
      </c>
      <c r="D2357" s="1" t="s">
        <v>3418</v>
      </c>
      <c r="E2357" s="4">
        <v>15600.0</v>
      </c>
      <c r="F2357" s="4"/>
      <c r="G2357" s="4"/>
      <c r="H2357" s="4">
        <f>'data on outstanding creditors'!$E2357-'data on outstanding creditors'!$F2357-'data on outstanding creditors'!$G2357</f>
        <v>15600</v>
      </c>
      <c r="I2357" s="2"/>
      <c r="J2357" s="1" t="s">
        <v>757</v>
      </c>
      <c r="K2357" s="2">
        <v>45937.0</v>
      </c>
      <c r="L2357" s="5"/>
      <c r="M2357" s="9" t="s">
        <v>43</v>
      </c>
      <c r="N2357" s="9" t="s">
        <v>49</v>
      </c>
      <c r="O2357" s="10">
        <f>'data on outstanding creditors'!$E2357*100/107</f>
        <v>14579.43925</v>
      </c>
      <c r="P2357" s="10">
        <f>'data on outstanding creditors'!$E2357-'data on outstanding creditors'!$O2357</f>
        <v>1020.560748</v>
      </c>
      <c r="Q2357" s="7">
        <f>DAY('data on outstanding creditors'!$B2357)</f>
        <v>22</v>
      </c>
      <c r="R2357" s="7">
        <f>MONTH('data on outstanding creditors'!$B2357)</f>
        <v>8</v>
      </c>
      <c r="S2357" s="7">
        <f>YEAR('data on outstanding creditors'!$B2357)</f>
        <v>2025</v>
      </c>
      <c r="T2357" s="11" t="str">
        <f>'data on outstanding creditors'!$C2357&amp;" "&amp;'data on outstanding creditors'!$D2357&amp;" "&amp;TEXT('data on outstanding creditors'!$E2357,"#,##0.00")</f>
        <v>บ.แอม เบส พลัส AM6808/201 15,600.00</v>
      </c>
      <c r="U2357" s="12"/>
    </row>
    <row r="2358" ht="13.5" customHeight="1">
      <c r="A2358" s="1" t="s">
        <v>3419</v>
      </c>
      <c r="B2358" s="2">
        <v>45891.0</v>
      </c>
      <c r="C2358" s="9" t="s">
        <v>1029</v>
      </c>
      <c r="D2358" s="1" t="s">
        <v>3420</v>
      </c>
      <c r="E2358" s="4">
        <v>18200.0</v>
      </c>
      <c r="F2358" s="4"/>
      <c r="G2358" s="4"/>
      <c r="H2358" s="4">
        <f>'data on outstanding creditors'!$E2358-'data on outstanding creditors'!$F2358-'data on outstanding creditors'!$G2358</f>
        <v>18200</v>
      </c>
      <c r="I2358" s="2"/>
      <c r="J2358" s="1"/>
      <c r="K2358" s="2"/>
      <c r="L2358" s="5"/>
      <c r="M2358" s="9" t="s">
        <v>43</v>
      </c>
      <c r="N2358" s="9" t="s">
        <v>49</v>
      </c>
      <c r="O2358" s="10">
        <f>'data on outstanding creditors'!$E2358*100/107</f>
        <v>17009.34579</v>
      </c>
      <c r="P2358" s="10">
        <f>'data on outstanding creditors'!$E2358-'data on outstanding creditors'!$O2358</f>
        <v>1190.654206</v>
      </c>
      <c r="Q2358" s="7">
        <f>DAY('data on outstanding creditors'!$B2358)</f>
        <v>22</v>
      </c>
      <c r="R2358" s="7">
        <f>MONTH('data on outstanding creditors'!$B2358)</f>
        <v>8</v>
      </c>
      <c r="S2358" s="7">
        <f>YEAR('data on outstanding creditors'!$B2358)</f>
        <v>2025</v>
      </c>
      <c r="T2358" s="11" t="str">
        <f>'data on outstanding creditors'!$C2358&amp;" "&amp;'data on outstanding creditors'!$D2358&amp;" "&amp;TEXT('data on outstanding creditors'!$E2358,"#,##0.00")</f>
        <v>บ.เอเทค เมดิคอล IV6808443 18,200.00</v>
      </c>
      <c r="U2358" s="12"/>
    </row>
    <row r="2359" ht="13.5" customHeight="1">
      <c r="A2359" s="1" t="s">
        <v>3421</v>
      </c>
      <c r="B2359" s="2">
        <v>45894.0</v>
      </c>
      <c r="C2359" s="9" t="s">
        <v>1029</v>
      </c>
      <c r="D2359" s="1" t="s">
        <v>3422</v>
      </c>
      <c r="E2359" s="4">
        <v>19100.0</v>
      </c>
      <c r="F2359" s="4"/>
      <c r="G2359" s="4"/>
      <c r="H2359" s="4">
        <f>'data on outstanding creditors'!$E2359-'data on outstanding creditors'!$F2359-'data on outstanding creditors'!$G2359</f>
        <v>19100</v>
      </c>
      <c r="I2359" s="2"/>
      <c r="J2359" s="1"/>
      <c r="K2359" s="2"/>
      <c r="L2359" s="5"/>
      <c r="M2359" s="9" t="s">
        <v>43</v>
      </c>
      <c r="N2359" s="9" t="s">
        <v>49</v>
      </c>
      <c r="O2359" s="10">
        <f>'data on outstanding creditors'!$E2359*100/107</f>
        <v>17850.46729</v>
      </c>
      <c r="P2359" s="10">
        <f>'data on outstanding creditors'!$E2359-'data on outstanding creditors'!$O2359</f>
        <v>1249.53271</v>
      </c>
      <c r="Q2359" s="7">
        <f>DAY('data on outstanding creditors'!$B2359)</f>
        <v>25</v>
      </c>
      <c r="R2359" s="7">
        <f>MONTH('data on outstanding creditors'!$B2359)</f>
        <v>8</v>
      </c>
      <c r="S2359" s="7">
        <f>YEAR('data on outstanding creditors'!$B2359)</f>
        <v>2025</v>
      </c>
      <c r="T2359" s="11" t="str">
        <f>'data on outstanding creditors'!$C2359&amp;" "&amp;'data on outstanding creditors'!$D2359&amp;" "&amp;TEXT('data on outstanding creditors'!$E2359,"#,##0.00")</f>
        <v>บ.เอเทค เมดิคอล IV6808507 19,100.00</v>
      </c>
      <c r="U2359" s="12"/>
    </row>
    <row r="2360" ht="13.5" customHeight="1">
      <c r="A2360" s="1" t="s">
        <v>3423</v>
      </c>
      <c r="B2360" s="2">
        <v>45894.0</v>
      </c>
      <c r="C2360" s="9" t="s">
        <v>1029</v>
      </c>
      <c r="D2360" s="1" t="s">
        <v>3424</v>
      </c>
      <c r="E2360" s="4">
        <v>8600.0</v>
      </c>
      <c r="F2360" s="4"/>
      <c r="G2360" s="4"/>
      <c r="H2360" s="4">
        <f>'data on outstanding creditors'!$E2360-'data on outstanding creditors'!$F2360-'data on outstanding creditors'!$G2360</f>
        <v>8600</v>
      </c>
      <c r="I2360" s="2"/>
      <c r="J2360" s="1"/>
      <c r="K2360" s="2"/>
      <c r="L2360" s="5"/>
      <c r="M2360" s="9" t="s">
        <v>43</v>
      </c>
      <c r="N2360" s="9" t="s">
        <v>49</v>
      </c>
      <c r="O2360" s="10">
        <f>'data on outstanding creditors'!$E2360*100/107</f>
        <v>8037.383178</v>
      </c>
      <c r="P2360" s="10">
        <f>'data on outstanding creditors'!$E2360-'data on outstanding creditors'!$O2360</f>
        <v>562.6168224</v>
      </c>
      <c r="Q2360" s="7">
        <f>DAY('data on outstanding creditors'!$B2360)</f>
        <v>25</v>
      </c>
      <c r="R2360" s="7">
        <f>MONTH('data on outstanding creditors'!$B2360)</f>
        <v>8</v>
      </c>
      <c r="S2360" s="7">
        <f>YEAR('data on outstanding creditors'!$B2360)</f>
        <v>2025</v>
      </c>
      <c r="T2360" s="11" t="str">
        <f>'data on outstanding creditors'!$C2360&amp;" "&amp;'data on outstanding creditors'!$D2360&amp;" "&amp;TEXT('data on outstanding creditors'!$E2360,"#,##0.00")</f>
        <v>บ.เอเทค เมดิคอล IV6808506 8,600.00</v>
      </c>
      <c r="U2360" s="12"/>
    </row>
    <row r="2361" ht="13.5" customHeight="1">
      <c r="A2361" s="1"/>
      <c r="B2361" s="2">
        <v>45895.0</v>
      </c>
      <c r="C2361" s="9" t="s">
        <v>688</v>
      </c>
      <c r="D2361" s="1" t="s">
        <v>3425</v>
      </c>
      <c r="E2361" s="4">
        <v>128400.0</v>
      </c>
      <c r="F2361" s="4"/>
      <c r="G2361" s="4"/>
      <c r="H2361" s="4">
        <f>'data on outstanding creditors'!$E2361-'data on outstanding creditors'!$F2361-'data on outstanding creditors'!$G2361</f>
        <v>128400</v>
      </c>
      <c r="I2361" s="2"/>
      <c r="J2361" s="1" t="s">
        <v>757</v>
      </c>
      <c r="K2361" s="2">
        <v>45924.0</v>
      </c>
      <c r="L2361" s="5"/>
      <c r="M2361" s="9" t="s">
        <v>43</v>
      </c>
      <c r="N2361" s="9" t="s">
        <v>23</v>
      </c>
      <c r="O2361" s="10">
        <f>'data on outstanding creditors'!$E2361*100/107</f>
        <v>120000</v>
      </c>
      <c r="P2361" s="10">
        <f>'data on outstanding creditors'!$E2361-'data on outstanding creditors'!$O2361</f>
        <v>8400</v>
      </c>
      <c r="Q2361" s="7">
        <f>DAY('data on outstanding creditors'!$B2361)</f>
        <v>26</v>
      </c>
      <c r="R2361" s="7">
        <f>MONTH('data on outstanding creditors'!$B2361)</f>
        <v>8</v>
      </c>
      <c r="S2361" s="7">
        <f>YEAR('data on outstanding creditors'!$B2361)</f>
        <v>2025</v>
      </c>
      <c r="T2361" s="11" t="str">
        <f>'data on outstanding creditors'!$C2361&amp;" "&amp;'data on outstanding creditors'!$D2361&amp;" "&amp;TEXT('data on outstanding creditors'!$E2361,"#,##0.00")</f>
        <v>บ.โอเร็กซ์ เทรดดิ้ง 680803677 128,400.00</v>
      </c>
      <c r="U2361" s="12"/>
    </row>
    <row r="2362" ht="13.5" customHeight="1">
      <c r="A2362" s="1"/>
      <c r="B2362" s="2">
        <v>45895.0</v>
      </c>
      <c r="C2362" s="9" t="s">
        <v>2486</v>
      </c>
      <c r="D2362" s="1" t="s">
        <v>3426</v>
      </c>
      <c r="E2362" s="4">
        <v>55800.0</v>
      </c>
      <c r="F2362" s="4"/>
      <c r="G2362" s="4"/>
      <c r="H2362" s="4">
        <f>'data on outstanding creditors'!$E2362-'data on outstanding creditors'!$F2362-'data on outstanding creditors'!$G2362</f>
        <v>55800</v>
      </c>
      <c r="I2362" s="2"/>
      <c r="J2362" s="1" t="s">
        <v>757</v>
      </c>
      <c r="K2362" s="2">
        <v>45924.0</v>
      </c>
      <c r="L2362" s="5"/>
      <c r="M2362" s="9" t="s">
        <v>43</v>
      </c>
      <c r="N2362" s="9" t="s">
        <v>23</v>
      </c>
      <c r="O2362" s="10">
        <f>'data on outstanding creditors'!$E2362*100/107</f>
        <v>52149.53271</v>
      </c>
      <c r="P2362" s="10">
        <f>'data on outstanding creditors'!$E2362-'data on outstanding creditors'!$O2362</f>
        <v>3650.46729</v>
      </c>
      <c r="Q2362" s="7">
        <f>DAY('data on outstanding creditors'!$B2362)</f>
        <v>26</v>
      </c>
      <c r="R2362" s="7">
        <f>MONTH('data on outstanding creditors'!$B2362)</f>
        <v>8</v>
      </c>
      <c r="S2362" s="7">
        <f>YEAR('data on outstanding creditors'!$B2362)</f>
        <v>2025</v>
      </c>
      <c r="T2362" s="11" t="str">
        <f>'data on outstanding creditors'!$C2362&amp;" "&amp;'data on outstanding creditors'!$D2362&amp;" "&amp;TEXT('data on outstanding creditors'!$E2362,"#,##0.00")</f>
        <v>บ.ไทยเพียวดีไวซ์ 68/08930 55,800.00</v>
      </c>
      <c r="U2362" s="12"/>
    </row>
    <row r="2363" ht="13.5" customHeight="1">
      <c r="A2363" s="1" t="s">
        <v>3427</v>
      </c>
      <c r="B2363" s="2">
        <v>45895.0</v>
      </c>
      <c r="C2363" s="9" t="s">
        <v>2341</v>
      </c>
      <c r="D2363" s="1" t="s">
        <v>3428</v>
      </c>
      <c r="E2363" s="4">
        <v>28500.0</v>
      </c>
      <c r="F2363" s="4"/>
      <c r="G2363" s="4"/>
      <c r="H2363" s="4">
        <f>'data on outstanding creditors'!$E2363-'data on outstanding creditors'!$F2363-'data on outstanding creditors'!$G2363</f>
        <v>28500</v>
      </c>
      <c r="I2363" s="2"/>
      <c r="J2363" s="1" t="s">
        <v>646</v>
      </c>
      <c r="K2363" s="2">
        <v>45944.0</v>
      </c>
      <c r="L2363" s="5"/>
      <c r="M2363" s="9" t="s">
        <v>43</v>
      </c>
      <c r="N2363" s="9" t="s">
        <v>49</v>
      </c>
      <c r="O2363" s="10">
        <f>'data on outstanding creditors'!$E2363*100/107</f>
        <v>26635.51402</v>
      </c>
      <c r="P2363" s="10">
        <f>'data on outstanding creditors'!$E2363-'data on outstanding creditors'!$O2363</f>
        <v>1864.485981</v>
      </c>
      <c r="Q2363" s="7">
        <f>DAY('data on outstanding creditors'!$B2363)</f>
        <v>26</v>
      </c>
      <c r="R2363" s="7">
        <f>MONTH('data on outstanding creditors'!$B2363)</f>
        <v>8</v>
      </c>
      <c r="S2363" s="7">
        <f>YEAR('data on outstanding creditors'!$B2363)</f>
        <v>2025</v>
      </c>
      <c r="T2363" s="11" t="str">
        <f>'data on outstanding creditors'!$C2363&amp;" "&amp;'data on outstanding creditors'!$D2363&amp;" "&amp;TEXT('data on outstanding creditors'!$E2363,"#,##0.00")</f>
        <v>บ.รีฟิล เมด RFMIV.008/2568 28,500.00</v>
      </c>
      <c r="U2363" s="12"/>
    </row>
    <row r="2364" ht="13.5" customHeight="1">
      <c r="A2364" s="1" t="s">
        <v>3429</v>
      </c>
      <c r="B2364" s="2">
        <v>45895.0</v>
      </c>
      <c r="C2364" s="9" t="s">
        <v>2343</v>
      </c>
      <c r="D2364" s="1" t="s">
        <v>3430</v>
      </c>
      <c r="E2364" s="4">
        <v>22595.0</v>
      </c>
      <c r="F2364" s="4"/>
      <c r="G2364" s="4"/>
      <c r="H2364" s="4">
        <f>'data on outstanding creditors'!$E2364-'data on outstanding creditors'!$F2364-'data on outstanding creditors'!$G2364</f>
        <v>22595</v>
      </c>
      <c r="I2364" s="2"/>
      <c r="J2364" s="1" t="s">
        <v>757</v>
      </c>
      <c r="K2364" s="2">
        <v>45937.0</v>
      </c>
      <c r="L2364" s="5"/>
      <c r="M2364" s="9" t="s">
        <v>43</v>
      </c>
      <c r="N2364" s="9" t="s">
        <v>49</v>
      </c>
      <c r="O2364" s="10">
        <f>'data on outstanding creditors'!$E2364*100/107</f>
        <v>21116.82243</v>
      </c>
      <c r="P2364" s="10">
        <f>'data on outstanding creditors'!$E2364-'data on outstanding creditors'!$O2364</f>
        <v>1478.17757</v>
      </c>
      <c r="Q2364" s="7">
        <f>DAY('data on outstanding creditors'!$B2364)</f>
        <v>26</v>
      </c>
      <c r="R2364" s="7">
        <f>MONTH('data on outstanding creditors'!$B2364)</f>
        <v>8</v>
      </c>
      <c r="S2364" s="7">
        <f>YEAR('data on outstanding creditors'!$B2364)</f>
        <v>2025</v>
      </c>
      <c r="T2364" s="11" t="str">
        <f>'data on outstanding creditors'!$C2364&amp;" "&amp;'data on outstanding creditors'!$D2364&amp;" "&amp;TEXT('data on outstanding creditors'!$E2364,"#,##0.00")</f>
        <v>บ.ทริมเมอร์ IV250802621 22,595.00</v>
      </c>
      <c r="U2364" s="12"/>
    </row>
    <row r="2365" ht="13.5" customHeight="1">
      <c r="A2365" s="1" t="s">
        <v>3431</v>
      </c>
      <c r="B2365" s="2">
        <v>45895.0</v>
      </c>
      <c r="C2365" s="9" t="s">
        <v>3023</v>
      </c>
      <c r="D2365" s="1" t="s">
        <v>3432</v>
      </c>
      <c r="E2365" s="4">
        <v>7500.0</v>
      </c>
      <c r="F2365" s="4"/>
      <c r="G2365" s="4"/>
      <c r="H2365" s="4">
        <f>'data on outstanding creditors'!$E2365-'data on outstanding creditors'!$F2365-'data on outstanding creditors'!$G2365</f>
        <v>7500</v>
      </c>
      <c r="I2365" s="2"/>
      <c r="J2365" s="1" t="s">
        <v>757</v>
      </c>
      <c r="K2365" s="2">
        <v>45935.0</v>
      </c>
      <c r="L2365" s="5"/>
      <c r="M2365" s="9" t="s">
        <v>43</v>
      </c>
      <c r="N2365" s="9" t="s">
        <v>49</v>
      </c>
      <c r="O2365" s="10">
        <f>'data on outstanding creditors'!$E2365*100/107</f>
        <v>7009.345794</v>
      </c>
      <c r="P2365" s="10">
        <f>'data on outstanding creditors'!$E2365-'data on outstanding creditors'!$O2365</f>
        <v>490.6542056</v>
      </c>
      <c r="Q2365" s="7">
        <f>DAY('data on outstanding creditors'!$B2365)</f>
        <v>26</v>
      </c>
      <c r="R2365" s="7">
        <f>MONTH('data on outstanding creditors'!$B2365)</f>
        <v>8</v>
      </c>
      <c r="S2365" s="7">
        <f>YEAR('data on outstanding creditors'!$B2365)</f>
        <v>2025</v>
      </c>
      <c r="T2365" s="11" t="str">
        <f>'data on outstanding creditors'!$C2365&amp;" "&amp;'data on outstanding creditors'!$D2365&amp;" "&amp;TEXT('data on outstanding creditors'!$E2365,"#,##0.00")</f>
        <v>บ.ไพรม์ เมดิคอล IV6808-11529 7,500.00</v>
      </c>
      <c r="U2365" s="12"/>
    </row>
    <row r="2366" ht="13.5" customHeight="1">
      <c r="A2366" s="1" t="s">
        <v>3433</v>
      </c>
      <c r="B2366" s="2">
        <v>45895.0</v>
      </c>
      <c r="C2366" s="9" t="s">
        <v>1029</v>
      </c>
      <c r="D2366" s="1" t="s">
        <v>3434</v>
      </c>
      <c r="E2366" s="4">
        <v>7500.0</v>
      </c>
      <c r="F2366" s="4"/>
      <c r="G2366" s="4"/>
      <c r="H2366" s="4">
        <f>'data on outstanding creditors'!$E2366-'data on outstanding creditors'!$F2366-'data on outstanding creditors'!$G2366</f>
        <v>7500</v>
      </c>
      <c r="I2366" s="2"/>
      <c r="J2366" s="1" t="s">
        <v>757</v>
      </c>
      <c r="K2366" s="2">
        <v>45935.0</v>
      </c>
      <c r="L2366" s="5"/>
      <c r="M2366" s="9" t="s">
        <v>43</v>
      </c>
      <c r="N2366" s="9" t="s">
        <v>49</v>
      </c>
      <c r="O2366" s="10">
        <f>'data on outstanding creditors'!$E2366*100/107</f>
        <v>7009.345794</v>
      </c>
      <c r="P2366" s="10">
        <f>'data on outstanding creditors'!$E2366-'data on outstanding creditors'!$O2366</f>
        <v>490.6542056</v>
      </c>
      <c r="Q2366" s="7">
        <f>DAY('data on outstanding creditors'!$B2366)</f>
        <v>26</v>
      </c>
      <c r="R2366" s="7">
        <f>MONTH('data on outstanding creditors'!$B2366)</f>
        <v>8</v>
      </c>
      <c r="S2366" s="7">
        <f>YEAR('data on outstanding creditors'!$B2366)</f>
        <v>2025</v>
      </c>
      <c r="T2366" s="11" t="str">
        <f>'data on outstanding creditors'!$C2366&amp;" "&amp;'data on outstanding creditors'!$D2366&amp;" "&amp;TEXT('data on outstanding creditors'!$E2366,"#,##0.00")</f>
        <v>บ.เอเทค เมดิคอล IV6808375 7,500.00</v>
      </c>
      <c r="U2366" s="12"/>
    </row>
    <row r="2367" ht="13.5" customHeight="1">
      <c r="A2367" s="1" t="s">
        <v>3435</v>
      </c>
      <c r="B2367" s="2">
        <v>45895.0</v>
      </c>
      <c r="C2367" s="9" t="s">
        <v>2315</v>
      </c>
      <c r="D2367" s="1" t="s">
        <v>3436</v>
      </c>
      <c r="E2367" s="4">
        <v>3600.0</v>
      </c>
      <c r="F2367" s="4"/>
      <c r="G2367" s="4"/>
      <c r="H2367" s="4">
        <f>'data on outstanding creditors'!$E2367-'data on outstanding creditors'!$F2367-'data on outstanding creditors'!$G2367</f>
        <v>3600</v>
      </c>
      <c r="I2367" s="2"/>
      <c r="J2367" s="1" t="s">
        <v>646</v>
      </c>
      <c r="K2367" s="2">
        <v>45944.0</v>
      </c>
      <c r="L2367" s="5"/>
      <c r="M2367" s="9" t="s">
        <v>43</v>
      </c>
      <c r="N2367" s="9" t="s">
        <v>49</v>
      </c>
      <c r="O2367" s="10">
        <f>'data on outstanding creditors'!$E2367*100/107</f>
        <v>3364.485981</v>
      </c>
      <c r="P2367" s="10">
        <f>'data on outstanding creditors'!$E2367-'data on outstanding creditors'!$O2367</f>
        <v>235.5140187</v>
      </c>
      <c r="Q2367" s="7">
        <f>DAY('data on outstanding creditors'!$B2367)</f>
        <v>26</v>
      </c>
      <c r="R2367" s="7">
        <f>MONTH('data on outstanding creditors'!$B2367)</f>
        <v>8</v>
      </c>
      <c r="S2367" s="7">
        <f>YEAR('data on outstanding creditors'!$B2367)</f>
        <v>2025</v>
      </c>
      <c r="T2367" s="11" t="str">
        <f>'data on outstanding creditors'!$C2367&amp;" "&amp;'data on outstanding creditors'!$D2367&amp;" "&amp;TEXT('data on outstanding creditors'!$E2367,"#,##0.00")</f>
        <v>บ.เรียลเมดคอร์ป IV25083777 3,600.00</v>
      </c>
      <c r="U2367" s="12"/>
    </row>
    <row r="2368" ht="13.5" customHeight="1">
      <c r="A2368" s="1" t="s">
        <v>3437</v>
      </c>
      <c r="B2368" s="2">
        <v>45895.0</v>
      </c>
      <c r="C2368" s="9" t="s">
        <v>1029</v>
      </c>
      <c r="D2368" s="1" t="s">
        <v>3438</v>
      </c>
      <c r="E2368" s="4">
        <v>10800.0</v>
      </c>
      <c r="F2368" s="4"/>
      <c r="G2368" s="4"/>
      <c r="H2368" s="4">
        <f>'data on outstanding creditors'!$E2368-'data on outstanding creditors'!$F2368-'data on outstanding creditors'!$G2368</f>
        <v>10800</v>
      </c>
      <c r="I2368" s="2"/>
      <c r="J2368" s="1"/>
      <c r="K2368" s="2"/>
      <c r="L2368" s="5"/>
      <c r="M2368" s="9" t="s">
        <v>43</v>
      </c>
      <c r="N2368" s="9" t="s">
        <v>49</v>
      </c>
      <c r="O2368" s="10">
        <f>'data on outstanding creditors'!$E2368*100/107</f>
        <v>10093.45794</v>
      </c>
      <c r="P2368" s="10">
        <f>'data on outstanding creditors'!$E2368-'data on outstanding creditors'!$O2368</f>
        <v>706.5420561</v>
      </c>
      <c r="Q2368" s="7">
        <f>DAY('data on outstanding creditors'!$B2368)</f>
        <v>26</v>
      </c>
      <c r="R2368" s="7">
        <f>MONTH('data on outstanding creditors'!$B2368)</f>
        <v>8</v>
      </c>
      <c r="S2368" s="7">
        <f>YEAR('data on outstanding creditors'!$B2368)</f>
        <v>2025</v>
      </c>
      <c r="T2368" s="11" t="str">
        <f>'data on outstanding creditors'!$C2368&amp;" "&amp;'data on outstanding creditors'!$D2368&amp;" "&amp;TEXT('data on outstanding creditors'!$E2368,"#,##0.00")</f>
        <v>บ.เอเทค เมดิคอล IV6809045 10,800.00</v>
      </c>
      <c r="U2368" s="12"/>
    </row>
    <row r="2369" ht="13.5" customHeight="1">
      <c r="A2369" s="1"/>
      <c r="B2369" s="2">
        <v>45896.0</v>
      </c>
      <c r="C2369" s="9" t="s">
        <v>2363</v>
      </c>
      <c r="D2369" s="1" t="s">
        <v>3439</v>
      </c>
      <c r="E2369" s="4">
        <v>12000.0</v>
      </c>
      <c r="F2369" s="4"/>
      <c r="G2369" s="4"/>
      <c r="H2369" s="4">
        <f>'data on outstanding creditors'!$E2369-'data on outstanding creditors'!$F2369-'data on outstanding creditors'!$G2369</f>
        <v>12000</v>
      </c>
      <c r="I2369" s="2"/>
      <c r="J2369" s="1" t="s">
        <v>757</v>
      </c>
      <c r="K2369" s="2">
        <v>45924.0</v>
      </c>
      <c r="L2369" s="5"/>
      <c r="M2369" s="9" t="s">
        <v>43</v>
      </c>
      <c r="N2369" s="9" t="s">
        <v>23</v>
      </c>
      <c r="O2369" s="10">
        <f>'data on outstanding creditors'!$E2369*100/107</f>
        <v>11214.95327</v>
      </c>
      <c r="P2369" s="10">
        <f>'data on outstanding creditors'!$E2369-'data on outstanding creditors'!$O2369</f>
        <v>785.046729</v>
      </c>
      <c r="Q2369" s="7">
        <f>DAY('data on outstanding creditors'!$B2369)</f>
        <v>27</v>
      </c>
      <c r="R2369" s="7">
        <f>MONTH('data on outstanding creditors'!$B2369)</f>
        <v>8</v>
      </c>
      <c r="S2369" s="7">
        <f>YEAR('data on outstanding creditors'!$B2369)</f>
        <v>2025</v>
      </c>
      <c r="T2369" s="11" t="str">
        <f>'data on outstanding creditors'!$C2369&amp;" "&amp;'data on outstanding creditors'!$D2369&amp;" "&amp;TEXT('data on outstanding creditors'!$E2369,"#,##0.00")</f>
        <v>บ.บีเวอร์ เมดิคอล อินดัสตรี้ 687363 12,000.00</v>
      </c>
      <c r="U2369" s="12"/>
    </row>
    <row r="2370" ht="13.5" customHeight="1">
      <c r="A2370" s="1"/>
      <c r="B2370" s="2">
        <v>45896.0</v>
      </c>
      <c r="C2370" s="9" t="s">
        <v>688</v>
      </c>
      <c r="D2370" s="1" t="s">
        <v>3440</v>
      </c>
      <c r="E2370" s="4">
        <v>6527.0</v>
      </c>
      <c r="F2370" s="4"/>
      <c r="G2370" s="4"/>
      <c r="H2370" s="4">
        <f>'data on outstanding creditors'!$E2370-'data on outstanding creditors'!$F2370-'data on outstanding creditors'!$G2370</f>
        <v>6527</v>
      </c>
      <c r="I2370" s="2"/>
      <c r="J2370" s="1" t="s">
        <v>757</v>
      </c>
      <c r="K2370" s="2">
        <v>45924.0</v>
      </c>
      <c r="L2370" s="5"/>
      <c r="M2370" s="9" t="s">
        <v>43</v>
      </c>
      <c r="N2370" s="9" t="s">
        <v>23</v>
      </c>
      <c r="O2370" s="10">
        <f>'data on outstanding creditors'!$E2370*100/107</f>
        <v>6100</v>
      </c>
      <c r="P2370" s="10">
        <f>'data on outstanding creditors'!$E2370-'data on outstanding creditors'!$O2370</f>
        <v>427</v>
      </c>
      <c r="Q2370" s="7">
        <f>DAY('data on outstanding creditors'!$B2370)</f>
        <v>27</v>
      </c>
      <c r="R2370" s="7">
        <f>MONTH('data on outstanding creditors'!$B2370)</f>
        <v>8</v>
      </c>
      <c r="S2370" s="7">
        <f>YEAR('data on outstanding creditors'!$B2370)</f>
        <v>2025</v>
      </c>
      <c r="T2370" s="11" t="str">
        <f>'data on outstanding creditors'!$C2370&amp;" "&amp;'data on outstanding creditors'!$D2370&amp;" "&amp;TEXT('data on outstanding creditors'!$E2370,"#,##0.00")</f>
        <v>บ.โอเร็กซ์ เทรดดิ้ง 680803799 6,527.00</v>
      </c>
      <c r="U2370" s="12"/>
    </row>
    <row r="2371" ht="13.5" customHeight="1">
      <c r="A2371" s="1"/>
      <c r="B2371" s="2">
        <v>45896.0</v>
      </c>
      <c r="C2371" s="9" t="s">
        <v>965</v>
      </c>
      <c r="D2371" s="1" t="s">
        <v>3441</v>
      </c>
      <c r="E2371" s="4">
        <v>48000.0</v>
      </c>
      <c r="F2371" s="4"/>
      <c r="G2371" s="4"/>
      <c r="H2371" s="4">
        <f>'data on outstanding creditors'!$E2371-'data on outstanding creditors'!$F2371-'data on outstanding creditors'!$G2371</f>
        <v>48000</v>
      </c>
      <c r="I2371" s="2"/>
      <c r="J2371" s="1" t="s">
        <v>646</v>
      </c>
      <c r="K2371" s="2">
        <v>45944.0</v>
      </c>
      <c r="L2371" s="5"/>
      <c r="M2371" s="9" t="s">
        <v>43</v>
      </c>
      <c r="N2371" s="9" t="s">
        <v>23</v>
      </c>
      <c r="O2371" s="10">
        <f>'data on outstanding creditors'!$E2371*100/107</f>
        <v>44859.81308</v>
      </c>
      <c r="P2371" s="10">
        <f>'data on outstanding creditors'!$E2371-'data on outstanding creditors'!$O2371</f>
        <v>3140.186916</v>
      </c>
      <c r="Q2371" s="7">
        <f>DAY('data on outstanding creditors'!$B2371)</f>
        <v>27</v>
      </c>
      <c r="R2371" s="7">
        <f>MONTH('data on outstanding creditors'!$B2371)</f>
        <v>8</v>
      </c>
      <c r="S2371" s="7">
        <f>YEAR('data on outstanding creditors'!$B2371)</f>
        <v>2025</v>
      </c>
      <c r="T2371" s="11" t="str">
        <f>'data on outstanding creditors'!$C2371&amp;" "&amp;'data on outstanding creditors'!$D2371&amp;" "&amp;TEXT('data on outstanding creditors'!$E2371,"#,##0.00")</f>
        <v>บ.แปซิฟิค เฮลธ์แคร์(ไทยแลนด์) 68041837 48,000.00</v>
      </c>
      <c r="U2371" s="12"/>
    </row>
    <row r="2372" ht="13.5" customHeight="1">
      <c r="A2372" s="1" t="s">
        <v>3442</v>
      </c>
      <c r="B2372" s="2">
        <v>45897.0</v>
      </c>
      <c r="C2372" s="9" t="s">
        <v>1114</v>
      </c>
      <c r="D2372" s="1" t="s">
        <v>3443</v>
      </c>
      <c r="E2372" s="4">
        <v>10950.0</v>
      </c>
      <c r="F2372" s="4"/>
      <c r="G2372" s="4"/>
      <c r="H2372" s="4">
        <f>'data on outstanding creditors'!$E2372-'data on outstanding creditors'!$F2372-'data on outstanding creditors'!$G2372</f>
        <v>10950</v>
      </c>
      <c r="I2372" s="2"/>
      <c r="J2372" s="1" t="s">
        <v>646</v>
      </c>
      <c r="K2372" s="2">
        <v>45952.0</v>
      </c>
      <c r="L2372" s="5"/>
      <c r="M2372" s="9" t="s">
        <v>43</v>
      </c>
      <c r="N2372" s="9" t="s">
        <v>49</v>
      </c>
      <c r="O2372" s="10">
        <f>'data on outstanding creditors'!$E2372*100/107</f>
        <v>10233.64486</v>
      </c>
      <c r="P2372" s="10">
        <f>'data on outstanding creditors'!$E2372-'data on outstanding creditors'!$O2372</f>
        <v>716.3551402</v>
      </c>
      <c r="Q2372" s="7">
        <f>DAY('data on outstanding creditors'!$B2372)</f>
        <v>28</v>
      </c>
      <c r="R2372" s="7">
        <f>MONTH('data on outstanding creditors'!$B2372)</f>
        <v>8</v>
      </c>
      <c r="S2372" s="7">
        <f>YEAR('data on outstanding creditors'!$B2372)</f>
        <v>2025</v>
      </c>
      <c r="T2372" s="11" t="str">
        <f>'data on outstanding creditors'!$C2372&amp;" "&amp;'data on outstanding creditors'!$D2372&amp;" "&amp;TEXT('data on outstanding creditors'!$E2372,"#,##0.00")</f>
        <v>หจก.อิเลฟเว่น พลัซ EL680823189 10,950.00</v>
      </c>
      <c r="U2372" s="12"/>
    </row>
    <row r="2373" ht="13.5" customHeight="1">
      <c r="A2373" s="1" t="s">
        <v>3444</v>
      </c>
      <c r="B2373" s="2">
        <v>45897.0</v>
      </c>
      <c r="C2373" s="9" t="s">
        <v>1114</v>
      </c>
      <c r="D2373" s="1" t="s">
        <v>3445</v>
      </c>
      <c r="E2373" s="4">
        <v>13600.0</v>
      </c>
      <c r="F2373" s="4"/>
      <c r="G2373" s="4"/>
      <c r="H2373" s="4">
        <f>'data on outstanding creditors'!$E2373-'data on outstanding creditors'!$F2373-'data on outstanding creditors'!$G2373</f>
        <v>13600</v>
      </c>
      <c r="I2373" s="2"/>
      <c r="J2373" s="1" t="s">
        <v>646</v>
      </c>
      <c r="K2373" s="2">
        <v>45952.0</v>
      </c>
      <c r="L2373" s="5"/>
      <c r="M2373" s="9" t="s">
        <v>43</v>
      </c>
      <c r="N2373" s="9" t="s">
        <v>49</v>
      </c>
      <c r="O2373" s="10">
        <f>'data on outstanding creditors'!$E2373*100/107</f>
        <v>12710.28037</v>
      </c>
      <c r="P2373" s="10">
        <f>'data on outstanding creditors'!$E2373-'data on outstanding creditors'!$O2373</f>
        <v>889.7196262</v>
      </c>
      <c r="Q2373" s="7">
        <f>DAY('data on outstanding creditors'!$B2373)</f>
        <v>28</v>
      </c>
      <c r="R2373" s="7">
        <f>MONTH('data on outstanding creditors'!$B2373)</f>
        <v>8</v>
      </c>
      <c r="S2373" s="7">
        <f>YEAR('data on outstanding creditors'!$B2373)</f>
        <v>2025</v>
      </c>
      <c r="T2373" s="11" t="str">
        <f>'data on outstanding creditors'!$C2373&amp;" "&amp;'data on outstanding creditors'!$D2373&amp;" "&amp;TEXT('data on outstanding creditors'!$E2373,"#,##0.00")</f>
        <v>หจก.อิเลฟเว่น พลัซ EL680820158 13,600.00</v>
      </c>
      <c r="U2373" s="12"/>
    </row>
    <row r="2374" ht="13.5" customHeight="1">
      <c r="A2374" s="1"/>
      <c r="B2374" s="2">
        <v>45898.0</v>
      </c>
      <c r="C2374" s="9" t="s">
        <v>2924</v>
      </c>
      <c r="D2374" s="1" t="s">
        <v>3446</v>
      </c>
      <c r="E2374" s="4">
        <v>16200.0</v>
      </c>
      <c r="F2374" s="4"/>
      <c r="G2374" s="4"/>
      <c r="H2374" s="4">
        <f>'data on outstanding creditors'!$E2374-'data on outstanding creditors'!$F2374-'data on outstanding creditors'!$G2374</f>
        <v>16200</v>
      </c>
      <c r="I2374" s="2"/>
      <c r="J2374" s="1" t="s">
        <v>646</v>
      </c>
      <c r="K2374" s="2">
        <v>45944.0</v>
      </c>
      <c r="L2374" s="5"/>
      <c r="M2374" s="9" t="s">
        <v>43</v>
      </c>
      <c r="N2374" s="9" t="s">
        <v>23</v>
      </c>
      <c r="O2374" s="10">
        <f>'data on outstanding creditors'!$E2374*100/107</f>
        <v>15140.18692</v>
      </c>
      <c r="P2374" s="10">
        <f>'data on outstanding creditors'!$E2374-'data on outstanding creditors'!$O2374</f>
        <v>1059.813084</v>
      </c>
      <c r="Q2374" s="7">
        <f>DAY('data on outstanding creditors'!$B2374)</f>
        <v>29</v>
      </c>
      <c r="R2374" s="7">
        <f>MONTH('data on outstanding creditors'!$B2374)</f>
        <v>8</v>
      </c>
      <c r="S2374" s="7">
        <f>YEAR('data on outstanding creditors'!$B2374)</f>
        <v>2025</v>
      </c>
      <c r="T2374" s="11" t="str">
        <f>'data on outstanding creditors'!$C2374&amp;" "&amp;'data on outstanding creditors'!$D2374&amp;" "&amp;TEXT('data on outstanding creditors'!$E2374,"#,##0.00")</f>
        <v>บ.เอฟ.ซี.พี 108000007306 16,200.00</v>
      </c>
      <c r="U2374" s="12"/>
    </row>
    <row r="2375" ht="13.5" customHeight="1">
      <c r="A2375" s="1"/>
      <c r="B2375" s="2">
        <v>45898.0</v>
      </c>
      <c r="C2375" s="9" t="s">
        <v>1114</v>
      </c>
      <c r="D2375" s="1" t="s">
        <v>3447</v>
      </c>
      <c r="E2375" s="4">
        <v>9000.0</v>
      </c>
      <c r="F2375" s="4"/>
      <c r="G2375" s="4"/>
      <c r="H2375" s="4">
        <f>'data on outstanding creditors'!$E2375-'data on outstanding creditors'!$F2375-'data on outstanding creditors'!$G2375</f>
        <v>9000</v>
      </c>
      <c r="I2375" s="2"/>
      <c r="J2375" s="1" t="s">
        <v>646</v>
      </c>
      <c r="K2375" s="2">
        <v>45952.0</v>
      </c>
      <c r="L2375" s="5"/>
      <c r="M2375" s="9" t="s">
        <v>43</v>
      </c>
      <c r="N2375" s="9" t="s">
        <v>23</v>
      </c>
      <c r="O2375" s="10">
        <f>'data on outstanding creditors'!$E2375*100/107</f>
        <v>8411.214953</v>
      </c>
      <c r="P2375" s="10">
        <f>'data on outstanding creditors'!$E2375-'data on outstanding creditors'!$O2375</f>
        <v>588.7850467</v>
      </c>
      <c r="Q2375" s="7">
        <f>DAY('data on outstanding creditors'!$B2375)</f>
        <v>29</v>
      </c>
      <c r="R2375" s="7">
        <f>MONTH('data on outstanding creditors'!$B2375)</f>
        <v>8</v>
      </c>
      <c r="S2375" s="7">
        <f>YEAR('data on outstanding creditors'!$B2375)</f>
        <v>2025</v>
      </c>
      <c r="T2375" s="11" t="str">
        <f>'data on outstanding creditors'!$C2375&amp;" "&amp;'data on outstanding creditors'!$D2375&amp;" "&amp;TEXT('data on outstanding creditors'!$E2375,"#,##0.00")</f>
        <v>หจก.อิเลฟเว่น พลัซ EL680825198 9,000.00</v>
      </c>
      <c r="U2375" s="12"/>
    </row>
    <row r="2376" ht="13.5" customHeight="1">
      <c r="A2376" s="1" t="s">
        <v>3448</v>
      </c>
      <c r="B2376" s="2">
        <v>45898.0</v>
      </c>
      <c r="C2376" s="9" t="s">
        <v>1059</v>
      </c>
      <c r="D2376" s="1" t="s">
        <v>3449</v>
      </c>
      <c r="E2376" s="4">
        <v>15000.0</v>
      </c>
      <c r="F2376" s="4"/>
      <c r="G2376" s="4"/>
      <c r="H2376" s="4">
        <f>'data on outstanding creditors'!$E2376-'data on outstanding creditors'!$F2376-'data on outstanding creditors'!$G2376</f>
        <v>15000</v>
      </c>
      <c r="I2376" s="2"/>
      <c r="J2376" s="1" t="s">
        <v>757</v>
      </c>
      <c r="K2376" s="2">
        <v>45935.0</v>
      </c>
      <c r="L2376" s="5"/>
      <c r="M2376" s="9" t="s">
        <v>43</v>
      </c>
      <c r="N2376" s="9" t="s">
        <v>49</v>
      </c>
      <c r="O2376" s="10">
        <f>'data on outstanding creditors'!$E2376*100/107</f>
        <v>14018.69159</v>
      </c>
      <c r="P2376" s="10">
        <f>'data on outstanding creditors'!$E2376-'data on outstanding creditors'!$O2376</f>
        <v>981.3084112</v>
      </c>
      <c r="Q2376" s="7">
        <f>DAY('data on outstanding creditors'!$B2376)</f>
        <v>29</v>
      </c>
      <c r="R2376" s="7">
        <f>MONTH('data on outstanding creditors'!$B2376)</f>
        <v>8</v>
      </c>
      <c r="S2376" s="7">
        <f>YEAR('data on outstanding creditors'!$B2376)</f>
        <v>2025</v>
      </c>
      <c r="T2376" s="11" t="str">
        <f>'data on outstanding creditors'!$C2376&amp;" "&amp;'data on outstanding creditors'!$D2376&amp;" "&amp;TEXT('data on outstanding creditors'!$E2376,"#,##0.00")</f>
        <v>หจก.ภาสิน 63429 15,000.00</v>
      </c>
      <c r="U2376" s="12"/>
    </row>
    <row r="2377" ht="13.5" customHeight="1">
      <c r="A2377" s="1" t="s">
        <v>3450</v>
      </c>
      <c r="B2377" s="2">
        <v>45898.0</v>
      </c>
      <c r="C2377" s="9" t="s">
        <v>2343</v>
      </c>
      <c r="D2377" s="1" t="s">
        <v>3451</v>
      </c>
      <c r="E2377" s="4">
        <v>9854.0</v>
      </c>
      <c r="F2377" s="4"/>
      <c r="G2377" s="4"/>
      <c r="H2377" s="4">
        <f>'data on outstanding creditors'!$E2377-'data on outstanding creditors'!$F2377-'data on outstanding creditors'!$G2377</f>
        <v>9854</v>
      </c>
      <c r="I2377" s="2"/>
      <c r="J2377" s="1" t="s">
        <v>757</v>
      </c>
      <c r="K2377" s="2">
        <v>45935.0</v>
      </c>
      <c r="L2377" s="5"/>
      <c r="M2377" s="9" t="s">
        <v>43</v>
      </c>
      <c r="N2377" s="9" t="s">
        <v>49</v>
      </c>
      <c r="O2377" s="10">
        <f>'data on outstanding creditors'!$E2377*100/107</f>
        <v>9209.345794</v>
      </c>
      <c r="P2377" s="10">
        <f>'data on outstanding creditors'!$E2377-'data on outstanding creditors'!$O2377</f>
        <v>644.6542056</v>
      </c>
      <c r="Q2377" s="7">
        <f>DAY('data on outstanding creditors'!$B2377)</f>
        <v>29</v>
      </c>
      <c r="R2377" s="7">
        <f>MONTH('data on outstanding creditors'!$B2377)</f>
        <v>8</v>
      </c>
      <c r="S2377" s="7">
        <f>YEAR('data on outstanding creditors'!$B2377)</f>
        <v>2025</v>
      </c>
      <c r="T2377" s="11" t="str">
        <f>'data on outstanding creditors'!$C2377&amp;" "&amp;'data on outstanding creditors'!$D2377&amp;" "&amp;TEXT('data on outstanding creditors'!$E2377,"#,##0.00")</f>
        <v>บ.ทริมเมอร์ IV250802675 9,854.00</v>
      </c>
      <c r="U2377" s="12"/>
    </row>
    <row r="2378" ht="13.5" customHeight="1">
      <c r="A2378" s="1" t="s">
        <v>3452</v>
      </c>
      <c r="B2378" s="2">
        <v>45898.0</v>
      </c>
      <c r="C2378" s="9" t="s">
        <v>295</v>
      </c>
      <c r="D2378" s="1" t="s">
        <v>3453</v>
      </c>
      <c r="E2378" s="4">
        <v>16000.0</v>
      </c>
      <c r="F2378" s="4"/>
      <c r="G2378" s="4"/>
      <c r="H2378" s="4">
        <f>'data on outstanding creditors'!$E2378-'data on outstanding creditors'!$F2378-'data on outstanding creditors'!$G2378</f>
        <v>16000</v>
      </c>
      <c r="I2378" s="2"/>
      <c r="J2378" s="1" t="s">
        <v>757</v>
      </c>
      <c r="K2378" s="2">
        <v>45937.0</v>
      </c>
      <c r="L2378" s="5"/>
      <c r="M2378" s="9" t="s">
        <v>43</v>
      </c>
      <c r="N2378" s="9" t="s">
        <v>49</v>
      </c>
      <c r="O2378" s="10">
        <f>'data on outstanding creditors'!$E2378*100/107</f>
        <v>14953.27103</v>
      </c>
      <c r="P2378" s="10">
        <f>'data on outstanding creditors'!$E2378-'data on outstanding creditors'!$O2378</f>
        <v>1046.728972</v>
      </c>
      <c r="Q2378" s="7">
        <f>DAY('data on outstanding creditors'!$B2378)</f>
        <v>29</v>
      </c>
      <c r="R2378" s="7">
        <f>MONTH('data on outstanding creditors'!$B2378)</f>
        <v>8</v>
      </c>
      <c r="S2378" s="7">
        <f>YEAR('data on outstanding creditors'!$B2378)</f>
        <v>2025</v>
      </c>
      <c r="T2378" s="11" t="str">
        <f>'data on outstanding creditors'!$C2378&amp;" "&amp;'data on outstanding creditors'!$D2378&amp;" "&amp;TEXT('data on outstanding creditors'!$E2378,"#,##0.00")</f>
        <v>บ.โกร๊ธ ซัพพลาย เมดิคอล IV6804415 16,000.00</v>
      </c>
      <c r="U2378" s="12"/>
    </row>
    <row r="2379" ht="13.5" customHeight="1">
      <c r="A2379" s="1" t="s">
        <v>3454</v>
      </c>
      <c r="B2379" s="2">
        <v>45898.0</v>
      </c>
      <c r="C2379" s="9" t="s">
        <v>697</v>
      </c>
      <c r="D2379" s="1" t="s">
        <v>3455</v>
      </c>
      <c r="E2379" s="4">
        <v>31412.0</v>
      </c>
      <c r="F2379" s="4"/>
      <c r="G2379" s="4"/>
      <c r="H2379" s="4">
        <f>'data on outstanding creditors'!$E2379-'data on outstanding creditors'!$F2379-'data on outstanding creditors'!$G2379</f>
        <v>31412</v>
      </c>
      <c r="I2379" s="2"/>
      <c r="J2379" s="1"/>
      <c r="K2379" s="2"/>
      <c r="L2379" s="5"/>
      <c r="M2379" s="9" t="s">
        <v>43</v>
      </c>
      <c r="N2379" s="9" t="s">
        <v>49</v>
      </c>
      <c r="O2379" s="10">
        <f>'data on outstanding creditors'!$E2379*100/107</f>
        <v>29357.00935</v>
      </c>
      <c r="P2379" s="10">
        <f>'data on outstanding creditors'!$E2379-'data on outstanding creditors'!$O2379</f>
        <v>2054.990654</v>
      </c>
      <c r="Q2379" s="7">
        <f>DAY('data on outstanding creditors'!$B2379)</f>
        <v>29</v>
      </c>
      <c r="R2379" s="7">
        <f>MONTH('data on outstanding creditors'!$B2379)</f>
        <v>8</v>
      </c>
      <c r="S2379" s="7">
        <f>YEAR('data on outstanding creditors'!$B2379)</f>
        <v>2025</v>
      </c>
      <c r="T2379" s="11" t="str">
        <f>'data on outstanding creditors'!$C2379&amp;" "&amp;'data on outstanding creditors'!$D2379&amp;" "&amp;TEXT('data on outstanding creditors'!$E2379,"#,##0.00")</f>
        <v>หจก.บุรีรัมย์ออกซิเย่น 810 31,412.00</v>
      </c>
      <c r="U2379" s="12"/>
    </row>
    <row r="2380" ht="13.5" customHeight="1">
      <c r="A2380" s="1"/>
      <c r="B2380" s="2">
        <v>45901.0</v>
      </c>
      <c r="C2380" s="9" t="s">
        <v>2543</v>
      </c>
      <c r="D2380" s="1" t="s">
        <v>3456</v>
      </c>
      <c r="E2380" s="4">
        <v>75240.0</v>
      </c>
      <c r="F2380" s="4"/>
      <c r="G2380" s="4"/>
      <c r="H2380" s="4">
        <f>'data on outstanding creditors'!$E2380-'data on outstanding creditors'!$F2380-'data on outstanding creditors'!$G2380</f>
        <v>75240</v>
      </c>
      <c r="I2380" s="2"/>
      <c r="J2380" s="1" t="s">
        <v>646</v>
      </c>
      <c r="K2380" s="2">
        <v>45944.0</v>
      </c>
      <c r="L2380" s="5"/>
      <c r="M2380" s="9" t="s">
        <v>43</v>
      </c>
      <c r="N2380" s="9" t="s">
        <v>23</v>
      </c>
      <c r="O2380" s="10">
        <f>'data on outstanding creditors'!$E2380*100/107</f>
        <v>70317.75701</v>
      </c>
      <c r="P2380" s="10">
        <f>'data on outstanding creditors'!$E2380-'data on outstanding creditors'!$O2380</f>
        <v>4922.242991</v>
      </c>
      <c r="Q2380" s="7">
        <f>DAY('data on outstanding creditors'!$B2380)</f>
        <v>1</v>
      </c>
      <c r="R2380" s="7">
        <f>MONTH('data on outstanding creditors'!$B2380)</f>
        <v>9</v>
      </c>
      <c r="S2380" s="7">
        <f>YEAR('data on outstanding creditors'!$B2380)</f>
        <v>2025</v>
      </c>
      <c r="T2380" s="11" t="str">
        <f>'data on outstanding creditors'!$C2380&amp;" "&amp;'data on outstanding creditors'!$D2380&amp;" "&amp;TEXT('data on outstanding creditors'!$E2380,"#,##0.00")</f>
        <v>บ.ไฮแวน เมดิคอล HV6805176 75,240.00</v>
      </c>
      <c r="U2380" s="12"/>
    </row>
    <row r="2381" ht="13.5" customHeight="1">
      <c r="A2381" s="1"/>
      <c r="B2381" s="2">
        <v>45901.0</v>
      </c>
      <c r="C2381" s="9" t="s">
        <v>688</v>
      </c>
      <c r="D2381" s="1" t="s">
        <v>3457</v>
      </c>
      <c r="E2381" s="4">
        <v>19206.5</v>
      </c>
      <c r="F2381" s="4"/>
      <c r="G2381" s="4"/>
      <c r="H2381" s="4">
        <f>'data on outstanding creditors'!$E2381-'data on outstanding creditors'!$F2381-'data on outstanding creditors'!$G2381</f>
        <v>19206.5</v>
      </c>
      <c r="I2381" s="2"/>
      <c r="J2381" s="1"/>
      <c r="K2381" s="2"/>
      <c r="L2381" s="5"/>
      <c r="M2381" s="9" t="s">
        <v>43</v>
      </c>
      <c r="N2381" s="9" t="s">
        <v>23</v>
      </c>
      <c r="O2381" s="10">
        <f>'data on outstanding creditors'!$E2381*100/107</f>
        <v>17950</v>
      </c>
      <c r="P2381" s="10">
        <f>'data on outstanding creditors'!$E2381-'data on outstanding creditors'!$O2381</f>
        <v>1256.5</v>
      </c>
      <c r="Q2381" s="7">
        <f>DAY('data on outstanding creditors'!$B2381)</f>
        <v>1</v>
      </c>
      <c r="R2381" s="7">
        <f>MONTH('data on outstanding creditors'!$B2381)</f>
        <v>9</v>
      </c>
      <c r="S2381" s="7">
        <f>YEAR('data on outstanding creditors'!$B2381)</f>
        <v>2025</v>
      </c>
      <c r="T2381" s="11" t="str">
        <f>'data on outstanding creditors'!$C2381&amp;" "&amp;'data on outstanding creditors'!$D2381&amp;" "&amp;TEXT('data on outstanding creditors'!$E2381,"#,##0.00")</f>
        <v>บ.โอเร็กซ์ เทรดดิ้ง 680804456 19,206.50</v>
      </c>
      <c r="U2381" s="12"/>
    </row>
    <row r="2382" ht="13.5" customHeight="1">
      <c r="A2382" s="1" t="s">
        <v>3458</v>
      </c>
      <c r="B2382" s="2">
        <v>45901.0</v>
      </c>
      <c r="C2382" s="9" t="s">
        <v>1029</v>
      </c>
      <c r="D2382" s="1" t="s">
        <v>3459</v>
      </c>
      <c r="E2382" s="4">
        <v>39600.0</v>
      </c>
      <c r="F2382" s="4"/>
      <c r="G2382" s="4"/>
      <c r="H2382" s="4">
        <f>'data on outstanding creditors'!$E2382-'data on outstanding creditors'!$F2382-'data on outstanding creditors'!$G2382</f>
        <v>39600</v>
      </c>
      <c r="I2382" s="2"/>
      <c r="J2382" s="1" t="s">
        <v>757</v>
      </c>
      <c r="K2382" s="2">
        <v>45935.0</v>
      </c>
      <c r="L2382" s="5"/>
      <c r="M2382" s="9" t="s">
        <v>43</v>
      </c>
      <c r="N2382" s="9" t="s">
        <v>49</v>
      </c>
      <c r="O2382" s="10">
        <f>'data on outstanding creditors'!$E2382*100/107</f>
        <v>37009.34579</v>
      </c>
      <c r="P2382" s="10">
        <f>'data on outstanding creditors'!$E2382-'data on outstanding creditors'!$O2382</f>
        <v>2590.654206</v>
      </c>
      <c r="Q2382" s="7">
        <f>DAY('data on outstanding creditors'!$B2382)</f>
        <v>1</v>
      </c>
      <c r="R2382" s="7">
        <f>MONTH('data on outstanding creditors'!$B2382)</f>
        <v>9</v>
      </c>
      <c r="S2382" s="7">
        <f>YEAR('data on outstanding creditors'!$B2382)</f>
        <v>2025</v>
      </c>
      <c r="T2382" s="11" t="str">
        <f>'data on outstanding creditors'!$C2382&amp;" "&amp;'data on outstanding creditors'!$D2382&amp;" "&amp;TEXT('data on outstanding creditors'!$E2382,"#,##0.00")</f>
        <v>บ.เอเทค เมดิคอล IV6807502 39,600.00</v>
      </c>
      <c r="U2382" s="12"/>
    </row>
    <row r="2383" ht="13.5" customHeight="1">
      <c r="A2383" s="1" t="s">
        <v>3460</v>
      </c>
      <c r="B2383" s="2">
        <v>45901.0</v>
      </c>
      <c r="C2383" s="9" t="s">
        <v>3267</v>
      </c>
      <c r="D2383" s="1" t="s">
        <v>3461</v>
      </c>
      <c r="E2383" s="4">
        <v>374766.6</v>
      </c>
      <c r="F2383" s="4"/>
      <c r="G2383" s="4"/>
      <c r="H2383" s="4">
        <f>'data on outstanding creditors'!$E2383-'data on outstanding creditors'!$F2383-'data on outstanding creditors'!$G2383</f>
        <v>374766.6</v>
      </c>
      <c r="I2383" s="2"/>
      <c r="J2383" s="1" t="s">
        <v>757</v>
      </c>
      <c r="K2383" s="2">
        <v>45966.0</v>
      </c>
      <c r="L2383" s="5"/>
      <c r="M2383" s="9" t="s">
        <v>43</v>
      </c>
      <c r="N2383" s="9" t="s">
        <v>49</v>
      </c>
      <c r="O2383" s="10">
        <f>'data on outstanding creditors'!$E2383*100/107</f>
        <v>350249.1589</v>
      </c>
      <c r="P2383" s="10">
        <f>'data on outstanding creditors'!$E2383-'data on outstanding creditors'!$O2383</f>
        <v>24517.44112</v>
      </c>
      <c r="Q2383" s="7">
        <f>DAY('data on outstanding creditors'!$B2383)</f>
        <v>1</v>
      </c>
      <c r="R2383" s="7">
        <f>MONTH('data on outstanding creditors'!$B2383)</f>
        <v>9</v>
      </c>
      <c r="S2383" s="7">
        <f>YEAR('data on outstanding creditors'!$B2383)</f>
        <v>2025</v>
      </c>
      <c r="T2383" s="11" t="str">
        <f>'data on outstanding creditors'!$C2383&amp;" "&amp;'data on outstanding creditors'!$D2383&amp;" "&amp;TEXT('data on outstanding creditors'!$E2383,"#,##0.00")</f>
        <v>บ.ลินเด้ (ประเทศไทย) 02010101 374,766.60</v>
      </c>
      <c r="U2383" s="12"/>
    </row>
    <row r="2384" ht="13.5" customHeight="1">
      <c r="A2384" s="1" t="s">
        <v>3462</v>
      </c>
      <c r="B2384" s="2">
        <v>45901.0</v>
      </c>
      <c r="C2384" s="9" t="s">
        <v>3006</v>
      </c>
      <c r="D2384" s="1" t="s">
        <v>3463</v>
      </c>
      <c r="E2384" s="4">
        <v>11000.0</v>
      </c>
      <c r="F2384" s="4"/>
      <c r="G2384" s="4"/>
      <c r="H2384" s="4">
        <f>'data on outstanding creditors'!$E2384-'data on outstanding creditors'!$F2384-'data on outstanding creditors'!$G2384</f>
        <v>11000</v>
      </c>
      <c r="I2384" s="2"/>
      <c r="J2384" s="1"/>
      <c r="K2384" s="2"/>
      <c r="L2384" s="5"/>
      <c r="M2384" s="9" t="s">
        <v>43</v>
      </c>
      <c r="N2384" s="9" t="s">
        <v>49</v>
      </c>
      <c r="O2384" s="10">
        <f>'data on outstanding creditors'!$E2384*100/107</f>
        <v>10280.37383</v>
      </c>
      <c r="P2384" s="10">
        <f>'data on outstanding creditors'!$E2384-'data on outstanding creditors'!$O2384</f>
        <v>719.6261682</v>
      </c>
      <c r="Q2384" s="7">
        <f>DAY('data on outstanding creditors'!$B2384)</f>
        <v>1</v>
      </c>
      <c r="R2384" s="7">
        <f>MONTH('data on outstanding creditors'!$B2384)</f>
        <v>9</v>
      </c>
      <c r="S2384" s="7">
        <f>YEAR('data on outstanding creditors'!$B2384)</f>
        <v>2025</v>
      </c>
      <c r="T2384" s="11" t="str">
        <f>'data on outstanding creditors'!$C2384&amp;" "&amp;'data on outstanding creditors'!$D2384&amp;" "&amp;TEXT('data on outstanding creditors'!$E2384,"#,##0.00")</f>
        <v>บ.เมส เทรดดิ้ง 44-01390 11,000.00</v>
      </c>
      <c r="U2384" s="12"/>
    </row>
    <row r="2385" ht="13.5" customHeight="1">
      <c r="A2385" s="1" t="s">
        <v>3464</v>
      </c>
      <c r="B2385" s="2">
        <v>45901.0</v>
      </c>
      <c r="C2385" s="9" t="s">
        <v>1029</v>
      </c>
      <c r="D2385" s="1" t="s">
        <v>3465</v>
      </c>
      <c r="E2385" s="4">
        <v>18500.0</v>
      </c>
      <c r="F2385" s="4"/>
      <c r="G2385" s="4"/>
      <c r="H2385" s="4">
        <f>'data on outstanding creditors'!$E2385-'data on outstanding creditors'!$F2385-'data on outstanding creditors'!$G2385</f>
        <v>18500</v>
      </c>
      <c r="I2385" s="2"/>
      <c r="J2385" s="1"/>
      <c r="K2385" s="2"/>
      <c r="L2385" s="5"/>
      <c r="M2385" s="9" t="s">
        <v>43</v>
      </c>
      <c r="N2385" s="9" t="s">
        <v>49</v>
      </c>
      <c r="O2385" s="10">
        <f>'data on outstanding creditors'!$E2385*100/107</f>
        <v>17289.71963</v>
      </c>
      <c r="P2385" s="10">
        <f>'data on outstanding creditors'!$E2385-'data on outstanding creditors'!$O2385</f>
        <v>1210.280374</v>
      </c>
      <c r="Q2385" s="7">
        <f>DAY('data on outstanding creditors'!$B2385)</f>
        <v>1</v>
      </c>
      <c r="R2385" s="7">
        <f>MONTH('data on outstanding creditors'!$B2385)</f>
        <v>9</v>
      </c>
      <c r="S2385" s="7">
        <f>YEAR('data on outstanding creditors'!$B2385)</f>
        <v>2025</v>
      </c>
      <c r="T2385" s="11" t="str">
        <f>'data on outstanding creditors'!$C2385&amp;" "&amp;'data on outstanding creditors'!$D2385&amp;" "&amp;TEXT('data on outstanding creditors'!$E2385,"#,##0.00")</f>
        <v>บ.เอเทค เมดิคอล IV6809022 18,500.00</v>
      </c>
      <c r="U2385" s="12"/>
    </row>
    <row r="2386" ht="13.5" customHeight="1">
      <c r="A2386" s="1" t="s">
        <v>3466</v>
      </c>
      <c r="B2386" s="2">
        <v>45902.0</v>
      </c>
      <c r="C2386" s="9" t="s">
        <v>1114</v>
      </c>
      <c r="D2386" s="1" t="s">
        <v>3467</v>
      </c>
      <c r="E2386" s="4">
        <v>18750.0</v>
      </c>
      <c r="F2386" s="4"/>
      <c r="G2386" s="4"/>
      <c r="H2386" s="4">
        <f>'data on outstanding creditors'!$E2386-'data on outstanding creditors'!$F2386-'data on outstanding creditors'!$G2386</f>
        <v>18750</v>
      </c>
      <c r="I2386" s="2"/>
      <c r="J2386" s="1" t="s">
        <v>646</v>
      </c>
      <c r="K2386" s="2">
        <v>45952.0</v>
      </c>
      <c r="L2386" s="5"/>
      <c r="M2386" s="9" t="s">
        <v>43</v>
      </c>
      <c r="N2386" s="9" t="s">
        <v>49</v>
      </c>
      <c r="O2386" s="10">
        <f>'data on outstanding creditors'!$E2386*100/107</f>
        <v>17523.36449</v>
      </c>
      <c r="P2386" s="10">
        <f>'data on outstanding creditors'!$E2386-'data on outstanding creditors'!$O2386</f>
        <v>1226.635514</v>
      </c>
      <c r="Q2386" s="7">
        <f>DAY('data on outstanding creditors'!$B2386)</f>
        <v>2</v>
      </c>
      <c r="R2386" s="7">
        <f>MONTH('data on outstanding creditors'!$B2386)</f>
        <v>9</v>
      </c>
      <c r="S2386" s="7">
        <f>YEAR('data on outstanding creditors'!$B2386)</f>
        <v>2025</v>
      </c>
      <c r="T2386" s="11" t="str">
        <f>'data on outstanding creditors'!$C2386&amp;" "&amp;'data on outstanding creditors'!$D2386&amp;" "&amp;TEXT('data on outstanding creditors'!$E2386,"#,##0.00")</f>
        <v>หจก.อิเลฟเว่น พลัซ EL680826224 18,750.00</v>
      </c>
      <c r="U2386" s="12"/>
    </row>
    <row r="2387" ht="13.5" customHeight="1">
      <c r="A2387" s="1" t="s">
        <v>3468</v>
      </c>
      <c r="B2387" s="2">
        <v>45902.0</v>
      </c>
      <c r="C2387" s="9" t="s">
        <v>2334</v>
      </c>
      <c r="D2387" s="1" t="s">
        <v>3469</v>
      </c>
      <c r="E2387" s="4">
        <v>280000.0</v>
      </c>
      <c r="F2387" s="4"/>
      <c r="G2387" s="4"/>
      <c r="H2387" s="4">
        <f>'data on outstanding creditors'!$E2387-'data on outstanding creditors'!$F2387-'data on outstanding creditors'!$G2387</f>
        <v>280000</v>
      </c>
      <c r="I2387" s="2"/>
      <c r="J2387" s="1" t="s">
        <v>757</v>
      </c>
      <c r="K2387" s="2">
        <v>45937.0</v>
      </c>
      <c r="L2387" s="5"/>
      <c r="M2387" s="9" t="s">
        <v>43</v>
      </c>
      <c r="N2387" s="9" t="s">
        <v>49</v>
      </c>
      <c r="O2387" s="10">
        <f>'data on outstanding creditors'!$E2387*100/107</f>
        <v>261682.243</v>
      </c>
      <c r="P2387" s="10">
        <f>'data on outstanding creditors'!$E2387-'data on outstanding creditors'!$O2387</f>
        <v>18317.75701</v>
      </c>
      <c r="Q2387" s="7">
        <f>DAY('data on outstanding creditors'!$B2387)</f>
        <v>2</v>
      </c>
      <c r="R2387" s="7">
        <f>MONTH('data on outstanding creditors'!$B2387)</f>
        <v>9</v>
      </c>
      <c r="S2387" s="7">
        <f>YEAR('data on outstanding creditors'!$B2387)</f>
        <v>2025</v>
      </c>
      <c r="T2387" s="11" t="str">
        <f>'data on outstanding creditors'!$C2387&amp;" "&amp;'data on outstanding creditors'!$D2387&amp;" "&amp;TEXT('data on outstanding creditors'!$E2387,"#,##0.00")</f>
        <v>บ.ไทยก๊อส IV6834521 280,000.00</v>
      </c>
      <c r="U2387" s="12"/>
    </row>
    <row r="2388" ht="13.5" customHeight="1">
      <c r="A2388" s="1" t="s">
        <v>3470</v>
      </c>
      <c r="B2388" s="2">
        <v>45902.0</v>
      </c>
      <c r="C2388" s="9" t="s">
        <v>2383</v>
      </c>
      <c r="D2388" s="1" t="s">
        <v>3471</v>
      </c>
      <c r="E2388" s="4">
        <v>3600.0</v>
      </c>
      <c r="F2388" s="4"/>
      <c r="G2388" s="4"/>
      <c r="H2388" s="4">
        <f>'data on outstanding creditors'!$E2388-'data on outstanding creditors'!$F2388-'data on outstanding creditors'!$G2388</f>
        <v>3600</v>
      </c>
      <c r="I2388" s="2"/>
      <c r="J2388" s="1"/>
      <c r="K2388" s="2"/>
      <c r="L2388" s="5"/>
      <c r="M2388" s="9" t="s">
        <v>43</v>
      </c>
      <c r="N2388" s="9" t="s">
        <v>49</v>
      </c>
      <c r="O2388" s="10">
        <f>'data on outstanding creditors'!$E2388*100/107</f>
        <v>3364.485981</v>
      </c>
      <c r="P2388" s="10">
        <f>'data on outstanding creditors'!$E2388-'data on outstanding creditors'!$O2388</f>
        <v>235.5140187</v>
      </c>
      <c r="Q2388" s="7">
        <f>DAY('data on outstanding creditors'!$B2388)</f>
        <v>2</v>
      </c>
      <c r="R2388" s="7">
        <f>MONTH('data on outstanding creditors'!$B2388)</f>
        <v>9</v>
      </c>
      <c r="S2388" s="7">
        <f>YEAR('data on outstanding creditors'!$B2388)</f>
        <v>2025</v>
      </c>
      <c r="T2388" s="11" t="str">
        <f>'data on outstanding creditors'!$C2388&amp;" "&amp;'data on outstanding creditors'!$D2388&amp;" "&amp;TEXT('data on outstanding creditors'!$E2388,"#,##0.00")</f>
        <v>บ.เซฟฟา ดรักส์ 131593 3,600.00</v>
      </c>
      <c r="U2388" s="12"/>
    </row>
    <row r="2389" ht="13.5" customHeight="1">
      <c r="A2389" s="1" t="s">
        <v>3472</v>
      </c>
      <c r="B2389" s="2">
        <v>45902.0</v>
      </c>
      <c r="C2389" s="9" t="s">
        <v>2381</v>
      </c>
      <c r="D2389" s="1" t="s">
        <v>3473</v>
      </c>
      <c r="E2389" s="4">
        <v>4090.0</v>
      </c>
      <c r="F2389" s="4"/>
      <c r="G2389" s="4"/>
      <c r="H2389" s="4">
        <f>'data on outstanding creditors'!$E2389-'data on outstanding creditors'!$F2389-'data on outstanding creditors'!$G2389</f>
        <v>4090</v>
      </c>
      <c r="I2389" s="2"/>
      <c r="J2389" s="1"/>
      <c r="K2389" s="2"/>
      <c r="L2389" s="5"/>
      <c r="M2389" s="9" t="s">
        <v>43</v>
      </c>
      <c r="N2389" s="9" t="s">
        <v>49</v>
      </c>
      <c r="O2389" s="10">
        <f>'data on outstanding creditors'!$E2389*100/107</f>
        <v>3822.429907</v>
      </c>
      <c r="P2389" s="10">
        <f>'data on outstanding creditors'!$E2389-'data on outstanding creditors'!$O2389</f>
        <v>267.5700935</v>
      </c>
      <c r="Q2389" s="7">
        <f>DAY('data on outstanding creditors'!$B2389)</f>
        <v>2</v>
      </c>
      <c r="R2389" s="7">
        <f>MONTH('data on outstanding creditors'!$B2389)</f>
        <v>9</v>
      </c>
      <c r="S2389" s="7">
        <f>YEAR('data on outstanding creditors'!$B2389)</f>
        <v>2025</v>
      </c>
      <c r="T2389" s="11" t="str">
        <f>'data on outstanding creditors'!$C2389&amp;" "&amp;'data on outstanding creditors'!$D2389&amp;" "&amp;TEXT('data on outstanding creditors'!$E2389,"#,##0.00")</f>
        <v>หจก.วีอาร์ ซัพพอร์ต IV6808194 4,090.00</v>
      </c>
      <c r="U2389" s="12"/>
    </row>
    <row r="2390" ht="13.5" customHeight="1">
      <c r="A2390" s="1" t="s">
        <v>3474</v>
      </c>
      <c r="B2390" s="2">
        <v>45902.0</v>
      </c>
      <c r="C2390" s="9" t="s">
        <v>2305</v>
      </c>
      <c r="D2390" s="1" t="s">
        <v>3475</v>
      </c>
      <c r="E2390" s="4">
        <v>6000.0</v>
      </c>
      <c r="F2390" s="4"/>
      <c r="G2390" s="4"/>
      <c r="H2390" s="4">
        <f>'data on outstanding creditors'!$E2390-'data on outstanding creditors'!$F2390-'data on outstanding creditors'!$G2390</f>
        <v>6000</v>
      </c>
      <c r="I2390" s="2"/>
      <c r="J2390" s="1"/>
      <c r="K2390" s="2"/>
      <c r="L2390" s="5"/>
      <c r="M2390" s="9" t="s">
        <v>43</v>
      </c>
      <c r="N2390" s="9" t="s">
        <v>49</v>
      </c>
      <c r="O2390" s="10">
        <f>'data on outstanding creditors'!$E2390*100/107</f>
        <v>5607.476636</v>
      </c>
      <c r="P2390" s="10">
        <f>'data on outstanding creditors'!$E2390-'data on outstanding creditors'!$O2390</f>
        <v>392.5233645</v>
      </c>
      <c r="Q2390" s="7">
        <f>DAY('data on outstanding creditors'!$B2390)</f>
        <v>2</v>
      </c>
      <c r="R2390" s="7">
        <f>MONTH('data on outstanding creditors'!$B2390)</f>
        <v>9</v>
      </c>
      <c r="S2390" s="7">
        <f>YEAR('data on outstanding creditors'!$B2390)</f>
        <v>2025</v>
      </c>
      <c r="T2390" s="11" t="str">
        <f>'data on outstanding creditors'!$C2390&amp;" "&amp;'data on outstanding creditors'!$D2390&amp;" "&amp;TEXT('data on outstanding creditors'!$E2390,"#,##0.00")</f>
        <v>บ.ฟิวเจอร์ เมดิคอล ซัพพลาย IV2509-00004 6,000.00</v>
      </c>
      <c r="U2390" s="12"/>
    </row>
    <row r="2391" ht="13.5" customHeight="1">
      <c r="A2391" s="1" t="s">
        <v>3476</v>
      </c>
      <c r="B2391" s="2">
        <v>45902.0</v>
      </c>
      <c r="C2391" s="9" t="s">
        <v>3477</v>
      </c>
      <c r="D2391" s="1" t="s">
        <v>3478</v>
      </c>
      <c r="E2391" s="4">
        <v>6420.0</v>
      </c>
      <c r="F2391" s="4"/>
      <c r="G2391" s="4"/>
      <c r="H2391" s="4">
        <f>'data on outstanding creditors'!$E2391-'data on outstanding creditors'!$F2391-'data on outstanding creditors'!$G2391</f>
        <v>6420</v>
      </c>
      <c r="I2391" s="2"/>
      <c r="J2391" s="1"/>
      <c r="K2391" s="2"/>
      <c r="L2391" s="5"/>
      <c r="M2391" s="9" t="s">
        <v>43</v>
      </c>
      <c r="N2391" s="9" t="s">
        <v>49</v>
      </c>
      <c r="O2391" s="10">
        <f>'data on outstanding creditors'!$E2391*100/107</f>
        <v>6000</v>
      </c>
      <c r="P2391" s="10">
        <f>'data on outstanding creditors'!$E2391-'data on outstanding creditors'!$O2391</f>
        <v>420</v>
      </c>
      <c r="Q2391" s="7">
        <f>DAY('data on outstanding creditors'!$B2391)</f>
        <v>2</v>
      </c>
      <c r="R2391" s="7">
        <f>MONTH('data on outstanding creditors'!$B2391)</f>
        <v>9</v>
      </c>
      <c r="S2391" s="7">
        <f>YEAR('data on outstanding creditors'!$B2391)</f>
        <v>2025</v>
      </c>
      <c r="T2391" s="11" t="str">
        <f>'data on outstanding creditors'!$C2391&amp;" "&amp;'data on outstanding creditors'!$D2391&amp;" "&amp;TEXT('data on outstanding creditors'!$E2391,"#,##0.00")</f>
        <v>บ.ลาโบตรอน เมดิคอล IV6800524 6,420.00</v>
      </c>
      <c r="U2391" s="12"/>
    </row>
    <row r="2392" ht="13.5" customHeight="1">
      <c r="A2392" s="1" t="s">
        <v>3479</v>
      </c>
      <c r="B2392" s="2">
        <v>45902.0</v>
      </c>
      <c r="C2392" s="9" t="s">
        <v>3480</v>
      </c>
      <c r="D2392" s="1" t="s">
        <v>3481</v>
      </c>
      <c r="E2392" s="4">
        <v>46900.0</v>
      </c>
      <c r="F2392" s="4"/>
      <c r="G2392" s="4"/>
      <c r="H2392" s="4">
        <f>'data on outstanding creditors'!$E2392-'data on outstanding creditors'!$F2392-'data on outstanding creditors'!$G2392</f>
        <v>46900</v>
      </c>
      <c r="I2392" s="2"/>
      <c r="J2392" s="1"/>
      <c r="K2392" s="2"/>
      <c r="L2392" s="5"/>
      <c r="M2392" s="9" t="s">
        <v>43</v>
      </c>
      <c r="N2392" s="9" t="s">
        <v>49</v>
      </c>
      <c r="O2392" s="10">
        <f>'data on outstanding creditors'!$E2392*100/107</f>
        <v>43831.7757</v>
      </c>
      <c r="P2392" s="10">
        <f>'data on outstanding creditors'!$E2392-'data on outstanding creditors'!$O2392</f>
        <v>3068.224299</v>
      </c>
      <c r="Q2392" s="7">
        <f>DAY('data on outstanding creditors'!$B2392)</f>
        <v>2</v>
      </c>
      <c r="R2392" s="7">
        <f>MONTH('data on outstanding creditors'!$B2392)</f>
        <v>9</v>
      </c>
      <c r="S2392" s="7">
        <f>YEAR('data on outstanding creditors'!$B2392)</f>
        <v>2025</v>
      </c>
      <c r="T2392" s="11" t="str">
        <f>'data on outstanding creditors'!$C2392&amp;" "&amp;'data on outstanding creditors'!$D2392&amp;" "&amp;TEXT('data on outstanding creditors'!$E2392,"#,##0.00")</f>
        <v>บ.สไปโร เมด SP25080308 46,900.00</v>
      </c>
      <c r="U2392" s="12"/>
    </row>
    <row r="2393" ht="13.5" customHeight="1">
      <c r="A2393" s="1" t="s">
        <v>3482</v>
      </c>
      <c r="B2393" s="2">
        <v>45902.0</v>
      </c>
      <c r="C2393" s="9" t="s">
        <v>254</v>
      </c>
      <c r="D2393" s="1" t="s">
        <v>3483</v>
      </c>
      <c r="E2393" s="4">
        <v>90000.0</v>
      </c>
      <c r="F2393" s="4"/>
      <c r="G2393" s="4"/>
      <c r="H2393" s="4">
        <f>'data on outstanding creditors'!$E2393-'data on outstanding creditors'!$F2393-'data on outstanding creditors'!$G2393</f>
        <v>90000</v>
      </c>
      <c r="I2393" s="2"/>
      <c r="J2393" s="1"/>
      <c r="K2393" s="2"/>
      <c r="L2393" s="5"/>
      <c r="M2393" s="9" t="s">
        <v>43</v>
      </c>
      <c r="N2393" s="9" t="s">
        <v>49</v>
      </c>
      <c r="O2393" s="10">
        <f>'data on outstanding creditors'!$E2393*100/107</f>
        <v>84112.14953</v>
      </c>
      <c r="P2393" s="10">
        <f>'data on outstanding creditors'!$E2393-'data on outstanding creditors'!$O2393</f>
        <v>5887.850467</v>
      </c>
      <c r="Q2393" s="7">
        <f>DAY('data on outstanding creditors'!$B2393)</f>
        <v>2</v>
      </c>
      <c r="R2393" s="7">
        <f>MONTH('data on outstanding creditors'!$B2393)</f>
        <v>9</v>
      </c>
      <c r="S2393" s="7">
        <f>YEAR('data on outstanding creditors'!$B2393)</f>
        <v>2025</v>
      </c>
      <c r="T2393" s="11" t="str">
        <f>'data on outstanding creditors'!$C2393&amp;" "&amp;'data on outstanding creditors'!$D2393&amp;" "&amp;TEXT('data on outstanding creditors'!$E2393,"#,##0.00")</f>
        <v>บ.แม็กซิม อินเตอร์คอร์ปอร์เรชั่น IV25090047 90,000.00</v>
      </c>
      <c r="U2393" s="12"/>
    </row>
    <row r="2394" ht="13.5" customHeight="1">
      <c r="A2394" s="1"/>
      <c r="B2394" s="2">
        <v>45903.0</v>
      </c>
      <c r="C2394" s="9" t="s">
        <v>1637</v>
      </c>
      <c r="D2394" s="1" t="s">
        <v>3484</v>
      </c>
      <c r="E2394" s="4">
        <v>10500.0</v>
      </c>
      <c r="F2394" s="4"/>
      <c r="G2394" s="4"/>
      <c r="H2394" s="4">
        <f>'data on outstanding creditors'!$E2394-'data on outstanding creditors'!$F2394-'data on outstanding creditors'!$G2394</f>
        <v>10500</v>
      </c>
      <c r="I2394" s="2"/>
      <c r="J2394" s="1" t="s">
        <v>646</v>
      </c>
      <c r="K2394" s="2">
        <v>45944.0</v>
      </c>
      <c r="L2394" s="5"/>
      <c r="M2394" s="9" t="s">
        <v>43</v>
      </c>
      <c r="N2394" s="9" t="s">
        <v>23</v>
      </c>
      <c r="O2394" s="10">
        <f>'data on outstanding creditors'!$E2394*100/107</f>
        <v>9813.084112</v>
      </c>
      <c r="P2394" s="10">
        <f>'data on outstanding creditors'!$E2394-'data on outstanding creditors'!$O2394</f>
        <v>686.9158879</v>
      </c>
      <c r="Q2394" s="7">
        <f>DAY('data on outstanding creditors'!$B2394)</f>
        <v>3</v>
      </c>
      <c r="R2394" s="7">
        <f>MONTH('data on outstanding creditors'!$B2394)</f>
        <v>9</v>
      </c>
      <c r="S2394" s="7">
        <f>YEAR('data on outstanding creditors'!$B2394)</f>
        <v>2025</v>
      </c>
      <c r="T2394" s="11" t="str">
        <f>'data on outstanding creditors'!$C2394&amp;" "&amp;'data on outstanding creditors'!$D2394&amp;" "&amp;TEXT('data on outstanding creditors'!$E2394,"#,##0.00")</f>
        <v>บ.บีเจเอช เมดิคอล 330857401612 10,500.00</v>
      </c>
      <c r="U2394" s="12"/>
    </row>
    <row r="2395" ht="13.5" customHeight="1">
      <c r="A2395" s="1"/>
      <c r="B2395" s="2">
        <v>45903.0</v>
      </c>
      <c r="C2395" s="9" t="s">
        <v>399</v>
      </c>
      <c r="D2395" s="1" t="s">
        <v>3485</v>
      </c>
      <c r="E2395" s="4">
        <v>77896.0</v>
      </c>
      <c r="F2395" s="4"/>
      <c r="G2395" s="4"/>
      <c r="H2395" s="4">
        <f>'data on outstanding creditors'!$E2395-'data on outstanding creditors'!$F2395-'data on outstanding creditors'!$G2395</f>
        <v>77896</v>
      </c>
      <c r="I2395" s="2"/>
      <c r="J2395" s="1" t="s">
        <v>646</v>
      </c>
      <c r="K2395" s="2">
        <v>45943.0</v>
      </c>
      <c r="L2395" s="5"/>
      <c r="M2395" s="9" t="s">
        <v>43</v>
      </c>
      <c r="N2395" s="9" t="s">
        <v>23</v>
      </c>
      <c r="O2395" s="10">
        <f>'data on outstanding creditors'!$E2395*100/107</f>
        <v>72800</v>
      </c>
      <c r="P2395" s="10">
        <f>'data on outstanding creditors'!$E2395-'data on outstanding creditors'!$O2395</f>
        <v>5096</v>
      </c>
      <c r="Q2395" s="7">
        <f>DAY('data on outstanding creditors'!$B2395)</f>
        <v>3</v>
      </c>
      <c r="R2395" s="7">
        <f>MONTH('data on outstanding creditors'!$B2395)</f>
        <v>9</v>
      </c>
      <c r="S2395" s="7">
        <f>YEAR('data on outstanding creditors'!$B2395)</f>
        <v>2025</v>
      </c>
      <c r="T2395" s="11" t="str">
        <f>'data on outstanding creditors'!$C2395&amp;" "&amp;'data on outstanding creditors'!$D2395&amp;" "&amp;TEXT('data on outstanding creditors'!$E2395,"#,##0.00")</f>
        <v>บ.ดีเคเอสเอช(ประเทศไทย) 5344266009 77,896.00</v>
      </c>
      <c r="U2395" s="12"/>
    </row>
    <row r="2396" ht="13.5" customHeight="1">
      <c r="A2396" s="1"/>
      <c r="B2396" s="2">
        <v>45903.0</v>
      </c>
      <c r="C2396" s="9" t="s">
        <v>2334</v>
      </c>
      <c r="D2396" s="1" t="s">
        <v>3486</v>
      </c>
      <c r="E2396" s="4">
        <v>7200.0</v>
      </c>
      <c r="F2396" s="4"/>
      <c r="G2396" s="4"/>
      <c r="H2396" s="4">
        <f>'data on outstanding creditors'!$E2396-'data on outstanding creditors'!$F2396-'data on outstanding creditors'!$G2396</f>
        <v>7200</v>
      </c>
      <c r="I2396" s="2"/>
      <c r="J2396" s="1"/>
      <c r="K2396" s="2"/>
      <c r="L2396" s="5"/>
      <c r="M2396" s="9" t="s">
        <v>43</v>
      </c>
      <c r="N2396" s="9" t="s">
        <v>23</v>
      </c>
      <c r="O2396" s="10">
        <f>'data on outstanding creditors'!$E2396*100/107</f>
        <v>6728.971963</v>
      </c>
      <c r="P2396" s="10">
        <f>'data on outstanding creditors'!$E2396-'data on outstanding creditors'!$O2396</f>
        <v>471.0280374</v>
      </c>
      <c r="Q2396" s="7">
        <f>DAY('data on outstanding creditors'!$B2396)</f>
        <v>3</v>
      </c>
      <c r="R2396" s="7">
        <f>MONTH('data on outstanding creditors'!$B2396)</f>
        <v>9</v>
      </c>
      <c r="S2396" s="7">
        <f>YEAR('data on outstanding creditors'!$B2396)</f>
        <v>2025</v>
      </c>
      <c r="T2396" s="11" t="str">
        <f>'data on outstanding creditors'!$C2396&amp;" "&amp;'data on outstanding creditors'!$D2396&amp;" "&amp;TEXT('data on outstanding creditors'!$E2396,"#,##0.00")</f>
        <v>บ.ไทยก๊อส IV6834774 7,200.00</v>
      </c>
      <c r="U2396" s="12"/>
    </row>
    <row r="2397" ht="13.5" customHeight="1">
      <c r="A2397" s="1"/>
      <c r="B2397" s="2">
        <v>45903.0</v>
      </c>
      <c r="C2397" s="9" t="s">
        <v>2543</v>
      </c>
      <c r="D2397" s="1" t="s">
        <v>3487</v>
      </c>
      <c r="E2397" s="4">
        <v>28000.0</v>
      </c>
      <c r="F2397" s="4"/>
      <c r="G2397" s="4"/>
      <c r="H2397" s="4">
        <f>'data on outstanding creditors'!$E2397-'data on outstanding creditors'!$F2397-'data on outstanding creditors'!$G2397</f>
        <v>28000</v>
      </c>
      <c r="I2397" s="2"/>
      <c r="J2397" s="1"/>
      <c r="K2397" s="2"/>
      <c r="L2397" s="5"/>
      <c r="M2397" s="9" t="s">
        <v>43</v>
      </c>
      <c r="N2397" s="9" t="s">
        <v>23</v>
      </c>
      <c r="O2397" s="10">
        <f>'data on outstanding creditors'!$E2397*100/107</f>
        <v>26168.2243</v>
      </c>
      <c r="P2397" s="10">
        <f>'data on outstanding creditors'!$E2397-'data on outstanding creditors'!$O2397</f>
        <v>1831.775701</v>
      </c>
      <c r="Q2397" s="7">
        <f>DAY('data on outstanding creditors'!$B2397)</f>
        <v>3</v>
      </c>
      <c r="R2397" s="7">
        <f>MONTH('data on outstanding creditors'!$B2397)</f>
        <v>9</v>
      </c>
      <c r="S2397" s="7">
        <f>YEAR('data on outstanding creditors'!$B2397)</f>
        <v>2025</v>
      </c>
      <c r="T2397" s="11" t="str">
        <f>'data on outstanding creditors'!$C2397&amp;" "&amp;'data on outstanding creditors'!$D2397&amp;" "&amp;TEXT('data on outstanding creditors'!$E2397,"#,##0.00")</f>
        <v>บ.ไฮแวน เมดิคอล HV6805231 28,000.00</v>
      </c>
      <c r="U2397" s="12"/>
    </row>
    <row r="2398" ht="13.5" customHeight="1">
      <c r="A2398" s="1" t="s">
        <v>3488</v>
      </c>
      <c r="B2398" s="2">
        <v>45904.0</v>
      </c>
      <c r="C2398" s="9" t="s">
        <v>1029</v>
      </c>
      <c r="D2398" s="1" t="s">
        <v>3489</v>
      </c>
      <c r="E2398" s="4">
        <v>15800.0</v>
      </c>
      <c r="F2398" s="4"/>
      <c r="G2398" s="4"/>
      <c r="H2398" s="4">
        <f>'data on outstanding creditors'!$E2398-'data on outstanding creditors'!$F2398-'data on outstanding creditors'!$G2398</f>
        <v>15800</v>
      </c>
      <c r="I2398" s="2"/>
      <c r="J2398" s="1"/>
      <c r="K2398" s="2"/>
      <c r="L2398" s="5"/>
      <c r="M2398" s="9" t="s">
        <v>43</v>
      </c>
      <c r="N2398" s="9" t="s">
        <v>49</v>
      </c>
      <c r="O2398" s="10">
        <f>'data on outstanding creditors'!$E2398*100/107</f>
        <v>14766.35514</v>
      </c>
      <c r="P2398" s="10">
        <f>'data on outstanding creditors'!$E2398-'data on outstanding creditors'!$O2398</f>
        <v>1033.64486</v>
      </c>
      <c r="Q2398" s="7">
        <f>DAY('data on outstanding creditors'!$B2398)</f>
        <v>4</v>
      </c>
      <c r="R2398" s="7">
        <f>MONTH('data on outstanding creditors'!$B2398)</f>
        <v>9</v>
      </c>
      <c r="S2398" s="7">
        <f>YEAR('data on outstanding creditors'!$B2398)</f>
        <v>2025</v>
      </c>
      <c r="T2398" s="11" t="str">
        <f>'data on outstanding creditors'!$C2398&amp;" "&amp;'data on outstanding creditors'!$D2398&amp;" "&amp;TEXT('data on outstanding creditors'!$E2398,"#,##0.00")</f>
        <v>บ.เอเทค เมดิคอล IV6809054 15,800.00</v>
      </c>
      <c r="U2398" s="12"/>
    </row>
    <row r="2399" ht="13.5" customHeight="1">
      <c r="A2399" s="1" t="s">
        <v>3490</v>
      </c>
      <c r="B2399" s="2">
        <v>45904.0</v>
      </c>
      <c r="C2399" s="9" t="s">
        <v>2711</v>
      </c>
      <c r="D2399" s="1" t="s">
        <v>3491</v>
      </c>
      <c r="E2399" s="4">
        <v>8000.0</v>
      </c>
      <c r="F2399" s="4"/>
      <c r="G2399" s="4"/>
      <c r="H2399" s="4">
        <f>'data on outstanding creditors'!$E2399-'data on outstanding creditors'!$F2399-'data on outstanding creditors'!$G2399</f>
        <v>8000</v>
      </c>
      <c r="I2399" s="2"/>
      <c r="J2399" s="1" t="s">
        <v>757</v>
      </c>
      <c r="K2399" s="2">
        <v>45965.0</v>
      </c>
      <c r="L2399" s="5"/>
      <c r="M2399" s="9" t="s">
        <v>43</v>
      </c>
      <c r="N2399" s="9" t="s">
        <v>49</v>
      </c>
      <c r="O2399" s="10">
        <f>'data on outstanding creditors'!$E2399*100/107</f>
        <v>7476.635514</v>
      </c>
      <c r="P2399" s="10">
        <f>'data on outstanding creditors'!$E2399-'data on outstanding creditors'!$O2399</f>
        <v>523.364486</v>
      </c>
      <c r="Q2399" s="7">
        <f>DAY('data on outstanding creditors'!$B2399)</f>
        <v>4</v>
      </c>
      <c r="R2399" s="7">
        <f>MONTH('data on outstanding creditors'!$B2399)</f>
        <v>9</v>
      </c>
      <c r="S2399" s="7">
        <f>YEAR('data on outstanding creditors'!$B2399)</f>
        <v>2025</v>
      </c>
      <c r="T2399" s="11" t="str">
        <f>'data on outstanding creditors'!$C2399&amp;" "&amp;'data on outstanding creditors'!$D2399&amp;" "&amp;TEXT('data on outstanding creditors'!$E2399,"#,##0.00")</f>
        <v>บ.ทีเคเอ็น ซัพพลาย(ไทยแลนด์) IV2509054 8,000.00</v>
      </c>
      <c r="U2399" s="12"/>
    </row>
    <row r="2400" ht="13.5" customHeight="1">
      <c r="A2400" s="1" t="s">
        <v>3492</v>
      </c>
      <c r="B2400" s="2">
        <v>45904.0</v>
      </c>
      <c r="C2400" s="9" t="s">
        <v>286</v>
      </c>
      <c r="D2400" s="1" t="s">
        <v>3493</v>
      </c>
      <c r="E2400" s="4">
        <v>20000.0</v>
      </c>
      <c r="F2400" s="4"/>
      <c r="G2400" s="4"/>
      <c r="H2400" s="4">
        <f>'data on outstanding creditors'!$E2400-'data on outstanding creditors'!$F2400-'data on outstanding creditors'!$G2400</f>
        <v>20000</v>
      </c>
      <c r="I2400" s="2"/>
      <c r="J2400" s="1"/>
      <c r="K2400" s="2"/>
      <c r="L2400" s="5"/>
      <c r="M2400" s="9" t="s">
        <v>43</v>
      </c>
      <c r="N2400" s="9" t="s">
        <v>49</v>
      </c>
      <c r="O2400" s="10">
        <f>'data on outstanding creditors'!$E2400*100/107</f>
        <v>18691.58879</v>
      </c>
      <c r="P2400" s="10">
        <f>'data on outstanding creditors'!$E2400-'data on outstanding creditors'!$O2400</f>
        <v>1308.411215</v>
      </c>
      <c r="Q2400" s="7">
        <f>DAY('data on outstanding creditors'!$B2400)</f>
        <v>4</v>
      </c>
      <c r="R2400" s="7">
        <f>MONTH('data on outstanding creditors'!$B2400)</f>
        <v>9</v>
      </c>
      <c r="S2400" s="7">
        <f>YEAR('data on outstanding creditors'!$B2400)</f>
        <v>2025</v>
      </c>
      <c r="T2400" s="11" t="str">
        <f>'data on outstanding creditors'!$C2400&amp;" "&amp;'data on outstanding creditors'!$D2400&amp;" "&amp;TEXT('data on outstanding creditors'!$E2400,"#,##0.00")</f>
        <v>บ.เอ็ม ดี ซี (ประเทศไทย) IV25090129 20,000.00</v>
      </c>
      <c r="U2400" s="12"/>
    </row>
    <row r="2401" ht="13.5" customHeight="1">
      <c r="A2401" s="1" t="s">
        <v>3494</v>
      </c>
      <c r="B2401" s="2">
        <v>45905.0</v>
      </c>
      <c r="C2401" s="9" t="s">
        <v>1034</v>
      </c>
      <c r="D2401" s="1" t="s">
        <v>3495</v>
      </c>
      <c r="E2401" s="4">
        <v>4000.0</v>
      </c>
      <c r="F2401" s="4"/>
      <c r="G2401" s="4"/>
      <c r="H2401" s="4">
        <f>'data on outstanding creditors'!$E2401-'data on outstanding creditors'!$F2401-'data on outstanding creditors'!$G2401</f>
        <v>4000</v>
      </c>
      <c r="I2401" s="2"/>
      <c r="J2401" s="1"/>
      <c r="K2401" s="2"/>
      <c r="L2401" s="5"/>
      <c r="M2401" s="9" t="s">
        <v>43</v>
      </c>
      <c r="N2401" s="9" t="s">
        <v>49</v>
      </c>
      <c r="O2401" s="10">
        <f>'data on outstanding creditors'!$E2401*100/107</f>
        <v>3738.317757</v>
      </c>
      <c r="P2401" s="10">
        <f>'data on outstanding creditors'!$E2401-'data on outstanding creditors'!$O2401</f>
        <v>261.682243</v>
      </c>
      <c r="Q2401" s="7">
        <f>DAY('data on outstanding creditors'!$B2401)</f>
        <v>5</v>
      </c>
      <c r="R2401" s="7">
        <f>MONTH('data on outstanding creditors'!$B2401)</f>
        <v>9</v>
      </c>
      <c r="S2401" s="7">
        <f>YEAR('data on outstanding creditors'!$B2401)</f>
        <v>2025</v>
      </c>
      <c r="T2401" s="11" t="str">
        <f>'data on outstanding creditors'!$C2401&amp;" "&amp;'data on outstanding creditors'!$D2401&amp;" "&amp;TEXT('data on outstanding creditors'!$E2401,"#,##0.00")</f>
        <v>บ.แบงค็อก เมดิคอลส์ โปร IV18127/68 4,000.00</v>
      </c>
      <c r="U2401" s="12"/>
    </row>
    <row r="2402" ht="13.5" customHeight="1">
      <c r="A2402" s="1" t="s">
        <v>3496</v>
      </c>
      <c r="B2402" s="2">
        <v>45905.0</v>
      </c>
      <c r="C2402" s="9" t="s">
        <v>1034</v>
      </c>
      <c r="D2402" s="1" t="s">
        <v>3497</v>
      </c>
      <c r="E2402" s="4">
        <v>3500.0</v>
      </c>
      <c r="F2402" s="4"/>
      <c r="G2402" s="4"/>
      <c r="H2402" s="4">
        <f>'data on outstanding creditors'!$E2402-'data on outstanding creditors'!$F2402-'data on outstanding creditors'!$G2402</f>
        <v>3500</v>
      </c>
      <c r="I2402" s="2"/>
      <c r="J2402" s="1"/>
      <c r="K2402" s="2"/>
      <c r="L2402" s="5"/>
      <c r="M2402" s="9" t="s">
        <v>43</v>
      </c>
      <c r="N2402" s="9" t="s">
        <v>49</v>
      </c>
      <c r="O2402" s="10">
        <f>'data on outstanding creditors'!$E2402*100/107</f>
        <v>3271.028037</v>
      </c>
      <c r="P2402" s="10">
        <f>'data on outstanding creditors'!$E2402-'data on outstanding creditors'!$O2402</f>
        <v>228.9719626</v>
      </c>
      <c r="Q2402" s="7">
        <f>DAY('data on outstanding creditors'!$B2402)</f>
        <v>5</v>
      </c>
      <c r="R2402" s="7">
        <f>MONTH('data on outstanding creditors'!$B2402)</f>
        <v>9</v>
      </c>
      <c r="S2402" s="7">
        <f>YEAR('data on outstanding creditors'!$B2402)</f>
        <v>2025</v>
      </c>
      <c r="T2402" s="11" t="str">
        <f>'data on outstanding creditors'!$C2402&amp;" "&amp;'data on outstanding creditors'!$D2402&amp;" "&amp;TEXT('data on outstanding creditors'!$E2402,"#,##0.00")</f>
        <v>บ.แบงค็อก เมดิคอลส์ โปร IV18126/68 3,500.00</v>
      </c>
      <c r="U2402" s="12"/>
    </row>
    <row r="2403" ht="13.5" customHeight="1">
      <c r="A2403" s="1" t="s">
        <v>3498</v>
      </c>
      <c r="B2403" s="2">
        <v>45905.0</v>
      </c>
      <c r="C2403" s="9" t="s">
        <v>1034</v>
      </c>
      <c r="D2403" s="1" t="s">
        <v>3499</v>
      </c>
      <c r="E2403" s="4">
        <v>2800.0</v>
      </c>
      <c r="F2403" s="4"/>
      <c r="G2403" s="4"/>
      <c r="H2403" s="4">
        <f>'data on outstanding creditors'!$E2403-'data on outstanding creditors'!$F2403-'data on outstanding creditors'!$G2403</f>
        <v>2800</v>
      </c>
      <c r="I2403" s="2"/>
      <c r="J2403" s="1"/>
      <c r="K2403" s="2"/>
      <c r="L2403" s="5"/>
      <c r="M2403" s="9" t="s">
        <v>43</v>
      </c>
      <c r="N2403" s="9" t="s">
        <v>49</v>
      </c>
      <c r="O2403" s="10">
        <f>'data on outstanding creditors'!$E2403*100/107</f>
        <v>2616.82243</v>
      </c>
      <c r="P2403" s="10">
        <f>'data on outstanding creditors'!$E2403-'data on outstanding creditors'!$O2403</f>
        <v>183.1775701</v>
      </c>
      <c r="Q2403" s="7">
        <f>DAY('data on outstanding creditors'!$B2403)</f>
        <v>5</v>
      </c>
      <c r="R2403" s="7">
        <f>MONTH('data on outstanding creditors'!$B2403)</f>
        <v>9</v>
      </c>
      <c r="S2403" s="7">
        <f>YEAR('data on outstanding creditors'!$B2403)</f>
        <v>2025</v>
      </c>
      <c r="T2403" s="11" t="str">
        <f>'data on outstanding creditors'!$C2403&amp;" "&amp;'data on outstanding creditors'!$D2403&amp;" "&amp;TEXT('data on outstanding creditors'!$E2403,"#,##0.00")</f>
        <v>บ.แบงค็อก เมดิคอลส์ โปร IV18125/68 2,800.00</v>
      </c>
      <c r="U2403" s="12"/>
    </row>
    <row r="2404" ht="13.5" customHeight="1">
      <c r="A2404" s="1" t="s">
        <v>3500</v>
      </c>
      <c r="B2404" s="2">
        <v>45905.0</v>
      </c>
      <c r="C2404" s="9" t="s">
        <v>1034</v>
      </c>
      <c r="D2404" s="1" t="s">
        <v>3501</v>
      </c>
      <c r="E2404" s="4">
        <v>350.0</v>
      </c>
      <c r="F2404" s="4"/>
      <c r="G2404" s="4"/>
      <c r="H2404" s="4">
        <f>'data on outstanding creditors'!$E2404-'data on outstanding creditors'!$F2404-'data on outstanding creditors'!$G2404</f>
        <v>350</v>
      </c>
      <c r="I2404" s="2"/>
      <c r="J2404" s="1"/>
      <c r="K2404" s="2"/>
      <c r="L2404" s="5"/>
      <c r="M2404" s="9" t="s">
        <v>43</v>
      </c>
      <c r="N2404" s="9" t="s">
        <v>49</v>
      </c>
      <c r="O2404" s="10">
        <f>'data on outstanding creditors'!$E2404*100/107</f>
        <v>327.1028037</v>
      </c>
      <c r="P2404" s="10">
        <f>'data on outstanding creditors'!$E2404-'data on outstanding creditors'!$O2404</f>
        <v>22.89719626</v>
      </c>
      <c r="Q2404" s="7">
        <f>DAY('data on outstanding creditors'!$B2404)</f>
        <v>5</v>
      </c>
      <c r="R2404" s="7">
        <f>MONTH('data on outstanding creditors'!$B2404)</f>
        <v>9</v>
      </c>
      <c r="S2404" s="7">
        <f>YEAR('data on outstanding creditors'!$B2404)</f>
        <v>2025</v>
      </c>
      <c r="T2404" s="11" t="str">
        <f>'data on outstanding creditors'!$C2404&amp;" "&amp;'data on outstanding creditors'!$D2404&amp;" "&amp;TEXT('data on outstanding creditors'!$E2404,"#,##0.00")</f>
        <v>บ.แบงค็อก เมดิคอลส์ โปร IV18128/68 350.00</v>
      </c>
      <c r="U2404" s="12"/>
    </row>
    <row r="2405" ht="13.5" customHeight="1">
      <c r="A2405" s="1" t="s">
        <v>3502</v>
      </c>
      <c r="B2405" s="2">
        <v>45905.0</v>
      </c>
      <c r="C2405" s="9" t="s">
        <v>1034</v>
      </c>
      <c r="D2405" s="1" t="s">
        <v>3503</v>
      </c>
      <c r="E2405" s="4">
        <v>350.0</v>
      </c>
      <c r="F2405" s="4"/>
      <c r="G2405" s="4"/>
      <c r="H2405" s="4">
        <f>'data on outstanding creditors'!$E2405-'data on outstanding creditors'!$F2405-'data on outstanding creditors'!$G2405</f>
        <v>350</v>
      </c>
      <c r="I2405" s="2"/>
      <c r="J2405" s="1"/>
      <c r="K2405" s="2"/>
      <c r="L2405" s="5"/>
      <c r="M2405" s="9" t="s">
        <v>43</v>
      </c>
      <c r="N2405" s="9" t="s">
        <v>49</v>
      </c>
      <c r="O2405" s="10">
        <f>'data on outstanding creditors'!$E2405*100/107</f>
        <v>327.1028037</v>
      </c>
      <c r="P2405" s="10">
        <f>'data on outstanding creditors'!$E2405-'data on outstanding creditors'!$O2405</f>
        <v>22.89719626</v>
      </c>
      <c r="Q2405" s="7">
        <f>DAY('data on outstanding creditors'!$B2405)</f>
        <v>5</v>
      </c>
      <c r="R2405" s="7">
        <f>MONTH('data on outstanding creditors'!$B2405)</f>
        <v>9</v>
      </c>
      <c r="S2405" s="7">
        <f>YEAR('data on outstanding creditors'!$B2405)</f>
        <v>2025</v>
      </c>
      <c r="T2405" s="11" t="str">
        <f>'data on outstanding creditors'!$C2405&amp;" "&amp;'data on outstanding creditors'!$D2405&amp;" "&amp;TEXT('data on outstanding creditors'!$E2405,"#,##0.00")</f>
        <v>บ.แบงค็อก เมดิคอลส์ โปร IV18124/68 350.00</v>
      </c>
      <c r="U2405" s="12"/>
    </row>
    <row r="2406" ht="13.5" customHeight="1">
      <c r="A2406" s="1" t="s">
        <v>3504</v>
      </c>
      <c r="B2406" s="2">
        <v>45905.0</v>
      </c>
      <c r="C2406" s="9" t="s">
        <v>2334</v>
      </c>
      <c r="D2406" s="1" t="s">
        <v>3505</v>
      </c>
      <c r="E2406" s="4">
        <v>12500.0</v>
      </c>
      <c r="F2406" s="4"/>
      <c r="G2406" s="4"/>
      <c r="H2406" s="4">
        <f>'data on outstanding creditors'!$E2406-'data on outstanding creditors'!$F2406-'data on outstanding creditors'!$G2406</f>
        <v>12500</v>
      </c>
      <c r="I2406" s="2"/>
      <c r="J2406" s="1" t="s">
        <v>757</v>
      </c>
      <c r="K2406" s="2">
        <v>45966.0</v>
      </c>
      <c r="L2406" s="5"/>
      <c r="M2406" s="9" t="s">
        <v>43</v>
      </c>
      <c r="N2406" s="9" t="s">
        <v>49</v>
      </c>
      <c r="O2406" s="10">
        <f>'data on outstanding creditors'!$E2406*100/107</f>
        <v>11682.24299</v>
      </c>
      <c r="P2406" s="10">
        <f>'data on outstanding creditors'!$E2406-'data on outstanding creditors'!$O2406</f>
        <v>817.7570093</v>
      </c>
      <c r="Q2406" s="7">
        <f>DAY('data on outstanding creditors'!$B2406)</f>
        <v>5</v>
      </c>
      <c r="R2406" s="7">
        <f>MONTH('data on outstanding creditors'!$B2406)</f>
        <v>9</v>
      </c>
      <c r="S2406" s="7">
        <f>YEAR('data on outstanding creditors'!$B2406)</f>
        <v>2025</v>
      </c>
      <c r="T2406" s="11" t="str">
        <f>'data on outstanding creditors'!$C2406&amp;" "&amp;'data on outstanding creditors'!$D2406&amp;" "&amp;TEXT('data on outstanding creditors'!$E2406,"#,##0.00")</f>
        <v>บ.ไทยก๊อส IV6835395 12,500.00</v>
      </c>
      <c r="U2406" s="12"/>
    </row>
    <row r="2407" ht="13.5" customHeight="1">
      <c r="A2407" s="1" t="s">
        <v>3506</v>
      </c>
      <c r="B2407" s="2">
        <v>45905.0</v>
      </c>
      <c r="C2407" s="9" t="s">
        <v>1320</v>
      </c>
      <c r="D2407" s="1" t="s">
        <v>3507</v>
      </c>
      <c r="E2407" s="4">
        <v>44400.0</v>
      </c>
      <c r="F2407" s="4"/>
      <c r="G2407" s="4"/>
      <c r="H2407" s="4">
        <f>'data on outstanding creditors'!$E2407-'data on outstanding creditors'!$F2407-'data on outstanding creditors'!$G2407</f>
        <v>44400</v>
      </c>
      <c r="I2407" s="2"/>
      <c r="J2407" s="1" t="s">
        <v>757</v>
      </c>
      <c r="K2407" s="2">
        <v>45966.0</v>
      </c>
      <c r="L2407" s="5"/>
      <c r="M2407" s="9" t="s">
        <v>43</v>
      </c>
      <c r="N2407" s="9" t="s">
        <v>49</v>
      </c>
      <c r="O2407" s="10">
        <f>'data on outstanding creditors'!$E2407*100/107</f>
        <v>41495.3271</v>
      </c>
      <c r="P2407" s="10">
        <f>'data on outstanding creditors'!$E2407-'data on outstanding creditors'!$O2407</f>
        <v>2904.672897</v>
      </c>
      <c r="Q2407" s="7">
        <f>DAY('data on outstanding creditors'!$B2407)</f>
        <v>5</v>
      </c>
      <c r="R2407" s="7">
        <f>MONTH('data on outstanding creditors'!$B2407)</f>
        <v>9</v>
      </c>
      <c r="S2407" s="7">
        <f>YEAR('data on outstanding creditors'!$B2407)</f>
        <v>2025</v>
      </c>
      <c r="T2407" s="11" t="str">
        <f>'data on outstanding creditors'!$C2407&amp;" "&amp;'data on outstanding creditors'!$D2407&amp;" "&amp;TEXT('data on outstanding creditors'!$E2407,"#,##0.00")</f>
        <v>บ.บี.เอ็ล.ฮั้ว 68029359 44,400.00</v>
      </c>
      <c r="U2407" s="12"/>
    </row>
    <row r="2408" ht="13.5" customHeight="1">
      <c r="A2408" s="1" t="s">
        <v>3508</v>
      </c>
      <c r="B2408" s="2">
        <v>45905.0</v>
      </c>
      <c r="C2408" s="9" t="s">
        <v>2317</v>
      </c>
      <c r="D2408" s="1" t="s">
        <v>3509</v>
      </c>
      <c r="E2408" s="4">
        <v>42200.0</v>
      </c>
      <c r="F2408" s="4"/>
      <c r="G2408" s="4"/>
      <c r="H2408" s="4">
        <f>'data on outstanding creditors'!$E2408-'data on outstanding creditors'!$F2408-'data on outstanding creditors'!$G2408</f>
        <v>42200</v>
      </c>
      <c r="I2408" s="2"/>
      <c r="J2408" s="1" t="s">
        <v>757</v>
      </c>
      <c r="K2408" s="2">
        <v>45967.0</v>
      </c>
      <c r="L2408" s="5"/>
      <c r="M2408" s="9" t="s">
        <v>43</v>
      </c>
      <c r="N2408" s="9" t="s">
        <v>49</v>
      </c>
      <c r="O2408" s="10">
        <f>'data on outstanding creditors'!$E2408*100/107</f>
        <v>39439.25234</v>
      </c>
      <c r="P2408" s="10">
        <f>'data on outstanding creditors'!$E2408-'data on outstanding creditors'!$O2408</f>
        <v>2760.747664</v>
      </c>
      <c r="Q2408" s="7">
        <f>DAY('data on outstanding creditors'!$B2408)</f>
        <v>5</v>
      </c>
      <c r="R2408" s="7">
        <f>MONTH('data on outstanding creditors'!$B2408)</f>
        <v>9</v>
      </c>
      <c r="S2408" s="7">
        <f>YEAR('data on outstanding creditors'!$B2408)</f>
        <v>2025</v>
      </c>
      <c r="T2408" s="11" t="str">
        <f>'data on outstanding creditors'!$C2408&amp;" "&amp;'data on outstanding creditors'!$D2408&amp;" "&amp;TEXT('data on outstanding creditors'!$E2408,"#,##0.00")</f>
        <v>บ.เซอจิ-แคร์ A680602 42,200.00</v>
      </c>
      <c r="U2408" s="12"/>
    </row>
    <row r="2409" ht="13.5" customHeight="1">
      <c r="A2409" s="1" t="s">
        <v>3510</v>
      </c>
      <c r="B2409" s="2">
        <v>45905.0</v>
      </c>
      <c r="C2409" s="9" t="s">
        <v>2317</v>
      </c>
      <c r="D2409" s="1" t="s">
        <v>3511</v>
      </c>
      <c r="E2409" s="4">
        <v>9200.0</v>
      </c>
      <c r="F2409" s="4"/>
      <c r="G2409" s="4"/>
      <c r="H2409" s="4">
        <f>'data on outstanding creditors'!$E2409-'data on outstanding creditors'!$F2409-'data on outstanding creditors'!$G2409</f>
        <v>9200</v>
      </c>
      <c r="I2409" s="2"/>
      <c r="J2409" s="1" t="s">
        <v>757</v>
      </c>
      <c r="K2409" s="2">
        <v>45966.0</v>
      </c>
      <c r="L2409" s="5"/>
      <c r="M2409" s="9" t="s">
        <v>43</v>
      </c>
      <c r="N2409" s="9" t="s">
        <v>49</v>
      </c>
      <c r="O2409" s="10">
        <f>'data on outstanding creditors'!$E2409*100/107</f>
        <v>8598.130841</v>
      </c>
      <c r="P2409" s="10">
        <f>'data on outstanding creditors'!$E2409-'data on outstanding creditors'!$O2409</f>
        <v>601.8691589</v>
      </c>
      <c r="Q2409" s="7">
        <f>DAY('data on outstanding creditors'!$B2409)</f>
        <v>5</v>
      </c>
      <c r="R2409" s="7">
        <f>MONTH('data on outstanding creditors'!$B2409)</f>
        <v>9</v>
      </c>
      <c r="S2409" s="7">
        <f>YEAR('data on outstanding creditors'!$B2409)</f>
        <v>2025</v>
      </c>
      <c r="T2409" s="11" t="str">
        <f>'data on outstanding creditors'!$C2409&amp;" "&amp;'data on outstanding creditors'!$D2409&amp;" "&amp;TEXT('data on outstanding creditors'!$E2409,"#,##0.00")</f>
        <v>บ.เซอจิ-แคร์ A680603 9,200.00</v>
      </c>
      <c r="U2409" s="12"/>
    </row>
    <row r="2410" ht="13.5" customHeight="1">
      <c r="A2410" s="1" t="s">
        <v>3512</v>
      </c>
      <c r="B2410" s="2">
        <v>45905.0</v>
      </c>
      <c r="C2410" s="9" t="s">
        <v>2317</v>
      </c>
      <c r="D2410" s="1" t="s">
        <v>3513</v>
      </c>
      <c r="E2410" s="4">
        <v>99000.0</v>
      </c>
      <c r="F2410" s="4"/>
      <c r="G2410" s="4"/>
      <c r="H2410" s="4">
        <f>'data on outstanding creditors'!$E2410-'data on outstanding creditors'!$F2410-'data on outstanding creditors'!$G2410</f>
        <v>99000</v>
      </c>
      <c r="I2410" s="2"/>
      <c r="J2410" s="1" t="s">
        <v>757</v>
      </c>
      <c r="K2410" s="2">
        <v>45966.0</v>
      </c>
      <c r="L2410" s="5"/>
      <c r="M2410" s="9" t="s">
        <v>43</v>
      </c>
      <c r="N2410" s="9" t="s">
        <v>49</v>
      </c>
      <c r="O2410" s="10">
        <f>'data on outstanding creditors'!$E2410*100/107</f>
        <v>92523.36449</v>
      </c>
      <c r="P2410" s="10">
        <f>'data on outstanding creditors'!$E2410-'data on outstanding creditors'!$O2410</f>
        <v>6476.635514</v>
      </c>
      <c r="Q2410" s="7">
        <f>DAY('data on outstanding creditors'!$B2410)</f>
        <v>5</v>
      </c>
      <c r="R2410" s="7">
        <f>MONTH('data on outstanding creditors'!$B2410)</f>
        <v>9</v>
      </c>
      <c r="S2410" s="7">
        <f>YEAR('data on outstanding creditors'!$B2410)</f>
        <v>2025</v>
      </c>
      <c r="T2410" s="11" t="str">
        <f>'data on outstanding creditors'!$C2410&amp;" "&amp;'data on outstanding creditors'!$D2410&amp;" "&amp;TEXT('data on outstanding creditors'!$E2410,"#,##0.00")</f>
        <v>บ.เซอจิ-แคร์ A680604 99,000.00</v>
      </c>
      <c r="U2410" s="12"/>
    </row>
    <row r="2411" ht="13.5" customHeight="1">
      <c r="A2411" s="1" t="s">
        <v>3514</v>
      </c>
      <c r="B2411" s="2">
        <v>45905.0</v>
      </c>
      <c r="C2411" s="9" t="s">
        <v>2317</v>
      </c>
      <c r="D2411" s="1" t="s">
        <v>3515</v>
      </c>
      <c r="E2411" s="4">
        <v>99000.0</v>
      </c>
      <c r="F2411" s="4"/>
      <c r="G2411" s="4"/>
      <c r="H2411" s="4">
        <f>'data on outstanding creditors'!$E2411-'data on outstanding creditors'!$F2411-'data on outstanding creditors'!$G2411</f>
        <v>99000</v>
      </c>
      <c r="I2411" s="2"/>
      <c r="J2411" s="1" t="s">
        <v>757</v>
      </c>
      <c r="K2411" s="2">
        <v>45966.0</v>
      </c>
      <c r="L2411" s="5"/>
      <c r="M2411" s="9" t="s">
        <v>43</v>
      </c>
      <c r="N2411" s="9" t="s">
        <v>49</v>
      </c>
      <c r="O2411" s="10">
        <f>'data on outstanding creditors'!$E2411*100/107</f>
        <v>92523.36449</v>
      </c>
      <c r="P2411" s="10">
        <f>'data on outstanding creditors'!$E2411-'data on outstanding creditors'!$O2411</f>
        <v>6476.635514</v>
      </c>
      <c r="Q2411" s="7">
        <f>DAY('data on outstanding creditors'!$B2411)</f>
        <v>5</v>
      </c>
      <c r="R2411" s="7">
        <f>MONTH('data on outstanding creditors'!$B2411)</f>
        <v>9</v>
      </c>
      <c r="S2411" s="7">
        <f>YEAR('data on outstanding creditors'!$B2411)</f>
        <v>2025</v>
      </c>
      <c r="T2411" s="11" t="str">
        <f>'data on outstanding creditors'!$C2411&amp;" "&amp;'data on outstanding creditors'!$D2411&amp;" "&amp;TEXT('data on outstanding creditors'!$E2411,"#,##0.00")</f>
        <v>บ.เซอจิ-แคร์ A680605 99,000.00</v>
      </c>
      <c r="U2411" s="12"/>
    </row>
    <row r="2412" ht="13.5" customHeight="1">
      <c r="A2412" s="1" t="s">
        <v>3516</v>
      </c>
      <c r="B2412" s="2">
        <v>45908.0</v>
      </c>
      <c r="C2412" s="9" t="s">
        <v>1029</v>
      </c>
      <c r="D2412" s="1" t="s">
        <v>3517</v>
      </c>
      <c r="E2412" s="4">
        <v>17620.0</v>
      </c>
      <c r="F2412" s="4"/>
      <c r="G2412" s="4"/>
      <c r="H2412" s="4">
        <f>'data on outstanding creditors'!$E2412-'data on outstanding creditors'!$F2412-'data on outstanding creditors'!$G2412</f>
        <v>17620</v>
      </c>
      <c r="I2412" s="2"/>
      <c r="J2412" s="1" t="s">
        <v>757</v>
      </c>
      <c r="K2412" s="2">
        <v>45967.0</v>
      </c>
      <c r="L2412" s="5"/>
      <c r="M2412" s="9" t="s">
        <v>43</v>
      </c>
      <c r="N2412" s="9" t="s">
        <v>49</v>
      </c>
      <c r="O2412" s="10">
        <f>'data on outstanding creditors'!$E2412*100/107</f>
        <v>16467.28972</v>
      </c>
      <c r="P2412" s="10">
        <f>'data on outstanding creditors'!$E2412-'data on outstanding creditors'!$O2412</f>
        <v>1152.71028</v>
      </c>
      <c r="Q2412" s="7">
        <f>DAY('data on outstanding creditors'!$B2412)</f>
        <v>8</v>
      </c>
      <c r="R2412" s="7">
        <f>MONTH('data on outstanding creditors'!$B2412)</f>
        <v>9</v>
      </c>
      <c r="S2412" s="7">
        <f>YEAR('data on outstanding creditors'!$B2412)</f>
        <v>2025</v>
      </c>
      <c r="T2412" s="11" t="str">
        <f>'data on outstanding creditors'!$C2412&amp;" "&amp;'data on outstanding creditors'!$D2412&amp;" "&amp;TEXT('data on outstanding creditors'!$E2412,"#,##0.00")</f>
        <v>บ.เอเทค เมดิคอล IV6809067 17,620.00</v>
      </c>
      <c r="U2412" s="12"/>
    </row>
    <row r="2413" ht="13.5" customHeight="1">
      <c r="A2413" s="1" t="s">
        <v>3518</v>
      </c>
      <c r="B2413" s="2">
        <v>45908.0</v>
      </c>
      <c r="C2413" s="9" t="s">
        <v>1029</v>
      </c>
      <c r="D2413" s="1" t="s">
        <v>3519</v>
      </c>
      <c r="E2413" s="4">
        <v>7150.0</v>
      </c>
      <c r="F2413" s="4"/>
      <c r="G2413" s="4"/>
      <c r="H2413" s="4">
        <f>'data on outstanding creditors'!$E2413-'data on outstanding creditors'!$F2413-'data on outstanding creditors'!$G2413</f>
        <v>7150</v>
      </c>
      <c r="I2413" s="2"/>
      <c r="J2413" s="1"/>
      <c r="K2413" s="2"/>
      <c r="L2413" s="5"/>
      <c r="M2413" s="9" t="s">
        <v>43</v>
      </c>
      <c r="N2413" s="9" t="s">
        <v>49</v>
      </c>
      <c r="O2413" s="10">
        <f>'data on outstanding creditors'!$E2413*100/107</f>
        <v>6682.242991</v>
      </c>
      <c r="P2413" s="10">
        <f>'data on outstanding creditors'!$E2413-'data on outstanding creditors'!$O2413</f>
        <v>467.7570093</v>
      </c>
      <c r="Q2413" s="7">
        <f>DAY('data on outstanding creditors'!$B2413)</f>
        <v>8</v>
      </c>
      <c r="R2413" s="7">
        <f>MONTH('data on outstanding creditors'!$B2413)</f>
        <v>9</v>
      </c>
      <c r="S2413" s="7">
        <f>YEAR('data on outstanding creditors'!$B2413)</f>
        <v>2025</v>
      </c>
      <c r="T2413" s="11" t="str">
        <f>'data on outstanding creditors'!$C2413&amp;" "&amp;'data on outstanding creditors'!$D2413&amp;" "&amp;TEXT('data on outstanding creditors'!$E2413,"#,##0.00")</f>
        <v>บ.เอเทค เมดิคอล IV6809068 7,150.00</v>
      </c>
      <c r="U2413" s="12"/>
    </row>
    <row r="2414" ht="13.5" customHeight="1">
      <c r="A2414" s="1" t="s">
        <v>3520</v>
      </c>
      <c r="B2414" s="2">
        <v>45908.0</v>
      </c>
      <c r="C2414" s="9" t="s">
        <v>3521</v>
      </c>
      <c r="D2414" s="1" t="s">
        <v>3522</v>
      </c>
      <c r="E2414" s="4">
        <v>23000.0</v>
      </c>
      <c r="F2414" s="4"/>
      <c r="G2414" s="4"/>
      <c r="H2414" s="4">
        <f>'data on outstanding creditors'!$E2414-'data on outstanding creditors'!$F2414-'data on outstanding creditors'!$G2414</f>
        <v>23000</v>
      </c>
      <c r="I2414" s="2"/>
      <c r="J2414" s="1" t="s">
        <v>757</v>
      </c>
      <c r="K2414" s="2">
        <v>45967.0</v>
      </c>
      <c r="L2414" s="5"/>
      <c r="M2414" s="9" t="s">
        <v>43</v>
      </c>
      <c r="N2414" s="9" t="s">
        <v>49</v>
      </c>
      <c r="O2414" s="10">
        <f>'data on outstanding creditors'!$E2414*100/107</f>
        <v>21495.3271</v>
      </c>
      <c r="P2414" s="10">
        <f>'data on outstanding creditors'!$E2414-'data on outstanding creditors'!$O2414</f>
        <v>1504.672897</v>
      </c>
      <c r="Q2414" s="7">
        <f>DAY('data on outstanding creditors'!$B2414)</f>
        <v>8</v>
      </c>
      <c r="R2414" s="7">
        <f>MONTH('data on outstanding creditors'!$B2414)</f>
        <v>9</v>
      </c>
      <c r="S2414" s="7">
        <f>YEAR('data on outstanding creditors'!$B2414)</f>
        <v>2025</v>
      </c>
      <c r="T2414" s="11" t="str">
        <f>'data on outstanding creditors'!$C2414&amp;" "&amp;'data on outstanding creditors'!$D2414&amp;" "&amp;TEXT('data on outstanding creditors'!$E2414,"#,##0.00")</f>
        <v>บ.ปราณธารา อินเวนชั่น INV2025090001 23,000.00</v>
      </c>
      <c r="U2414" s="12"/>
    </row>
    <row r="2415" ht="13.5" customHeight="1">
      <c r="A2415" s="1" t="s">
        <v>3523</v>
      </c>
      <c r="B2415" s="2">
        <v>45908.0</v>
      </c>
      <c r="C2415" s="9" t="s">
        <v>2315</v>
      </c>
      <c r="D2415" s="1" t="s">
        <v>3524</v>
      </c>
      <c r="E2415" s="4">
        <v>3000.0</v>
      </c>
      <c r="F2415" s="4"/>
      <c r="G2415" s="4"/>
      <c r="H2415" s="4">
        <f>'data on outstanding creditors'!$E2415-'data on outstanding creditors'!$F2415-'data on outstanding creditors'!$G2415</f>
        <v>3000</v>
      </c>
      <c r="I2415" s="2"/>
      <c r="J2415" s="1" t="s">
        <v>757</v>
      </c>
      <c r="K2415" s="2">
        <v>45937.0</v>
      </c>
      <c r="L2415" s="5"/>
      <c r="M2415" s="9" t="s">
        <v>43</v>
      </c>
      <c r="N2415" s="9" t="s">
        <v>49</v>
      </c>
      <c r="O2415" s="10">
        <f>'data on outstanding creditors'!$E2415*100/107</f>
        <v>2803.738318</v>
      </c>
      <c r="P2415" s="10">
        <f>'data on outstanding creditors'!$E2415-'data on outstanding creditors'!$O2415</f>
        <v>196.2616822</v>
      </c>
      <c r="Q2415" s="7">
        <f>DAY('data on outstanding creditors'!$B2415)</f>
        <v>8</v>
      </c>
      <c r="R2415" s="7">
        <f>MONTH('data on outstanding creditors'!$B2415)</f>
        <v>9</v>
      </c>
      <c r="S2415" s="7">
        <f>YEAR('data on outstanding creditors'!$B2415)</f>
        <v>2025</v>
      </c>
      <c r="T2415" s="11" t="str">
        <f>'data on outstanding creditors'!$C2415&amp;" "&amp;'data on outstanding creditors'!$D2415&amp;" "&amp;TEXT('data on outstanding creditors'!$E2415,"#,##0.00")</f>
        <v>บ.เรียลเมดคอร์ป IV25081144 3,000.00</v>
      </c>
      <c r="U2415" s="12"/>
    </row>
    <row r="2416" ht="13.5" customHeight="1">
      <c r="A2416" s="1" t="s">
        <v>3525</v>
      </c>
      <c r="B2416" s="2">
        <v>45908.0</v>
      </c>
      <c r="C2416" s="9" t="s">
        <v>1029</v>
      </c>
      <c r="D2416" s="1" t="s">
        <v>3526</v>
      </c>
      <c r="E2416" s="4">
        <v>900.0</v>
      </c>
      <c r="F2416" s="4"/>
      <c r="G2416" s="4"/>
      <c r="H2416" s="4">
        <f>'data on outstanding creditors'!$E2416-'data on outstanding creditors'!$F2416-'data on outstanding creditors'!$G2416</f>
        <v>900</v>
      </c>
      <c r="I2416" s="2"/>
      <c r="J2416" s="1"/>
      <c r="K2416" s="2"/>
      <c r="L2416" s="5"/>
      <c r="M2416" s="9" t="s">
        <v>43</v>
      </c>
      <c r="N2416" s="9" t="s">
        <v>49</v>
      </c>
      <c r="O2416" s="10">
        <f>'data on outstanding creditors'!$E2416*100/107</f>
        <v>841.1214953</v>
      </c>
      <c r="P2416" s="10">
        <f>'data on outstanding creditors'!$E2416-'data on outstanding creditors'!$O2416</f>
        <v>58.87850467</v>
      </c>
      <c r="Q2416" s="7">
        <f>DAY('data on outstanding creditors'!$B2416)</f>
        <v>8</v>
      </c>
      <c r="R2416" s="7">
        <f>MONTH('data on outstanding creditors'!$B2416)</f>
        <v>9</v>
      </c>
      <c r="S2416" s="7">
        <f>YEAR('data on outstanding creditors'!$B2416)</f>
        <v>2025</v>
      </c>
      <c r="T2416" s="11" t="str">
        <f>'data on outstanding creditors'!$C2416&amp;" "&amp;'data on outstanding creditors'!$D2416&amp;" "&amp;TEXT('data on outstanding creditors'!$E2416,"#,##0.00")</f>
        <v>บ.เอเทค เมดิคอล IV6809180 900.00</v>
      </c>
      <c r="U2416" s="12"/>
    </row>
    <row r="2417" ht="13.5" customHeight="1">
      <c r="A2417" s="1" t="s">
        <v>3527</v>
      </c>
      <c r="B2417" s="2">
        <v>45908.0</v>
      </c>
      <c r="C2417" s="9" t="s">
        <v>286</v>
      </c>
      <c r="D2417" s="1" t="s">
        <v>3528</v>
      </c>
      <c r="E2417" s="4">
        <v>5600.0</v>
      </c>
      <c r="F2417" s="4"/>
      <c r="G2417" s="4"/>
      <c r="H2417" s="4">
        <f>'data on outstanding creditors'!$E2417-'data on outstanding creditors'!$F2417-'data on outstanding creditors'!$G2417</f>
        <v>5600</v>
      </c>
      <c r="I2417" s="2"/>
      <c r="J2417" s="1"/>
      <c r="K2417" s="2"/>
      <c r="L2417" s="5"/>
      <c r="M2417" s="9" t="s">
        <v>43</v>
      </c>
      <c r="N2417" s="9" t="s">
        <v>49</v>
      </c>
      <c r="O2417" s="10">
        <f>'data on outstanding creditors'!$E2417*100/107</f>
        <v>5233.64486</v>
      </c>
      <c r="P2417" s="10">
        <f>'data on outstanding creditors'!$E2417-'data on outstanding creditors'!$O2417</f>
        <v>366.3551402</v>
      </c>
      <c r="Q2417" s="7">
        <f>DAY('data on outstanding creditors'!$B2417)</f>
        <v>8</v>
      </c>
      <c r="R2417" s="7">
        <f>MONTH('data on outstanding creditors'!$B2417)</f>
        <v>9</v>
      </c>
      <c r="S2417" s="7">
        <f>YEAR('data on outstanding creditors'!$B2417)</f>
        <v>2025</v>
      </c>
      <c r="T2417" s="11" t="str">
        <f>'data on outstanding creditors'!$C2417&amp;" "&amp;'data on outstanding creditors'!$D2417&amp;" "&amp;TEXT('data on outstanding creditors'!$E2417,"#,##0.00")</f>
        <v>บ.เอ็ม ดี ซี (ประเทศไทย) IV25090481 5,600.00</v>
      </c>
      <c r="U2417" s="12"/>
    </row>
    <row r="2418" ht="13.5" customHeight="1">
      <c r="A2418" s="1" t="s">
        <v>3529</v>
      </c>
      <c r="B2418" s="2">
        <v>45909.0</v>
      </c>
      <c r="C2418" s="9" t="s">
        <v>2339</v>
      </c>
      <c r="D2418" s="1" t="s">
        <v>3530</v>
      </c>
      <c r="E2418" s="4">
        <v>48000.0</v>
      </c>
      <c r="F2418" s="4"/>
      <c r="G2418" s="4"/>
      <c r="H2418" s="4">
        <f>'data on outstanding creditors'!$E2418-'data on outstanding creditors'!$F2418-'data on outstanding creditors'!$G2418</f>
        <v>48000</v>
      </c>
      <c r="I2418" s="2"/>
      <c r="J2418" s="1" t="s">
        <v>757</v>
      </c>
      <c r="K2418" s="2">
        <v>45937.0</v>
      </c>
      <c r="L2418" s="5"/>
      <c r="M2418" s="9" t="s">
        <v>43</v>
      </c>
      <c r="N2418" s="9" t="s">
        <v>49</v>
      </c>
      <c r="O2418" s="10">
        <f>'data on outstanding creditors'!$E2418*100/107</f>
        <v>44859.81308</v>
      </c>
      <c r="P2418" s="10">
        <f>'data on outstanding creditors'!$E2418-'data on outstanding creditors'!$O2418</f>
        <v>3140.186916</v>
      </c>
      <c r="Q2418" s="7">
        <f>DAY('data on outstanding creditors'!$B2418)</f>
        <v>9</v>
      </c>
      <c r="R2418" s="7">
        <f>MONTH('data on outstanding creditors'!$B2418)</f>
        <v>9</v>
      </c>
      <c r="S2418" s="7">
        <f>YEAR('data on outstanding creditors'!$B2418)</f>
        <v>2025</v>
      </c>
      <c r="T2418" s="11" t="str">
        <f>'data on outstanding creditors'!$C2418&amp;" "&amp;'data on outstanding creditors'!$D2418&amp;" "&amp;TEXT('data on outstanding creditors'!$E2418,"#,##0.00")</f>
        <v>บ.ไอแคร์ เมดิคัล BL68-09/176 48,000.00</v>
      </c>
      <c r="U2418" s="12"/>
    </row>
    <row r="2419" ht="13.5" customHeight="1">
      <c r="A2419" s="1" t="s">
        <v>3531</v>
      </c>
      <c r="B2419" s="2">
        <v>45909.0</v>
      </c>
      <c r="C2419" s="9" t="s">
        <v>281</v>
      </c>
      <c r="D2419" s="1" t="s">
        <v>3532</v>
      </c>
      <c r="E2419" s="4">
        <v>5100.0</v>
      </c>
      <c r="F2419" s="4"/>
      <c r="G2419" s="4"/>
      <c r="H2419" s="4">
        <f>'data on outstanding creditors'!$E2419-'data on outstanding creditors'!$F2419-'data on outstanding creditors'!$G2419</f>
        <v>5100</v>
      </c>
      <c r="I2419" s="2"/>
      <c r="J2419" s="1" t="s">
        <v>757</v>
      </c>
      <c r="K2419" s="2">
        <v>45937.0</v>
      </c>
      <c r="L2419" s="5"/>
      <c r="M2419" s="9" t="s">
        <v>43</v>
      </c>
      <c r="N2419" s="9" t="s">
        <v>49</v>
      </c>
      <c r="O2419" s="10">
        <f>'data on outstanding creditors'!$E2419*100/107</f>
        <v>4766.35514</v>
      </c>
      <c r="P2419" s="10">
        <f>'data on outstanding creditors'!$E2419-'data on outstanding creditors'!$O2419</f>
        <v>333.6448598</v>
      </c>
      <c r="Q2419" s="7">
        <f>DAY('data on outstanding creditors'!$B2419)</f>
        <v>9</v>
      </c>
      <c r="R2419" s="7">
        <f>MONTH('data on outstanding creditors'!$B2419)</f>
        <v>9</v>
      </c>
      <c r="S2419" s="7">
        <f>YEAR('data on outstanding creditors'!$B2419)</f>
        <v>2025</v>
      </c>
      <c r="T2419" s="11" t="str">
        <f>'data on outstanding creditors'!$C2419&amp;" "&amp;'data on outstanding creditors'!$D2419&amp;" "&amp;TEXT('data on outstanding creditors'!$E2419,"#,##0.00")</f>
        <v>บ.เมดิทอป 1567733 5,100.00</v>
      </c>
      <c r="U2419" s="12"/>
    </row>
    <row r="2420" ht="13.5" customHeight="1">
      <c r="A2420" s="1" t="s">
        <v>3533</v>
      </c>
      <c r="B2420" s="2">
        <v>45909.0</v>
      </c>
      <c r="C2420" s="9" t="s">
        <v>3355</v>
      </c>
      <c r="D2420" s="1" t="s">
        <v>3534</v>
      </c>
      <c r="E2420" s="4">
        <v>5500.0</v>
      </c>
      <c r="F2420" s="4"/>
      <c r="G2420" s="4"/>
      <c r="H2420" s="4">
        <f>'data on outstanding creditors'!$E2420-'data on outstanding creditors'!$F2420-'data on outstanding creditors'!$G2420</f>
        <v>5500</v>
      </c>
      <c r="I2420" s="2"/>
      <c r="J2420" s="1"/>
      <c r="K2420" s="2"/>
      <c r="L2420" s="5"/>
      <c r="M2420" s="9" t="s">
        <v>43</v>
      </c>
      <c r="N2420" s="9" t="s">
        <v>49</v>
      </c>
      <c r="O2420" s="10">
        <f>'data on outstanding creditors'!$E2420*100/107</f>
        <v>5140.186916</v>
      </c>
      <c r="P2420" s="10">
        <f>'data on outstanding creditors'!$E2420-'data on outstanding creditors'!$O2420</f>
        <v>359.8130841</v>
      </c>
      <c r="Q2420" s="7">
        <f>DAY('data on outstanding creditors'!$B2420)</f>
        <v>9</v>
      </c>
      <c r="R2420" s="7">
        <f>MONTH('data on outstanding creditors'!$B2420)</f>
        <v>9</v>
      </c>
      <c r="S2420" s="7">
        <f>YEAR('data on outstanding creditors'!$B2420)</f>
        <v>2025</v>
      </c>
      <c r="T2420" s="11" t="str">
        <f>'data on outstanding creditors'!$C2420&amp;" "&amp;'data on outstanding creditors'!$D2420&amp;" "&amp;TEXT('data on outstanding creditors'!$E2420,"#,##0.00")</f>
        <v>บ.เอ็นโดเมด เซอร์วิส SV2025090038 5,500.00</v>
      </c>
      <c r="U2420" s="12"/>
    </row>
    <row r="2421" ht="13.5" customHeight="1">
      <c r="A2421" s="1" t="s">
        <v>3535</v>
      </c>
      <c r="B2421" s="2">
        <v>45909.0</v>
      </c>
      <c r="C2421" s="9" t="s">
        <v>1029</v>
      </c>
      <c r="D2421" s="1" t="s">
        <v>3536</v>
      </c>
      <c r="E2421" s="4">
        <v>18200.0</v>
      </c>
      <c r="F2421" s="4"/>
      <c r="G2421" s="4"/>
      <c r="H2421" s="4">
        <f>'data on outstanding creditors'!$E2421-'data on outstanding creditors'!$F2421-'data on outstanding creditors'!$G2421</f>
        <v>18200</v>
      </c>
      <c r="I2421" s="2"/>
      <c r="J2421" s="1"/>
      <c r="K2421" s="2"/>
      <c r="L2421" s="5"/>
      <c r="M2421" s="9" t="s">
        <v>43</v>
      </c>
      <c r="N2421" s="9" t="s">
        <v>49</v>
      </c>
      <c r="O2421" s="10">
        <f>'data on outstanding creditors'!$E2421*100/107</f>
        <v>17009.34579</v>
      </c>
      <c r="P2421" s="10">
        <f>'data on outstanding creditors'!$E2421-'data on outstanding creditors'!$O2421</f>
        <v>1190.654206</v>
      </c>
      <c r="Q2421" s="7">
        <f>DAY('data on outstanding creditors'!$B2421)</f>
        <v>9</v>
      </c>
      <c r="R2421" s="7">
        <f>MONTH('data on outstanding creditors'!$B2421)</f>
        <v>9</v>
      </c>
      <c r="S2421" s="7">
        <f>YEAR('data on outstanding creditors'!$B2421)</f>
        <v>2025</v>
      </c>
      <c r="T2421" s="11" t="str">
        <f>'data on outstanding creditors'!$C2421&amp;" "&amp;'data on outstanding creditors'!$D2421&amp;" "&amp;TEXT('data on outstanding creditors'!$E2421,"#,##0.00")</f>
        <v>บ.เอเทค เมดิคอล IV6809179 18,200.00</v>
      </c>
      <c r="U2421" s="12"/>
    </row>
    <row r="2422" ht="13.5" customHeight="1">
      <c r="A2422" s="1" t="s">
        <v>3537</v>
      </c>
      <c r="B2422" s="2">
        <v>45909.0</v>
      </c>
      <c r="C2422" s="9" t="s">
        <v>2472</v>
      </c>
      <c r="D2422" s="1" t="s">
        <v>3538</v>
      </c>
      <c r="E2422" s="4">
        <v>32000.0</v>
      </c>
      <c r="F2422" s="4"/>
      <c r="G2422" s="4"/>
      <c r="H2422" s="4">
        <f>'data on outstanding creditors'!$E2422-'data on outstanding creditors'!$F2422-'data on outstanding creditors'!$G2422</f>
        <v>32000</v>
      </c>
      <c r="I2422" s="2"/>
      <c r="J2422" s="1"/>
      <c r="K2422" s="2"/>
      <c r="L2422" s="5"/>
      <c r="M2422" s="9" t="s">
        <v>43</v>
      </c>
      <c r="N2422" s="9" t="s">
        <v>49</v>
      </c>
      <c r="O2422" s="10">
        <f>'data on outstanding creditors'!$E2422*100/107</f>
        <v>29906.54206</v>
      </c>
      <c r="P2422" s="10">
        <f>'data on outstanding creditors'!$E2422-'data on outstanding creditors'!$O2422</f>
        <v>2093.457944</v>
      </c>
      <c r="Q2422" s="7">
        <f>DAY('data on outstanding creditors'!$B2422)</f>
        <v>9</v>
      </c>
      <c r="R2422" s="7">
        <f>MONTH('data on outstanding creditors'!$B2422)</f>
        <v>9</v>
      </c>
      <c r="S2422" s="7">
        <f>YEAR('data on outstanding creditors'!$B2422)</f>
        <v>2025</v>
      </c>
      <c r="T2422" s="11" t="str">
        <f>'data on outstanding creditors'!$C2422&amp;" "&amp;'data on outstanding creditors'!$D2422&amp;" "&amp;TEXT('data on outstanding creditors'!$E2422,"#,##0.00")</f>
        <v>บ.เอเมอร์สัน กรุ๊ป IV6809196 32,000.00</v>
      </c>
      <c r="U2422" s="12"/>
    </row>
    <row r="2423" ht="13.5" customHeight="1">
      <c r="A2423" s="1" t="s">
        <v>3539</v>
      </c>
      <c r="B2423" s="2">
        <v>45909.0</v>
      </c>
      <c r="C2423" s="9" t="s">
        <v>1029</v>
      </c>
      <c r="D2423" s="1" t="s">
        <v>3540</v>
      </c>
      <c r="E2423" s="4">
        <v>16400.0</v>
      </c>
      <c r="F2423" s="4"/>
      <c r="G2423" s="4"/>
      <c r="H2423" s="4">
        <f>'data on outstanding creditors'!$E2423-'data on outstanding creditors'!$F2423-'data on outstanding creditors'!$G2423</f>
        <v>16400</v>
      </c>
      <c r="I2423" s="2"/>
      <c r="J2423" s="1"/>
      <c r="K2423" s="2"/>
      <c r="L2423" s="5"/>
      <c r="M2423" s="9" t="s">
        <v>43</v>
      </c>
      <c r="N2423" s="9" t="s">
        <v>49</v>
      </c>
      <c r="O2423" s="10">
        <f>'data on outstanding creditors'!$E2423*100/107</f>
        <v>15327.1028</v>
      </c>
      <c r="P2423" s="10">
        <f>'data on outstanding creditors'!$E2423-'data on outstanding creditors'!$O2423</f>
        <v>1072.897196</v>
      </c>
      <c r="Q2423" s="7">
        <f>DAY('data on outstanding creditors'!$B2423)</f>
        <v>9</v>
      </c>
      <c r="R2423" s="7">
        <f>MONTH('data on outstanding creditors'!$B2423)</f>
        <v>9</v>
      </c>
      <c r="S2423" s="7">
        <f>YEAR('data on outstanding creditors'!$B2423)</f>
        <v>2025</v>
      </c>
      <c r="T2423" s="11" t="str">
        <f>'data on outstanding creditors'!$C2423&amp;" "&amp;'data on outstanding creditors'!$D2423&amp;" "&amp;TEXT('data on outstanding creditors'!$E2423,"#,##0.00")</f>
        <v>บ.เอเทค เมดิคอล IV6809178 16,400.00</v>
      </c>
      <c r="U2423" s="12"/>
    </row>
    <row r="2424" ht="13.5" customHeight="1">
      <c r="A2424" s="1"/>
      <c r="B2424" s="2">
        <v>45911.0</v>
      </c>
      <c r="C2424" s="9" t="s">
        <v>1114</v>
      </c>
      <c r="D2424" s="1" t="s">
        <v>3541</v>
      </c>
      <c r="E2424" s="4">
        <v>22000.0</v>
      </c>
      <c r="F2424" s="4"/>
      <c r="G2424" s="4"/>
      <c r="H2424" s="4">
        <f>'data on outstanding creditors'!$E2424-'data on outstanding creditors'!$F2424-'data on outstanding creditors'!$G2424</f>
        <v>22000</v>
      </c>
      <c r="I2424" s="2"/>
      <c r="J2424" s="1"/>
      <c r="K2424" s="2"/>
      <c r="L2424" s="5"/>
      <c r="M2424" s="9" t="s">
        <v>43</v>
      </c>
      <c r="N2424" s="9" t="s">
        <v>23</v>
      </c>
      <c r="O2424" s="10">
        <f>'data on outstanding creditors'!$E2424*100/107</f>
        <v>20560.74766</v>
      </c>
      <c r="P2424" s="10">
        <f>'data on outstanding creditors'!$E2424-'data on outstanding creditors'!$O2424</f>
        <v>1439.252336</v>
      </c>
      <c r="Q2424" s="7">
        <f>DAY('data on outstanding creditors'!$B2424)</f>
        <v>11</v>
      </c>
      <c r="R2424" s="7">
        <f>MONTH('data on outstanding creditors'!$B2424)</f>
        <v>9</v>
      </c>
      <c r="S2424" s="7">
        <f>YEAR('data on outstanding creditors'!$B2424)</f>
        <v>2025</v>
      </c>
      <c r="T2424" s="11" t="str">
        <f>'data on outstanding creditors'!$C2424&amp;" "&amp;'data on outstanding creditors'!$D2424&amp;" "&amp;TEXT('data on outstanding creditors'!$E2424,"#,##0.00")</f>
        <v>หจก.อิเลฟเว่น พลัซ EL680826223 22,000.00</v>
      </c>
      <c r="U2424" s="12"/>
    </row>
    <row r="2425" ht="13.5" customHeight="1">
      <c r="A2425" s="1"/>
      <c r="B2425" s="2">
        <v>45911.0</v>
      </c>
      <c r="C2425" s="9" t="s">
        <v>2363</v>
      </c>
      <c r="D2425" s="1" t="s">
        <v>3542</v>
      </c>
      <c r="E2425" s="4">
        <v>4200.0</v>
      </c>
      <c r="F2425" s="4"/>
      <c r="G2425" s="4"/>
      <c r="H2425" s="4">
        <f>'data on outstanding creditors'!$E2425-'data on outstanding creditors'!$F2425-'data on outstanding creditors'!$G2425</f>
        <v>4200</v>
      </c>
      <c r="I2425" s="2"/>
      <c r="J2425" s="1" t="s">
        <v>757</v>
      </c>
      <c r="K2425" s="2">
        <v>45951.0</v>
      </c>
      <c r="L2425" s="5"/>
      <c r="M2425" s="9" t="s">
        <v>43</v>
      </c>
      <c r="N2425" s="9" t="s">
        <v>23</v>
      </c>
      <c r="O2425" s="10">
        <f>'data on outstanding creditors'!$E2425*100/107</f>
        <v>3925.233645</v>
      </c>
      <c r="P2425" s="10">
        <f>'data on outstanding creditors'!$E2425-'data on outstanding creditors'!$O2425</f>
        <v>274.7663551</v>
      </c>
      <c r="Q2425" s="7">
        <f>DAY('data on outstanding creditors'!$B2425)</f>
        <v>11</v>
      </c>
      <c r="R2425" s="7">
        <f>MONTH('data on outstanding creditors'!$B2425)</f>
        <v>9</v>
      </c>
      <c r="S2425" s="7">
        <f>YEAR('data on outstanding creditors'!$B2425)</f>
        <v>2025</v>
      </c>
      <c r="T2425" s="11" t="str">
        <f>'data on outstanding creditors'!$C2425&amp;" "&amp;'data on outstanding creditors'!$D2425&amp;" "&amp;TEXT('data on outstanding creditors'!$E2425,"#,##0.00")</f>
        <v>บ.บีเวอร์ เมดิคอล อินดัสตรี้ 687648 4,200.00</v>
      </c>
      <c r="U2425" s="12"/>
    </row>
    <row r="2426" ht="13.5" customHeight="1">
      <c r="A2426" s="1"/>
      <c r="B2426" s="2">
        <v>45911.0</v>
      </c>
      <c r="C2426" s="9" t="s">
        <v>2292</v>
      </c>
      <c r="D2426" s="1" t="s">
        <v>3543</v>
      </c>
      <c r="E2426" s="4">
        <v>12460.0</v>
      </c>
      <c r="F2426" s="4"/>
      <c r="G2426" s="4"/>
      <c r="H2426" s="4">
        <f>'data on outstanding creditors'!$E2426-'data on outstanding creditors'!$F2426-'data on outstanding creditors'!$G2426</f>
        <v>12460</v>
      </c>
      <c r="I2426" s="2"/>
      <c r="J2426" s="1"/>
      <c r="K2426" s="2"/>
      <c r="L2426" s="5"/>
      <c r="M2426" s="9" t="s">
        <v>43</v>
      </c>
      <c r="N2426" s="9" t="s">
        <v>23</v>
      </c>
      <c r="O2426" s="10">
        <f>'data on outstanding creditors'!$E2426*100/107</f>
        <v>11644.85981</v>
      </c>
      <c r="P2426" s="10">
        <f>'data on outstanding creditors'!$E2426-'data on outstanding creditors'!$O2426</f>
        <v>815.1401869</v>
      </c>
      <c r="Q2426" s="7">
        <f>DAY('data on outstanding creditors'!$B2426)</f>
        <v>11</v>
      </c>
      <c r="R2426" s="7">
        <f>MONTH('data on outstanding creditors'!$B2426)</f>
        <v>9</v>
      </c>
      <c r="S2426" s="7">
        <f>YEAR('data on outstanding creditors'!$B2426)</f>
        <v>2025</v>
      </c>
      <c r="T2426" s="11" t="str">
        <f>'data on outstanding creditors'!$C2426&amp;" "&amp;'data on outstanding creditors'!$D2426&amp;" "&amp;TEXT('data on outstanding creditors'!$E2426,"#,##0.00")</f>
        <v>บ.ไบโอคอททอน IV25009027 12,460.00</v>
      </c>
      <c r="U2426" s="12"/>
    </row>
    <row r="2427" ht="13.5" customHeight="1">
      <c r="A2427" s="1" t="s">
        <v>3544</v>
      </c>
      <c r="B2427" s="2">
        <v>45911.0</v>
      </c>
      <c r="C2427" s="9" t="s">
        <v>3480</v>
      </c>
      <c r="D2427" s="1" t="s">
        <v>3545</v>
      </c>
      <c r="E2427" s="4">
        <v>6900.0</v>
      </c>
      <c r="F2427" s="4"/>
      <c r="G2427" s="4"/>
      <c r="H2427" s="4">
        <f>'data on outstanding creditors'!$E2427-'data on outstanding creditors'!$F2427-'data on outstanding creditors'!$G2427</f>
        <v>6900</v>
      </c>
      <c r="I2427" s="2"/>
      <c r="J2427" s="1" t="s">
        <v>757</v>
      </c>
      <c r="K2427" s="2">
        <v>45937.0</v>
      </c>
      <c r="L2427" s="5"/>
      <c r="M2427" s="9" t="s">
        <v>43</v>
      </c>
      <c r="N2427" s="9" t="s">
        <v>49</v>
      </c>
      <c r="O2427" s="10">
        <f>'data on outstanding creditors'!$E2427*100/107</f>
        <v>6448.598131</v>
      </c>
      <c r="P2427" s="10">
        <f>'data on outstanding creditors'!$E2427-'data on outstanding creditors'!$O2427</f>
        <v>451.4018692</v>
      </c>
      <c r="Q2427" s="7">
        <f>DAY('data on outstanding creditors'!$B2427)</f>
        <v>11</v>
      </c>
      <c r="R2427" s="7">
        <f>MONTH('data on outstanding creditors'!$B2427)</f>
        <v>9</v>
      </c>
      <c r="S2427" s="7">
        <f>YEAR('data on outstanding creditors'!$B2427)</f>
        <v>2025</v>
      </c>
      <c r="T2427" s="11" t="str">
        <f>'data on outstanding creditors'!$C2427&amp;" "&amp;'data on outstanding creditors'!$D2427&amp;" "&amp;TEXT('data on outstanding creditors'!$E2427,"#,##0.00")</f>
        <v>บ.สไปโร เมด SP25090092 6,900.00</v>
      </c>
      <c r="U2427" s="12"/>
    </row>
    <row r="2428" ht="13.5" customHeight="1">
      <c r="A2428" s="1" t="s">
        <v>3546</v>
      </c>
      <c r="B2428" s="2">
        <v>45911.0</v>
      </c>
      <c r="C2428" s="9" t="s">
        <v>2352</v>
      </c>
      <c r="D2428" s="1" t="s">
        <v>3547</v>
      </c>
      <c r="E2428" s="4">
        <v>9500.0</v>
      </c>
      <c r="F2428" s="4"/>
      <c r="G2428" s="4"/>
      <c r="H2428" s="4">
        <f>'data on outstanding creditors'!$E2428-'data on outstanding creditors'!$F2428-'data on outstanding creditors'!$G2428</f>
        <v>9500</v>
      </c>
      <c r="I2428" s="2"/>
      <c r="J2428" s="1" t="s">
        <v>757</v>
      </c>
      <c r="K2428" s="2">
        <v>45937.0</v>
      </c>
      <c r="L2428" s="5"/>
      <c r="M2428" s="9" t="s">
        <v>43</v>
      </c>
      <c r="N2428" s="9" t="s">
        <v>49</v>
      </c>
      <c r="O2428" s="10">
        <f>'data on outstanding creditors'!$E2428*100/107</f>
        <v>8878.504673</v>
      </c>
      <c r="P2428" s="10">
        <f>'data on outstanding creditors'!$E2428-'data on outstanding creditors'!$O2428</f>
        <v>621.4953271</v>
      </c>
      <c r="Q2428" s="7">
        <f>DAY('data on outstanding creditors'!$B2428)</f>
        <v>11</v>
      </c>
      <c r="R2428" s="7">
        <f>MONTH('data on outstanding creditors'!$B2428)</f>
        <v>9</v>
      </c>
      <c r="S2428" s="7">
        <f>YEAR('data on outstanding creditors'!$B2428)</f>
        <v>2025</v>
      </c>
      <c r="T2428" s="11" t="str">
        <f>'data on outstanding creditors'!$C2428&amp;" "&amp;'data on outstanding creditors'!$D2428&amp;" "&amp;TEXT('data on outstanding creditors'!$E2428,"#,##0.00")</f>
        <v>บ.สเวนนอร่า เมด SVM2509048 9,500.00</v>
      </c>
      <c r="U2428" s="12"/>
    </row>
    <row r="2429" ht="13.5" customHeight="1">
      <c r="A2429" s="1" t="s">
        <v>3548</v>
      </c>
      <c r="B2429" s="2">
        <v>45911.0</v>
      </c>
      <c r="C2429" s="9" t="s">
        <v>2320</v>
      </c>
      <c r="D2429" s="1" t="s">
        <v>3549</v>
      </c>
      <c r="E2429" s="4">
        <v>40000.0</v>
      </c>
      <c r="F2429" s="4"/>
      <c r="G2429" s="4"/>
      <c r="H2429" s="4">
        <f>'data on outstanding creditors'!$E2429-'data on outstanding creditors'!$F2429-'data on outstanding creditors'!$G2429</f>
        <v>40000</v>
      </c>
      <c r="I2429" s="2"/>
      <c r="J2429" s="1" t="s">
        <v>757</v>
      </c>
      <c r="K2429" s="2">
        <v>45937.0</v>
      </c>
      <c r="L2429" s="5"/>
      <c r="M2429" s="9" t="s">
        <v>43</v>
      </c>
      <c r="N2429" s="9" t="s">
        <v>49</v>
      </c>
      <c r="O2429" s="10">
        <f>'data on outstanding creditors'!$E2429*100/107</f>
        <v>37383.17757</v>
      </c>
      <c r="P2429" s="10">
        <f>'data on outstanding creditors'!$E2429-'data on outstanding creditors'!$O2429</f>
        <v>2616.82243</v>
      </c>
      <c r="Q2429" s="7">
        <f>DAY('data on outstanding creditors'!$B2429)</f>
        <v>11</v>
      </c>
      <c r="R2429" s="7">
        <f>MONTH('data on outstanding creditors'!$B2429)</f>
        <v>9</v>
      </c>
      <c r="S2429" s="7">
        <f>YEAR('data on outstanding creditors'!$B2429)</f>
        <v>2025</v>
      </c>
      <c r="T2429" s="11" t="str">
        <f>'data on outstanding creditors'!$C2429&amp;" "&amp;'data on outstanding creditors'!$D2429&amp;" "&amp;TEXT('data on outstanding creditors'!$E2429,"#,##0.00")</f>
        <v>บ.เทคโนเมดิคัล 25090531 40,000.00</v>
      </c>
      <c r="U2429" s="12"/>
    </row>
    <row r="2430" ht="13.5" customHeight="1">
      <c r="A2430" s="1" t="s">
        <v>3550</v>
      </c>
      <c r="B2430" s="2">
        <v>45912.0</v>
      </c>
      <c r="C2430" s="9" t="s">
        <v>2315</v>
      </c>
      <c r="D2430" s="1" t="s">
        <v>3551</v>
      </c>
      <c r="E2430" s="4">
        <v>6600.0</v>
      </c>
      <c r="F2430" s="4"/>
      <c r="G2430" s="4"/>
      <c r="H2430" s="4">
        <f>'data on outstanding creditors'!$E2430-'data on outstanding creditors'!$F2430-'data on outstanding creditors'!$G2430</f>
        <v>6600</v>
      </c>
      <c r="I2430" s="2"/>
      <c r="J2430" s="1" t="s">
        <v>757</v>
      </c>
      <c r="K2430" s="2">
        <v>45937.0</v>
      </c>
      <c r="L2430" s="5"/>
      <c r="M2430" s="9" t="s">
        <v>43</v>
      </c>
      <c r="N2430" s="9" t="s">
        <v>49</v>
      </c>
      <c r="O2430" s="10">
        <f>'data on outstanding creditors'!$E2430*100/107</f>
        <v>6168.224299</v>
      </c>
      <c r="P2430" s="10">
        <f>'data on outstanding creditors'!$E2430-'data on outstanding creditors'!$O2430</f>
        <v>431.7757009</v>
      </c>
      <c r="Q2430" s="7">
        <f>DAY('data on outstanding creditors'!$B2430)</f>
        <v>12</v>
      </c>
      <c r="R2430" s="7">
        <f>MONTH('data on outstanding creditors'!$B2430)</f>
        <v>9</v>
      </c>
      <c r="S2430" s="7">
        <f>YEAR('data on outstanding creditors'!$B2430)</f>
        <v>2025</v>
      </c>
      <c r="T2430" s="11" t="str">
        <f>'data on outstanding creditors'!$C2430&amp;" "&amp;'data on outstanding creditors'!$D2430&amp;" "&amp;TEXT('data on outstanding creditors'!$E2430,"#,##0.00")</f>
        <v>บ.เรียลเมดคอร์ป IV25091116 6,600.00</v>
      </c>
      <c r="U2430" s="12"/>
    </row>
    <row r="2431" ht="13.5" customHeight="1">
      <c r="A2431" s="1" t="s">
        <v>3552</v>
      </c>
      <c r="B2431" s="2">
        <v>45912.0</v>
      </c>
      <c r="C2431" s="9" t="s">
        <v>2352</v>
      </c>
      <c r="D2431" s="1" t="s">
        <v>3553</v>
      </c>
      <c r="E2431" s="4">
        <v>4000.0</v>
      </c>
      <c r="F2431" s="4"/>
      <c r="G2431" s="4"/>
      <c r="H2431" s="4">
        <f>'data on outstanding creditors'!$E2431-'data on outstanding creditors'!$F2431-'data on outstanding creditors'!$G2431</f>
        <v>4000</v>
      </c>
      <c r="I2431" s="2"/>
      <c r="J2431" s="1" t="s">
        <v>757</v>
      </c>
      <c r="K2431" s="2">
        <v>45967.0</v>
      </c>
      <c r="L2431" s="5"/>
      <c r="M2431" s="9" t="s">
        <v>43</v>
      </c>
      <c r="N2431" s="9" t="s">
        <v>49</v>
      </c>
      <c r="O2431" s="10">
        <f>'data on outstanding creditors'!$E2431*100/107</f>
        <v>3738.317757</v>
      </c>
      <c r="P2431" s="10">
        <f>'data on outstanding creditors'!$E2431-'data on outstanding creditors'!$O2431</f>
        <v>261.682243</v>
      </c>
      <c r="Q2431" s="7">
        <f>DAY('data on outstanding creditors'!$B2431)</f>
        <v>12</v>
      </c>
      <c r="R2431" s="7">
        <f>MONTH('data on outstanding creditors'!$B2431)</f>
        <v>9</v>
      </c>
      <c r="S2431" s="7">
        <f>YEAR('data on outstanding creditors'!$B2431)</f>
        <v>2025</v>
      </c>
      <c r="T2431" s="11" t="str">
        <f>'data on outstanding creditors'!$C2431&amp;" "&amp;'data on outstanding creditors'!$D2431&amp;" "&amp;TEXT('data on outstanding creditors'!$E2431,"#,##0.00")</f>
        <v>บ.สเวนนอร่า เมด SVM2509070 4,000.00</v>
      </c>
      <c r="U2431" s="12"/>
    </row>
    <row r="2432" ht="13.5" customHeight="1">
      <c r="A2432" s="1" t="s">
        <v>3554</v>
      </c>
      <c r="B2432" s="2">
        <v>45912.0</v>
      </c>
      <c r="C2432" s="9" t="s">
        <v>399</v>
      </c>
      <c r="D2432" s="1" t="s">
        <v>3555</v>
      </c>
      <c r="E2432" s="4">
        <v>15408.0</v>
      </c>
      <c r="F2432" s="4"/>
      <c r="G2432" s="4"/>
      <c r="H2432" s="4">
        <f>'data on outstanding creditors'!$E2432-'data on outstanding creditors'!$F2432-'data on outstanding creditors'!$G2432</f>
        <v>15408</v>
      </c>
      <c r="I2432" s="2"/>
      <c r="J2432" s="1"/>
      <c r="K2432" s="2"/>
      <c r="L2432" s="5"/>
      <c r="M2432" s="9" t="s">
        <v>43</v>
      </c>
      <c r="N2432" s="9" t="s">
        <v>49</v>
      </c>
      <c r="O2432" s="10">
        <f>'data on outstanding creditors'!$E2432*100/107</f>
        <v>14400</v>
      </c>
      <c r="P2432" s="10">
        <f>'data on outstanding creditors'!$E2432-'data on outstanding creditors'!$O2432</f>
        <v>1008</v>
      </c>
      <c r="Q2432" s="7">
        <f>DAY('data on outstanding creditors'!$B2432)</f>
        <v>12</v>
      </c>
      <c r="R2432" s="7">
        <f>MONTH('data on outstanding creditors'!$B2432)</f>
        <v>9</v>
      </c>
      <c r="S2432" s="7">
        <f>YEAR('data on outstanding creditors'!$B2432)</f>
        <v>2025</v>
      </c>
      <c r="T2432" s="11" t="str">
        <f>'data on outstanding creditors'!$C2432&amp;" "&amp;'data on outstanding creditors'!$D2432&amp;" "&amp;TEXT('data on outstanding creditors'!$E2432,"#,##0.00")</f>
        <v>บ.ดีเคเอสเอช(ประเทศไทย) 5344352587 15,408.00</v>
      </c>
      <c r="U2432" s="12"/>
    </row>
    <row r="2433" ht="13.5" customHeight="1">
      <c r="A2433" s="1" t="s">
        <v>3556</v>
      </c>
      <c r="B2433" s="2">
        <v>45912.0</v>
      </c>
      <c r="C2433" s="9" t="s">
        <v>399</v>
      </c>
      <c r="D2433" s="1" t="s">
        <v>3557</v>
      </c>
      <c r="E2433" s="4">
        <v>166706.0</v>
      </c>
      <c r="F2433" s="4"/>
      <c r="G2433" s="4"/>
      <c r="H2433" s="4">
        <f>'data on outstanding creditors'!$E2433-'data on outstanding creditors'!$F2433-'data on outstanding creditors'!$G2433</f>
        <v>166706</v>
      </c>
      <c r="I2433" s="2"/>
      <c r="J2433" s="1" t="s">
        <v>757</v>
      </c>
      <c r="K2433" s="2">
        <v>45967.0</v>
      </c>
      <c r="L2433" s="5"/>
      <c r="M2433" s="9" t="s">
        <v>43</v>
      </c>
      <c r="N2433" s="9" t="s">
        <v>49</v>
      </c>
      <c r="O2433" s="10">
        <f>'data on outstanding creditors'!$E2433*100/107</f>
        <v>155800</v>
      </c>
      <c r="P2433" s="10">
        <f>'data on outstanding creditors'!$E2433-'data on outstanding creditors'!$O2433</f>
        <v>10906</v>
      </c>
      <c r="Q2433" s="7">
        <f>DAY('data on outstanding creditors'!$B2433)</f>
        <v>12</v>
      </c>
      <c r="R2433" s="7">
        <f>MONTH('data on outstanding creditors'!$B2433)</f>
        <v>9</v>
      </c>
      <c r="S2433" s="7">
        <f>YEAR('data on outstanding creditors'!$B2433)</f>
        <v>2025</v>
      </c>
      <c r="T2433" s="11" t="str">
        <f>'data on outstanding creditors'!$C2433&amp;" "&amp;'data on outstanding creditors'!$D2433&amp;" "&amp;TEXT('data on outstanding creditors'!$E2433,"#,##0.00")</f>
        <v>บ.ดีเคเอสเอช(ประเทศไทย) 5344353889 166,706.00</v>
      </c>
      <c r="U2433" s="12"/>
    </row>
    <row r="2434" ht="13.5" customHeight="1">
      <c r="A2434" s="1" t="s">
        <v>3558</v>
      </c>
      <c r="B2434" s="2">
        <v>45912.0</v>
      </c>
      <c r="C2434" s="9" t="s">
        <v>520</v>
      </c>
      <c r="D2434" s="1" t="s">
        <v>3559</v>
      </c>
      <c r="E2434" s="4">
        <v>44940.0</v>
      </c>
      <c r="F2434" s="4"/>
      <c r="G2434" s="4"/>
      <c r="H2434" s="4">
        <f>'data on outstanding creditors'!$E2434-'data on outstanding creditors'!$F2434-'data on outstanding creditors'!$G2434</f>
        <v>44940</v>
      </c>
      <c r="I2434" s="2"/>
      <c r="J2434" s="1"/>
      <c r="K2434" s="2"/>
      <c r="L2434" s="5" t="s">
        <v>758</v>
      </c>
      <c r="M2434" s="9" t="s">
        <v>43</v>
      </c>
      <c r="N2434" s="9" t="s">
        <v>49</v>
      </c>
      <c r="O2434" s="10">
        <f>'data on outstanding creditors'!$E2434*100/107</f>
        <v>42000</v>
      </c>
      <c r="P2434" s="10">
        <f>'data on outstanding creditors'!$E2434-'data on outstanding creditors'!$O2434</f>
        <v>2940</v>
      </c>
      <c r="Q2434" s="7">
        <f>DAY('data on outstanding creditors'!$B2434)</f>
        <v>12</v>
      </c>
      <c r="R2434" s="7">
        <f>MONTH('data on outstanding creditors'!$B2434)</f>
        <v>9</v>
      </c>
      <c r="S2434" s="7">
        <f>YEAR('data on outstanding creditors'!$B2434)</f>
        <v>2025</v>
      </c>
      <c r="T2434" s="11" t="str">
        <f>'data on outstanding creditors'!$C2434&amp;" "&amp;'data on outstanding creditors'!$D2434&amp;" "&amp;TEXT('data on outstanding creditors'!$E2434,"#,##0.00")</f>
        <v>บ.ซิลลิคฟาร์มา 1318237998 44,940.00</v>
      </c>
      <c r="U2434" s="12"/>
    </row>
    <row r="2435" ht="13.5" customHeight="1">
      <c r="A2435" s="1" t="s">
        <v>3560</v>
      </c>
      <c r="B2435" s="2">
        <v>45915.0</v>
      </c>
      <c r="C2435" s="9" t="s">
        <v>399</v>
      </c>
      <c r="D2435" s="1" t="s">
        <v>3561</v>
      </c>
      <c r="E2435" s="4">
        <v>10700.0</v>
      </c>
      <c r="F2435" s="4"/>
      <c r="G2435" s="4"/>
      <c r="H2435" s="4">
        <f>'data on outstanding creditors'!$E2435-'data on outstanding creditors'!$F2435-'data on outstanding creditors'!$G2435</f>
        <v>10700</v>
      </c>
      <c r="I2435" s="2"/>
      <c r="J2435" s="1"/>
      <c r="K2435" s="2"/>
      <c r="L2435" s="5"/>
      <c r="M2435" s="9" t="s">
        <v>43</v>
      </c>
      <c r="N2435" s="9" t="s">
        <v>49</v>
      </c>
      <c r="O2435" s="10">
        <f>'data on outstanding creditors'!$E2435*100/107</f>
        <v>10000</v>
      </c>
      <c r="P2435" s="10">
        <f>'data on outstanding creditors'!$E2435-'data on outstanding creditors'!$O2435</f>
        <v>700</v>
      </c>
      <c r="Q2435" s="7">
        <f>DAY('data on outstanding creditors'!$B2435)</f>
        <v>15</v>
      </c>
      <c r="R2435" s="7">
        <f>MONTH('data on outstanding creditors'!$B2435)</f>
        <v>9</v>
      </c>
      <c r="S2435" s="7">
        <f>YEAR('data on outstanding creditors'!$B2435)</f>
        <v>2025</v>
      </c>
      <c r="T2435" s="11" t="str">
        <f>'data on outstanding creditors'!$C2435&amp;" "&amp;'data on outstanding creditors'!$D2435&amp;" "&amp;TEXT('data on outstanding creditors'!$E2435,"#,##0.00")</f>
        <v>บ.ดีเคเอสเอช(ประเทศไทย) 5344362533 10,700.00</v>
      </c>
      <c r="U2435" s="12"/>
    </row>
    <row r="2436" ht="13.5" customHeight="1">
      <c r="A2436" s="1" t="s">
        <v>3562</v>
      </c>
      <c r="B2436" s="2">
        <v>45915.0</v>
      </c>
      <c r="C2436" s="9" t="s">
        <v>399</v>
      </c>
      <c r="D2436" s="1" t="s">
        <v>3563</v>
      </c>
      <c r="E2436" s="4">
        <v>19000.0</v>
      </c>
      <c r="F2436" s="4"/>
      <c r="G2436" s="4"/>
      <c r="H2436" s="4">
        <f>'data on outstanding creditors'!$E2436-'data on outstanding creditors'!$F2436-'data on outstanding creditors'!$G2436</f>
        <v>19000</v>
      </c>
      <c r="I2436" s="2"/>
      <c r="J2436" s="1"/>
      <c r="K2436" s="2"/>
      <c r="L2436" s="5"/>
      <c r="M2436" s="9" t="s">
        <v>43</v>
      </c>
      <c r="N2436" s="9" t="s">
        <v>49</v>
      </c>
      <c r="O2436" s="10">
        <f>'data on outstanding creditors'!$E2436*100/107</f>
        <v>17757.00935</v>
      </c>
      <c r="P2436" s="10">
        <f>'data on outstanding creditors'!$E2436-'data on outstanding creditors'!$O2436</f>
        <v>1242.990654</v>
      </c>
      <c r="Q2436" s="7">
        <f>DAY('data on outstanding creditors'!$B2436)</f>
        <v>15</v>
      </c>
      <c r="R2436" s="7">
        <f>MONTH('data on outstanding creditors'!$B2436)</f>
        <v>9</v>
      </c>
      <c r="S2436" s="7">
        <f>YEAR('data on outstanding creditors'!$B2436)</f>
        <v>2025</v>
      </c>
      <c r="T2436" s="11" t="str">
        <f>'data on outstanding creditors'!$C2436&amp;" "&amp;'data on outstanding creditors'!$D2436&amp;" "&amp;TEXT('data on outstanding creditors'!$E2436,"#,##0.00")</f>
        <v>บ.ดีเคเอสเอช(ประเทศไทย) 5344352349 19,000.00</v>
      </c>
      <c r="U2436" s="12"/>
    </row>
    <row r="2437" ht="13.5" customHeight="1">
      <c r="A2437" s="1" t="s">
        <v>3564</v>
      </c>
      <c r="B2437" s="2">
        <v>45915.0</v>
      </c>
      <c r="C2437" s="9" t="s">
        <v>399</v>
      </c>
      <c r="D2437" s="1" t="s">
        <v>3565</v>
      </c>
      <c r="E2437" s="4">
        <v>10200.0</v>
      </c>
      <c r="F2437" s="4"/>
      <c r="G2437" s="4"/>
      <c r="H2437" s="4">
        <f>'data on outstanding creditors'!$E2437-'data on outstanding creditors'!$F2437-'data on outstanding creditors'!$G2437</f>
        <v>10200</v>
      </c>
      <c r="I2437" s="2"/>
      <c r="J2437" s="1"/>
      <c r="K2437" s="2"/>
      <c r="L2437" s="5"/>
      <c r="M2437" s="9" t="s">
        <v>43</v>
      </c>
      <c r="N2437" s="9" t="s">
        <v>49</v>
      </c>
      <c r="O2437" s="10">
        <f>'data on outstanding creditors'!$E2437*100/107</f>
        <v>9532.71028</v>
      </c>
      <c r="P2437" s="10">
        <f>'data on outstanding creditors'!$E2437-'data on outstanding creditors'!$O2437</f>
        <v>667.2897196</v>
      </c>
      <c r="Q2437" s="7">
        <f>DAY('data on outstanding creditors'!$B2437)</f>
        <v>15</v>
      </c>
      <c r="R2437" s="7">
        <f>MONTH('data on outstanding creditors'!$B2437)</f>
        <v>9</v>
      </c>
      <c r="S2437" s="7">
        <f>YEAR('data on outstanding creditors'!$B2437)</f>
        <v>2025</v>
      </c>
      <c r="T2437" s="11" t="str">
        <f>'data on outstanding creditors'!$C2437&amp;" "&amp;'data on outstanding creditors'!$D2437&amp;" "&amp;TEXT('data on outstanding creditors'!$E2437,"#,##0.00")</f>
        <v>บ.ดีเคเอสเอช(ประเทศไทย) 5344352350 10,200.00</v>
      </c>
      <c r="U2437" s="12"/>
    </row>
    <row r="2438" ht="13.5" customHeight="1">
      <c r="A2438" s="1" t="s">
        <v>3566</v>
      </c>
      <c r="B2438" s="2">
        <v>45915.0</v>
      </c>
      <c r="C2438" s="9" t="s">
        <v>2315</v>
      </c>
      <c r="D2438" s="1" t="s">
        <v>3567</v>
      </c>
      <c r="E2438" s="4">
        <v>43200.0</v>
      </c>
      <c r="F2438" s="4"/>
      <c r="G2438" s="4"/>
      <c r="H2438" s="4">
        <f>'data on outstanding creditors'!$E2438-'data on outstanding creditors'!$F2438-'data on outstanding creditors'!$G2438</f>
        <v>43200</v>
      </c>
      <c r="I2438" s="2"/>
      <c r="J2438" s="1" t="s">
        <v>757</v>
      </c>
      <c r="K2438" s="2">
        <v>45937.0</v>
      </c>
      <c r="L2438" s="5"/>
      <c r="M2438" s="9" t="s">
        <v>43</v>
      </c>
      <c r="N2438" s="9" t="s">
        <v>49</v>
      </c>
      <c r="O2438" s="10">
        <f>'data on outstanding creditors'!$E2438*100/107</f>
        <v>40373.83178</v>
      </c>
      <c r="P2438" s="10">
        <f>'data on outstanding creditors'!$E2438-'data on outstanding creditors'!$O2438</f>
        <v>2826.168224</v>
      </c>
      <c r="Q2438" s="7">
        <f>DAY('data on outstanding creditors'!$B2438)</f>
        <v>15</v>
      </c>
      <c r="R2438" s="7">
        <f>MONTH('data on outstanding creditors'!$B2438)</f>
        <v>9</v>
      </c>
      <c r="S2438" s="7">
        <f>YEAR('data on outstanding creditors'!$B2438)</f>
        <v>2025</v>
      </c>
      <c r="T2438" s="11" t="str">
        <f>'data on outstanding creditors'!$C2438&amp;" "&amp;'data on outstanding creditors'!$D2438&amp;" "&amp;TEXT('data on outstanding creditors'!$E2438,"#,##0.00")</f>
        <v>บ.เรียลเมดคอร์ป IV25091825 43,200.00</v>
      </c>
      <c r="U2438" s="12"/>
    </row>
    <row r="2439" ht="13.5" customHeight="1">
      <c r="A2439" s="1" t="s">
        <v>3568</v>
      </c>
      <c r="B2439" s="2">
        <v>45915.0</v>
      </c>
      <c r="C2439" s="9" t="s">
        <v>520</v>
      </c>
      <c r="D2439" s="1" t="s">
        <v>3569</v>
      </c>
      <c r="E2439" s="4">
        <v>16807.56</v>
      </c>
      <c r="F2439" s="4"/>
      <c r="G2439" s="4"/>
      <c r="H2439" s="4">
        <f>'data on outstanding creditors'!$E2439-'data on outstanding creditors'!$F2439-'data on outstanding creditors'!$G2439</f>
        <v>16807.56</v>
      </c>
      <c r="I2439" s="2"/>
      <c r="J2439" s="1"/>
      <c r="K2439" s="2"/>
      <c r="L2439" s="5"/>
      <c r="M2439" s="9" t="s">
        <v>43</v>
      </c>
      <c r="N2439" s="9" t="s">
        <v>49</v>
      </c>
      <c r="O2439" s="10">
        <f>'data on outstanding creditors'!$E2439*100/107</f>
        <v>15708</v>
      </c>
      <c r="P2439" s="10">
        <f>'data on outstanding creditors'!$E2439-'data on outstanding creditors'!$O2439</f>
        <v>1099.56</v>
      </c>
      <c r="Q2439" s="7">
        <f>DAY('data on outstanding creditors'!$B2439)</f>
        <v>15</v>
      </c>
      <c r="R2439" s="7">
        <f>MONTH('data on outstanding creditors'!$B2439)</f>
        <v>9</v>
      </c>
      <c r="S2439" s="7">
        <f>YEAR('data on outstanding creditors'!$B2439)</f>
        <v>2025</v>
      </c>
      <c r="T2439" s="11" t="str">
        <f>'data on outstanding creditors'!$C2439&amp;" "&amp;'data on outstanding creditors'!$D2439&amp;" "&amp;TEXT('data on outstanding creditors'!$E2439,"#,##0.00")</f>
        <v>บ.ซิลลิคฟาร์มา 1318166665 16,807.56</v>
      </c>
      <c r="U2439" s="12"/>
    </row>
    <row r="2440" ht="13.5" customHeight="1">
      <c r="A2440" s="1" t="s">
        <v>3570</v>
      </c>
      <c r="B2440" s="2">
        <v>45915.0</v>
      </c>
      <c r="C2440" s="9" t="s">
        <v>3023</v>
      </c>
      <c r="D2440" s="1" t="s">
        <v>3571</v>
      </c>
      <c r="E2440" s="4">
        <v>27000.0</v>
      </c>
      <c r="F2440" s="4"/>
      <c r="G2440" s="4"/>
      <c r="H2440" s="4">
        <f>'data on outstanding creditors'!$E2440-'data on outstanding creditors'!$F2440-'data on outstanding creditors'!$G2440</f>
        <v>27000</v>
      </c>
      <c r="I2440" s="2"/>
      <c r="J2440" s="1" t="s">
        <v>757</v>
      </c>
      <c r="K2440" s="2">
        <v>45967.0</v>
      </c>
      <c r="L2440" s="5"/>
      <c r="M2440" s="9" t="s">
        <v>43</v>
      </c>
      <c r="N2440" s="9" t="s">
        <v>49</v>
      </c>
      <c r="O2440" s="10">
        <f>'data on outstanding creditors'!$E2440*100/107</f>
        <v>25233.64486</v>
      </c>
      <c r="P2440" s="10">
        <f>'data on outstanding creditors'!$E2440-'data on outstanding creditors'!$O2440</f>
        <v>1766.35514</v>
      </c>
      <c r="Q2440" s="7">
        <f>DAY('data on outstanding creditors'!$B2440)</f>
        <v>15</v>
      </c>
      <c r="R2440" s="7">
        <f>MONTH('data on outstanding creditors'!$B2440)</f>
        <v>9</v>
      </c>
      <c r="S2440" s="7">
        <f>YEAR('data on outstanding creditors'!$B2440)</f>
        <v>2025</v>
      </c>
      <c r="T2440" s="11" t="str">
        <f>'data on outstanding creditors'!$C2440&amp;" "&amp;'data on outstanding creditors'!$D2440&amp;" "&amp;TEXT('data on outstanding creditors'!$E2440,"#,##0.00")</f>
        <v>บ.ไพรม์ เมดิคอล IV6809-12384 27,000.00</v>
      </c>
      <c r="U2440" s="12"/>
    </row>
    <row r="2441" ht="13.5" customHeight="1">
      <c r="A2441" s="1" t="s">
        <v>3572</v>
      </c>
      <c r="B2441" s="2">
        <v>45915.0</v>
      </c>
      <c r="C2441" s="9" t="s">
        <v>2363</v>
      </c>
      <c r="D2441" s="1" t="s">
        <v>3573</v>
      </c>
      <c r="E2441" s="4">
        <v>1750.0</v>
      </c>
      <c r="F2441" s="4"/>
      <c r="G2441" s="4"/>
      <c r="H2441" s="4">
        <f>'data on outstanding creditors'!$E2441-'data on outstanding creditors'!$F2441-'data on outstanding creditors'!$G2441</f>
        <v>1750</v>
      </c>
      <c r="I2441" s="2"/>
      <c r="J2441" s="1" t="s">
        <v>757</v>
      </c>
      <c r="K2441" s="2">
        <v>45937.0</v>
      </c>
      <c r="L2441" s="5"/>
      <c r="M2441" s="9" t="s">
        <v>43</v>
      </c>
      <c r="N2441" s="9" t="s">
        <v>49</v>
      </c>
      <c r="O2441" s="10">
        <f>'data on outstanding creditors'!$E2441*100/107</f>
        <v>1635.514019</v>
      </c>
      <c r="P2441" s="10">
        <f>'data on outstanding creditors'!$E2441-'data on outstanding creditors'!$O2441</f>
        <v>114.4859813</v>
      </c>
      <c r="Q2441" s="7">
        <f>DAY('data on outstanding creditors'!$B2441)</f>
        <v>15</v>
      </c>
      <c r="R2441" s="7">
        <f>MONTH('data on outstanding creditors'!$B2441)</f>
        <v>9</v>
      </c>
      <c r="S2441" s="7">
        <f>YEAR('data on outstanding creditors'!$B2441)</f>
        <v>2025</v>
      </c>
      <c r="T2441" s="11" t="str">
        <f>'data on outstanding creditors'!$C2441&amp;" "&amp;'data on outstanding creditors'!$D2441&amp;" "&amp;TEXT('data on outstanding creditors'!$E2441,"#,##0.00")</f>
        <v>บ.บีเวอร์ เมดิคอล อินดัสตรี้ 688004 1,750.00</v>
      </c>
      <c r="U2441" s="12"/>
    </row>
    <row r="2442" ht="13.5" customHeight="1">
      <c r="A2442" s="1" t="s">
        <v>3574</v>
      </c>
      <c r="B2442" s="2">
        <v>45915.0</v>
      </c>
      <c r="C2442" s="9" t="s">
        <v>2343</v>
      </c>
      <c r="D2442" s="1" t="s">
        <v>3575</v>
      </c>
      <c r="E2442" s="4">
        <v>18600.0</v>
      </c>
      <c r="F2442" s="4"/>
      <c r="G2442" s="4"/>
      <c r="H2442" s="4">
        <f>'data on outstanding creditors'!$E2442-'data on outstanding creditors'!$F2442-'data on outstanding creditors'!$G2442</f>
        <v>18600</v>
      </c>
      <c r="I2442" s="2"/>
      <c r="J2442" s="1"/>
      <c r="K2442" s="2"/>
      <c r="L2442" s="5"/>
      <c r="M2442" s="9" t="s">
        <v>43</v>
      </c>
      <c r="N2442" s="9" t="s">
        <v>49</v>
      </c>
      <c r="O2442" s="10">
        <f>'data on outstanding creditors'!$E2442*100/107</f>
        <v>17383.17757</v>
      </c>
      <c r="P2442" s="10">
        <f>'data on outstanding creditors'!$E2442-'data on outstanding creditors'!$O2442</f>
        <v>1216.82243</v>
      </c>
      <c r="Q2442" s="7">
        <f>DAY('data on outstanding creditors'!$B2442)</f>
        <v>15</v>
      </c>
      <c r="R2442" s="7">
        <f>MONTH('data on outstanding creditors'!$B2442)</f>
        <v>9</v>
      </c>
      <c r="S2442" s="7">
        <f>YEAR('data on outstanding creditors'!$B2442)</f>
        <v>2025</v>
      </c>
      <c r="T2442" s="11" t="str">
        <f>'data on outstanding creditors'!$C2442&amp;" "&amp;'data on outstanding creditors'!$D2442&amp;" "&amp;TEXT('data on outstanding creditors'!$E2442,"#,##0.00")</f>
        <v>บ.ทริมเมอร์ IV250902898 18,600.00</v>
      </c>
      <c r="U2442" s="12"/>
    </row>
    <row r="2443" ht="13.5" customHeight="1">
      <c r="A2443" s="1"/>
      <c r="B2443" s="2">
        <v>45916.0</v>
      </c>
      <c r="C2443" s="9" t="s">
        <v>2486</v>
      </c>
      <c r="D2443" s="1" t="s">
        <v>3576</v>
      </c>
      <c r="E2443" s="4">
        <v>20000.0</v>
      </c>
      <c r="F2443" s="4"/>
      <c r="G2443" s="4"/>
      <c r="H2443" s="4">
        <f>'data on outstanding creditors'!$E2443-'data on outstanding creditors'!$F2443-'data on outstanding creditors'!$G2443</f>
        <v>20000</v>
      </c>
      <c r="I2443" s="2"/>
      <c r="J2443" s="1"/>
      <c r="K2443" s="2"/>
      <c r="L2443" s="5"/>
      <c r="M2443" s="9" t="s">
        <v>43</v>
      </c>
      <c r="N2443" s="9" t="s">
        <v>23</v>
      </c>
      <c r="O2443" s="10">
        <f>'data on outstanding creditors'!$E2443*100/107</f>
        <v>18691.58879</v>
      </c>
      <c r="P2443" s="10">
        <f>'data on outstanding creditors'!$E2443-'data on outstanding creditors'!$O2443</f>
        <v>1308.411215</v>
      </c>
      <c r="Q2443" s="7">
        <f>DAY('data on outstanding creditors'!$B2443)</f>
        <v>16</v>
      </c>
      <c r="R2443" s="7">
        <f>MONTH('data on outstanding creditors'!$B2443)</f>
        <v>9</v>
      </c>
      <c r="S2443" s="7">
        <f>YEAR('data on outstanding creditors'!$B2443)</f>
        <v>2025</v>
      </c>
      <c r="T2443" s="11" t="str">
        <f>'data on outstanding creditors'!$C2443&amp;" "&amp;'data on outstanding creditors'!$D2443&amp;" "&amp;TEXT('data on outstanding creditors'!$E2443,"#,##0.00")</f>
        <v>บ.ไทยเพียวดีไวซ์ 68/09610 20,000.00</v>
      </c>
      <c r="U2443" s="12"/>
    </row>
    <row r="2444" ht="13.5" customHeight="1">
      <c r="A2444" s="1"/>
      <c r="B2444" s="2">
        <v>45916.0</v>
      </c>
      <c r="C2444" s="9" t="s">
        <v>688</v>
      </c>
      <c r="D2444" s="1" t="s">
        <v>3577</v>
      </c>
      <c r="E2444" s="4">
        <v>25680.0</v>
      </c>
      <c r="F2444" s="4"/>
      <c r="G2444" s="4"/>
      <c r="H2444" s="4">
        <f>'data on outstanding creditors'!$E2444-'data on outstanding creditors'!$F2444-'data on outstanding creditors'!$G2444</f>
        <v>25680</v>
      </c>
      <c r="I2444" s="2"/>
      <c r="J2444" s="1"/>
      <c r="K2444" s="2"/>
      <c r="L2444" s="5"/>
      <c r="M2444" s="9" t="s">
        <v>43</v>
      </c>
      <c r="N2444" s="9" t="s">
        <v>23</v>
      </c>
      <c r="O2444" s="10">
        <f>'data on outstanding creditors'!$E2444*100/107</f>
        <v>24000</v>
      </c>
      <c r="P2444" s="10">
        <f>'data on outstanding creditors'!$E2444-'data on outstanding creditors'!$O2444</f>
        <v>1680</v>
      </c>
      <c r="Q2444" s="7">
        <f>DAY('data on outstanding creditors'!$B2444)</f>
        <v>16</v>
      </c>
      <c r="R2444" s="7">
        <f>MONTH('data on outstanding creditors'!$B2444)</f>
        <v>9</v>
      </c>
      <c r="S2444" s="7">
        <f>YEAR('data on outstanding creditors'!$B2444)</f>
        <v>2025</v>
      </c>
      <c r="T2444" s="11" t="str">
        <f>'data on outstanding creditors'!$C2444&amp;" "&amp;'data on outstanding creditors'!$D2444&amp;" "&amp;TEXT('data on outstanding creditors'!$E2444,"#,##0.00")</f>
        <v>บ.โอเร็กซ์ เทรดดิ้ง 680901474 25,680.00</v>
      </c>
      <c r="U2444" s="12"/>
    </row>
    <row r="2445" ht="13.5" customHeight="1">
      <c r="A2445" s="1"/>
      <c r="B2445" s="2">
        <v>45916.0</v>
      </c>
      <c r="C2445" s="9" t="s">
        <v>399</v>
      </c>
      <c r="D2445" s="1" t="s">
        <v>3578</v>
      </c>
      <c r="E2445" s="4">
        <v>12840.0</v>
      </c>
      <c r="F2445" s="4"/>
      <c r="G2445" s="4"/>
      <c r="H2445" s="4">
        <f>'data on outstanding creditors'!$E2445-'data on outstanding creditors'!$F2445-'data on outstanding creditors'!$G2445</f>
        <v>12840</v>
      </c>
      <c r="I2445" s="2"/>
      <c r="J2445" s="1"/>
      <c r="K2445" s="2"/>
      <c r="L2445" s="5"/>
      <c r="M2445" s="9" t="s">
        <v>43</v>
      </c>
      <c r="N2445" s="9" t="s">
        <v>23</v>
      </c>
      <c r="O2445" s="10">
        <f>'data on outstanding creditors'!$E2445*100/107</f>
        <v>12000</v>
      </c>
      <c r="P2445" s="10">
        <f>'data on outstanding creditors'!$E2445-'data on outstanding creditors'!$O2445</f>
        <v>840</v>
      </c>
      <c r="Q2445" s="7">
        <f>DAY('data on outstanding creditors'!$B2445)</f>
        <v>16</v>
      </c>
      <c r="R2445" s="7">
        <f>MONTH('data on outstanding creditors'!$B2445)</f>
        <v>9</v>
      </c>
      <c r="S2445" s="7">
        <f>YEAR('data on outstanding creditors'!$B2445)</f>
        <v>2025</v>
      </c>
      <c r="T2445" s="11" t="str">
        <f>'data on outstanding creditors'!$C2445&amp;" "&amp;'data on outstanding creditors'!$D2445&amp;" "&amp;TEXT('data on outstanding creditors'!$E2445,"#,##0.00")</f>
        <v>บ.ดีเคเอสเอช(ประเทศไทย) 5344334728 12,840.00</v>
      </c>
      <c r="U2445" s="12"/>
    </row>
    <row r="2446" ht="13.5" customHeight="1">
      <c r="A2446" s="1"/>
      <c r="B2446" s="2">
        <v>45916.0</v>
      </c>
      <c r="C2446" s="9" t="s">
        <v>965</v>
      </c>
      <c r="D2446" s="1" t="s">
        <v>3579</v>
      </c>
      <c r="E2446" s="4">
        <v>52800.0</v>
      </c>
      <c r="F2446" s="4"/>
      <c r="G2446" s="4"/>
      <c r="H2446" s="4">
        <f>'data on outstanding creditors'!$E2446-'data on outstanding creditors'!$F2446-'data on outstanding creditors'!$G2446</f>
        <v>52800</v>
      </c>
      <c r="I2446" s="2"/>
      <c r="J2446" s="1"/>
      <c r="K2446" s="2"/>
      <c r="L2446" s="5"/>
      <c r="M2446" s="9" t="s">
        <v>43</v>
      </c>
      <c r="N2446" s="9" t="s">
        <v>23</v>
      </c>
      <c r="O2446" s="10">
        <f>'data on outstanding creditors'!$E2446*100/107</f>
        <v>49345.79439</v>
      </c>
      <c r="P2446" s="10">
        <f>'data on outstanding creditors'!$E2446-'data on outstanding creditors'!$O2446</f>
        <v>3454.205607</v>
      </c>
      <c r="Q2446" s="7">
        <f>DAY('data on outstanding creditors'!$B2446)</f>
        <v>16</v>
      </c>
      <c r="R2446" s="7">
        <f>MONTH('data on outstanding creditors'!$B2446)</f>
        <v>9</v>
      </c>
      <c r="S2446" s="7">
        <f>YEAR('data on outstanding creditors'!$B2446)</f>
        <v>2025</v>
      </c>
      <c r="T2446" s="11" t="str">
        <f>'data on outstanding creditors'!$C2446&amp;" "&amp;'data on outstanding creditors'!$D2446&amp;" "&amp;TEXT('data on outstanding creditors'!$E2446,"#,##0.00")</f>
        <v>บ.แปซิฟิค เฮลธ์แคร์(ไทยแลนด์) 68045242 52,800.00</v>
      </c>
      <c r="U2446" s="12"/>
    </row>
    <row r="2447" ht="13.5" customHeight="1">
      <c r="A2447" s="1"/>
      <c r="B2447" s="2">
        <v>45916.0</v>
      </c>
      <c r="C2447" s="9" t="s">
        <v>2294</v>
      </c>
      <c r="D2447" s="1" t="s">
        <v>3580</v>
      </c>
      <c r="E2447" s="4">
        <v>8500.0</v>
      </c>
      <c r="F2447" s="4"/>
      <c r="G2447" s="4"/>
      <c r="H2447" s="4">
        <f>'data on outstanding creditors'!$E2447-'data on outstanding creditors'!$F2447-'data on outstanding creditors'!$G2447</f>
        <v>8500</v>
      </c>
      <c r="I2447" s="2"/>
      <c r="J2447" s="1"/>
      <c r="K2447" s="2"/>
      <c r="L2447" s="5"/>
      <c r="M2447" s="9" t="s">
        <v>43</v>
      </c>
      <c r="N2447" s="9" t="s">
        <v>23</v>
      </c>
      <c r="O2447" s="10">
        <f>'data on outstanding creditors'!$E2447*100/107</f>
        <v>7943.925234</v>
      </c>
      <c r="P2447" s="10">
        <f>'data on outstanding creditors'!$E2447-'data on outstanding creditors'!$O2447</f>
        <v>556.0747664</v>
      </c>
      <c r="Q2447" s="7">
        <f>DAY('data on outstanding creditors'!$B2447)</f>
        <v>16</v>
      </c>
      <c r="R2447" s="7">
        <f>MONTH('data on outstanding creditors'!$B2447)</f>
        <v>9</v>
      </c>
      <c r="S2447" s="7">
        <f>YEAR('data on outstanding creditors'!$B2447)</f>
        <v>2025</v>
      </c>
      <c r="T2447" s="11" t="str">
        <f>'data on outstanding creditors'!$C2447&amp;" "&amp;'data on outstanding creditors'!$D2447&amp;" "&amp;TEXT('data on outstanding creditors'!$E2447,"#,##0.00")</f>
        <v>บ.แอสเซ้นท์ เมดิคอล IV2025090095 8,500.00</v>
      </c>
      <c r="U2447" s="12"/>
    </row>
    <row r="2448" ht="13.5" customHeight="1">
      <c r="A2448" s="1"/>
      <c r="B2448" s="2">
        <v>45916.0</v>
      </c>
      <c r="C2448" s="9" t="s">
        <v>2294</v>
      </c>
      <c r="D2448" s="1" t="s">
        <v>3581</v>
      </c>
      <c r="E2448" s="4">
        <v>7500.0</v>
      </c>
      <c r="F2448" s="4"/>
      <c r="G2448" s="4"/>
      <c r="H2448" s="4">
        <f>'data on outstanding creditors'!$E2448-'data on outstanding creditors'!$F2448-'data on outstanding creditors'!$G2448</f>
        <v>7500</v>
      </c>
      <c r="I2448" s="2"/>
      <c r="J2448" s="1"/>
      <c r="K2448" s="2"/>
      <c r="L2448" s="5"/>
      <c r="M2448" s="9" t="s">
        <v>43</v>
      </c>
      <c r="N2448" s="9" t="s">
        <v>23</v>
      </c>
      <c r="O2448" s="10">
        <f>'data on outstanding creditors'!$E2448*100/107</f>
        <v>7009.345794</v>
      </c>
      <c r="P2448" s="10">
        <f>'data on outstanding creditors'!$E2448-'data on outstanding creditors'!$O2448</f>
        <v>490.6542056</v>
      </c>
      <c r="Q2448" s="7">
        <f>DAY('data on outstanding creditors'!$B2448)</f>
        <v>16</v>
      </c>
      <c r="R2448" s="7">
        <f>MONTH('data on outstanding creditors'!$B2448)</f>
        <v>9</v>
      </c>
      <c r="S2448" s="7">
        <f>YEAR('data on outstanding creditors'!$B2448)</f>
        <v>2025</v>
      </c>
      <c r="T2448" s="11" t="str">
        <f>'data on outstanding creditors'!$C2448&amp;" "&amp;'data on outstanding creditors'!$D2448&amp;" "&amp;TEXT('data on outstanding creditors'!$E2448,"#,##0.00")</f>
        <v>บ.แอสเซ้นท์ เมดิคอล IV2025090099 7,500.00</v>
      </c>
      <c r="U2448" s="12"/>
    </row>
    <row r="2449" ht="13.5" customHeight="1">
      <c r="A2449" s="1"/>
      <c r="B2449" s="2">
        <v>45916.0</v>
      </c>
      <c r="C2449" s="9" t="s">
        <v>1114</v>
      </c>
      <c r="D2449" s="1" t="s">
        <v>3582</v>
      </c>
      <c r="E2449" s="4">
        <v>3000.0</v>
      </c>
      <c r="F2449" s="4"/>
      <c r="G2449" s="4"/>
      <c r="H2449" s="4">
        <f>'data on outstanding creditors'!$E2449-'data on outstanding creditors'!$F2449-'data on outstanding creditors'!$G2449</f>
        <v>3000</v>
      </c>
      <c r="I2449" s="2"/>
      <c r="J2449" s="1"/>
      <c r="K2449" s="2"/>
      <c r="L2449" s="5"/>
      <c r="M2449" s="9" t="s">
        <v>43</v>
      </c>
      <c r="N2449" s="9" t="s">
        <v>23</v>
      </c>
      <c r="O2449" s="10">
        <f>'data on outstanding creditors'!$E2449*100/107</f>
        <v>2803.738318</v>
      </c>
      <c r="P2449" s="10">
        <f>'data on outstanding creditors'!$E2449-'data on outstanding creditors'!$O2449</f>
        <v>196.2616822</v>
      </c>
      <c r="Q2449" s="7">
        <f>DAY('data on outstanding creditors'!$B2449)</f>
        <v>16</v>
      </c>
      <c r="R2449" s="7">
        <f>MONTH('data on outstanding creditors'!$B2449)</f>
        <v>9</v>
      </c>
      <c r="S2449" s="7">
        <f>YEAR('data on outstanding creditors'!$B2449)</f>
        <v>2025</v>
      </c>
      <c r="T2449" s="11" t="str">
        <f>'data on outstanding creditors'!$C2449&amp;" "&amp;'data on outstanding creditors'!$D2449&amp;" "&amp;TEXT('data on outstanding creditors'!$E2449,"#,##0.00")</f>
        <v>หจก.อิเลฟเว่น พลัซ EL680909073 3,000.00</v>
      </c>
      <c r="U2449" s="12"/>
    </row>
    <row r="2450" ht="13.5" customHeight="1">
      <c r="A2450" s="1"/>
      <c r="B2450" s="2">
        <v>45916.0</v>
      </c>
      <c r="C2450" s="9" t="s">
        <v>2301</v>
      </c>
      <c r="D2450" s="1" t="s">
        <v>3583</v>
      </c>
      <c r="E2450" s="4">
        <v>3450.0</v>
      </c>
      <c r="F2450" s="4"/>
      <c r="G2450" s="4"/>
      <c r="H2450" s="4">
        <f>'data on outstanding creditors'!$E2450-'data on outstanding creditors'!$F2450-'data on outstanding creditors'!$G2450</f>
        <v>3450</v>
      </c>
      <c r="I2450" s="2"/>
      <c r="J2450" s="1"/>
      <c r="K2450" s="2"/>
      <c r="L2450" s="5"/>
      <c r="M2450" s="9" t="s">
        <v>43</v>
      </c>
      <c r="N2450" s="9" t="s">
        <v>23</v>
      </c>
      <c r="O2450" s="10">
        <f>'data on outstanding creditors'!$E2450*100/107</f>
        <v>3224.299065</v>
      </c>
      <c r="P2450" s="10">
        <f>'data on outstanding creditors'!$E2450-'data on outstanding creditors'!$O2450</f>
        <v>225.7009346</v>
      </c>
      <c r="Q2450" s="7">
        <f>DAY('data on outstanding creditors'!$B2450)</f>
        <v>16</v>
      </c>
      <c r="R2450" s="7">
        <f>MONTH('data on outstanding creditors'!$B2450)</f>
        <v>9</v>
      </c>
      <c r="S2450" s="7">
        <f>YEAR('data on outstanding creditors'!$B2450)</f>
        <v>2025</v>
      </c>
      <c r="T2450" s="11" t="str">
        <f>'data on outstanding creditors'!$C2450&amp;" "&amp;'data on outstanding creditors'!$D2450&amp;" "&amp;TEXT('data on outstanding creditors'!$E2450,"#,##0.00")</f>
        <v>บ.เค เค เมดิคอล 10919 3,450.00</v>
      </c>
      <c r="U2450" s="12"/>
    </row>
    <row r="2451" ht="13.5" customHeight="1">
      <c r="A2451" s="1" t="s">
        <v>3584</v>
      </c>
      <c r="B2451" s="2">
        <v>45916.0</v>
      </c>
      <c r="C2451" s="9" t="s">
        <v>1029</v>
      </c>
      <c r="D2451" s="1" t="s">
        <v>3585</v>
      </c>
      <c r="E2451" s="4">
        <v>17600.0</v>
      </c>
      <c r="F2451" s="4"/>
      <c r="G2451" s="4"/>
      <c r="H2451" s="4">
        <f>'data on outstanding creditors'!$E2451-'data on outstanding creditors'!$F2451-'data on outstanding creditors'!$G2451</f>
        <v>17600</v>
      </c>
      <c r="I2451" s="2"/>
      <c r="J2451" s="1"/>
      <c r="K2451" s="2"/>
      <c r="L2451" s="5"/>
      <c r="M2451" s="9" t="s">
        <v>43</v>
      </c>
      <c r="N2451" s="9" t="s">
        <v>49</v>
      </c>
      <c r="O2451" s="10">
        <f>'data on outstanding creditors'!$E2451*100/107</f>
        <v>16448.59813</v>
      </c>
      <c r="P2451" s="10">
        <f>'data on outstanding creditors'!$E2451-'data on outstanding creditors'!$O2451</f>
        <v>1151.401869</v>
      </c>
      <c r="Q2451" s="7">
        <f>DAY('data on outstanding creditors'!$B2451)</f>
        <v>16</v>
      </c>
      <c r="R2451" s="7">
        <f>MONTH('data on outstanding creditors'!$B2451)</f>
        <v>9</v>
      </c>
      <c r="S2451" s="7">
        <f>YEAR('data on outstanding creditors'!$B2451)</f>
        <v>2025</v>
      </c>
      <c r="T2451" s="11" t="str">
        <f>'data on outstanding creditors'!$C2451&amp;" "&amp;'data on outstanding creditors'!$D2451&amp;" "&amp;TEXT('data on outstanding creditors'!$E2451,"#,##0.00")</f>
        <v>บ.เอเทค เมดิคอล IV6809284 17,600.00</v>
      </c>
      <c r="U2451" s="12"/>
    </row>
    <row r="2452" ht="13.5" customHeight="1">
      <c r="A2452" s="1" t="s">
        <v>3586</v>
      </c>
      <c r="B2452" s="2">
        <v>45916.0</v>
      </c>
      <c r="C2452" s="9" t="s">
        <v>1029</v>
      </c>
      <c r="D2452" s="1" t="s">
        <v>3587</v>
      </c>
      <c r="E2452" s="4">
        <v>15800.0</v>
      </c>
      <c r="F2452" s="4"/>
      <c r="G2452" s="4"/>
      <c r="H2452" s="4">
        <f>'data on outstanding creditors'!$E2452-'data on outstanding creditors'!$F2452-'data on outstanding creditors'!$G2452</f>
        <v>15800</v>
      </c>
      <c r="I2452" s="2"/>
      <c r="J2452" s="1"/>
      <c r="K2452" s="2"/>
      <c r="L2452" s="5"/>
      <c r="M2452" s="9" t="s">
        <v>43</v>
      </c>
      <c r="N2452" s="9" t="s">
        <v>49</v>
      </c>
      <c r="O2452" s="10">
        <f>'data on outstanding creditors'!$E2452*100/107</f>
        <v>14766.35514</v>
      </c>
      <c r="P2452" s="10">
        <f>'data on outstanding creditors'!$E2452-'data on outstanding creditors'!$O2452</f>
        <v>1033.64486</v>
      </c>
      <c r="Q2452" s="7">
        <f>DAY('data on outstanding creditors'!$B2452)</f>
        <v>16</v>
      </c>
      <c r="R2452" s="7">
        <f>MONTH('data on outstanding creditors'!$B2452)</f>
        <v>9</v>
      </c>
      <c r="S2452" s="7">
        <f>YEAR('data on outstanding creditors'!$B2452)</f>
        <v>2025</v>
      </c>
      <c r="T2452" s="11" t="str">
        <f>'data on outstanding creditors'!$C2452&amp;" "&amp;'data on outstanding creditors'!$D2452&amp;" "&amp;TEXT('data on outstanding creditors'!$E2452,"#,##0.00")</f>
        <v>บ.เอเทค เมดิคอล IV6809283 15,800.00</v>
      </c>
      <c r="U2452" s="12"/>
    </row>
    <row r="2453" ht="13.5" customHeight="1">
      <c r="A2453" s="1"/>
      <c r="B2453" s="2">
        <v>45917.0</v>
      </c>
      <c r="C2453" s="9" t="s">
        <v>2387</v>
      </c>
      <c r="D2453" s="1" t="s">
        <v>3588</v>
      </c>
      <c r="E2453" s="4">
        <v>38800.0</v>
      </c>
      <c r="F2453" s="4"/>
      <c r="G2453" s="4"/>
      <c r="H2453" s="4">
        <f>'data on outstanding creditors'!$E2453-'data on outstanding creditors'!$F2453-'data on outstanding creditors'!$G2453</f>
        <v>38800</v>
      </c>
      <c r="I2453" s="2"/>
      <c r="J2453" s="1"/>
      <c r="K2453" s="2"/>
      <c r="L2453" s="5"/>
      <c r="M2453" s="9" t="s">
        <v>43</v>
      </c>
      <c r="N2453" s="9" t="s">
        <v>23</v>
      </c>
      <c r="O2453" s="10">
        <f>'data on outstanding creditors'!$E2453*100/107</f>
        <v>36261.68224</v>
      </c>
      <c r="P2453" s="10">
        <f>'data on outstanding creditors'!$E2453-'data on outstanding creditors'!$O2453</f>
        <v>2538.317757</v>
      </c>
      <c r="Q2453" s="7">
        <f>DAY('data on outstanding creditors'!$B2453)</f>
        <v>17</v>
      </c>
      <c r="R2453" s="7">
        <f>MONTH('data on outstanding creditors'!$B2453)</f>
        <v>9</v>
      </c>
      <c r="S2453" s="7">
        <f>YEAR('data on outstanding creditors'!$B2453)</f>
        <v>2025</v>
      </c>
      <c r="T2453" s="11" t="str">
        <f>'data on outstanding creditors'!$C2453&amp;" "&amp;'data on outstanding creditors'!$D2453&amp;" "&amp;TEXT('data on outstanding creditors'!$E2453,"#,##0.00")</f>
        <v>บ.บุนย์วานิช อินเตอร์เนชั่นแนล FM680930 38,800.00</v>
      </c>
      <c r="U2453" s="12"/>
    </row>
    <row r="2454" ht="13.5" customHeight="1">
      <c r="A2454" s="1"/>
      <c r="B2454" s="2">
        <v>45917.0</v>
      </c>
      <c r="C2454" s="9" t="s">
        <v>1637</v>
      </c>
      <c r="D2454" s="1" t="s">
        <v>3589</v>
      </c>
      <c r="E2454" s="4">
        <v>7000.0</v>
      </c>
      <c r="F2454" s="4"/>
      <c r="G2454" s="4"/>
      <c r="H2454" s="4">
        <f>'data on outstanding creditors'!$E2454-'data on outstanding creditors'!$F2454-'data on outstanding creditors'!$G2454</f>
        <v>7000</v>
      </c>
      <c r="I2454" s="2"/>
      <c r="J2454" s="1"/>
      <c r="K2454" s="2"/>
      <c r="L2454" s="5"/>
      <c r="M2454" s="9" t="s">
        <v>43</v>
      </c>
      <c r="N2454" s="9" t="s">
        <v>23</v>
      </c>
      <c r="O2454" s="10">
        <f>'data on outstanding creditors'!$E2454*100/107</f>
        <v>6542.056075</v>
      </c>
      <c r="P2454" s="10">
        <f>'data on outstanding creditors'!$E2454-'data on outstanding creditors'!$O2454</f>
        <v>457.9439252</v>
      </c>
      <c r="Q2454" s="7">
        <f>DAY('data on outstanding creditors'!$B2454)</f>
        <v>17</v>
      </c>
      <c r="R2454" s="7">
        <f>MONTH('data on outstanding creditors'!$B2454)</f>
        <v>9</v>
      </c>
      <c r="S2454" s="7">
        <f>YEAR('data on outstanding creditors'!$B2454)</f>
        <v>2025</v>
      </c>
      <c r="T2454" s="11" t="str">
        <f>'data on outstanding creditors'!$C2454&amp;" "&amp;'data on outstanding creditors'!$D2454&amp;" "&amp;TEXT('data on outstanding creditors'!$E2454,"#,##0.00")</f>
        <v>บ.บีเจเอช เมดิคอล 330957400630 7,000.00</v>
      </c>
      <c r="U2454" s="12"/>
    </row>
    <row r="2455" ht="13.5" customHeight="1">
      <c r="A2455" s="1"/>
      <c r="B2455" s="2">
        <v>45917.0</v>
      </c>
      <c r="C2455" s="9" t="s">
        <v>2543</v>
      </c>
      <c r="D2455" s="1" t="s">
        <v>3590</v>
      </c>
      <c r="E2455" s="4">
        <v>15000.0</v>
      </c>
      <c r="F2455" s="4"/>
      <c r="G2455" s="4"/>
      <c r="H2455" s="4">
        <f>'data on outstanding creditors'!$E2455-'data on outstanding creditors'!$F2455-'data on outstanding creditors'!$G2455</f>
        <v>15000</v>
      </c>
      <c r="I2455" s="2"/>
      <c r="J2455" s="1" t="s">
        <v>757</v>
      </c>
      <c r="K2455" s="2">
        <v>45951.0</v>
      </c>
      <c r="L2455" s="5"/>
      <c r="M2455" s="9" t="s">
        <v>43</v>
      </c>
      <c r="N2455" s="9" t="s">
        <v>23</v>
      </c>
      <c r="O2455" s="10">
        <f>'data on outstanding creditors'!$E2455*100/107</f>
        <v>14018.69159</v>
      </c>
      <c r="P2455" s="10">
        <f>'data on outstanding creditors'!$E2455-'data on outstanding creditors'!$O2455</f>
        <v>981.3084112</v>
      </c>
      <c r="Q2455" s="7">
        <f>DAY('data on outstanding creditors'!$B2455)</f>
        <v>17</v>
      </c>
      <c r="R2455" s="7">
        <f>MONTH('data on outstanding creditors'!$B2455)</f>
        <v>9</v>
      </c>
      <c r="S2455" s="7">
        <f>YEAR('data on outstanding creditors'!$B2455)</f>
        <v>2025</v>
      </c>
      <c r="T2455" s="11" t="str">
        <f>'data on outstanding creditors'!$C2455&amp;" "&amp;'data on outstanding creditors'!$D2455&amp;" "&amp;TEXT('data on outstanding creditors'!$E2455,"#,##0.00")</f>
        <v>บ.ไฮแวน เมดิคอล HV6805464 15,000.00</v>
      </c>
      <c r="U2455" s="12"/>
    </row>
    <row r="2456" ht="13.5" customHeight="1">
      <c r="A2456" s="1" t="s">
        <v>3591</v>
      </c>
      <c r="B2456" s="2">
        <v>45917.0</v>
      </c>
      <c r="C2456" s="9" t="s">
        <v>2315</v>
      </c>
      <c r="D2456" s="1" t="s">
        <v>3592</v>
      </c>
      <c r="E2456" s="4">
        <v>8550.0</v>
      </c>
      <c r="F2456" s="4"/>
      <c r="G2456" s="4"/>
      <c r="H2456" s="4">
        <f>'data on outstanding creditors'!$E2456-'data on outstanding creditors'!$F2456-'data on outstanding creditors'!$G2456</f>
        <v>8550</v>
      </c>
      <c r="I2456" s="2"/>
      <c r="J2456" s="1"/>
      <c r="K2456" s="2"/>
      <c r="L2456" s="5"/>
      <c r="M2456" s="9" t="s">
        <v>43</v>
      </c>
      <c r="N2456" s="9" t="s">
        <v>49</v>
      </c>
      <c r="O2456" s="10">
        <f>'data on outstanding creditors'!$E2456*100/107</f>
        <v>7990.654206</v>
      </c>
      <c r="P2456" s="10">
        <f>'data on outstanding creditors'!$E2456-'data on outstanding creditors'!$O2456</f>
        <v>559.3457944</v>
      </c>
      <c r="Q2456" s="7">
        <f>DAY('data on outstanding creditors'!$B2456)</f>
        <v>17</v>
      </c>
      <c r="R2456" s="7">
        <f>MONTH('data on outstanding creditors'!$B2456)</f>
        <v>9</v>
      </c>
      <c r="S2456" s="7">
        <f>YEAR('data on outstanding creditors'!$B2456)</f>
        <v>2025</v>
      </c>
      <c r="T2456" s="11" t="str">
        <f>'data on outstanding creditors'!$C2456&amp;" "&amp;'data on outstanding creditors'!$D2456&amp;" "&amp;TEXT('data on outstanding creditors'!$E2456,"#,##0.00")</f>
        <v>บ.เรียลเมดคอร์ป IV25091002 8,550.00</v>
      </c>
      <c r="U2456" s="12"/>
    </row>
    <row r="2457" ht="13.5" customHeight="1">
      <c r="A2457" s="1" t="s">
        <v>3593</v>
      </c>
      <c r="B2457" s="2">
        <v>45917.0</v>
      </c>
      <c r="C2457" s="9" t="s">
        <v>3594</v>
      </c>
      <c r="D2457" s="1" t="s">
        <v>3595</v>
      </c>
      <c r="E2457" s="4">
        <v>22000.0</v>
      </c>
      <c r="F2457" s="4"/>
      <c r="G2457" s="4"/>
      <c r="H2457" s="4">
        <f>'data on outstanding creditors'!$E2457-'data on outstanding creditors'!$F2457-'data on outstanding creditors'!$G2457</f>
        <v>22000</v>
      </c>
      <c r="I2457" s="2"/>
      <c r="J2457" s="1"/>
      <c r="K2457" s="2"/>
      <c r="L2457" s="5"/>
      <c r="M2457" s="9" t="s">
        <v>43</v>
      </c>
      <c r="N2457" s="9" t="s">
        <v>49</v>
      </c>
      <c r="O2457" s="10">
        <f>'data on outstanding creditors'!$E2457*100/107</f>
        <v>20560.74766</v>
      </c>
      <c r="P2457" s="10">
        <f>'data on outstanding creditors'!$E2457-'data on outstanding creditors'!$O2457</f>
        <v>1439.252336</v>
      </c>
      <c r="Q2457" s="7">
        <f>DAY('data on outstanding creditors'!$B2457)</f>
        <v>17</v>
      </c>
      <c r="R2457" s="7">
        <f>MONTH('data on outstanding creditors'!$B2457)</f>
        <v>9</v>
      </c>
      <c r="S2457" s="7">
        <f>YEAR('data on outstanding creditors'!$B2457)</f>
        <v>2025</v>
      </c>
      <c r="T2457" s="11" t="str">
        <f>'data on outstanding creditors'!$C2457&amp;" "&amp;'data on outstanding creditors'!$D2457&amp;" "&amp;TEXT('data on outstanding creditors'!$E2457,"#,##0.00")</f>
        <v>บ.อินโนเทค เซอร์จิคอล IV0015472 22,000.00</v>
      </c>
      <c r="U2457" s="12"/>
    </row>
    <row r="2458" ht="13.5" customHeight="1">
      <c r="A2458" s="1" t="s">
        <v>3596</v>
      </c>
      <c r="B2458" s="2">
        <v>45917.0</v>
      </c>
      <c r="C2458" s="9" t="s">
        <v>399</v>
      </c>
      <c r="D2458" s="1" t="s">
        <v>3597</v>
      </c>
      <c r="E2458" s="4">
        <v>24075.0</v>
      </c>
      <c r="F2458" s="4"/>
      <c r="G2458" s="4"/>
      <c r="H2458" s="4">
        <f>'data on outstanding creditors'!$E2458-'data on outstanding creditors'!$F2458-'data on outstanding creditors'!$G2458</f>
        <v>24075</v>
      </c>
      <c r="I2458" s="2"/>
      <c r="J2458" s="1"/>
      <c r="K2458" s="2"/>
      <c r="L2458" s="5"/>
      <c r="M2458" s="9" t="s">
        <v>43</v>
      </c>
      <c r="N2458" s="9" t="s">
        <v>49</v>
      </c>
      <c r="O2458" s="10">
        <f>'data on outstanding creditors'!$E2458*100/107</f>
        <v>22500</v>
      </c>
      <c r="P2458" s="10">
        <f>'data on outstanding creditors'!$E2458-'data on outstanding creditors'!$O2458</f>
        <v>1575</v>
      </c>
      <c r="Q2458" s="7">
        <f>DAY('data on outstanding creditors'!$B2458)</f>
        <v>17</v>
      </c>
      <c r="R2458" s="7">
        <f>MONTH('data on outstanding creditors'!$B2458)</f>
        <v>9</v>
      </c>
      <c r="S2458" s="7">
        <f>YEAR('data on outstanding creditors'!$B2458)</f>
        <v>2025</v>
      </c>
      <c r="T2458" s="11" t="str">
        <f>'data on outstanding creditors'!$C2458&amp;" "&amp;'data on outstanding creditors'!$D2458&amp;" "&amp;TEXT('data on outstanding creditors'!$E2458,"#,##0.00")</f>
        <v>บ.ดีเคเอสเอช(ประเทศไทย) 5344383076 24,075.00</v>
      </c>
      <c r="U2458" s="12"/>
    </row>
    <row r="2459" ht="13.5" customHeight="1">
      <c r="A2459" s="1" t="s">
        <v>3598</v>
      </c>
      <c r="B2459" s="2">
        <v>45917.0</v>
      </c>
      <c r="C2459" s="9" t="s">
        <v>1029</v>
      </c>
      <c r="D2459" s="1" t="s">
        <v>3599</v>
      </c>
      <c r="E2459" s="4">
        <v>18200.0</v>
      </c>
      <c r="F2459" s="4"/>
      <c r="G2459" s="4"/>
      <c r="H2459" s="4">
        <f>'data on outstanding creditors'!$E2459-'data on outstanding creditors'!$F2459-'data on outstanding creditors'!$G2459</f>
        <v>18200</v>
      </c>
      <c r="I2459" s="2"/>
      <c r="J2459" s="1"/>
      <c r="K2459" s="2"/>
      <c r="L2459" s="5"/>
      <c r="M2459" s="9" t="s">
        <v>43</v>
      </c>
      <c r="N2459" s="9" t="s">
        <v>49</v>
      </c>
      <c r="O2459" s="10">
        <f>'data on outstanding creditors'!$E2459*100/107</f>
        <v>17009.34579</v>
      </c>
      <c r="P2459" s="10">
        <f>'data on outstanding creditors'!$E2459-'data on outstanding creditors'!$O2459</f>
        <v>1190.654206</v>
      </c>
      <c r="Q2459" s="7">
        <f>DAY('data on outstanding creditors'!$B2459)</f>
        <v>17</v>
      </c>
      <c r="R2459" s="7">
        <f>MONTH('data on outstanding creditors'!$B2459)</f>
        <v>9</v>
      </c>
      <c r="S2459" s="7">
        <f>YEAR('data on outstanding creditors'!$B2459)</f>
        <v>2025</v>
      </c>
      <c r="T2459" s="11" t="str">
        <f>'data on outstanding creditors'!$C2459&amp;" "&amp;'data on outstanding creditors'!$D2459&amp;" "&amp;TEXT('data on outstanding creditors'!$E2459,"#,##0.00")</f>
        <v>บ.เอเทค เมดิคอล IV6809294 18,200.00</v>
      </c>
      <c r="U2459" s="12"/>
    </row>
    <row r="2460" ht="13.5" customHeight="1">
      <c r="A2460" s="1" t="s">
        <v>3600</v>
      </c>
      <c r="B2460" s="2">
        <v>45917.0</v>
      </c>
      <c r="C2460" s="9" t="s">
        <v>1029</v>
      </c>
      <c r="D2460" s="1" t="s">
        <v>3601</v>
      </c>
      <c r="E2460" s="4">
        <v>20000.0</v>
      </c>
      <c r="F2460" s="4"/>
      <c r="G2460" s="4"/>
      <c r="H2460" s="4">
        <f>'data on outstanding creditors'!$E2460-'data on outstanding creditors'!$F2460-'data on outstanding creditors'!$G2460</f>
        <v>20000</v>
      </c>
      <c r="I2460" s="2"/>
      <c r="J2460" s="1"/>
      <c r="K2460" s="2"/>
      <c r="L2460" s="5"/>
      <c r="M2460" s="9" t="s">
        <v>43</v>
      </c>
      <c r="N2460" s="9" t="s">
        <v>49</v>
      </c>
      <c r="O2460" s="10">
        <f>'data on outstanding creditors'!$E2460*100/107</f>
        <v>18691.58879</v>
      </c>
      <c r="P2460" s="10">
        <f>'data on outstanding creditors'!$E2460-'data on outstanding creditors'!$O2460</f>
        <v>1308.411215</v>
      </c>
      <c r="Q2460" s="7">
        <f>DAY('data on outstanding creditors'!$B2460)</f>
        <v>17</v>
      </c>
      <c r="R2460" s="7">
        <f>MONTH('data on outstanding creditors'!$B2460)</f>
        <v>9</v>
      </c>
      <c r="S2460" s="7">
        <f>YEAR('data on outstanding creditors'!$B2460)</f>
        <v>2025</v>
      </c>
      <c r="T2460" s="11" t="str">
        <f>'data on outstanding creditors'!$C2460&amp;" "&amp;'data on outstanding creditors'!$D2460&amp;" "&amp;TEXT('data on outstanding creditors'!$E2460,"#,##0.00")</f>
        <v>บ.เอเทค เมดิคอล IV6809306 20,000.00</v>
      </c>
      <c r="U2460" s="12"/>
    </row>
    <row r="2461" ht="13.5" customHeight="1">
      <c r="A2461" s="1" t="s">
        <v>3602</v>
      </c>
      <c r="B2461" s="2">
        <v>45919.0</v>
      </c>
      <c r="C2461" s="9" t="s">
        <v>3603</v>
      </c>
      <c r="D2461" s="1" t="s">
        <v>3604</v>
      </c>
      <c r="E2461" s="4">
        <v>6500.0</v>
      </c>
      <c r="F2461" s="4"/>
      <c r="G2461" s="4"/>
      <c r="H2461" s="4">
        <f>'data on outstanding creditors'!$E2461-'data on outstanding creditors'!$F2461-'data on outstanding creditors'!$G2461</f>
        <v>6500</v>
      </c>
      <c r="I2461" s="2"/>
      <c r="J2461" s="1"/>
      <c r="K2461" s="2"/>
      <c r="L2461" s="5"/>
      <c r="M2461" s="9" t="s">
        <v>43</v>
      </c>
      <c r="N2461" s="9" t="s">
        <v>49</v>
      </c>
      <c r="O2461" s="10">
        <f>'data on outstanding creditors'!$E2461*100/107</f>
        <v>6074.766355</v>
      </c>
      <c r="P2461" s="10">
        <f>'data on outstanding creditors'!$E2461-'data on outstanding creditors'!$O2461</f>
        <v>425.2336449</v>
      </c>
      <c r="Q2461" s="7">
        <f>DAY('data on outstanding creditors'!$B2461)</f>
        <v>19</v>
      </c>
      <c r="R2461" s="7">
        <f>MONTH('data on outstanding creditors'!$B2461)</f>
        <v>9</v>
      </c>
      <c r="S2461" s="7">
        <f>YEAR('data on outstanding creditors'!$B2461)</f>
        <v>2025</v>
      </c>
      <c r="T2461" s="11" t="str">
        <f>'data on outstanding creditors'!$C2461&amp;" "&amp;'data on outstanding creditors'!$D2461&amp;" "&amp;TEXT('data on outstanding creditors'!$E2461,"#,##0.00")</f>
        <v>บ.อาร์โอ เมดิคอล ซัพพลาย IVT-20250900002 6,500.00</v>
      </c>
      <c r="U2461" s="12"/>
    </row>
    <row r="2462" ht="13.5" customHeight="1">
      <c r="A2462" s="1" t="s">
        <v>3605</v>
      </c>
      <c r="B2462" s="2">
        <v>45919.0</v>
      </c>
      <c r="C2462" s="9" t="s">
        <v>1183</v>
      </c>
      <c r="D2462" s="1" t="s">
        <v>3606</v>
      </c>
      <c r="E2462" s="4">
        <v>4400.0</v>
      </c>
      <c r="F2462" s="4"/>
      <c r="G2462" s="4"/>
      <c r="H2462" s="4">
        <f>'data on outstanding creditors'!$E2462-'data on outstanding creditors'!$F2462-'data on outstanding creditors'!$G2462</f>
        <v>4400</v>
      </c>
      <c r="I2462" s="2"/>
      <c r="J2462" s="1"/>
      <c r="K2462" s="2"/>
      <c r="L2462" s="5"/>
      <c r="M2462" s="9" t="s">
        <v>43</v>
      </c>
      <c r="N2462" s="9" t="s">
        <v>49</v>
      </c>
      <c r="O2462" s="10">
        <f>'data on outstanding creditors'!$E2462*100/107</f>
        <v>4112.149533</v>
      </c>
      <c r="P2462" s="10">
        <f>'data on outstanding creditors'!$E2462-'data on outstanding creditors'!$O2462</f>
        <v>287.8504673</v>
      </c>
      <c r="Q2462" s="7">
        <f>DAY('data on outstanding creditors'!$B2462)</f>
        <v>19</v>
      </c>
      <c r="R2462" s="7">
        <f>MONTH('data on outstanding creditors'!$B2462)</f>
        <v>9</v>
      </c>
      <c r="S2462" s="7">
        <f>YEAR('data on outstanding creditors'!$B2462)</f>
        <v>2025</v>
      </c>
      <c r="T2462" s="11" t="str">
        <f>'data on outstanding creditors'!$C2462&amp;" "&amp;'data on outstanding creditors'!$D2462&amp;" "&amp;TEXT('data on outstanding creditors'!$E2462,"#,##0.00")</f>
        <v>บ.โซวิค 161650 4,400.00</v>
      </c>
      <c r="U2462" s="12"/>
    </row>
    <row r="2463" ht="13.5" customHeight="1">
      <c r="A2463" s="1" t="s">
        <v>3607</v>
      </c>
      <c r="B2463" s="2">
        <v>45919.0</v>
      </c>
      <c r="C2463" s="9" t="s">
        <v>1034</v>
      </c>
      <c r="D2463" s="1" t="s">
        <v>3608</v>
      </c>
      <c r="E2463" s="4">
        <v>3500.0</v>
      </c>
      <c r="F2463" s="4"/>
      <c r="G2463" s="4"/>
      <c r="H2463" s="4">
        <f>'data on outstanding creditors'!$E2463-'data on outstanding creditors'!$F2463-'data on outstanding creditors'!$G2463</f>
        <v>3500</v>
      </c>
      <c r="I2463" s="2"/>
      <c r="J2463" s="1"/>
      <c r="K2463" s="2"/>
      <c r="L2463" s="5"/>
      <c r="M2463" s="9" t="s">
        <v>43</v>
      </c>
      <c r="N2463" s="9" t="s">
        <v>49</v>
      </c>
      <c r="O2463" s="10">
        <f>'data on outstanding creditors'!$E2463*100/107</f>
        <v>3271.028037</v>
      </c>
      <c r="P2463" s="10">
        <f>'data on outstanding creditors'!$E2463-'data on outstanding creditors'!$O2463</f>
        <v>228.9719626</v>
      </c>
      <c r="Q2463" s="7">
        <f>DAY('data on outstanding creditors'!$B2463)</f>
        <v>19</v>
      </c>
      <c r="R2463" s="7">
        <f>MONTH('data on outstanding creditors'!$B2463)</f>
        <v>9</v>
      </c>
      <c r="S2463" s="7">
        <f>YEAR('data on outstanding creditors'!$B2463)</f>
        <v>2025</v>
      </c>
      <c r="T2463" s="11" t="str">
        <f>'data on outstanding creditors'!$C2463&amp;" "&amp;'data on outstanding creditors'!$D2463&amp;" "&amp;TEXT('data on outstanding creditors'!$E2463,"#,##0.00")</f>
        <v>บ.แบงค็อก เมดิคอลส์ โปร IV18335/68 3,500.00</v>
      </c>
      <c r="U2463" s="12"/>
    </row>
    <row r="2464" ht="13.5" customHeight="1">
      <c r="A2464" s="1" t="s">
        <v>3609</v>
      </c>
      <c r="B2464" s="2">
        <v>45919.0</v>
      </c>
      <c r="C2464" s="9" t="s">
        <v>1034</v>
      </c>
      <c r="D2464" s="1" t="s">
        <v>3610</v>
      </c>
      <c r="E2464" s="4">
        <v>650.0</v>
      </c>
      <c r="F2464" s="4"/>
      <c r="G2464" s="4"/>
      <c r="H2464" s="4">
        <f>'data on outstanding creditors'!$E2464-'data on outstanding creditors'!$F2464-'data on outstanding creditors'!$G2464</f>
        <v>650</v>
      </c>
      <c r="I2464" s="2"/>
      <c r="J2464" s="1"/>
      <c r="K2464" s="2"/>
      <c r="L2464" s="5"/>
      <c r="M2464" s="9" t="s">
        <v>43</v>
      </c>
      <c r="N2464" s="9" t="s">
        <v>49</v>
      </c>
      <c r="O2464" s="10">
        <f>'data on outstanding creditors'!$E2464*100/107</f>
        <v>607.4766355</v>
      </c>
      <c r="P2464" s="10">
        <f>'data on outstanding creditors'!$E2464-'data on outstanding creditors'!$O2464</f>
        <v>42.52336449</v>
      </c>
      <c r="Q2464" s="7">
        <f>DAY('data on outstanding creditors'!$B2464)</f>
        <v>19</v>
      </c>
      <c r="R2464" s="7">
        <f>MONTH('data on outstanding creditors'!$B2464)</f>
        <v>9</v>
      </c>
      <c r="S2464" s="7">
        <f>YEAR('data on outstanding creditors'!$B2464)</f>
        <v>2025</v>
      </c>
      <c r="T2464" s="11" t="str">
        <f>'data on outstanding creditors'!$C2464&amp;" "&amp;'data on outstanding creditors'!$D2464&amp;" "&amp;TEXT('data on outstanding creditors'!$E2464,"#,##0.00")</f>
        <v>บ.แบงค็อก เมดิคอลส์ โปร IV18327/68 650.00</v>
      </c>
      <c r="U2464" s="12"/>
    </row>
    <row r="2465" ht="13.5" customHeight="1">
      <c r="A2465" s="1" t="s">
        <v>3611</v>
      </c>
      <c r="B2465" s="2">
        <v>45919.0</v>
      </c>
      <c r="C2465" s="9" t="s">
        <v>1034</v>
      </c>
      <c r="D2465" s="1" t="s">
        <v>3612</v>
      </c>
      <c r="E2465" s="4">
        <v>8550.0</v>
      </c>
      <c r="F2465" s="4"/>
      <c r="G2465" s="4"/>
      <c r="H2465" s="4">
        <f>'data on outstanding creditors'!$E2465-'data on outstanding creditors'!$F2465-'data on outstanding creditors'!$G2465</f>
        <v>8550</v>
      </c>
      <c r="I2465" s="2"/>
      <c r="J2465" s="1"/>
      <c r="K2465" s="2"/>
      <c r="L2465" s="5"/>
      <c r="M2465" s="9" t="s">
        <v>43</v>
      </c>
      <c r="N2465" s="9" t="s">
        <v>49</v>
      </c>
      <c r="O2465" s="10">
        <f>'data on outstanding creditors'!$E2465*100/107</f>
        <v>7990.654206</v>
      </c>
      <c r="P2465" s="10">
        <f>'data on outstanding creditors'!$E2465-'data on outstanding creditors'!$O2465</f>
        <v>559.3457944</v>
      </c>
      <c r="Q2465" s="7">
        <f>DAY('data on outstanding creditors'!$B2465)</f>
        <v>19</v>
      </c>
      <c r="R2465" s="7">
        <f>MONTH('data on outstanding creditors'!$B2465)</f>
        <v>9</v>
      </c>
      <c r="S2465" s="7">
        <f>YEAR('data on outstanding creditors'!$B2465)</f>
        <v>2025</v>
      </c>
      <c r="T2465" s="11" t="str">
        <f>'data on outstanding creditors'!$C2465&amp;" "&amp;'data on outstanding creditors'!$D2465&amp;" "&amp;TEXT('data on outstanding creditors'!$E2465,"#,##0.00")</f>
        <v>บ.แบงค็อก เมดิคอลส์ โปร IV18328/68 8,550.00</v>
      </c>
      <c r="U2465" s="12"/>
    </row>
    <row r="2466" ht="13.5" customHeight="1">
      <c r="A2466" s="1" t="s">
        <v>3613</v>
      </c>
      <c r="B2466" s="2">
        <v>45919.0</v>
      </c>
      <c r="C2466" s="9" t="s">
        <v>3614</v>
      </c>
      <c r="D2466" s="1" t="s">
        <v>3615</v>
      </c>
      <c r="E2466" s="4">
        <v>4000.0</v>
      </c>
      <c r="F2466" s="4"/>
      <c r="G2466" s="4"/>
      <c r="H2466" s="4">
        <f>'data on outstanding creditors'!$E2466-'data on outstanding creditors'!$F2466-'data on outstanding creditors'!$G2466</f>
        <v>4000</v>
      </c>
      <c r="I2466" s="2"/>
      <c r="J2466" s="1"/>
      <c r="K2466" s="2"/>
      <c r="L2466" s="5"/>
      <c r="M2466" s="9" t="s">
        <v>43</v>
      </c>
      <c r="N2466" s="9" t="s">
        <v>49</v>
      </c>
      <c r="O2466" s="10">
        <f>'data on outstanding creditors'!$E2466*100/107</f>
        <v>3738.317757</v>
      </c>
      <c r="P2466" s="10">
        <f>'data on outstanding creditors'!$E2466-'data on outstanding creditors'!$O2466</f>
        <v>261.682243</v>
      </c>
      <c r="Q2466" s="7">
        <f>DAY('data on outstanding creditors'!$B2466)</f>
        <v>19</v>
      </c>
      <c r="R2466" s="7">
        <f>MONTH('data on outstanding creditors'!$B2466)</f>
        <v>9</v>
      </c>
      <c r="S2466" s="7">
        <f>YEAR('data on outstanding creditors'!$B2466)</f>
        <v>2025</v>
      </c>
      <c r="T2466" s="11" t="str">
        <f>'data on outstanding creditors'!$C2466&amp;" "&amp;'data on outstanding creditors'!$D2466&amp;" "&amp;TEXT('data on outstanding creditors'!$E2466,"#,##0.00")</f>
        <v>บ.อัมรินทร์ เมดิคอล 6809/026 4,000.00</v>
      </c>
      <c r="U2466" s="12"/>
    </row>
    <row r="2467" ht="13.5" customHeight="1">
      <c r="A2467" s="1" t="s">
        <v>3616</v>
      </c>
      <c r="B2467" s="2">
        <v>45919.0</v>
      </c>
      <c r="C2467" s="9" t="s">
        <v>3614</v>
      </c>
      <c r="D2467" s="1" t="s">
        <v>3617</v>
      </c>
      <c r="E2467" s="4">
        <v>4000.0</v>
      </c>
      <c r="F2467" s="4"/>
      <c r="G2467" s="4"/>
      <c r="H2467" s="4">
        <f>'data on outstanding creditors'!$E2467-'data on outstanding creditors'!$F2467-'data on outstanding creditors'!$G2467</f>
        <v>4000</v>
      </c>
      <c r="I2467" s="2"/>
      <c r="J2467" s="1"/>
      <c r="K2467" s="2"/>
      <c r="L2467" s="5"/>
      <c r="M2467" s="9" t="s">
        <v>43</v>
      </c>
      <c r="N2467" s="9" t="s">
        <v>49</v>
      </c>
      <c r="O2467" s="10">
        <f>'data on outstanding creditors'!$E2467*100/107</f>
        <v>3738.317757</v>
      </c>
      <c r="P2467" s="10">
        <f>'data on outstanding creditors'!$E2467-'data on outstanding creditors'!$O2467</f>
        <v>261.682243</v>
      </c>
      <c r="Q2467" s="7">
        <f>DAY('data on outstanding creditors'!$B2467)</f>
        <v>19</v>
      </c>
      <c r="R2467" s="7">
        <f>MONTH('data on outstanding creditors'!$B2467)</f>
        <v>9</v>
      </c>
      <c r="S2467" s="7">
        <f>YEAR('data on outstanding creditors'!$B2467)</f>
        <v>2025</v>
      </c>
      <c r="T2467" s="11" t="str">
        <f>'data on outstanding creditors'!$C2467&amp;" "&amp;'data on outstanding creditors'!$D2467&amp;" "&amp;TEXT('data on outstanding creditors'!$E2467,"#,##0.00")</f>
        <v>บ.อัมรินทร์ เมดิคอล 6809/025 4,000.00</v>
      </c>
      <c r="U2467" s="12"/>
    </row>
    <row r="2468" ht="13.5" customHeight="1">
      <c r="A2468" s="1" t="s">
        <v>3618</v>
      </c>
      <c r="B2468" s="2">
        <v>45919.0</v>
      </c>
      <c r="C2468" s="9" t="s">
        <v>1029</v>
      </c>
      <c r="D2468" s="1" t="s">
        <v>3619</v>
      </c>
      <c r="E2468" s="4">
        <v>17300.0</v>
      </c>
      <c r="F2468" s="4"/>
      <c r="G2468" s="4"/>
      <c r="H2468" s="4">
        <f>'data on outstanding creditors'!$E2468-'data on outstanding creditors'!$F2468-'data on outstanding creditors'!$G2468</f>
        <v>17300</v>
      </c>
      <c r="I2468" s="2"/>
      <c r="J2468" s="1"/>
      <c r="K2468" s="2"/>
      <c r="L2468" s="5"/>
      <c r="M2468" s="9" t="s">
        <v>43</v>
      </c>
      <c r="N2468" s="9" t="s">
        <v>49</v>
      </c>
      <c r="O2468" s="10">
        <f>'data on outstanding creditors'!$E2468*100/107</f>
        <v>16168.2243</v>
      </c>
      <c r="P2468" s="10">
        <f>'data on outstanding creditors'!$E2468-'data on outstanding creditors'!$O2468</f>
        <v>1131.775701</v>
      </c>
      <c r="Q2468" s="7">
        <f>DAY('data on outstanding creditors'!$B2468)</f>
        <v>19</v>
      </c>
      <c r="R2468" s="7">
        <f>MONTH('data on outstanding creditors'!$B2468)</f>
        <v>9</v>
      </c>
      <c r="S2468" s="7">
        <f>YEAR('data on outstanding creditors'!$B2468)</f>
        <v>2025</v>
      </c>
      <c r="T2468" s="11" t="str">
        <f>'data on outstanding creditors'!$C2468&amp;" "&amp;'data on outstanding creditors'!$D2468&amp;" "&amp;TEXT('data on outstanding creditors'!$E2468,"#,##0.00")</f>
        <v>บ.เอเทค เมดิคอล IV6809352 17,300.00</v>
      </c>
      <c r="U2468" s="12"/>
    </row>
    <row r="2469" ht="13.5" customHeight="1">
      <c r="A2469" s="1" t="s">
        <v>3620</v>
      </c>
      <c r="B2469" s="2">
        <v>45919.0</v>
      </c>
      <c r="C2469" s="9" t="s">
        <v>1029</v>
      </c>
      <c r="D2469" s="1" t="s">
        <v>3621</v>
      </c>
      <c r="E2469" s="4">
        <v>18200.0</v>
      </c>
      <c r="F2469" s="4"/>
      <c r="G2469" s="4"/>
      <c r="H2469" s="4">
        <f>'data on outstanding creditors'!$E2469-'data on outstanding creditors'!$F2469-'data on outstanding creditors'!$G2469</f>
        <v>18200</v>
      </c>
      <c r="I2469" s="2"/>
      <c r="J2469" s="1"/>
      <c r="K2469" s="2"/>
      <c r="L2469" s="5"/>
      <c r="M2469" s="9" t="s">
        <v>43</v>
      </c>
      <c r="N2469" s="9" t="s">
        <v>49</v>
      </c>
      <c r="O2469" s="10">
        <f>'data on outstanding creditors'!$E2469*100/107</f>
        <v>17009.34579</v>
      </c>
      <c r="P2469" s="10">
        <f>'data on outstanding creditors'!$E2469-'data on outstanding creditors'!$O2469</f>
        <v>1190.654206</v>
      </c>
      <c r="Q2469" s="7">
        <f>DAY('data on outstanding creditors'!$B2469)</f>
        <v>19</v>
      </c>
      <c r="R2469" s="7">
        <f>MONTH('data on outstanding creditors'!$B2469)</f>
        <v>9</v>
      </c>
      <c r="S2469" s="7">
        <f>YEAR('data on outstanding creditors'!$B2469)</f>
        <v>2025</v>
      </c>
      <c r="T2469" s="11" t="str">
        <f>'data on outstanding creditors'!$C2469&amp;" "&amp;'data on outstanding creditors'!$D2469&amp;" "&amp;TEXT('data on outstanding creditors'!$E2469,"#,##0.00")</f>
        <v>บ.เอเทค เมดิคอล IV6809360 18,200.00</v>
      </c>
      <c r="U2469" s="12"/>
    </row>
    <row r="2470" ht="13.5" customHeight="1">
      <c r="A2470" s="1" t="s">
        <v>3622</v>
      </c>
      <c r="B2470" s="2">
        <v>45919.0</v>
      </c>
      <c r="C2470" s="9" t="s">
        <v>520</v>
      </c>
      <c r="D2470" s="1" t="s">
        <v>3623</v>
      </c>
      <c r="E2470" s="4">
        <v>44940.0</v>
      </c>
      <c r="F2470" s="4"/>
      <c r="G2470" s="4"/>
      <c r="H2470" s="4">
        <f>'data on outstanding creditors'!$E2470-'data on outstanding creditors'!$F2470-'data on outstanding creditors'!$G2470</f>
        <v>44940</v>
      </c>
      <c r="I2470" s="2"/>
      <c r="J2470" s="1"/>
      <c r="K2470" s="2"/>
      <c r="L2470" s="5" t="s">
        <v>758</v>
      </c>
      <c r="M2470" s="9" t="s">
        <v>43</v>
      </c>
      <c r="N2470" s="9" t="s">
        <v>49</v>
      </c>
      <c r="O2470" s="10">
        <f>'data on outstanding creditors'!$E2470*100/107</f>
        <v>42000</v>
      </c>
      <c r="P2470" s="10">
        <f>'data on outstanding creditors'!$E2470-'data on outstanding creditors'!$O2470</f>
        <v>2940</v>
      </c>
      <c r="Q2470" s="7">
        <f>DAY('data on outstanding creditors'!$B2470)</f>
        <v>19</v>
      </c>
      <c r="R2470" s="7">
        <f>MONTH('data on outstanding creditors'!$B2470)</f>
        <v>9</v>
      </c>
      <c r="S2470" s="7">
        <f>YEAR('data on outstanding creditors'!$B2470)</f>
        <v>2025</v>
      </c>
      <c r="T2470" s="11" t="str">
        <f>'data on outstanding creditors'!$C2470&amp;" "&amp;'data on outstanding creditors'!$D2470&amp;" "&amp;TEXT('data on outstanding creditors'!$E2470,"#,##0.00")</f>
        <v>บ.ซิลลิคฟาร์มา 1318262260 44,940.00</v>
      </c>
      <c r="U2470" s="12"/>
    </row>
    <row r="2471" ht="13.5" customHeight="1">
      <c r="A2471" s="1" t="s">
        <v>3624</v>
      </c>
      <c r="B2471" s="2">
        <v>45922.0</v>
      </c>
      <c r="C2471" s="9" t="s">
        <v>1034</v>
      </c>
      <c r="D2471" s="1" t="s">
        <v>3625</v>
      </c>
      <c r="E2471" s="4">
        <v>3300.0</v>
      </c>
      <c r="F2471" s="4"/>
      <c r="G2471" s="4"/>
      <c r="H2471" s="4">
        <f>'data on outstanding creditors'!$E2471-'data on outstanding creditors'!$F2471-'data on outstanding creditors'!$G2471</f>
        <v>3300</v>
      </c>
      <c r="I2471" s="2"/>
      <c r="J2471" s="1"/>
      <c r="K2471" s="2"/>
      <c r="L2471" s="5"/>
      <c r="M2471" s="9" t="s">
        <v>43</v>
      </c>
      <c r="N2471" s="9" t="s">
        <v>49</v>
      </c>
      <c r="O2471" s="10">
        <f>'data on outstanding creditors'!$E2471*100/107</f>
        <v>3084.11215</v>
      </c>
      <c r="P2471" s="10">
        <f>'data on outstanding creditors'!$E2471-'data on outstanding creditors'!$O2471</f>
        <v>215.8878505</v>
      </c>
      <c r="Q2471" s="7">
        <f>DAY('data on outstanding creditors'!$B2471)</f>
        <v>22</v>
      </c>
      <c r="R2471" s="7">
        <f>MONTH('data on outstanding creditors'!$B2471)</f>
        <v>9</v>
      </c>
      <c r="S2471" s="7">
        <f>YEAR('data on outstanding creditors'!$B2471)</f>
        <v>2025</v>
      </c>
      <c r="T2471" s="11" t="str">
        <f>'data on outstanding creditors'!$C2471&amp;" "&amp;'data on outstanding creditors'!$D2471&amp;" "&amp;TEXT('data on outstanding creditors'!$E2471,"#,##0.00")</f>
        <v>บ.แบงค็อก เมดิคอลส์ โปร IV18376/68 3,300.00</v>
      </c>
      <c r="U2471" s="12"/>
    </row>
    <row r="2472" ht="13.5" customHeight="1">
      <c r="A2472" s="1" t="s">
        <v>3626</v>
      </c>
      <c r="B2472" s="2">
        <v>45922.0</v>
      </c>
      <c r="C2472" s="9" t="s">
        <v>286</v>
      </c>
      <c r="D2472" s="1" t="s">
        <v>3627</v>
      </c>
      <c r="E2472" s="4">
        <v>5000.0</v>
      </c>
      <c r="F2472" s="4"/>
      <c r="G2472" s="4"/>
      <c r="H2472" s="4">
        <f>'data on outstanding creditors'!$E2472-'data on outstanding creditors'!$F2472-'data on outstanding creditors'!$G2472</f>
        <v>5000</v>
      </c>
      <c r="I2472" s="2"/>
      <c r="J2472" s="1"/>
      <c r="K2472" s="2"/>
      <c r="L2472" s="5"/>
      <c r="M2472" s="9" t="s">
        <v>43</v>
      </c>
      <c r="N2472" s="9" t="s">
        <v>49</v>
      </c>
      <c r="O2472" s="10">
        <f>'data on outstanding creditors'!$E2472*100/107</f>
        <v>4672.897196</v>
      </c>
      <c r="P2472" s="10">
        <f>'data on outstanding creditors'!$E2472-'data on outstanding creditors'!$O2472</f>
        <v>327.1028037</v>
      </c>
      <c r="Q2472" s="7">
        <f>DAY('data on outstanding creditors'!$B2472)</f>
        <v>22</v>
      </c>
      <c r="R2472" s="7">
        <f>MONTH('data on outstanding creditors'!$B2472)</f>
        <v>9</v>
      </c>
      <c r="S2472" s="7">
        <f>YEAR('data on outstanding creditors'!$B2472)</f>
        <v>2025</v>
      </c>
      <c r="T2472" s="11" t="str">
        <f>'data on outstanding creditors'!$C2472&amp;" "&amp;'data on outstanding creditors'!$D2472&amp;" "&amp;TEXT('data on outstanding creditors'!$E2472,"#,##0.00")</f>
        <v>บ.เอ็ม ดี ซี (ประเทศไทย) IV25090480 5,000.00</v>
      </c>
      <c r="U2472" s="12"/>
    </row>
    <row r="2473" ht="13.5" customHeight="1">
      <c r="A2473" s="1"/>
      <c r="B2473" s="2">
        <v>45922.0</v>
      </c>
      <c r="C2473" s="9" t="s">
        <v>2510</v>
      </c>
      <c r="D2473" s="1" t="s">
        <v>3628</v>
      </c>
      <c r="E2473" s="4">
        <v>4950.0</v>
      </c>
      <c r="F2473" s="4"/>
      <c r="G2473" s="4"/>
      <c r="H2473" s="4">
        <f>'data on outstanding creditors'!$E2473-'data on outstanding creditors'!$F2473-'data on outstanding creditors'!$G2473</f>
        <v>4950</v>
      </c>
      <c r="I2473" s="2"/>
      <c r="J2473" s="1"/>
      <c r="K2473" s="2"/>
      <c r="L2473" s="5"/>
      <c r="M2473" s="9" t="s">
        <v>43</v>
      </c>
      <c r="N2473" s="9" t="s">
        <v>23</v>
      </c>
      <c r="O2473" s="10">
        <f>'data on outstanding creditors'!$E2473*100/107</f>
        <v>4626.168224</v>
      </c>
      <c r="P2473" s="10">
        <f>'data on outstanding creditors'!$E2473-'data on outstanding creditors'!$O2473</f>
        <v>323.8317757</v>
      </c>
      <c r="Q2473" s="7">
        <f>DAY('data on outstanding creditors'!$B2473)</f>
        <v>22</v>
      </c>
      <c r="R2473" s="7">
        <f>MONTH('data on outstanding creditors'!$B2473)</f>
        <v>9</v>
      </c>
      <c r="S2473" s="7">
        <f>YEAR('data on outstanding creditors'!$B2473)</f>
        <v>2025</v>
      </c>
      <c r="T2473" s="11" t="str">
        <f>'data on outstanding creditors'!$C2473&amp;" "&amp;'data on outstanding creditors'!$D2473&amp;" "&amp;TEXT('data on outstanding creditors'!$E2473,"#,##0.00")</f>
        <v>บ.อินเตอร์ เมดิคอล 6804735 4,950.00</v>
      </c>
      <c r="U2473" s="12"/>
    </row>
    <row r="2474" ht="13.5" customHeight="1">
      <c r="A2474" s="1"/>
      <c r="B2474" s="2">
        <v>45922.0</v>
      </c>
      <c r="C2474" s="9" t="s">
        <v>399</v>
      </c>
      <c r="D2474" s="1" t="s">
        <v>3629</v>
      </c>
      <c r="E2474" s="4">
        <v>10700.0</v>
      </c>
      <c r="F2474" s="4"/>
      <c r="G2474" s="4"/>
      <c r="H2474" s="4">
        <f>'data on outstanding creditors'!$E2474-'data on outstanding creditors'!$F2474-'data on outstanding creditors'!$G2474</f>
        <v>10700</v>
      </c>
      <c r="I2474" s="2"/>
      <c r="J2474" s="1"/>
      <c r="K2474" s="2"/>
      <c r="L2474" s="5"/>
      <c r="M2474" s="9" t="s">
        <v>43</v>
      </c>
      <c r="N2474" s="9" t="s">
        <v>23</v>
      </c>
      <c r="O2474" s="10">
        <f>'data on outstanding creditors'!$E2474*100/107</f>
        <v>10000</v>
      </c>
      <c r="P2474" s="10">
        <f>'data on outstanding creditors'!$E2474-'data on outstanding creditors'!$O2474</f>
        <v>700</v>
      </c>
      <c r="Q2474" s="7">
        <f>DAY('data on outstanding creditors'!$B2474)</f>
        <v>22</v>
      </c>
      <c r="R2474" s="7">
        <f>MONTH('data on outstanding creditors'!$B2474)</f>
        <v>9</v>
      </c>
      <c r="S2474" s="7">
        <f>YEAR('data on outstanding creditors'!$B2474)</f>
        <v>2025</v>
      </c>
      <c r="T2474" s="11" t="str">
        <f>'data on outstanding creditors'!$C2474&amp;" "&amp;'data on outstanding creditors'!$D2474&amp;" "&amp;TEXT('data on outstanding creditors'!$E2474,"#,##0.00")</f>
        <v>บ.ดีเคเอสเอช(ประเทศไทย) 5344346496 10,700.00</v>
      </c>
      <c r="U2474" s="12"/>
    </row>
    <row r="2475" ht="13.5" customHeight="1">
      <c r="A2475" s="1"/>
      <c r="B2475" s="2">
        <v>45922.0</v>
      </c>
      <c r="C2475" s="9" t="s">
        <v>399</v>
      </c>
      <c r="D2475" s="1" t="s">
        <v>3630</v>
      </c>
      <c r="E2475" s="4">
        <v>9630.0</v>
      </c>
      <c r="F2475" s="4"/>
      <c r="G2475" s="4"/>
      <c r="H2475" s="4">
        <f>'data on outstanding creditors'!$E2475-'data on outstanding creditors'!$F2475-'data on outstanding creditors'!$G2475</f>
        <v>9630</v>
      </c>
      <c r="I2475" s="2"/>
      <c r="J2475" s="1"/>
      <c r="K2475" s="2"/>
      <c r="L2475" s="5"/>
      <c r="M2475" s="9" t="s">
        <v>43</v>
      </c>
      <c r="N2475" s="9" t="s">
        <v>23</v>
      </c>
      <c r="O2475" s="10">
        <f>'data on outstanding creditors'!$E2475*100/107</f>
        <v>9000</v>
      </c>
      <c r="P2475" s="10">
        <f>'data on outstanding creditors'!$E2475-'data on outstanding creditors'!$O2475</f>
        <v>630</v>
      </c>
      <c r="Q2475" s="7">
        <f>DAY('data on outstanding creditors'!$B2475)</f>
        <v>22</v>
      </c>
      <c r="R2475" s="7">
        <f>MONTH('data on outstanding creditors'!$B2475)</f>
        <v>9</v>
      </c>
      <c r="S2475" s="7">
        <f>YEAR('data on outstanding creditors'!$B2475)</f>
        <v>2025</v>
      </c>
      <c r="T2475" s="11" t="str">
        <f>'data on outstanding creditors'!$C2475&amp;" "&amp;'data on outstanding creditors'!$D2475&amp;" "&amp;TEXT('data on outstanding creditors'!$E2475,"#,##0.00")</f>
        <v>บ.ดีเคเอสเอช(ประเทศไทย) 5344356445 9,630.00</v>
      </c>
      <c r="U2475" s="12"/>
    </row>
    <row r="2476" ht="13.5" customHeight="1">
      <c r="A2476" s="1"/>
      <c r="B2476" s="2">
        <v>45922.0</v>
      </c>
      <c r="C2476" s="9" t="s">
        <v>399</v>
      </c>
      <c r="D2476" s="1" t="s">
        <v>3631</v>
      </c>
      <c r="E2476" s="4">
        <v>2054.4</v>
      </c>
      <c r="F2476" s="4"/>
      <c r="G2476" s="4"/>
      <c r="H2476" s="4">
        <f>'data on outstanding creditors'!$E2476-'data on outstanding creditors'!$F2476-'data on outstanding creditors'!$G2476</f>
        <v>2054.4</v>
      </c>
      <c r="I2476" s="2"/>
      <c r="J2476" s="1"/>
      <c r="K2476" s="2"/>
      <c r="L2476" s="5"/>
      <c r="M2476" s="9" t="s">
        <v>43</v>
      </c>
      <c r="N2476" s="9" t="s">
        <v>23</v>
      </c>
      <c r="O2476" s="10">
        <f>'data on outstanding creditors'!$E2476*100/107</f>
        <v>1920</v>
      </c>
      <c r="P2476" s="10">
        <f>'data on outstanding creditors'!$E2476-'data on outstanding creditors'!$O2476</f>
        <v>134.4</v>
      </c>
      <c r="Q2476" s="7">
        <f>DAY('data on outstanding creditors'!$B2476)</f>
        <v>22</v>
      </c>
      <c r="R2476" s="7">
        <f>MONTH('data on outstanding creditors'!$B2476)</f>
        <v>9</v>
      </c>
      <c r="S2476" s="7">
        <f>YEAR('data on outstanding creditors'!$B2476)</f>
        <v>2025</v>
      </c>
      <c r="T2476" s="11" t="str">
        <f>'data on outstanding creditors'!$C2476&amp;" "&amp;'data on outstanding creditors'!$D2476&amp;" "&amp;TEXT('data on outstanding creditors'!$E2476,"#,##0.00")</f>
        <v>บ.ดีเคเอสเอช(ประเทศไทย) 5344388573 2,054.40</v>
      </c>
      <c r="U2476" s="12"/>
    </row>
    <row r="2477" ht="13.5" customHeight="1">
      <c r="A2477" s="1"/>
      <c r="B2477" s="2">
        <v>45922.0</v>
      </c>
      <c r="C2477" s="9" t="s">
        <v>399</v>
      </c>
      <c r="D2477" s="1" t="s">
        <v>3632</v>
      </c>
      <c r="E2477" s="4">
        <v>35952.0</v>
      </c>
      <c r="F2477" s="4"/>
      <c r="G2477" s="4"/>
      <c r="H2477" s="4">
        <f>'data on outstanding creditors'!$E2477-'data on outstanding creditors'!$F2477-'data on outstanding creditors'!$G2477</f>
        <v>35952</v>
      </c>
      <c r="I2477" s="2"/>
      <c r="J2477" s="1" t="s">
        <v>757</v>
      </c>
      <c r="K2477" s="2">
        <v>45951.0</v>
      </c>
      <c r="L2477" s="5"/>
      <c r="M2477" s="9" t="s">
        <v>43</v>
      </c>
      <c r="N2477" s="9" t="s">
        <v>23</v>
      </c>
      <c r="O2477" s="10">
        <f>'data on outstanding creditors'!$E2477*100/107</f>
        <v>33600</v>
      </c>
      <c r="P2477" s="10">
        <f>'data on outstanding creditors'!$E2477-'data on outstanding creditors'!$O2477</f>
        <v>2352</v>
      </c>
      <c r="Q2477" s="7">
        <f>DAY('data on outstanding creditors'!$B2477)</f>
        <v>22</v>
      </c>
      <c r="R2477" s="7">
        <f>MONTH('data on outstanding creditors'!$B2477)</f>
        <v>9</v>
      </c>
      <c r="S2477" s="7">
        <f>YEAR('data on outstanding creditors'!$B2477)</f>
        <v>2025</v>
      </c>
      <c r="T2477" s="11" t="str">
        <f>'data on outstanding creditors'!$C2477&amp;" "&amp;'data on outstanding creditors'!$D2477&amp;" "&amp;TEXT('data on outstanding creditors'!$E2477,"#,##0.00")</f>
        <v>บ.ดีเคเอสเอช(ประเทศไทย) 5344397006 35,952.00</v>
      </c>
      <c r="U2477" s="12"/>
    </row>
    <row r="2478" ht="13.5" customHeight="1">
      <c r="A2478" s="1" t="s">
        <v>3633</v>
      </c>
      <c r="B2478" s="2">
        <v>45922.0</v>
      </c>
      <c r="C2478" s="9" t="s">
        <v>1029</v>
      </c>
      <c r="D2478" s="1" t="s">
        <v>3634</v>
      </c>
      <c r="E2478" s="4">
        <v>11400.0</v>
      </c>
      <c r="F2478" s="4"/>
      <c r="G2478" s="4"/>
      <c r="H2478" s="4">
        <f>'data on outstanding creditors'!$E2478-'data on outstanding creditors'!$F2478-'data on outstanding creditors'!$G2478</f>
        <v>11400</v>
      </c>
      <c r="I2478" s="2"/>
      <c r="J2478" s="1"/>
      <c r="K2478" s="2"/>
      <c r="L2478" s="5"/>
      <c r="M2478" s="9" t="s">
        <v>43</v>
      </c>
      <c r="N2478" s="9" t="s">
        <v>49</v>
      </c>
      <c r="O2478" s="10">
        <f>'data on outstanding creditors'!$E2478*100/107</f>
        <v>10654.20561</v>
      </c>
      <c r="P2478" s="10">
        <f>'data on outstanding creditors'!$E2478-'data on outstanding creditors'!$O2478</f>
        <v>745.7943925</v>
      </c>
      <c r="Q2478" s="7">
        <f>DAY('data on outstanding creditors'!$B2478)</f>
        <v>22</v>
      </c>
      <c r="R2478" s="7">
        <f>MONTH('data on outstanding creditors'!$B2478)</f>
        <v>9</v>
      </c>
      <c r="S2478" s="7">
        <f>YEAR('data on outstanding creditors'!$B2478)</f>
        <v>2025</v>
      </c>
      <c r="T2478" s="11" t="str">
        <f>'data on outstanding creditors'!$C2478&amp;" "&amp;'data on outstanding creditors'!$D2478&amp;" "&amp;TEXT('data on outstanding creditors'!$E2478,"#,##0.00")</f>
        <v>บ.เอเทค เมดิคอล IV6809399 11,400.00</v>
      </c>
      <c r="U2478" s="12"/>
    </row>
    <row r="2479" ht="13.5" customHeight="1">
      <c r="A2479" s="1" t="s">
        <v>3635</v>
      </c>
      <c r="B2479" s="2">
        <v>45923.0</v>
      </c>
      <c r="C2479" s="9" t="s">
        <v>2440</v>
      </c>
      <c r="D2479" s="1" t="s">
        <v>3636</v>
      </c>
      <c r="E2479" s="4">
        <v>13640.0</v>
      </c>
      <c r="F2479" s="4"/>
      <c r="G2479" s="4"/>
      <c r="H2479" s="4">
        <f>'data on outstanding creditors'!$E2479-'data on outstanding creditors'!$F2479-'data on outstanding creditors'!$G2479</f>
        <v>13640</v>
      </c>
      <c r="I2479" s="2"/>
      <c r="J2479" s="1" t="s">
        <v>757</v>
      </c>
      <c r="K2479" s="2">
        <v>45965.0</v>
      </c>
      <c r="L2479" s="5"/>
      <c r="M2479" s="9" t="s">
        <v>43</v>
      </c>
      <c r="N2479" s="9" t="s">
        <v>49</v>
      </c>
      <c r="O2479" s="10">
        <f>'data on outstanding creditors'!$E2479*100/107</f>
        <v>12747.66355</v>
      </c>
      <c r="P2479" s="10">
        <f>'data on outstanding creditors'!$E2479-'data on outstanding creditors'!$O2479</f>
        <v>892.3364486</v>
      </c>
      <c r="Q2479" s="7">
        <f>DAY('data on outstanding creditors'!$B2479)</f>
        <v>23</v>
      </c>
      <c r="R2479" s="7">
        <f>MONTH('data on outstanding creditors'!$B2479)</f>
        <v>9</v>
      </c>
      <c r="S2479" s="7">
        <f>YEAR('data on outstanding creditors'!$B2479)</f>
        <v>2025</v>
      </c>
      <c r="T2479" s="11" t="str">
        <f>'data on outstanding creditors'!$C2479&amp;" "&amp;'data on outstanding creditors'!$D2479&amp;" "&amp;TEXT('data on outstanding creditors'!$E2479,"#,##0.00")</f>
        <v>บ.เออร์วิง คอร์ปอเรชั่น 160047196 13,640.00</v>
      </c>
      <c r="U2479" s="12"/>
    </row>
    <row r="2480" ht="13.5" customHeight="1">
      <c r="A2480" s="1" t="s">
        <v>3637</v>
      </c>
      <c r="B2480" s="2">
        <v>45923.0</v>
      </c>
      <c r="C2480" s="9" t="s">
        <v>1029</v>
      </c>
      <c r="D2480" s="1" t="s">
        <v>3638</v>
      </c>
      <c r="E2480" s="4">
        <v>13200.0</v>
      </c>
      <c r="F2480" s="4"/>
      <c r="G2480" s="4"/>
      <c r="H2480" s="4">
        <f>'data on outstanding creditors'!$E2480-'data on outstanding creditors'!$F2480-'data on outstanding creditors'!$G2480</f>
        <v>13200</v>
      </c>
      <c r="I2480" s="2"/>
      <c r="J2480" s="1"/>
      <c r="K2480" s="2"/>
      <c r="L2480" s="5"/>
      <c r="M2480" s="9" t="s">
        <v>43</v>
      </c>
      <c r="N2480" s="9" t="s">
        <v>49</v>
      </c>
      <c r="O2480" s="10">
        <f>'data on outstanding creditors'!$E2480*100/107</f>
        <v>12336.4486</v>
      </c>
      <c r="P2480" s="10">
        <f>'data on outstanding creditors'!$E2480-'data on outstanding creditors'!$O2480</f>
        <v>863.5514019</v>
      </c>
      <c r="Q2480" s="7">
        <f>DAY('data on outstanding creditors'!$B2480)</f>
        <v>23</v>
      </c>
      <c r="R2480" s="7">
        <f>MONTH('data on outstanding creditors'!$B2480)</f>
        <v>9</v>
      </c>
      <c r="S2480" s="7">
        <f>YEAR('data on outstanding creditors'!$B2480)</f>
        <v>2025</v>
      </c>
      <c r="T2480" s="11" t="str">
        <f>'data on outstanding creditors'!$C2480&amp;" "&amp;'data on outstanding creditors'!$D2480&amp;" "&amp;TEXT('data on outstanding creditors'!$E2480,"#,##0.00")</f>
        <v>บ.เอเทค เมดิคอล IV6809442 13,200.00</v>
      </c>
      <c r="U2480" s="12"/>
    </row>
    <row r="2481" ht="13.5" customHeight="1">
      <c r="A2481" s="1" t="s">
        <v>3639</v>
      </c>
      <c r="B2481" s="2">
        <v>45923.0</v>
      </c>
      <c r="C2481" s="9" t="s">
        <v>1029</v>
      </c>
      <c r="D2481" s="1" t="s">
        <v>3640</v>
      </c>
      <c r="E2481" s="4">
        <v>18200.0</v>
      </c>
      <c r="F2481" s="4"/>
      <c r="G2481" s="4"/>
      <c r="H2481" s="4">
        <f>'data on outstanding creditors'!$E2481-'data on outstanding creditors'!$F2481-'data on outstanding creditors'!$G2481</f>
        <v>18200</v>
      </c>
      <c r="I2481" s="2"/>
      <c r="J2481" s="1"/>
      <c r="K2481" s="2"/>
      <c r="L2481" s="5"/>
      <c r="M2481" s="9" t="s">
        <v>43</v>
      </c>
      <c r="N2481" s="9" t="s">
        <v>49</v>
      </c>
      <c r="O2481" s="10">
        <f>'data on outstanding creditors'!$E2481*100/107</f>
        <v>17009.34579</v>
      </c>
      <c r="P2481" s="10">
        <f>'data on outstanding creditors'!$E2481-'data on outstanding creditors'!$O2481</f>
        <v>1190.654206</v>
      </c>
      <c r="Q2481" s="7">
        <f>DAY('data on outstanding creditors'!$B2481)</f>
        <v>23</v>
      </c>
      <c r="R2481" s="7">
        <f>MONTH('data on outstanding creditors'!$B2481)</f>
        <v>9</v>
      </c>
      <c r="S2481" s="7">
        <f>YEAR('data on outstanding creditors'!$B2481)</f>
        <v>2025</v>
      </c>
      <c r="T2481" s="11" t="str">
        <f>'data on outstanding creditors'!$C2481&amp;" "&amp;'data on outstanding creditors'!$D2481&amp;" "&amp;TEXT('data on outstanding creditors'!$E2481,"#,##0.00")</f>
        <v>บ.เอเทค เมดิคอล IV6809441 18,200.00</v>
      </c>
      <c r="U2481" s="12"/>
    </row>
    <row r="2482" ht="13.5" customHeight="1">
      <c r="A2482" s="1" t="s">
        <v>3641</v>
      </c>
      <c r="B2482" s="2">
        <v>45924.0</v>
      </c>
      <c r="C2482" s="9" t="s">
        <v>2543</v>
      </c>
      <c r="D2482" s="1" t="s">
        <v>3642</v>
      </c>
      <c r="E2482" s="4">
        <v>55147.5</v>
      </c>
      <c r="F2482" s="4"/>
      <c r="G2482" s="4"/>
      <c r="H2482" s="4">
        <f>'data on outstanding creditors'!$E2482-'data on outstanding creditors'!$F2482-'data on outstanding creditors'!$G2482</f>
        <v>55147.5</v>
      </c>
      <c r="I2482" s="2"/>
      <c r="J2482" s="1"/>
      <c r="K2482" s="2"/>
      <c r="L2482" s="5"/>
      <c r="M2482" s="9" t="s">
        <v>43</v>
      </c>
      <c r="N2482" s="9" t="s">
        <v>49</v>
      </c>
      <c r="O2482" s="10">
        <f>'data on outstanding creditors'!$E2482*100/107</f>
        <v>51539.71963</v>
      </c>
      <c r="P2482" s="10">
        <f>'data on outstanding creditors'!$E2482-'data on outstanding creditors'!$O2482</f>
        <v>3607.780374</v>
      </c>
      <c r="Q2482" s="7">
        <f>DAY('data on outstanding creditors'!$B2482)</f>
        <v>24</v>
      </c>
      <c r="R2482" s="7">
        <f>MONTH('data on outstanding creditors'!$B2482)</f>
        <v>9</v>
      </c>
      <c r="S2482" s="7">
        <f>YEAR('data on outstanding creditors'!$B2482)</f>
        <v>2025</v>
      </c>
      <c r="T2482" s="11" t="str">
        <f>'data on outstanding creditors'!$C2482&amp;" "&amp;'data on outstanding creditors'!$D2482&amp;" "&amp;TEXT('data on outstanding creditors'!$E2482,"#,##0.00")</f>
        <v>บ.ไฮแวน เมดิคอล HV6805556 55,147.50</v>
      </c>
      <c r="U2482" s="12"/>
    </row>
    <row r="2483" ht="13.5" customHeight="1">
      <c r="A2483" s="1" t="s">
        <v>3643</v>
      </c>
      <c r="B2483" s="2">
        <v>45924.0</v>
      </c>
      <c r="C2483" s="9" t="s">
        <v>1320</v>
      </c>
      <c r="D2483" s="1" t="s">
        <v>3644</v>
      </c>
      <c r="E2483" s="4">
        <v>11900.0</v>
      </c>
      <c r="F2483" s="4"/>
      <c r="G2483" s="4"/>
      <c r="H2483" s="4">
        <f>'data on outstanding creditors'!$E2483-'data on outstanding creditors'!$F2483-'data on outstanding creditors'!$G2483</f>
        <v>11900</v>
      </c>
      <c r="I2483" s="2"/>
      <c r="J2483" s="1"/>
      <c r="K2483" s="2"/>
      <c r="L2483" s="5" t="s">
        <v>758</v>
      </c>
      <c r="M2483" s="9" t="s">
        <v>43</v>
      </c>
      <c r="N2483" s="9" t="s">
        <v>49</v>
      </c>
      <c r="O2483" s="10">
        <f>'data on outstanding creditors'!$E2483*100/107</f>
        <v>11121.49533</v>
      </c>
      <c r="P2483" s="10">
        <f>'data on outstanding creditors'!$E2483-'data on outstanding creditors'!$O2483</f>
        <v>778.5046729</v>
      </c>
      <c r="Q2483" s="7">
        <f>DAY('data on outstanding creditors'!$B2483)</f>
        <v>24</v>
      </c>
      <c r="R2483" s="7">
        <f>MONTH('data on outstanding creditors'!$B2483)</f>
        <v>9</v>
      </c>
      <c r="S2483" s="7">
        <f>YEAR('data on outstanding creditors'!$B2483)</f>
        <v>2025</v>
      </c>
      <c r="T2483" s="11" t="str">
        <f>'data on outstanding creditors'!$C2483&amp;" "&amp;'data on outstanding creditors'!$D2483&amp;" "&amp;TEXT('data on outstanding creditors'!$E2483,"#,##0.00")</f>
        <v>บ.บี.เอ็ล.ฮั้ว 68032107 11,900.00</v>
      </c>
      <c r="U2483" s="12"/>
    </row>
    <row r="2484" ht="13.5" customHeight="1">
      <c r="A2484" s="1"/>
      <c r="B2484" s="2">
        <v>45925.0</v>
      </c>
      <c r="C2484" s="9" t="s">
        <v>688</v>
      </c>
      <c r="D2484" s="1" t="s">
        <v>3645</v>
      </c>
      <c r="E2484" s="4">
        <v>66768.0</v>
      </c>
      <c r="F2484" s="4"/>
      <c r="G2484" s="4"/>
      <c r="H2484" s="4">
        <f>'data on outstanding creditors'!$E2484-'data on outstanding creditors'!$F2484-'data on outstanding creditors'!$G2484</f>
        <v>66768</v>
      </c>
      <c r="I2484" s="2"/>
      <c r="J2484" s="1"/>
      <c r="K2484" s="2"/>
      <c r="L2484" s="5"/>
      <c r="M2484" s="9" t="s">
        <v>43</v>
      </c>
      <c r="N2484" s="9" t="s">
        <v>23</v>
      </c>
      <c r="O2484" s="10">
        <f>'data on outstanding creditors'!$E2484*100/107</f>
        <v>62400</v>
      </c>
      <c r="P2484" s="10">
        <f>'data on outstanding creditors'!$E2484-'data on outstanding creditors'!$O2484</f>
        <v>4368</v>
      </c>
      <c r="Q2484" s="7">
        <f>DAY('data on outstanding creditors'!$B2484)</f>
        <v>25</v>
      </c>
      <c r="R2484" s="7">
        <f>MONTH('data on outstanding creditors'!$B2484)</f>
        <v>9</v>
      </c>
      <c r="S2484" s="7">
        <f>YEAR('data on outstanding creditors'!$B2484)</f>
        <v>2025</v>
      </c>
      <c r="T2484" s="11" t="str">
        <f>'data on outstanding creditors'!$C2484&amp;" "&amp;'data on outstanding creditors'!$D2484&amp;" "&amp;TEXT('data on outstanding creditors'!$E2484,"#,##0.00")</f>
        <v>บ.โอเร็กซ์ เทรดดิ้ง 680903104 66,768.00</v>
      </c>
      <c r="U2484" s="12"/>
    </row>
    <row r="2485" ht="13.5" customHeight="1">
      <c r="A2485" s="1" t="s">
        <v>3646</v>
      </c>
      <c r="B2485" s="2">
        <v>45925.0</v>
      </c>
      <c r="C2485" s="9" t="s">
        <v>1029</v>
      </c>
      <c r="D2485" s="1" t="s">
        <v>3647</v>
      </c>
      <c r="E2485" s="4">
        <v>18200.0</v>
      </c>
      <c r="F2485" s="4"/>
      <c r="G2485" s="4"/>
      <c r="H2485" s="4">
        <f>'data on outstanding creditors'!$E2485-'data on outstanding creditors'!$F2485-'data on outstanding creditors'!$G2485</f>
        <v>18200</v>
      </c>
      <c r="I2485" s="2"/>
      <c r="J2485" s="1"/>
      <c r="K2485" s="2"/>
      <c r="L2485" s="5"/>
      <c r="M2485" s="9" t="s">
        <v>43</v>
      </c>
      <c r="N2485" s="9" t="s">
        <v>49</v>
      </c>
      <c r="O2485" s="10">
        <f>'data on outstanding creditors'!$E2485*100/107</f>
        <v>17009.34579</v>
      </c>
      <c r="P2485" s="10">
        <f>'data on outstanding creditors'!$E2485-'data on outstanding creditors'!$O2485</f>
        <v>1190.654206</v>
      </c>
      <c r="Q2485" s="7">
        <f>DAY('data on outstanding creditors'!$B2485)</f>
        <v>25</v>
      </c>
      <c r="R2485" s="7">
        <f>MONTH('data on outstanding creditors'!$B2485)</f>
        <v>9</v>
      </c>
      <c r="S2485" s="7">
        <f>YEAR('data on outstanding creditors'!$B2485)</f>
        <v>2025</v>
      </c>
      <c r="T2485" s="11" t="str">
        <f>'data on outstanding creditors'!$C2485&amp;" "&amp;'data on outstanding creditors'!$D2485&amp;" "&amp;TEXT('data on outstanding creditors'!$E2485,"#,##0.00")</f>
        <v>บ.เอเทค เมดิคอล IV6809490 18,200.00</v>
      </c>
      <c r="U2485" s="12"/>
    </row>
    <row r="2486" ht="13.5" customHeight="1">
      <c r="A2486" s="1" t="s">
        <v>3648</v>
      </c>
      <c r="B2486" s="2">
        <v>45925.0</v>
      </c>
      <c r="C2486" s="9" t="s">
        <v>1029</v>
      </c>
      <c r="D2486" s="1" t="s">
        <v>3649</v>
      </c>
      <c r="E2486" s="4">
        <v>19100.0</v>
      </c>
      <c r="F2486" s="4"/>
      <c r="G2486" s="4"/>
      <c r="H2486" s="4">
        <f>'data on outstanding creditors'!$E2486-'data on outstanding creditors'!$F2486-'data on outstanding creditors'!$G2486</f>
        <v>19100</v>
      </c>
      <c r="I2486" s="2"/>
      <c r="J2486" s="1"/>
      <c r="K2486" s="2"/>
      <c r="L2486" s="5"/>
      <c r="M2486" s="9" t="s">
        <v>43</v>
      </c>
      <c r="N2486" s="9" t="s">
        <v>49</v>
      </c>
      <c r="O2486" s="10">
        <f>'data on outstanding creditors'!$E2486*100/107</f>
        <v>17850.46729</v>
      </c>
      <c r="P2486" s="10">
        <f>'data on outstanding creditors'!$E2486-'data on outstanding creditors'!$O2486</f>
        <v>1249.53271</v>
      </c>
      <c r="Q2486" s="7">
        <f>DAY('data on outstanding creditors'!$B2486)</f>
        <v>25</v>
      </c>
      <c r="R2486" s="7">
        <f>MONTH('data on outstanding creditors'!$B2486)</f>
        <v>9</v>
      </c>
      <c r="S2486" s="7">
        <f>YEAR('data on outstanding creditors'!$B2486)</f>
        <v>2025</v>
      </c>
      <c r="T2486" s="11" t="str">
        <f>'data on outstanding creditors'!$C2486&amp;" "&amp;'data on outstanding creditors'!$D2486&amp;" "&amp;TEXT('data on outstanding creditors'!$E2486,"#,##0.00")</f>
        <v>บ.เอเทค เมดิคอล IV6809491 19,100.00</v>
      </c>
      <c r="U2486" s="12"/>
    </row>
    <row r="2487" ht="13.5" customHeight="1">
      <c r="A2487" s="1" t="s">
        <v>3650</v>
      </c>
      <c r="B2487" s="2">
        <v>45925.0</v>
      </c>
      <c r="C2487" s="9" t="s">
        <v>2472</v>
      </c>
      <c r="D2487" s="1" t="s">
        <v>3651</v>
      </c>
      <c r="E2487" s="4">
        <v>32000.0</v>
      </c>
      <c r="F2487" s="4"/>
      <c r="G2487" s="4"/>
      <c r="H2487" s="4">
        <f>'data on outstanding creditors'!$E2487-'data on outstanding creditors'!$F2487-'data on outstanding creditors'!$G2487</f>
        <v>32000</v>
      </c>
      <c r="I2487" s="2"/>
      <c r="J2487" s="1"/>
      <c r="K2487" s="2"/>
      <c r="L2487" s="5"/>
      <c r="M2487" s="9" t="s">
        <v>43</v>
      </c>
      <c r="N2487" s="9" t="s">
        <v>49</v>
      </c>
      <c r="O2487" s="10">
        <f>'data on outstanding creditors'!$E2487*100/107</f>
        <v>29906.54206</v>
      </c>
      <c r="P2487" s="10">
        <f>'data on outstanding creditors'!$E2487-'data on outstanding creditors'!$O2487</f>
        <v>2093.457944</v>
      </c>
      <c r="Q2487" s="7">
        <f>DAY('data on outstanding creditors'!$B2487)</f>
        <v>25</v>
      </c>
      <c r="R2487" s="7">
        <f>MONTH('data on outstanding creditors'!$B2487)</f>
        <v>9</v>
      </c>
      <c r="S2487" s="7">
        <f>YEAR('data on outstanding creditors'!$B2487)</f>
        <v>2025</v>
      </c>
      <c r="T2487" s="11" t="str">
        <f>'data on outstanding creditors'!$C2487&amp;" "&amp;'data on outstanding creditors'!$D2487&amp;" "&amp;TEXT('data on outstanding creditors'!$E2487,"#,##0.00")</f>
        <v>บ.เอเมอร์สัน กรุ๊ป IV6809489 32,000.00</v>
      </c>
      <c r="U2487" s="12"/>
    </row>
    <row r="2488" ht="13.5" customHeight="1">
      <c r="A2488" s="1"/>
      <c r="B2488" s="2">
        <v>45926.0</v>
      </c>
      <c r="C2488" s="9" t="s">
        <v>520</v>
      </c>
      <c r="D2488" s="1" t="s">
        <v>3652</v>
      </c>
      <c r="E2488" s="4">
        <v>4280.0</v>
      </c>
      <c r="F2488" s="4"/>
      <c r="G2488" s="4"/>
      <c r="H2488" s="4">
        <f>'data on outstanding creditors'!$E2488-'data on outstanding creditors'!$F2488-'data on outstanding creditors'!$G2488</f>
        <v>4280</v>
      </c>
      <c r="I2488" s="2"/>
      <c r="J2488" s="1"/>
      <c r="K2488" s="2"/>
      <c r="L2488" s="5"/>
      <c r="M2488" s="9" t="s">
        <v>43</v>
      </c>
      <c r="N2488" s="9" t="s">
        <v>23</v>
      </c>
      <c r="O2488" s="10">
        <f>'data on outstanding creditors'!$E2488*100/107</f>
        <v>4000</v>
      </c>
      <c r="P2488" s="10">
        <f>'data on outstanding creditors'!$E2488-'data on outstanding creditors'!$O2488</f>
        <v>280</v>
      </c>
      <c r="Q2488" s="7">
        <f>DAY('data on outstanding creditors'!$B2488)</f>
        <v>26</v>
      </c>
      <c r="R2488" s="7">
        <f>MONTH('data on outstanding creditors'!$B2488)</f>
        <v>9</v>
      </c>
      <c r="S2488" s="7">
        <f>YEAR('data on outstanding creditors'!$B2488)</f>
        <v>2025</v>
      </c>
      <c r="T2488" s="11" t="str">
        <f>'data on outstanding creditors'!$C2488&amp;" "&amp;'data on outstanding creditors'!$D2488&amp;" "&amp;TEXT('data on outstanding creditors'!$E2488,"#,##0.00")</f>
        <v>บ.ซิลลิคฟาร์มา 1318229471 4,280.00</v>
      </c>
      <c r="U2488" s="12"/>
    </row>
    <row r="2489" ht="13.5" customHeight="1">
      <c r="A2489" s="1"/>
      <c r="B2489" s="2">
        <v>45926.0</v>
      </c>
      <c r="C2489" s="9" t="s">
        <v>688</v>
      </c>
      <c r="D2489" s="1" t="s">
        <v>3653</v>
      </c>
      <c r="E2489" s="4">
        <v>68480.0</v>
      </c>
      <c r="F2489" s="4"/>
      <c r="G2489" s="4"/>
      <c r="H2489" s="4">
        <f>'data on outstanding creditors'!$E2489-'data on outstanding creditors'!$F2489-'data on outstanding creditors'!$G2489</f>
        <v>68480</v>
      </c>
      <c r="I2489" s="2"/>
      <c r="J2489" s="1"/>
      <c r="K2489" s="2"/>
      <c r="L2489" s="5"/>
      <c r="M2489" s="9" t="s">
        <v>43</v>
      </c>
      <c r="N2489" s="9" t="s">
        <v>23</v>
      </c>
      <c r="O2489" s="10">
        <f>'data on outstanding creditors'!$E2489*100/107</f>
        <v>64000</v>
      </c>
      <c r="P2489" s="10">
        <f>'data on outstanding creditors'!$E2489-'data on outstanding creditors'!$O2489</f>
        <v>4480</v>
      </c>
      <c r="Q2489" s="7">
        <f>DAY('data on outstanding creditors'!$B2489)</f>
        <v>26</v>
      </c>
      <c r="R2489" s="7">
        <f>MONTH('data on outstanding creditors'!$B2489)</f>
        <v>9</v>
      </c>
      <c r="S2489" s="7">
        <f>YEAR('data on outstanding creditors'!$B2489)</f>
        <v>2025</v>
      </c>
      <c r="T2489" s="11" t="str">
        <f>'data on outstanding creditors'!$C2489&amp;" "&amp;'data on outstanding creditors'!$D2489&amp;" "&amp;TEXT('data on outstanding creditors'!$E2489,"#,##0.00")</f>
        <v>บ.โอเร็กซ์ เทรดดิ้ง 680903560 68,480.00</v>
      </c>
      <c r="U2489" s="12"/>
    </row>
    <row r="2490" ht="13.5" customHeight="1">
      <c r="A2490" s="1"/>
      <c r="B2490" s="2">
        <v>45926.0</v>
      </c>
      <c r="C2490" s="9" t="s">
        <v>399</v>
      </c>
      <c r="D2490" s="1" t="s">
        <v>3654</v>
      </c>
      <c r="E2490" s="4">
        <v>47957.4</v>
      </c>
      <c r="F2490" s="4"/>
      <c r="G2490" s="4"/>
      <c r="H2490" s="4">
        <f>'data on outstanding creditors'!$E2490-'data on outstanding creditors'!$F2490-'data on outstanding creditors'!$G2490</f>
        <v>47957.4</v>
      </c>
      <c r="I2490" s="2"/>
      <c r="J2490" s="1"/>
      <c r="K2490" s="2"/>
      <c r="L2490" s="5"/>
      <c r="M2490" s="9" t="s">
        <v>43</v>
      </c>
      <c r="N2490" s="9" t="s">
        <v>23</v>
      </c>
      <c r="O2490" s="10">
        <f>'data on outstanding creditors'!$E2490*100/107</f>
        <v>44820</v>
      </c>
      <c r="P2490" s="10">
        <f>'data on outstanding creditors'!$E2490-'data on outstanding creditors'!$O2490</f>
        <v>3137.4</v>
      </c>
      <c r="Q2490" s="7">
        <f>DAY('data on outstanding creditors'!$B2490)</f>
        <v>26</v>
      </c>
      <c r="R2490" s="7">
        <f>MONTH('data on outstanding creditors'!$B2490)</f>
        <v>9</v>
      </c>
      <c r="S2490" s="7">
        <f>YEAR('data on outstanding creditors'!$B2490)</f>
        <v>2025</v>
      </c>
      <c r="T2490" s="11" t="str">
        <f>'data on outstanding creditors'!$C2490&amp;" "&amp;'data on outstanding creditors'!$D2490&amp;" "&amp;TEXT('data on outstanding creditors'!$E2490,"#,##0.00")</f>
        <v>บ.ดีเคเอสเอช(ประเทศไทย) 5344424873 47,957.40</v>
      </c>
      <c r="U2490" s="12"/>
    </row>
    <row r="2491" ht="13.5" customHeight="1">
      <c r="A2491" s="1" t="s">
        <v>3655</v>
      </c>
      <c r="B2491" s="2">
        <v>45926.0</v>
      </c>
      <c r="C2491" s="9" t="s">
        <v>2315</v>
      </c>
      <c r="D2491" s="1" t="s">
        <v>3656</v>
      </c>
      <c r="E2491" s="4">
        <v>56000.0</v>
      </c>
      <c r="F2491" s="4"/>
      <c r="G2491" s="4"/>
      <c r="H2491" s="4">
        <f>'data on outstanding creditors'!$E2491-'data on outstanding creditors'!$F2491-'data on outstanding creditors'!$G2491</f>
        <v>56000</v>
      </c>
      <c r="I2491" s="2"/>
      <c r="J2491" s="1"/>
      <c r="K2491" s="2"/>
      <c r="L2491" s="5"/>
      <c r="M2491" s="9" t="s">
        <v>43</v>
      </c>
      <c r="N2491" s="9" t="s">
        <v>49</v>
      </c>
      <c r="O2491" s="10">
        <f>'data on outstanding creditors'!$E2491*100/107</f>
        <v>52336.4486</v>
      </c>
      <c r="P2491" s="10">
        <f>'data on outstanding creditors'!$E2491-'data on outstanding creditors'!$O2491</f>
        <v>3663.551402</v>
      </c>
      <c r="Q2491" s="7">
        <f>DAY('data on outstanding creditors'!$B2491)</f>
        <v>26</v>
      </c>
      <c r="R2491" s="7">
        <f>MONTH('data on outstanding creditors'!$B2491)</f>
        <v>9</v>
      </c>
      <c r="S2491" s="7">
        <f>YEAR('data on outstanding creditors'!$B2491)</f>
        <v>2025</v>
      </c>
      <c r="T2491" s="11" t="str">
        <f>'data on outstanding creditors'!$C2491&amp;" "&amp;'data on outstanding creditors'!$D2491&amp;" "&amp;TEXT('data on outstanding creditors'!$E2491,"#,##0.00")</f>
        <v>บ.เรียลเมดคอร์ป IV25094037 56,000.00</v>
      </c>
      <c r="U2491" s="12"/>
    </row>
    <row r="2492" ht="13.5" customHeight="1">
      <c r="A2492" s="1" t="s">
        <v>3657</v>
      </c>
      <c r="B2492" s="2">
        <v>45926.0</v>
      </c>
      <c r="C2492" s="9" t="s">
        <v>520</v>
      </c>
      <c r="D2492" s="1" t="s">
        <v>3658</v>
      </c>
      <c r="E2492" s="4">
        <v>27000.0</v>
      </c>
      <c r="F2492" s="4"/>
      <c r="G2492" s="4"/>
      <c r="H2492" s="4">
        <f>'data on outstanding creditors'!$E2492-'data on outstanding creditors'!$F2492-'data on outstanding creditors'!$G2492</f>
        <v>27000</v>
      </c>
      <c r="I2492" s="2"/>
      <c r="J2492" s="1"/>
      <c r="K2492" s="2"/>
      <c r="L2492" s="5"/>
      <c r="M2492" s="9" t="s">
        <v>43</v>
      </c>
      <c r="N2492" s="9" t="s">
        <v>49</v>
      </c>
      <c r="O2492" s="10">
        <f>'data on outstanding creditors'!$E2492*100/107</f>
        <v>25233.64486</v>
      </c>
      <c r="P2492" s="10">
        <f>'data on outstanding creditors'!$E2492-'data on outstanding creditors'!$O2492</f>
        <v>1766.35514</v>
      </c>
      <c r="Q2492" s="7">
        <f>DAY('data on outstanding creditors'!$B2492)</f>
        <v>26</v>
      </c>
      <c r="R2492" s="7">
        <f>MONTH('data on outstanding creditors'!$B2492)</f>
        <v>9</v>
      </c>
      <c r="S2492" s="7">
        <f>YEAR('data on outstanding creditors'!$B2492)</f>
        <v>2025</v>
      </c>
      <c r="T2492" s="11" t="str">
        <f>'data on outstanding creditors'!$C2492&amp;" "&amp;'data on outstanding creditors'!$D2492&amp;" "&amp;TEXT('data on outstanding creditors'!$E2492,"#,##0.00")</f>
        <v>บ.ซิลลิคฟาร์มา 1318281343 27,000.00</v>
      </c>
      <c r="U2492" s="12"/>
    </row>
    <row r="2493" ht="13.5" customHeight="1">
      <c r="A2493" s="1" t="s">
        <v>3659</v>
      </c>
      <c r="B2493" s="2">
        <v>45926.0</v>
      </c>
      <c r="C2493" s="9" t="s">
        <v>2283</v>
      </c>
      <c r="D2493" s="1" t="s">
        <v>3660</v>
      </c>
      <c r="E2493" s="4">
        <v>37660.0</v>
      </c>
      <c r="F2493" s="4"/>
      <c r="G2493" s="4"/>
      <c r="H2493" s="4">
        <f>'data on outstanding creditors'!$E2493-'data on outstanding creditors'!$F2493-'data on outstanding creditors'!$G2493</f>
        <v>37660</v>
      </c>
      <c r="I2493" s="2"/>
      <c r="J2493" s="1" t="s">
        <v>757</v>
      </c>
      <c r="K2493" s="2">
        <v>45967.0</v>
      </c>
      <c r="L2493" s="5"/>
      <c r="M2493" s="9" t="s">
        <v>43</v>
      </c>
      <c r="N2493" s="9" t="s">
        <v>49</v>
      </c>
      <c r="O2493" s="10">
        <f>'data on outstanding creditors'!$E2493*100/107</f>
        <v>35196.26168</v>
      </c>
      <c r="P2493" s="10">
        <f>'data on outstanding creditors'!$E2493-'data on outstanding creditors'!$O2493</f>
        <v>2463.738318</v>
      </c>
      <c r="Q2493" s="7">
        <f>DAY('data on outstanding creditors'!$B2493)</f>
        <v>26</v>
      </c>
      <c r="R2493" s="7">
        <f>MONTH('data on outstanding creditors'!$B2493)</f>
        <v>9</v>
      </c>
      <c r="S2493" s="7">
        <f>YEAR('data on outstanding creditors'!$B2493)</f>
        <v>2025</v>
      </c>
      <c r="T2493" s="11" t="str">
        <f>'data on outstanding creditors'!$C2493&amp;" "&amp;'data on outstanding creditors'!$D2493&amp;" "&amp;TEXT('data on outstanding creditors'!$E2493,"#,##0.00")</f>
        <v>บ.ยูนิเมด 6801435 37,660.00</v>
      </c>
      <c r="U2493" s="12"/>
    </row>
    <row r="2494" ht="13.5" customHeight="1">
      <c r="A2494" s="1" t="s">
        <v>3661</v>
      </c>
      <c r="B2494" s="2">
        <v>45926.0</v>
      </c>
      <c r="C2494" s="9" t="s">
        <v>2956</v>
      </c>
      <c r="D2494" s="1" t="s">
        <v>3662</v>
      </c>
      <c r="E2494" s="4">
        <v>1600.0</v>
      </c>
      <c r="F2494" s="4"/>
      <c r="G2494" s="4"/>
      <c r="H2494" s="4">
        <f>'data on outstanding creditors'!$E2494-'data on outstanding creditors'!$F2494-'data on outstanding creditors'!$G2494</f>
        <v>1600</v>
      </c>
      <c r="I2494" s="2"/>
      <c r="J2494" s="1" t="s">
        <v>757</v>
      </c>
      <c r="K2494" s="2">
        <v>45967.0</v>
      </c>
      <c r="L2494" s="5"/>
      <c r="M2494" s="9" t="s">
        <v>43</v>
      </c>
      <c r="N2494" s="9" t="s">
        <v>49</v>
      </c>
      <c r="O2494" s="10">
        <f>'data on outstanding creditors'!$E2494*100/107</f>
        <v>1495.327103</v>
      </c>
      <c r="P2494" s="10">
        <f>'data on outstanding creditors'!$E2494-'data on outstanding creditors'!$O2494</f>
        <v>104.6728972</v>
      </c>
      <c r="Q2494" s="7">
        <f>DAY('data on outstanding creditors'!$B2494)</f>
        <v>26</v>
      </c>
      <c r="R2494" s="7">
        <f>MONTH('data on outstanding creditors'!$B2494)</f>
        <v>9</v>
      </c>
      <c r="S2494" s="7">
        <f>YEAR('data on outstanding creditors'!$B2494)</f>
        <v>2025</v>
      </c>
      <c r="T2494" s="11" t="str">
        <f>'data on outstanding creditors'!$C2494&amp;" "&amp;'data on outstanding creditors'!$D2494&amp;" "&amp;TEXT('data on outstanding creditors'!$E2494,"#,##0.00")</f>
        <v>บ.แอม เบส พลัส AM6809/229 1,600.00</v>
      </c>
      <c r="U2494" s="12"/>
    </row>
    <row r="2495" ht="13.5" customHeight="1">
      <c r="A2495" s="1" t="s">
        <v>3663</v>
      </c>
      <c r="B2495" s="2">
        <v>45926.0</v>
      </c>
      <c r="C2495" s="9" t="s">
        <v>1114</v>
      </c>
      <c r="D2495" s="1" t="s">
        <v>3664</v>
      </c>
      <c r="E2495" s="4">
        <v>7800.0</v>
      </c>
      <c r="F2495" s="4"/>
      <c r="G2495" s="4"/>
      <c r="H2495" s="4">
        <f>'data on outstanding creditors'!$E2495-'data on outstanding creditors'!$F2495-'data on outstanding creditors'!$G2495</f>
        <v>7800</v>
      </c>
      <c r="I2495" s="2"/>
      <c r="J2495" s="1" t="s">
        <v>757</v>
      </c>
      <c r="K2495" s="2">
        <v>45967.0</v>
      </c>
      <c r="L2495" s="5"/>
      <c r="M2495" s="9" t="s">
        <v>43</v>
      </c>
      <c r="N2495" s="9" t="s">
        <v>49</v>
      </c>
      <c r="O2495" s="10">
        <f>'data on outstanding creditors'!$E2495*100/107</f>
        <v>7289.719626</v>
      </c>
      <c r="P2495" s="10">
        <f>'data on outstanding creditors'!$E2495-'data on outstanding creditors'!$O2495</f>
        <v>510.2803738</v>
      </c>
      <c r="Q2495" s="7">
        <f>DAY('data on outstanding creditors'!$B2495)</f>
        <v>26</v>
      </c>
      <c r="R2495" s="7">
        <f>MONTH('data on outstanding creditors'!$B2495)</f>
        <v>9</v>
      </c>
      <c r="S2495" s="7">
        <f>YEAR('data on outstanding creditors'!$B2495)</f>
        <v>2025</v>
      </c>
      <c r="T2495" s="11" t="str">
        <f>'data on outstanding creditors'!$C2495&amp;" "&amp;'data on outstanding creditors'!$D2495&amp;" "&amp;TEXT('data on outstanding creditors'!$E2495,"#,##0.00")</f>
        <v>หจก.อิเลฟเว่น พลัซ EL680924157 7,800.00</v>
      </c>
      <c r="U2495" s="12"/>
    </row>
    <row r="2496" ht="13.5" customHeight="1">
      <c r="A2496" s="1" t="s">
        <v>3665</v>
      </c>
      <c r="B2496" s="2">
        <v>45926.0</v>
      </c>
      <c r="C2496" s="9" t="s">
        <v>520</v>
      </c>
      <c r="D2496" s="1" t="s">
        <v>3666</v>
      </c>
      <c r="E2496" s="4">
        <v>44940.0</v>
      </c>
      <c r="F2496" s="4"/>
      <c r="G2496" s="4"/>
      <c r="H2496" s="4">
        <f>'data on outstanding creditors'!$E2496-'data on outstanding creditors'!$F2496-'data on outstanding creditors'!$G2496</f>
        <v>44940</v>
      </c>
      <c r="I2496" s="2"/>
      <c r="J2496" s="1"/>
      <c r="K2496" s="2"/>
      <c r="L2496" s="5" t="s">
        <v>758</v>
      </c>
      <c r="M2496" s="9" t="s">
        <v>43</v>
      </c>
      <c r="N2496" s="9" t="s">
        <v>49</v>
      </c>
      <c r="O2496" s="10">
        <f>'data on outstanding creditors'!$E2496*100/107</f>
        <v>42000</v>
      </c>
      <c r="P2496" s="10">
        <f>'data on outstanding creditors'!$E2496-'data on outstanding creditors'!$O2496</f>
        <v>2940</v>
      </c>
      <c r="Q2496" s="7">
        <f>DAY('data on outstanding creditors'!$B2496)</f>
        <v>26</v>
      </c>
      <c r="R2496" s="7">
        <f>MONTH('data on outstanding creditors'!$B2496)</f>
        <v>9</v>
      </c>
      <c r="S2496" s="7">
        <f>YEAR('data on outstanding creditors'!$B2496)</f>
        <v>2025</v>
      </c>
      <c r="T2496" s="11" t="str">
        <f>'data on outstanding creditors'!$C2496&amp;" "&amp;'data on outstanding creditors'!$D2496&amp;" "&amp;TEXT('data on outstanding creditors'!$E2496,"#,##0.00")</f>
        <v>บ.ซิลลิคฟาร์มา 1318344446 44,940.00</v>
      </c>
      <c r="U2496" s="12"/>
    </row>
    <row r="2497" ht="13.5" customHeight="1">
      <c r="A2497" s="1" t="s">
        <v>3667</v>
      </c>
      <c r="B2497" s="2">
        <v>45926.0</v>
      </c>
      <c r="C2497" s="9" t="s">
        <v>520</v>
      </c>
      <c r="D2497" s="1" t="s">
        <v>3668</v>
      </c>
      <c r="E2497" s="4">
        <v>6000.0</v>
      </c>
      <c r="F2497" s="4"/>
      <c r="G2497" s="4"/>
      <c r="H2497" s="4">
        <f>'data on outstanding creditors'!$E2497-'data on outstanding creditors'!$F2497-'data on outstanding creditors'!$G2497</f>
        <v>6000</v>
      </c>
      <c r="I2497" s="2"/>
      <c r="J2497" s="1"/>
      <c r="K2497" s="2"/>
      <c r="L2497" s="5" t="s">
        <v>758</v>
      </c>
      <c r="M2497" s="9" t="s">
        <v>43</v>
      </c>
      <c r="N2497" s="9" t="s">
        <v>49</v>
      </c>
      <c r="O2497" s="10">
        <f>'data on outstanding creditors'!$E2497*100/107</f>
        <v>5607.476636</v>
      </c>
      <c r="P2497" s="10">
        <f>'data on outstanding creditors'!$E2497-'data on outstanding creditors'!$O2497</f>
        <v>392.5233645</v>
      </c>
      <c r="Q2497" s="7">
        <f>DAY('data on outstanding creditors'!$B2497)</f>
        <v>26</v>
      </c>
      <c r="R2497" s="7">
        <f>MONTH('data on outstanding creditors'!$B2497)</f>
        <v>9</v>
      </c>
      <c r="S2497" s="7">
        <f>YEAR('data on outstanding creditors'!$B2497)</f>
        <v>2025</v>
      </c>
      <c r="T2497" s="11" t="str">
        <f>'data on outstanding creditors'!$C2497&amp;" "&amp;'data on outstanding creditors'!$D2497&amp;" "&amp;TEXT('data on outstanding creditors'!$E2497,"#,##0.00")</f>
        <v>บ.ซิลลิคฟาร์มา 1318451661 6,000.00</v>
      </c>
      <c r="U2497" s="12"/>
    </row>
    <row r="2498" ht="13.5" customHeight="1">
      <c r="A2498" s="1" t="s">
        <v>3669</v>
      </c>
      <c r="B2498" s="2">
        <v>45929.0</v>
      </c>
      <c r="C2498" s="9" t="s">
        <v>2320</v>
      </c>
      <c r="D2498" s="1" t="s">
        <v>3670</v>
      </c>
      <c r="E2498" s="4">
        <v>2500.0</v>
      </c>
      <c r="F2498" s="4"/>
      <c r="G2498" s="4"/>
      <c r="H2498" s="4">
        <f>'data on outstanding creditors'!$E2498-'data on outstanding creditors'!$F2498-'data on outstanding creditors'!$G2498</f>
        <v>2500</v>
      </c>
      <c r="I2498" s="2"/>
      <c r="J2498" s="1"/>
      <c r="K2498" s="2"/>
      <c r="L2498" s="5"/>
      <c r="M2498" s="9" t="s">
        <v>43</v>
      </c>
      <c r="N2498" s="9" t="s">
        <v>49</v>
      </c>
      <c r="O2498" s="10">
        <f>'data on outstanding creditors'!$E2498*100/107</f>
        <v>2336.448598</v>
      </c>
      <c r="P2498" s="10">
        <f>'data on outstanding creditors'!$E2498-'data on outstanding creditors'!$O2498</f>
        <v>163.5514019</v>
      </c>
      <c r="Q2498" s="7">
        <f>DAY('data on outstanding creditors'!$B2498)</f>
        <v>29</v>
      </c>
      <c r="R2498" s="7">
        <f>MONTH('data on outstanding creditors'!$B2498)</f>
        <v>9</v>
      </c>
      <c r="S2498" s="7">
        <f>YEAR('data on outstanding creditors'!$B2498)</f>
        <v>2025</v>
      </c>
      <c r="T2498" s="11" t="str">
        <f>'data on outstanding creditors'!$C2498&amp;" "&amp;'data on outstanding creditors'!$D2498&amp;" "&amp;TEXT('data on outstanding creditors'!$E2498,"#,##0.00")</f>
        <v>บ.เทคโนเมดิคัล 25091894 2,500.00</v>
      </c>
      <c r="U2498" s="12"/>
    </row>
    <row r="2499" ht="13.5" customHeight="1">
      <c r="A2499" s="1" t="s">
        <v>3671</v>
      </c>
      <c r="B2499" s="2">
        <v>45929.0</v>
      </c>
      <c r="C2499" s="9" t="s">
        <v>2334</v>
      </c>
      <c r="D2499" s="1" t="s">
        <v>3672</v>
      </c>
      <c r="E2499" s="4">
        <v>50100.0</v>
      </c>
      <c r="F2499" s="4"/>
      <c r="G2499" s="4"/>
      <c r="H2499" s="4">
        <f>'data on outstanding creditors'!$E2499-'data on outstanding creditors'!$F2499-'data on outstanding creditors'!$G2499</f>
        <v>50100</v>
      </c>
      <c r="I2499" s="2"/>
      <c r="J2499" s="1" t="s">
        <v>757</v>
      </c>
      <c r="K2499" s="2">
        <v>45967.0</v>
      </c>
      <c r="L2499" s="5"/>
      <c r="M2499" s="9" t="s">
        <v>43</v>
      </c>
      <c r="N2499" s="9" t="s">
        <v>49</v>
      </c>
      <c r="O2499" s="10">
        <f>'data on outstanding creditors'!$E2499*100/107</f>
        <v>46822.42991</v>
      </c>
      <c r="P2499" s="10">
        <f>'data on outstanding creditors'!$E2499-'data on outstanding creditors'!$O2499</f>
        <v>3277.570093</v>
      </c>
      <c r="Q2499" s="7">
        <f>DAY('data on outstanding creditors'!$B2499)</f>
        <v>29</v>
      </c>
      <c r="R2499" s="7">
        <f>MONTH('data on outstanding creditors'!$B2499)</f>
        <v>9</v>
      </c>
      <c r="S2499" s="7">
        <f>YEAR('data on outstanding creditors'!$B2499)</f>
        <v>2025</v>
      </c>
      <c r="T2499" s="11" t="str">
        <f>'data on outstanding creditors'!$C2499&amp;" "&amp;'data on outstanding creditors'!$D2499&amp;" "&amp;TEXT('data on outstanding creditors'!$E2499,"#,##0.00")</f>
        <v>บ.ไทยก๊อส IV6838952 50,100.00</v>
      </c>
      <c r="U2499" s="12"/>
    </row>
    <row r="2500" ht="13.5" customHeight="1">
      <c r="A2500" s="1"/>
      <c r="B2500" s="2">
        <v>45929.0</v>
      </c>
      <c r="C2500" s="9" t="s">
        <v>3220</v>
      </c>
      <c r="D2500" s="1" t="s">
        <v>3673</v>
      </c>
      <c r="E2500" s="4">
        <v>48750.0</v>
      </c>
      <c r="F2500" s="4"/>
      <c r="G2500" s="4"/>
      <c r="H2500" s="4">
        <f>'data on outstanding creditors'!$E2500-'data on outstanding creditors'!$F2500-'data on outstanding creditors'!$G2500</f>
        <v>48750</v>
      </c>
      <c r="I2500" s="2"/>
      <c r="J2500" s="1"/>
      <c r="K2500" s="2"/>
      <c r="L2500" s="5"/>
      <c r="M2500" s="9" t="s">
        <v>43</v>
      </c>
      <c r="N2500" s="9" t="s">
        <v>23</v>
      </c>
      <c r="O2500" s="10">
        <f>'data on outstanding creditors'!$E2500*100/107</f>
        <v>45560.74766</v>
      </c>
      <c r="P2500" s="10">
        <f>'data on outstanding creditors'!$E2500-'data on outstanding creditors'!$O2500</f>
        <v>3189.252336</v>
      </c>
      <c r="Q2500" s="7">
        <f>DAY('data on outstanding creditors'!$B2500)</f>
        <v>29</v>
      </c>
      <c r="R2500" s="7">
        <f>MONTH('data on outstanding creditors'!$B2500)</f>
        <v>9</v>
      </c>
      <c r="S2500" s="7">
        <f>YEAR('data on outstanding creditors'!$B2500)</f>
        <v>2025</v>
      </c>
      <c r="T2500" s="11" t="str">
        <f>'data on outstanding creditors'!$C2500&amp;" "&amp;'data on outstanding creditors'!$D2500&amp;" "&amp;TEXT('data on outstanding creditors'!$E2500,"#,##0.00")</f>
        <v>บ.เจเอ็นที เมดิคอล แอนด์ เซอร์วิส IV68-00487 48,750.00</v>
      </c>
      <c r="U2500" s="12"/>
    </row>
    <row r="2501" ht="13.5" customHeight="1">
      <c r="A2501" s="1"/>
      <c r="B2501" s="2">
        <v>45929.0</v>
      </c>
      <c r="C2501" s="9" t="s">
        <v>399</v>
      </c>
      <c r="D2501" s="1" t="s">
        <v>3674</v>
      </c>
      <c r="E2501" s="4">
        <v>7618.4</v>
      </c>
      <c r="F2501" s="4"/>
      <c r="G2501" s="4"/>
      <c r="H2501" s="4">
        <f>'data on outstanding creditors'!$E2501-'data on outstanding creditors'!$F2501-'data on outstanding creditors'!$G2501</f>
        <v>7618.4</v>
      </c>
      <c r="I2501" s="2"/>
      <c r="J2501" s="1"/>
      <c r="K2501" s="2"/>
      <c r="L2501" s="5"/>
      <c r="M2501" s="9" t="s">
        <v>43</v>
      </c>
      <c r="N2501" s="9" t="s">
        <v>23</v>
      </c>
      <c r="O2501" s="10">
        <f>'data on outstanding creditors'!$E2501*100/107</f>
        <v>7120</v>
      </c>
      <c r="P2501" s="10">
        <f>'data on outstanding creditors'!$E2501-'data on outstanding creditors'!$O2501</f>
        <v>498.4</v>
      </c>
      <c r="Q2501" s="7">
        <f>DAY('data on outstanding creditors'!$B2501)</f>
        <v>29</v>
      </c>
      <c r="R2501" s="7">
        <f>MONTH('data on outstanding creditors'!$B2501)</f>
        <v>9</v>
      </c>
      <c r="S2501" s="7">
        <f>YEAR('data on outstanding creditors'!$B2501)</f>
        <v>2025</v>
      </c>
      <c r="T2501" s="11" t="str">
        <f>'data on outstanding creditors'!$C2501&amp;" "&amp;'data on outstanding creditors'!$D2501&amp;" "&amp;TEXT('data on outstanding creditors'!$E2501,"#,##0.00")</f>
        <v>บ.ดีเคเอสเอช(ประเทศไทย) 5344430915 7,618.40</v>
      </c>
      <c r="U2501" s="12"/>
    </row>
    <row r="2502" ht="13.5" customHeight="1">
      <c r="A2502" s="1" t="s">
        <v>3675</v>
      </c>
      <c r="B2502" s="2">
        <v>45929.0</v>
      </c>
      <c r="C2502" s="9" t="s">
        <v>3676</v>
      </c>
      <c r="D2502" s="1" t="s">
        <v>3677</v>
      </c>
      <c r="E2502" s="4">
        <v>26500.0</v>
      </c>
      <c r="F2502" s="4"/>
      <c r="G2502" s="4"/>
      <c r="H2502" s="4">
        <f>'data on outstanding creditors'!$E2502-'data on outstanding creditors'!$F2502-'data on outstanding creditors'!$G2502</f>
        <v>26500</v>
      </c>
      <c r="I2502" s="2"/>
      <c r="J2502" s="1"/>
      <c r="K2502" s="2"/>
      <c r="L2502" s="5"/>
      <c r="M2502" s="9" t="s">
        <v>43</v>
      </c>
      <c r="N2502" s="9" t="s">
        <v>49</v>
      </c>
      <c r="O2502" s="10">
        <f>'data on outstanding creditors'!$E2502*100/107</f>
        <v>24766.35514</v>
      </c>
      <c r="P2502" s="10">
        <f>'data on outstanding creditors'!$E2502-'data on outstanding creditors'!$O2502</f>
        <v>1733.64486</v>
      </c>
      <c r="Q2502" s="7">
        <f>DAY('data on outstanding creditors'!$B2502)</f>
        <v>29</v>
      </c>
      <c r="R2502" s="7">
        <f>MONTH('data on outstanding creditors'!$B2502)</f>
        <v>9</v>
      </c>
      <c r="S2502" s="7">
        <f>YEAR('data on outstanding creditors'!$B2502)</f>
        <v>2025</v>
      </c>
      <c r="T2502" s="11" t="str">
        <f>'data on outstanding creditors'!$C2502&amp;" "&amp;'data on outstanding creditors'!$D2502&amp;" "&amp;TEXT('data on outstanding creditors'!$E2502,"#,##0.00")</f>
        <v>ร้าน เอที ซัพพลาย แอนด์ เซอร์วิส A6809/011 26,500.00</v>
      </c>
      <c r="U2502" s="12"/>
    </row>
    <row r="2503" ht="13.5" customHeight="1">
      <c r="A2503" s="1" t="s">
        <v>3678</v>
      </c>
      <c r="B2503" s="2">
        <v>45929.0</v>
      </c>
      <c r="C2503" s="9" t="s">
        <v>3676</v>
      </c>
      <c r="D2503" s="1" t="s">
        <v>3679</v>
      </c>
      <c r="E2503" s="4">
        <v>26500.0</v>
      </c>
      <c r="F2503" s="4"/>
      <c r="G2503" s="4"/>
      <c r="H2503" s="4">
        <f>'data on outstanding creditors'!$E2503-'data on outstanding creditors'!$F2503-'data on outstanding creditors'!$G2503</f>
        <v>26500</v>
      </c>
      <c r="I2503" s="2"/>
      <c r="J2503" s="1"/>
      <c r="K2503" s="2"/>
      <c r="L2503" s="5"/>
      <c r="M2503" s="9" t="s">
        <v>43</v>
      </c>
      <c r="N2503" s="9" t="s">
        <v>49</v>
      </c>
      <c r="O2503" s="10">
        <f>'data on outstanding creditors'!$E2503*100/107</f>
        <v>24766.35514</v>
      </c>
      <c r="P2503" s="10">
        <f>'data on outstanding creditors'!$E2503-'data on outstanding creditors'!$O2503</f>
        <v>1733.64486</v>
      </c>
      <c r="Q2503" s="7">
        <f>DAY('data on outstanding creditors'!$B2503)</f>
        <v>29</v>
      </c>
      <c r="R2503" s="7">
        <f>MONTH('data on outstanding creditors'!$B2503)</f>
        <v>9</v>
      </c>
      <c r="S2503" s="7">
        <f>YEAR('data on outstanding creditors'!$B2503)</f>
        <v>2025</v>
      </c>
      <c r="T2503" s="11" t="str">
        <f>'data on outstanding creditors'!$C2503&amp;" "&amp;'data on outstanding creditors'!$D2503&amp;" "&amp;TEXT('data on outstanding creditors'!$E2503,"#,##0.00")</f>
        <v>ร้าน เอที ซัพพลาย แอนด์ เซอร์วิส A6809/010 26,500.00</v>
      </c>
      <c r="U2503" s="12"/>
    </row>
    <row r="2504" ht="13.5" customHeight="1">
      <c r="A2504" s="1" t="s">
        <v>3680</v>
      </c>
      <c r="B2504" s="2">
        <v>45930.0</v>
      </c>
      <c r="C2504" s="9" t="s">
        <v>399</v>
      </c>
      <c r="D2504" s="1" t="s">
        <v>3681</v>
      </c>
      <c r="E2504" s="4">
        <v>8185.5</v>
      </c>
      <c r="F2504" s="4"/>
      <c r="G2504" s="4"/>
      <c r="H2504" s="4">
        <f>'data on outstanding creditors'!$E2504-'data on outstanding creditors'!$F2504-'data on outstanding creditors'!$G2504</f>
        <v>8185.5</v>
      </c>
      <c r="I2504" s="2"/>
      <c r="J2504" s="1" t="s">
        <v>757</v>
      </c>
      <c r="K2504" s="2">
        <v>45967.0</v>
      </c>
      <c r="L2504" s="5"/>
      <c r="M2504" s="9" t="s">
        <v>43</v>
      </c>
      <c r="N2504" s="9" t="s">
        <v>49</v>
      </c>
      <c r="O2504" s="10">
        <f>'data on outstanding creditors'!$E2504*100/107</f>
        <v>7650</v>
      </c>
      <c r="P2504" s="10">
        <f>'data on outstanding creditors'!$E2504-'data on outstanding creditors'!$O2504</f>
        <v>535.5</v>
      </c>
      <c r="Q2504" s="7">
        <f>DAY('data on outstanding creditors'!$B2504)</f>
        <v>30</v>
      </c>
      <c r="R2504" s="7">
        <f>MONTH('data on outstanding creditors'!$B2504)</f>
        <v>9</v>
      </c>
      <c r="S2504" s="7">
        <f>YEAR('data on outstanding creditors'!$B2504)</f>
        <v>2025</v>
      </c>
      <c r="T2504" s="11" t="str">
        <f>'data on outstanding creditors'!$C2504&amp;" "&amp;'data on outstanding creditors'!$D2504&amp;" "&amp;TEXT('data on outstanding creditors'!$E2504,"#,##0.00")</f>
        <v>บ.ดีเคเอสเอช(ประเทศไทย) 5344450908 8,185.50</v>
      </c>
      <c r="U2504" s="12"/>
    </row>
    <row r="2505" ht="13.5" customHeight="1">
      <c r="A2505" s="1" t="s">
        <v>3682</v>
      </c>
      <c r="B2505" s="2">
        <v>45930.0</v>
      </c>
      <c r="C2505" s="9" t="s">
        <v>399</v>
      </c>
      <c r="D2505" s="1" t="s">
        <v>3683</v>
      </c>
      <c r="E2505" s="4">
        <v>17120.0</v>
      </c>
      <c r="F2505" s="4"/>
      <c r="G2505" s="4"/>
      <c r="H2505" s="4">
        <f>'data on outstanding creditors'!$E2505-'data on outstanding creditors'!$F2505-'data on outstanding creditors'!$G2505</f>
        <v>17120</v>
      </c>
      <c r="I2505" s="2"/>
      <c r="J2505" s="1" t="s">
        <v>757</v>
      </c>
      <c r="K2505" s="2">
        <v>45967.0</v>
      </c>
      <c r="L2505" s="5"/>
      <c r="M2505" s="9" t="s">
        <v>43</v>
      </c>
      <c r="N2505" s="9" t="s">
        <v>49</v>
      </c>
      <c r="O2505" s="10">
        <f>'data on outstanding creditors'!$E2505*100/107</f>
        <v>16000</v>
      </c>
      <c r="P2505" s="10">
        <f>'data on outstanding creditors'!$E2505-'data on outstanding creditors'!$O2505</f>
        <v>1120</v>
      </c>
      <c r="Q2505" s="7">
        <f>DAY('data on outstanding creditors'!$B2505)</f>
        <v>30</v>
      </c>
      <c r="R2505" s="7">
        <f>MONTH('data on outstanding creditors'!$B2505)</f>
        <v>9</v>
      </c>
      <c r="S2505" s="7">
        <f>YEAR('data on outstanding creditors'!$B2505)</f>
        <v>2025</v>
      </c>
      <c r="T2505" s="11" t="str">
        <f>'data on outstanding creditors'!$C2505&amp;" "&amp;'data on outstanding creditors'!$D2505&amp;" "&amp;TEXT('data on outstanding creditors'!$E2505,"#,##0.00")</f>
        <v>บ.ดีเคเอสเอช(ประเทศไทย) 5344452118 17,120.00</v>
      </c>
      <c r="U2505" s="12"/>
    </row>
    <row r="2506" ht="13.5" customHeight="1">
      <c r="A2506" s="1" t="s">
        <v>3684</v>
      </c>
      <c r="B2506" s="2">
        <v>45930.0</v>
      </c>
      <c r="C2506" s="9" t="s">
        <v>281</v>
      </c>
      <c r="D2506" s="1" t="s">
        <v>3685</v>
      </c>
      <c r="E2506" s="4">
        <v>7500.0</v>
      </c>
      <c r="F2506" s="4"/>
      <c r="G2506" s="4"/>
      <c r="H2506" s="4">
        <f>'data on outstanding creditors'!$E2506-'data on outstanding creditors'!$F2506-'data on outstanding creditors'!$G2506</f>
        <v>7500</v>
      </c>
      <c r="I2506" s="2"/>
      <c r="J2506" s="1"/>
      <c r="K2506" s="2"/>
      <c r="L2506" s="5"/>
      <c r="M2506" s="9" t="s">
        <v>43</v>
      </c>
      <c r="N2506" s="9" t="s">
        <v>49</v>
      </c>
      <c r="O2506" s="10">
        <f>'data on outstanding creditors'!$E2506*100/107</f>
        <v>7009.345794</v>
      </c>
      <c r="P2506" s="10">
        <f>'data on outstanding creditors'!$E2506-'data on outstanding creditors'!$O2506</f>
        <v>490.6542056</v>
      </c>
      <c r="Q2506" s="7">
        <f>DAY('data on outstanding creditors'!$B2506)</f>
        <v>30</v>
      </c>
      <c r="R2506" s="7">
        <f>MONTH('data on outstanding creditors'!$B2506)</f>
        <v>9</v>
      </c>
      <c r="S2506" s="7">
        <f>YEAR('data on outstanding creditors'!$B2506)</f>
        <v>2025</v>
      </c>
      <c r="T2506" s="11" t="str">
        <f>'data on outstanding creditors'!$C2506&amp;" "&amp;'data on outstanding creditors'!$D2506&amp;" "&amp;TEXT('data on outstanding creditors'!$E2506,"#,##0.00")</f>
        <v>บ.เมดิทอป 1568964 7,500.00</v>
      </c>
      <c r="U2506" s="12"/>
    </row>
    <row r="2507" ht="13.5" customHeight="1">
      <c r="A2507" s="1" t="s">
        <v>3686</v>
      </c>
      <c r="B2507" s="2">
        <v>45930.0</v>
      </c>
      <c r="C2507" s="9" t="s">
        <v>1114</v>
      </c>
      <c r="D2507" s="1" t="s">
        <v>3687</v>
      </c>
      <c r="E2507" s="4">
        <v>8200.0</v>
      </c>
      <c r="F2507" s="4"/>
      <c r="G2507" s="4"/>
      <c r="H2507" s="4">
        <f>'data on outstanding creditors'!$E2507-'data on outstanding creditors'!$F2507-'data on outstanding creditors'!$G2507</f>
        <v>8200</v>
      </c>
      <c r="I2507" s="2"/>
      <c r="J2507" s="1" t="s">
        <v>757</v>
      </c>
      <c r="K2507" s="2">
        <v>45967.0</v>
      </c>
      <c r="L2507" s="5"/>
      <c r="M2507" s="9" t="s">
        <v>43</v>
      </c>
      <c r="N2507" s="9" t="s">
        <v>49</v>
      </c>
      <c r="O2507" s="10">
        <f>'data on outstanding creditors'!$E2507*100/107</f>
        <v>7663.551402</v>
      </c>
      <c r="P2507" s="10">
        <f>'data on outstanding creditors'!$E2507-'data on outstanding creditors'!$O2507</f>
        <v>536.4485981</v>
      </c>
      <c r="Q2507" s="7">
        <f>DAY('data on outstanding creditors'!$B2507)</f>
        <v>30</v>
      </c>
      <c r="R2507" s="7">
        <f>MONTH('data on outstanding creditors'!$B2507)</f>
        <v>9</v>
      </c>
      <c r="S2507" s="7">
        <f>YEAR('data on outstanding creditors'!$B2507)</f>
        <v>2025</v>
      </c>
      <c r="T2507" s="11" t="str">
        <f>'data on outstanding creditors'!$C2507&amp;" "&amp;'data on outstanding creditors'!$D2507&amp;" "&amp;TEXT('data on outstanding creditors'!$E2507,"#,##0.00")</f>
        <v>หจก.อิเลฟเว่น พลัซ EL680926175 8,200.00</v>
      </c>
      <c r="U2507" s="12"/>
    </row>
    <row r="2508" ht="13.5" customHeight="1">
      <c r="A2508" s="1"/>
      <c r="B2508" s="2">
        <v>45930.0</v>
      </c>
      <c r="C2508" s="9" t="s">
        <v>2402</v>
      </c>
      <c r="D2508" s="1" t="s">
        <v>3688</v>
      </c>
      <c r="E2508" s="4">
        <v>5000.0</v>
      </c>
      <c r="F2508" s="4"/>
      <c r="G2508" s="4"/>
      <c r="H2508" s="4">
        <f>'data on outstanding creditors'!$E2508-'data on outstanding creditors'!$F2508-'data on outstanding creditors'!$G2508</f>
        <v>5000</v>
      </c>
      <c r="I2508" s="2"/>
      <c r="J2508" s="1"/>
      <c r="K2508" s="2"/>
      <c r="L2508" s="5"/>
      <c r="M2508" s="9" t="s">
        <v>43</v>
      </c>
      <c r="N2508" s="9" t="s">
        <v>23</v>
      </c>
      <c r="O2508" s="10">
        <f>'data on outstanding creditors'!$E2508*100/107</f>
        <v>4672.897196</v>
      </c>
      <c r="P2508" s="10">
        <f>'data on outstanding creditors'!$E2508-'data on outstanding creditors'!$O2508</f>
        <v>327.1028037</v>
      </c>
      <c r="Q2508" s="7">
        <f>DAY('data on outstanding creditors'!$B2508)</f>
        <v>30</v>
      </c>
      <c r="R2508" s="7">
        <f>MONTH('data on outstanding creditors'!$B2508)</f>
        <v>9</v>
      </c>
      <c r="S2508" s="7">
        <f>YEAR('data on outstanding creditors'!$B2508)</f>
        <v>2025</v>
      </c>
      <c r="T2508" s="11" t="str">
        <f>'data on outstanding creditors'!$C2508&amp;" "&amp;'data on outstanding creditors'!$D2508&amp;" "&amp;TEXT('data on outstanding creditors'!$E2508,"#,##0.00")</f>
        <v>บ.แมคคา โปรดักชั่น 2873/68 5,000.00</v>
      </c>
      <c r="U2508" s="12"/>
    </row>
    <row r="2509" ht="13.5" customHeight="1">
      <c r="A2509" s="1" t="s">
        <v>3689</v>
      </c>
      <c r="B2509" s="2">
        <v>45930.0</v>
      </c>
      <c r="C2509" s="9" t="s">
        <v>697</v>
      </c>
      <c r="D2509" s="1" t="s">
        <v>3690</v>
      </c>
      <c r="E2509" s="4">
        <v>32948.0</v>
      </c>
      <c r="F2509" s="4"/>
      <c r="G2509" s="4"/>
      <c r="H2509" s="4">
        <f>'data on outstanding creditors'!$E2509-'data on outstanding creditors'!$F2509-'data on outstanding creditors'!$G2509</f>
        <v>32948</v>
      </c>
      <c r="I2509" s="2"/>
      <c r="J2509" s="1"/>
      <c r="K2509" s="2"/>
      <c r="L2509" s="5"/>
      <c r="M2509" s="9" t="s">
        <v>43</v>
      </c>
      <c r="N2509" s="9" t="s">
        <v>49</v>
      </c>
      <c r="O2509" s="10">
        <f>'data on outstanding creditors'!$E2509*100/107</f>
        <v>30792.52336</v>
      </c>
      <c r="P2509" s="10">
        <f>'data on outstanding creditors'!$E2509-'data on outstanding creditors'!$O2509</f>
        <v>2155.476636</v>
      </c>
      <c r="Q2509" s="7">
        <f>DAY('data on outstanding creditors'!$B2509)</f>
        <v>30</v>
      </c>
      <c r="R2509" s="7">
        <f>MONTH('data on outstanding creditors'!$B2509)</f>
        <v>9</v>
      </c>
      <c r="S2509" s="7">
        <f>YEAR('data on outstanding creditors'!$B2509)</f>
        <v>2025</v>
      </c>
      <c r="T2509" s="11" t="str">
        <f>'data on outstanding creditors'!$C2509&amp;" "&amp;'data on outstanding creditors'!$D2509&amp;" "&amp;TEXT('data on outstanding creditors'!$E2509,"#,##0.00")</f>
        <v>หจก.บุรีรัมย์ออกซิเย่น 937 32,948.00</v>
      </c>
      <c r="U2509" s="12"/>
    </row>
    <row r="2510" ht="13.5" customHeight="1">
      <c r="A2510" s="1" t="s">
        <v>3691</v>
      </c>
      <c r="B2510" s="2">
        <v>45930.0</v>
      </c>
      <c r="C2510" s="9" t="s">
        <v>2740</v>
      </c>
      <c r="D2510" s="1" t="s">
        <v>3692</v>
      </c>
      <c r="E2510" s="4">
        <v>32850.0</v>
      </c>
      <c r="F2510" s="4"/>
      <c r="G2510" s="4"/>
      <c r="H2510" s="4">
        <f>'data on outstanding creditors'!$E2510-'data on outstanding creditors'!$F2510-'data on outstanding creditors'!$G2510</f>
        <v>32850</v>
      </c>
      <c r="I2510" s="2"/>
      <c r="J2510" s="1" t="s">
        <v>757</v>
      </c>
      <c r="K2510" s="2">
        <v>45967.0</v>
      </c>
      <c r="L2510" s="5"/>
      <c r="M2510" s="9" t="s">
        <v>43</v>
      </c>
      <c r="N2510" s="9" t="s">
        <v>49</v>
      </c>
      <c r="O2510" s="10">
        <f>'data on outstanding creditors'!$E2510*100/107</f>
        <v>30700.93458</v>
      </c>
      <c r="P2510" s="10">
        <f>'data on outstanding creditors'!$E2510-'data on outstanding creditors'!$O2510</f>
        <v>2149.065421</v>
      </c>
      <c r="Q2510" s="7">
        <f>DAY('data on outstanding creditors'!$B2510)</f>
        <v>30</v>
      </c>
      <c r="R2510" s="7">
        <f>MONTH('data on outstanding creditors'!$B2510)</f>
        <v>9</v>
      </c>
      <c r="S2510" s="7">
        <f>YEAR('data on outstanding creditors'!$B2510)</f>
        <v>2025</v>
      </c>
      <c r="T2510" s="11" t="str">
        <f>'data on outstanding creditors'!$C2510&amp;" "&amp;'data on outstanding creditors'!$D2510&amp;" "&amp;TEXT('data on outstanding creditors'!$E2510,"#,##0.00")</f>
        <v>บ.ไพ ออริตี้ แคร์ โปรดักส์ IV6801342 32,850.00</v>
      </c>
      <c r="U2510" s="12"/>
    </row>
    <row r="2511" ht="13.5" customHeight="1">
      <c r="A2511" s="1"/>
      <c r="B2511" s="2">
        <v>45930.0</v>
      </c>
      <c r="C2511" s="9" t="s">
        <v>3267</v>
      </c>
      <c r="D2511" s="1" t="s">
        <v>3693</v>
      </c>
      <c r="E2511" s="4">
        <v>341550.0</v>
      </c>
      <c r="F2511" s="4"/>
      <c r="G2511" s="4"/>
      <c r="H2511" s="4">
        <f>'data on outstanding creditors'!$E2511-'data on outstanding creditors'!$F2511-'data on outstanding creditors'!$G2511</f>
        <v>341550</v>
      </c>
      <c r="I2511" s="2"/>
      <c r="J2511" s="1" t="s">
        <v>757</v>
      </c>
      <c r="K2511" s="2">
        <v>45966.0</v>
      </c>
      <c r="L2511" s="5" t="s">
        <v>758</v>
      </c>
      <c r="M2511" s="9" t="s">
        <v>43</v>
      </c>
      <c r="N2511" s="9" t="s">
        <v>49</v>
      </c>
      <c r="O2511" s="10">
        <f>'data on outstanding creditors'!$E2511*100/107</f>
        <v>319205.6075</v>
      </c>
      <c r="P2511" s="10">
        <f>'data on outstanding creditors'!$E2511-'data on outstanding creditors'!$O2511</f>
        <v>22344.39252</v>
      </c>
      <c r="Q2511" s="7">
        <f>DAY('data on outstanding creditors'!$B2511)</f>
        <v>30</v>
      </c>
      <c r="R2511" s="7">
        <f>MONTH('data on outstanding creditors'!$B2511)</f>
        <v>9</v>
      </c>
      <c r="S2511" s="7">
        <f>YEAR('data on outstanding creditors'!$B2511)</f>
        <v>2025</v>
      </c>
      <c r="T2511" s="11" t="str">
        <f>'data on outstanding creditors'!$C2511&amp;" "&amp;'data on outstanding creditors'!$D2511&amp;" "&amp;TEXT('data on outstanding creditors'!$E2511,"#,##0.00")</f>
        <v>บ.ลินเด้ (ประเทศไทย) 02020134 341,550.00</v>
      </c>
      <c r="U2511" s="12"/>
    </row>
    <row r="2512" ht="13.5" customHeight="1">
      <c r="A2512" s="1" t="s">
        <v>3694</v>
      </c>
      <c r="B2512" s="2">
        <v>45931.0</v>
      </c>
      <c r="C2512" s="9" t="s">
        <v>283</v>
      </c>
      <c r="D2512" s="1" t="s">
        <v>3695</v>
      </c>
      <c r="E2512" s="4">
        <v>4000.0</v>
      </c>
      <c r="F2512" s="4"/>
      <c r="G2512" s="4"/>
      <c r="H2512" s="4">
        <f>'data on outstanding creditors'!$E2512-'data on outstanding creditors'!$F2512-'data on outstanding creditors'!$G2512</f>
        <v>4000</v>
      </c>
      <c r="I2512" s="2"/>
      <c r="J2512" s="1"/>
      <c r="K2512" s="2"/>
      <c r="L2512" s="5"/>
      <c r="M2512" s="9" t="s">
        <v>43</v>
      </c>
      <c r="N2512" s="9" t="s">
        <v>49</v>
      </c>
      <c r="O2512" s="10">
        <f>'data on outstanding creditors'!$E2512*100/107</f>
        <v>3738.317757</v>
      </c>
      <c r="P2512" s="10">
        <f>'data on outstanding creditors'!$E2512-'data on outstanding creditors'!$O2512</f>
        <v>261.682243</v>
      </c>
      <c r="Q2512" s="7">
        <f>DAY('data on outstanding creditors'!$B2512)</f>
        <v>1</v>
      </c>
      <c r="R2512" s="7">
        <f>MONTH('data on outstanding creditors'!$B2512)</f>
        <v>10</v>
      </c>
      <c r="S2512" s="7">
        <f>YEAR('data on outstanding creditors'!$B2512)</f>
        <v>2025</v>
      </c>
      <c r="T2512" s="11" t="str">
        <f>'data on outstanding creditors'!$C2512&amp;" "&amp;'data on outstanding creditors'!$D2512&amp;" "&amp;TEXT('data on outstanding creditors'!$E2512,"#,##0.00")</f>
        <v>ร้าน เฟิร์สท เทรดดิ้ง 680398 4,000.00</v>
      </c>
      <c r="U2512" s="12"/>
    </row>
    <row r="2513" ht="13.5" customHeight="1">
      <c r="A2513" s="1" t="s">
        <v>3696</v>
      </c>
      <c r="B2513" s="2">
        <v>45931.0</v>
      </c>
      <c r="C2513" s="9" t="s">
        <v>2381</v>
      </c>
      <c r="D2513" s="1" t="s">
        <v>3697</v>
      </c>
      <c r="E2513" s="4">
        <v>42950.0</v>
      </c>
      <c r="F2513" s="4"/>
      <c r="G2513" s="4"/>
      <c r="H2513" s="4">
        <f>'data on outstanding creditors'!$E2513-'data on outstanding creditors'!$F2513-'data on outstanding creditors'!$G2513</f>
        <v>42950</v>
      </c>
      <c r="I2513" s="2"/>
      <c r="J2513" s="1"/>
      <c r="K2513" s="2"/>
      <c r="L2513" s="5"/>
      <c r="M2513" s="9" t="s">
        <v>43</v>
      </c>
      <c r="N2513" s="9" t="s">
        <v>49</v>
      </c>
      <c r="O2513" s="10">
        <f>'data on outstanding creditors'!$E2513*100/107</f>
        <v>40140.18692</v>
      </c>
      <c r="P2513" s="10">
        <f>'data on outstanding creditors'!$E2513-'data on outstanding creditors'!$O2513</f>
        <v>2809.813084</v>
      </c>
      <c r="Q2513" s="7">
        <f>DAY('data on outstanding creditors'!$B2513)</f>
        <v>1</v>
      </c>
      <c r="R2513" s="7">
        <f>MONTH('data on outstanding creditors'!$B2513)</f>
        <v>10</v>
      </c>
      <c r="S2513" s="7">
        <f>YEAR('data on outstanding creditors'!$B2513)</f>
        <v>2025</v>
      </c>
      <c r="T2513" s="11" t="str">
        <f>'data on outstanding creditors'!$C2513&amp;" "&amp;'data on outstanding creditors'!$D2513&amp;" "&amp;TEXT('data on outstanding creditors'!$E2513,"#,##0.00")</f>
        <v>หจก.วีอาร์ ซัพพอร์ต IV6809590 42,950.00</v>
      </c>
      <c r="U2513" s="12"/>
    </row>
    <row r="2514" ht="13.5" customHeight="1">
      <c r="A2514" s="1" t="s">
        <v>3698</v>
      </c>
      <c r="B2514" s="2">
        <v>45931.0</v>
      </c>
      <c r="C2514" s="9" t="s">
        <v>520</v>
      </c>
      <c r="D2514" s="1" t="s">
        <v>3699</v>
      </c>
      <c r="E2514" s="4">
        <v>44940.0</v>
      </c>
      <c r="F2514" s="4"/>
      <c r="G2514" s="4"/>
      <c r="H2514" s="4">
        <f>'data on outstanding creditors'!$E2514-'data on outstanding creditors'!$F2514-'data on outstanding creditors'!$G2514</f>
        <v>44940</v>
      </c>
      <c r="I2514" s="2"/>
      <c r="J2514" s="1"/>
      <c r="K2514" s="2"/>
      <c r="L2514" s="5"/>
      <c r="M2514" s="9" t="s">
        <v>43</v>
      </c>
      <c r="N2514" s="9" t="s">
        <v>49</v>
      </c>
      <c r="O2514" s="10">
        <f>'data on outstanding creditors'!$E2514*100/107</f>
        <v>42000</v>
      </c>
      <c r="P2514" s="10">
        <f>'data on outstanding creditors'!$E2514-'data on outstanding creditors'!$O2514</f>
        <v>2940</v>
      </c>
      <c r="Q2514" s="7">
        <f>DAY('data on outstanding creditors'!$B2514)</f>
        <v>1</v>
      </c>
      <c r="R2514" s="7">
        <f>MONTH('data on outstanding creditors'!$B2514)</f>
        <v>10</v>
      </c>
      <c r="S2514" s="7">
        <f>YEAR('data on outstanding creditors'!$B2514)</f>
        <v>2025</v>
      </c>
      <c r="T2514" s="11" t="str">
        <f>'data on outstanding creditors'!$C2514&amp;" "&amp;'data on outstanding creditors'!$D2514&amp;" "&amp;TEXT('data on outstanding creditors'!$E2514,"#,##0.00")</f>
        <v>บ.ซิลลิคฟาร์มา 1318378041 44,940.00</v>
      </c>
      <c r="U2514" s="12"/>
    </row>
    <row r="2515" ht="13.5" customHeight="1">
      <c r="A2515" s="1" t="s">
        <v>3700</v>
      </c>
      <c r="B2515" s="2">
        <v>45932.0</v>
      </c>
      <c r="C2515" s="9" t="s">
        <v>286</v>
      </c>
      <c r="D2515" s="1" t="s">
        <v>3701</v>
      </c>
      <c r="E2515" s="4">
        <v>6000.0</v>
      </c>
      <c r="F2515" s="4"/>
      <c r="G2515" s="4"/>
      <c r="H2515" s="4">
        <f>'data on outstanding creditors'!$E2515-'data on outstanding creditors'!$F2515-'data on outstanding creditors'!$G2515</f>
        <v>6000</v>
      </c>
      <c r="I2515" s="2"/>
      <c r="J2515" s="1"/>
      <c r="K2515" s="2"/>
      <c r="L2515" s="5"/>
      <c r="M2515" s="9" t="s">
        <v>43</v>
      </c>
      <c r="N2515" s="9" t="s">
        <v>49</v>
      </c>
      <c r="O2515" s="10">
        <f>'data on outstanding creditors'!$E2515*100/107</f>
        <v>5607.476636</v>
      </c>
      <c r="P2515" s="10">
        <f>'data on outstanding creditors'!$E2515-'data on outstanding creditors'!$O2515</f>
        <v>392.5233645</v>
      </c>
      <c r="Q2515" s="7">
        <f>DAY('data on outstanding creditors'!$B2515)</f>
        <v>2</v>
      </c>
      <c r="R2515" s="7">
        <f>MONTH('data on outstanding creditors'!$B2515)</f>
        <v>10</v>
      </c>
      <c r="S2515" s="7">
        <f>YEAR('data on outstanding creditors'!$B2515)</f>
        <v>2025</v>
      </c>
      <c r="T2515" s="11" t="str">
        <f>'data on outstanding creditors'!$C2515&amp;" "&amp;'data on outstanding creditors'!$D2515&amp;" "&amp;TEXT('data on outstanding creditors'!$E2515,"#,##0.00")</f>
        <v>บ.เอ็ม ดี ซี (ประเทศไทย) IV25100051 6,000.00</v>
      </c>
      <c r="U2515" s="12"/>
    </row>
    <row r="2516" ht="13.5" customHeight="1">
      <c r="A2516" s="1" t="s">
        <v>3702</v>
      </c>
      <c r="B2516" s="2">
        <v>45932.0</v>
      </c>
      <c r="C2516" s="9" t="s">
        <v>2334</v>
      </c>
      <c r="D2516" s="1" t="s">
        <v>3703</v>
      </c>
      <c r="E2516" s="4">
        <v>28125.0</v>
      </c>
      <c r="F2516" s="4"/>
      <c r="G2516" s="4"/>
      <c r="H2516" s="4">
        <f>'data on outstanding creditors'!$E2516-'data on outstanding creditors'!$F2516-'data on outstanding creditors'!$G2516</f>
        <v>28125</v>
      </c>
      <c r="I2516" s="2"/>
      <c r="J2516" s="1"/>
      <c r="K2516" s="2"/>
      <c r="L2516" s="5"/>
      <c r="M2516" s="9" t="s">
        <v>43</v>
      </c>
      <c r="N2516" s="9" t="s">
        <v>49</v>
      </c>
      <c r="O2516" s="10">
        <f>'data on outstanding creditors'!$E2516*100/107</f>
        <v>26285.04673</v>
      </c>
      <c r="P2516" s="10">
        <f>'data on outstanding creditors'!$E2516-'data on outstanding creditors'!$O2516</f>
        <v>1839.953271</v>
      </c>
      <c r="Q2516" s="7">
        <f>DAY('data on outstanding creditors'!$B2516)</f>
        <v>2</v>
      </c>
      <c r="R2516" s="7">
        <f>MONTH('data on outstanding creditors'!$B2516)</f>
        <v>10</v>
      </c>
      <c r="S2516" s="7">
        <f>YEAR('data on outstanding creditors'!$B2516)</f>
        <v>2025</v>
      </c>
      <c r="T2516" s="11" t="str">
        <f>'data on outstanding creditors'!$C2516&amp;" "&amp;'data on outstanding creditors'!$D2516&amp;" "&amp;TEXT('data on outstanding creditors'!$E2516,"#,##0.00")</f>
        <v>บ.ไทยก๊อส IV6839760 28,125.00</v>
      </c>
      <c r="U2516" s="12"/>
    </row>
    <row r="2517" ht="13.5" customHeight="1">
      <c r="A2517" s="1" t="s">
        <v>3704</v>
      </c>
      <c r="B2517" s="2">
        <v>45932.0</v>
      </c>
      <c r="C2517" s="9" t="s">
        <v>520</v>
      </c>
      <c r="D2517" s="1" t="s">
        <v>3705</v>
      </c>
      <c r="E2517" s="4">
        <v>2942.5</v>
      </c>
      <c r="F2517" s="4"/>
      <c r="G2517" s="4"/>
      <c r="H2517" s="4">
        <f>'data on outstanding creditors'!$E2517-'data on outstanding creditors'!$F2517-'data on outstanding creditors'!$G2517</f>
        <v>2942.5</v>
      </c>
      <c r="I2517" s="2"/>
      <c r="J2517" s="1"/>
      <c r="K2517" s="2"/>
      <c r="L2517" s="5"/>
      <c r="M2517" s="9" t="s">
        <v>43</v>
      </c>
      <c r="N2517" s="9" t="s">
        <v>49</v>
      </c>
      <c r="O2517" s="10">
        <f>'data on outstanding creditors'!$E2517*100/107</f>
        <v>2750</v>
      </c>
      <c r="P2517" s="10">
        <f>'data on outstanding creditors'!$E2517-'data on outstanding creditors'!$O2517</f>
        <v>192.5</v>
      </c>
      <c r="Q2517" s="7">
        <f>DAY('data on outstanding creditors'!$B2517)</f>
        <v>2</v>
      </c>
      <c r="R2517" s="7">
        <f>MONTH('data on outstanding creditors'!$B2517)</f>
        <v>10</v>
      </c>
      <c r="S2517" s="7">
        <f>YEAR('data on outstanding creditors'!$B2517)</f>
        <v>2025</v>
      </c>
      <c r="T2517" s="11" t="str">
        <f>'data on outstanding creditors'!$C2517&amp;" "&amp;'data on outstanding creditors'!$D2517&amp;" "&amp;TEXT('data on outstanding creditors'!$E2517,"#,##0.00")</f>
        <v>บ.ซิลลิคฟาร์มา 1318078632 2,942.50</v>
      </c>
      <c r="U2517" s="12"/>
    </row>
    <row r="2518" ht="13.5" customHeight="1">
      <c r="A2518" s="1" t="s">
        <v>3706</v>
      </c>
      <c r="B2518" s="2">
        <v>45933.0</v>
      </c>
      <c r="C2518" s="9" t="s">
        <v>3707</v>
      </c>
      <c r="D2518" s="1" t="s">
        <v>3708</v>
      </c>
      <c r="E2518" s="4">
        <v>6500.0</v>
      </c>
      <c r="F2518" s="4"/>
      <c r="G2518" s="4"/>
      <c r="H2518" s="4">
        <f>'data on outstanding creditors'!$E2518-'data on outstanding creditors'!$F2518-'data on outstanding creditors'!$G2518</f>
        <v>6500</v>
      </c>
      <c r="I2518" s="2"/>
      <c r="J2518" s="1"/>
      <c r="K2518" s="2"/>
      <c r="L2518" s="5"/>
      <c r="M2518" s="9" t="s">
        <v>43</v>
      </c>
      <c r="N2518" s="9" t="s">
        <v>49</v>
      </c>
      <c r="O2518" s="10">
        <f>'data on outstanding creditors'!$E2518*100/107</f>
        <v>6074.766355</v>
      </c>
      <c r="P2518" s="10">
        <f>'data on outstanding creditors'!$E2518-'data on outstanding creditors'!$O2518</f>
        <v>425.2336449</v>
      </c>
      <c r="Q2518" s="7">
        <f>DAY('data on outstanding creditors'!$B2518)</f>
        <v>3</v>
      </c>
      <c r="R2518" s="7">
        <f>MONTH('data on outstanding creditors'!$B2518)</f>
        <v>10</v>
      </c>
      <c r="S2518" s="7">
        <f>YEAR('data on outstanding creditors'!$B2518)</f>
        <v>2025</v>
      </c>
      <c r="T2518" s="11" t="str">
        <f>'data on outstanding creditors'!$C2518&amp;" "&amp;'data on outstanding creditors'!$D2518&amp;" "&amp;TEXT('data on outstanding creditors'!$E2518,"#,##0.00")</f>
        <v>บ.ออริเคียว IN-2500420 6,500.00</v>
      </c>
      <c r="U2518" s="12"/>
    </row>
    <row r="2519" ht="13.5" customHeight="1">
      <c r="A2519" s="1" t="s">
        <v>3709</v>
      </c>
      <c r="B2519" s="2">
        <v>45933.0</v>
      </c>
      <c r="C2519" s="9" t="s">
        <v>399</v>
      </c>
      <c r="D2519" s="1" t="s">
        <v>3710</v>
      </c>
      <c r="E2519" s="4">
        <v>102720.0</v>
      </c>
      <c r="F2519" s="4"/>
      <c r="G2519" s="4"/>
      <c r="H2519" s="4">
        <f>'data on outstanding creditors'!$E2519-'data on outstanding creditors'!$F2519-'data on outstanding creditors'!$G2519</f>
        <v>102720</v>
      </c>
      <c r="I2519" s="2"/>
      <c r="J2519" s="1"/>
      <c r="K2519" s="2"/>
      <c r="L2519" s="5"/>
      <c r="M2519" s="9" t="s">
        <v>43</v>
      </c>
      <c r="N2519" s="9" t="s">
        <v>49</v>
      </c>
      <c r="O2519" s="10">
        <f>'data on outstanding creditors'!$E2519*100/107</f>
        <v>96000</v>
      </c>
      <c r="P2519" s="10">
        <f>'data on outstanding creditors'!$E2519-'data on outstanding creditors'!$O2519</f>
        <v>6720</v>
      </c>
      <c r="Q2519" s="7">
        <f>DAY('data on outstanding creditors'!$B2519)</f>
        <v>3</v>
      </c>
      <c r="R2519" s="7">
        <f>MONTH('data on outstanding creditors'!$B2519)</f>
        <v>10</v>
      </c>
      <c r="S2519" s="7">
        <f>YEAR('data on outstanding creditors'!$B2519)</f>
        <v>2025</v>
      </c>
      <c r="T2519" s="11" t="str">
        <f>'data on outstanding creditors'!$C2519&amp;" "&amp;'data on outstanding creditors'!$D2519&amp;" "&amp;TEXT('data on outstanding creditors'!$E2519,"#,##0.00")</f>
        <v>บ.ดีเคเอสเอช(ประเทศไทย) 5344485190 102,720.00</v>
      </c>
      <c r="U2519" s="12"/>
    </row>
    <row r="2520" ht="13.5" customHeight="1">
      <c r="A2520" s="1" t="s">
        <v>3711</v>
      </c>
      <c r="B2520" s="2">
        <v>45933.0</v>
      </c>
      <c r="C2520" s="9" t="s">
        <v>2317</v>
      </c>
      <c r="D2520" s="1" t="s">
        <v>3712</v>
      </c>
      <c r="E2520" s="4">
        <v>115600.0</v>
      </c>
      <c r="F2520" s="4"/>
      <c r="G2520" s="4"/>
      <c r="H2520" s="4">
        <f>'data on outstanding creditors'!$E2520-'data on outstanding creditors'!$F2520-'data on outstanding creditors'!$G2520</f>
        <v>115600</v>
      </c>
      <c r="I2520" s="2"/>
      <c r="J2520" s="1"/>
      <c r="K2520" s="2"/>
      <c r="L2520" s="5"/>
      <c r="M2520" s="9" t="s">
        <v>43</v>
      </c>
      <c r="N2520" s="9" t="s">
        <v>49</v>
      </c>
      <c r="O2520" s="10">
        <f>'data on outstanding creditors'!$E2520*100/107</f>
        <v>108037.3832</v>
      </c>
      <c r="P2520" s="10">
        <f>'data on outstanding creditors'!$E2520-'data on outstanding creditors'!$O2520</f>
        <v>7562.616822</v>
      </c>
      <c r="Q2520" s="7">
        <f>DAY('data on outstanding creditors'!$B2520)</f>
        <v>3</v>
      </c>
      <c r="R2520" s="7">
        <f>MONTH('data on outstanding creditors'!$B2520)</f>
        <v>10</v>
      </c>
      <c r="S2520" s="7">
        <f>YEAR('data on outstanding creditors'!$B2520)</f>
        <v>2025</v>
      </c>
      <c r="T2520" s="11" t="str">
        <f>'data on outstanding creditors'!$C2520&amp;" "&amp;'data on outstanding creditors'!$D2520&amp;" "&amp;TEXT('data on outstanding creditors'!$E2520,"#,##0.00")</f>
        <v>บ.เซอจิ-แคร์ A680725 115,600.00</v>
      </c>
      <c r="U2520" s="12"/>
    </row>
    <row r="2521" ht="13.5" customHeight="1">
      <c r="A2521" s="1" t="s">
        <v>3713</v>
      </c>
      <c r="B2521" s="2">
        <v>45933.0</v>
      </c>
      <c r="C2521" s="9" t="s">
        <v>2334</v>
      </c>
      <c r="D2521" s="1" t="s">
        <v>3714</v>
      </c>
      <c r="E2521" s="4">
        <v>116000.0</v>
      </c>
      <c r="F2521" s="4"/>
      <c r="G2521" s="4"/>
      <c r="H2521" s="4">
        <f>'data on outstanding creditors'!$E2521-'data on outstanding creditors'!$F2521-'data on outstanding creditors'!$G2521</f>
        <v>116000</v>
      </c>
      <c r="I2521" s="2"/>
      <c r="J2521" s="1"/>
      <c r="K2521" s="2"/>
      <c r="L2521" s="5"/>
      <c r="M2521" s="9" t="s">
        <v>43</v>
      </c>
      <c r="N2521" s="9" t="s">
        <v>49</v>
      </c>
      <c r="O2521" s="10">
        <f>'data on outstanding creditors'!$E2521*100/107</f>
        <v>108411.215</v>
      </c>
      <c r="P2521" s="10">
        <f>'data on outstanding creditors'!$E2521-'data on outstanding creditors'!$O2521</f>
        <v>7588.785047</v>
      </c>
      <c r="Q2521" s="7">
        <f>DAY('data on outstanding creditors'!$B2521)</f>
        <v>3</v>
      </c>
      <c r="R2521" s="7">
        <f>MONTH('data on outstanding creditors'!$B2521)</f>
        <v>10</v>
      </c>
      <c r="S2521" s="7">
        <f>YEAR('data on outstanding creditors'!$B2521)</f>
        <v>2025</v>
      </c>
      <c r="T2521" s="11" t="str">
        <f>'data on outstanding creditors'!$C2521&amp;" "&amp;'data on outstanding creditors'!$D2521&amp;" "&amp;TEXT('data on outstanding creditors'!$E2521,"#,##0.00")</f>
        <v>บ.ไทยก๊อส IV6839890 116,000.00</v>
      </c>
      <c r="U2521" s="12"/>
    </row>
    <row r="2522" ht="13.5" customHeight="1">
      <c r="A2522" s="1" t="s">
        <v>3715</v>
      </c>
      <c r="B2522" s="2">
        <v>45933.0</v>
      </c>
      <c r="C2522" s="9" t="s">
        <v>2315</v>
      </c>
      <c r="D2522" s="1" t="s">
        <v>3716</v>
      </c>
      <c r="E2522" s="4">
        <v>55500.0</v>
      </c>
      <c r="F2522" s="4"/>
      <c r="G2522" s="4"/>
      <c r="H2522" s="4">
        <f>'data on outstanding creditors'!$E2522-'data on outstanding creditors'!$F2522-'data on outstanding creditors'!$G2522</f>
        <v>55500</v>
      </c>
      <c r="I2522" s="2"/>
      <c r="J2522" s="1"/>
      <c r="K2522" s="2"/>
      <c r="L2522" s="5"/>
      <c r="M2522" s="9" t="s">
        <v>43</v>
      </c>
      <c r="N2522" s="9" t="s">
        <v>49</v>
      </c>
      <c r="O2522" s="10">
        <f>'data on outstanding creditors'!$E2522*100/107</f>
        <v>51869.15888</v>
      </c>
      <c r="P2522" s="10">
        <f>'data on outstanding creditors'!$E2522-'data on outstanding creditors'!$O2522</f>
        <v>3630.841121</v>
      </c>
      <c r="Q2522" s="7">
        <f>DAY('data on outstanding creditors'!$B2522)</f>
        <v>3</v>
      </c>
      <c r="R2522" s="7">
        <f>MONTH('data on outstanding creditors'!$B2522)</f>
        <v>10</v>
      </c>
      <c r="S2522" s="7">
        <f>YEAR('data on outstanding creditors'!$B2522)</f>
        <v>2025</v>
      </c>
      <c r="T2522" s="11" t="str">
        <f>'data on outstanding creditors'!$C2522&amp;" "&amp;'data on outstanding creditors'!$D2522&amp;" "&amp;TEXT('data on outstanding creditors'!$E2522,"#,##0.00")</f>
        <v>บ.เรียลเมดคอร์ป IV25095158 55,500.00</v>
      </c>
      <c r="U2522" s="12"/>
    </row>
    <row r="2523" ht="13.5" customHeight="1">
      <c r="A2523" s="1" t="s">
        <v>3717</v>
      </c>
      <c r="B2523" s="2">
        <v>45933.0</v>
      </c>
      <c r="C2523" s="9" t="s">
        <v>1029</v>
      </c>
      <c r="D2523" s="1" t="s">
        <v>3718</v>
      </c>
      <c r="E2523" s="4">
        <v>15500.0</v>
      </c>
      <c r="F2523" s="4"/>
      <c r="G2523" s="4"/>
      <c r="H2523" s="4">
        <f>'data on outstanding creditors'!$E2523-'data on outstanding creditors'!$F2523-'data on outstanding creditors'!$G2523</f>
        <v>15500</v>
      </c>
      <c r="I2523" s="2"/>
      <c r="J2523" s="1"/>
      <c r="K2523" s="2"/>
      <c r="L2523" s="5"/>
      <c r="M2523" s="9" t="s">
        <v>43</v>
      </c>
      <c r="N2523" s="9" t="s">
        <v>49</v>
      </c>
      <c r="O2523" s="10">
        <f>'data on outstanding creditors'!$E2523*100/107</f>
        <v>14485.98131</v>
      </c>
      <c r="P2523" s="10">
        <f>'data on outstanding creditors'!$E2523-'data on outstanding creditors'!$O2523</f>
        <v>1014.018692</v>
      </c>
      <c r="Q2523" s="7">
        <f>DAY('data on outstanding creditors'!$B2523)</f>
        <v>3</v>
      </c>
      <c r="R2523" s="7">
        <f>MONTH('data on outstanding creditors'!$B2523)</f>
        <v>10</v>
      </c>
      <c r="S2523" s="7">
        <f>YEAR('data on outstanding creditors'!$B2523)</f>
        <v>2025</v>
      </c>
      <c r="T2523" s="11" t="str">
        <f>'data on outstanding creditors'!$C2523&amp;" "&amp;'data on outstanding creditors'!$D2523&amp;" "&amp;TEXT('data on outstanding creditors'!$E2523,"#,##0.00")</f>
        <v>บ.เอเทค เมดิคอล IV6810057 15,500.00</v>
      </c>
      <c r="U2523" s="12"/>
    </row>
    <row r="2524" ht="13.5" customHeight="1">
      <c r="A2524" s="1" t="s">
        <v>3719</v>
      </c>
      <c r="B2524" s="2">
        <v>45933.0</v>
      </c>
      <c r="C2524" s="9" t="s">
        <v>520</v>
      </c>
      <c r="D2524" s="1" t="s">
        <v>3720</v>
      </c>
      <c r="E2524" s="4">
        <v>44940.0</v>
      </c>
      <c r="F2524" s="4"/>
      <c r="G2524" s="4"/>
      <c r="H2524" s="4">
        <f>'data on outstanding creditors'!$E2524-'data on outstanding creditors'!$F2524-'data on outstanding creditors'!$G2524</f>
        <v>44940</v>
      </c>
      <c r="I2524" s="2"/>
      <c r="J2524" s="1"/>
      <c r="K2524" s="2"/>
      <c r="L2524" s="5"/>
      <c r="M2524" s="9" t="s">
        <v>43</v>
      </c>
      <c r="N2524" s="9" t="s">
        <v>49</v>
      </c>
      <c r="O2524" s="10">
        <f>'data on outstanding creditors'!$E2524*100/107</f>
        <v>42000</v>
      </c>
      <c r="P2524" s="10">
        <f>'data on outstanding creditors'!$E2524-'data on outstanding creditors'!$O2524</f>
        <v>2940</v>
      </c>
      <c r="Q2524" s="7">
        <f>DAY('data on outstanding creditors'!$B2524)</f>
        <v>3</v>
      </c>
      <c r="R2524" s="7">
        <f>MONTH('data on outstanding creditors'!$B2524)</f>
        <v>10</v>
      </c>
      <c r="S2524" s="7">
        <f>YEAR('data on outstanding creditors'!$B2524)</f>
        <v>2025</v>
      </c>
      <c r="T2524" s="11" t="str">
        <f>'data on outstanding creditors'!$C2524&amp;" "&amp;'data on outstanding creditors'!$D2524&amp;" "&amp;TEXT('data on outstanding creditors'!$E2524,"#,##0.00")</f>
        <v>บ.ซิลลิคฟาร์มา 1318392333 44,940.00</v>
      </c>
      <c r="U2524" s="12"/>
    </row>
    <row r="2525" ht="13.5" customHeight="1">
      <c r="A2525" s="1" t="s">
        <v>3721</v>
      </c>
      <c r="B2525" s="2">
        <v>45933.0</v>
      </c>
      <c r="C2525" s="9" t="s">
        <v>3722</v>
      </c>
      <c r="D2525" s="1" t="s">
        <v>3723</v>
      </c>
      <c r="E2525" s="4">
        <v>158000.0</v>
      </c>
      <c r="F2525" s="4"/>
      <c r="G2525" s="4"/>
      <c r="H2525" s="4">
        <f>'data on outstanding creditors'!$E2525-'data on outstanding creditors'!$F2525-'data on outstanding creditors'!$G2525</f>
        <v>158000</v>
      </c>
      <c r="I2525" s="2"/>
      <c r="J2525" s="1"/>
      <c r="K2525" s="2"/>
      <c r="L2525" s="5"/>
      <c r="M2525" s="9" t="s">
        <v>43</v>
      </c>
      <c r="N2525" s="9" t="s">
        <v>49</v>
      </c>
      <c r="O2525" s="10">
        <f>'data on outstanding creditors'!$E2525*100/107</f>
        <v>147663.5514</v>
      </c>
      <c r="P2525" s="10">
        <f>'data on outstanding creditors'!$E2525-'data on outstanding creditors'!$O2525</f>
        <v>10336.4486</v>
      </c>
      <c r="Q2525" s="7">
        <f>DAY('data on outstanding creditors'!$B2525)</f>
        <v>3</v>
      </c>
      <c r="R2525" s="7">
        <f>MONTH('data on outstanding creditors'!$B2525)</f>
        <v>10</v>
      </c>
      <c r="S2525" s="7">
        <f>YEAR('data on outstanding creditors'!$B2525)</f>
        <v>2025</v>
      </c>
      <c r="T2525" s="11" t="str">
        <f>'data on outstanding creditors'!$C2525&amp;" "&amp;'data on outstanding creditors'!$D2525&amp;" "&amp;TEXT('data on outstanding creditors'!$E2525,"#,##0.00")</f>
        <v>บ.บีลีฟ วินน์ B6810-004 158,000.00</v>
      </c>
      <c r="U2525" s="12"/>
    </row>
    <row r="2526" ht="13.5" customHeight="1">
      <c r="A2526" s="1" t="s">
        <v>3724</v>
      </c>
      <c r="B2526" s="2">
        <v>45935.0</v>
      </c>
      <c r="C2526" s="9" t="s">
        <v>1029</v>
      </c>
      <c r="D2526" s="1" t="s">
        <v>3725</v>
      </c>
      <c r="E2526" s="4">
        <v>11400.0</v>
      </c>
      <c r="F2526" s="4"/>
      <c r="G2526" s="4"/>
      <c r="H2526" s="4">
        <f>'data on outstanding creditors'!$E2526-'data on outstanding creditors'!$F2526-'data on outstanding creditors'!$G2526</f>
        <v>11400</v>
      </c>
      <c r="I2526" s="2"/>
      <c r="J2526" s="1"/>
      <c r="K2526" s="2"/>
      <c r="L2526" s="5"/>
      <c r="M2526" s="9" t="s">
        <v>43</v>
      </c>
      <c r="N2526" s="9" t="s">
        <v>49</v>
      </c>
      <c r="O2526" s="10">
        <f>'data on outstanding creditors'!$E2526*100/107</f>
        <v>10654.20561</v>
      </c>
      <c r="P2526" s="10">
        <f>'data on outstanding creditors'!$E2526-'data on outstanding creditors'!$O2526</f>
        <v>745.7943925</v>
      </c>
      <c r="Q2526" s="7">
        <f>DAY('data on outstanding creditors'!$B2526)</f>
        <v>5</v>
      </c>
      <c r="R2526" s="7">
        <f>MONTH('data on outstanding creditors'!$B2526)</f>
        <v>10</v>
      </c>
      <c r="S2526" s="7">
        <f>YEAR('data on outstanding creditors'!$B2526)</f>
        <v>2025</v>
      </c>
      <c r="T2526" s="11" t="str">
        <f>'data on outstanding creditors'!$C2526&amp;" "&amp;'data on outstanding creditors'!$D2526&amp;" "&amp;TEXT('data on outstanding creditors'!$E2526,"#,##0.00")</f>
        <v>บ.เอเทค เมดิคอล IV6810073 11,400.00</v>
      </c>
      <c r="U2526" s="12"/>
    </row>
    <row r="2527" ht="13.5" customHeight="1">
      <c r="A2527" s="1" t="s">
        <v>3726</v>
      </c>
      <c r="B2527" s="2">
        <v>45936.0</v>
      </c>
      <c r="C2527" s="9" t="s">
        <v>399</v>
      </c>
      <c r="D2527" s="1" t="s">
        <v>3727</v>
      </c>
      <c r="E2527" s="4">
        <v>96300.0</v>
      </c>
      <c r="F2527" s="4"/>
      <c r="G2527" s="4"/>
      <c r="H2527" s="4">
        <f>'data on outstanding creditors'!$E2527-'data on outstanding creditors'!$F2527-'data on outstanding creditors'!$G2527</f>
        <v>96300</v>
      </c>
      <c r="I2527" s="2"/>
      <c r="J2527" s="1"/>
      <c r="K2527" s="2"/>
      <c r="L2527" s="5"/>
      <c r="M2527" s="9" t="s">
        <v>43</v>
      </c>
      <c r="N2527" s="9" t="s">
        <v>49</v>
      </c>
      <c r="O2527" s="10">
        <f>'data on outstanding creditors'!$E2527*100/107</f>
        <v>90000</v>
      </c>
      <c r="P2527" s="10">
        <f>'data on outstanding creditors'!$E2527-'data on outstanding creditors'!$O2527</f>
        <v>6300</v>
      </c>
      <c r="Q2527" s="7">
        <f>DAY('data on outstanding creditors'!$B2527)</f>
        <v>6</v>
      </c>
      <c r="R2527" s="7">
        <f>MONTH('data on outstanding creditors'!$B2527)</f>
        <v>10</v>
      </c>
      <c r="S2527" s="7">
        <f>YEAR('data on outstanding creditors'!$B2527)</f>
        <v>2025</v>
      </c>
      <c r="T2527" s="11" t="str">
        <f>'data on outstanding creditors'!$C2527&amp;" "&amp;'data on outstanding creditors'!$D2527&amp;" "&amp;TEXT('data on outstanding creditors'!$E2527,"#,##0.00")</f>
        <v>บ.ดีเคเอสเอช(ประเทศไทย) 5344486768 96,300.00</v>
      </c>
      <c r="U2527" s="12"/>
    </row>
    <row r="2528" ht="13.5" customHeight="1">
      <c r="A2528" s="1" t="s">
        <v>3728</v>
      </c>
      <c r="B2528" s="2">
        <v>45936.0</v>
      </c>
      <c r="C2528" s="9" t="s">
        <v>399</v>
      </c>
      <c r="D2528" s="1" t="s">
        <v>3729</v>
      </c>
      <c r="E2528" s="4">
        <v>7190.0</v>
      </c>
      <c r="F2528" s="4"/>
      <c r="G2528" s="4"/>
      <c r="H2528" s="4">
        <f>'data on outstanding creditors'!$E2528-'data on outstanding creditors'!$F2528-'data on outstanding creditors'!$G2528</f>
        <v>7190</v>
      </c>
      <c r="I2528" s="2"/>
      <c r="J2528" s="1"/>
      <c r="K2528" s="2"/>
      <c r="L2528" s="5"/>
      <c r="M2528" s="9" t="s">
        <v>43</v>
      </c>
      <c r="N2528" s="9" t="s">
        <v>49</v>
      </c>
      <c r="O2528" s="10">
        <f>'data on outstanding creditors'!$E2528*100/107</f>
        <v>6719.626168</v>
      </c>
      <c r="P2528" s="10">
        <f>'data on outstanding creditors'!$E2528-'data on outstanding creditors'!$O2528</f>
        <v>470.3738318</v>
      </c>
      <c r="Q2528" s="7">
        <f>DAY('data on outstanding creditors'!$B2528)</f>
        <v>6</v>
      </c>
      <c r="R2528" s="7">
        <f>MONTH('data on outstanding creditors'!$B2528)</f>
        <v>10</v>
      </c>
      <c r="S2528" s="7">
        <f>YEAR('data on outstanding creditors'!$B2528)</f>
        <v>2025</v>
      </c>
      <c r="T2528" s="11" t="str">
        <f>'data on outstanding creditors'!$C2528&amp;" "&amp;'data on outstanding creditors'!$D2528&amp;" "&amp;TEXT('data on outstanding creditors'!$E2528,"#,##0.00")</f>
        <v>บ.ดีเคเอสเอช(ประเทศไทย) 5344488916 7,190.00</v>
      </c>
      <c r="U2528" s="12"/>
    </row>
    <row r="2529" ht="13.5" customHeight="1">
      <c r="A2529" s="1" t="s">
        <v>3730</v>
      </c>
      <c r="B2529" s="2">
        <v>45936.0</v>
      </c>
      <c r="C2529" s="9" t="s">
        <v>295</v>
      </c>
      <c r="D2529" s="1" t="s">
        <v>3731</v>
      </c>
      <c r="E2529" s="4">
        <v>16000.0</v>
      </c>
      <c r="F2529" s="4"/>
      <c r="G2529" s="4"/>
      <c r="H2529" s="4">
        <f>'data on outstanding creditors'!$E2529-'data on outstanding creditors'!$F2529-'data on outstanding creditors'!$G2529</f>
        <v>16000</v>
      </c>
      <c r="I2529" s="2"/>
      <c r="J2529" s="1"/>
      <c r="K2529" s="2"/>
      <c r="L2529" s="5"/>
      <c r="M2529" s="9" t="s">
        <v>43</v>
      </c>
      <c r="N2529" s="9" t="s">
        <v>49</v>
      </c>
      <c r="O2529" s="10">
        <f>'data on outstanding creditors'!$E2529*100/107</f>
        <v>14953.27103</v>
      </c>
      <c r="P2529" s="10">
        <f>'data on outstanding creditors'!$E2529-'data on outstanding creditors'!$O2529</f>
        <v>1046.728972</v>
      </c>
      <c r="Q2529" s="7">
        <f>DAY('data on outstanding creditors'!$B2529)</f>
        <v>6</v>
      </c>
      <c r="R2529" s="7">
        <f>MONTH('data on outstanding creditors'!$B2529)</f>
        <v>10</v>
      </c>
      <c r="S2529" s="7">
        <f>YEAR('data on outstanding creditors'!$B2529)</f>
        <v>2025</v>
      </c>
      <c r="T2529" s="11" t="str">
        <f>'data on outstanding creditors'!$C2529&amp;" "&amp;'data on outstanding creditors'!$D2529&amp;" "&amp;TEXT('data on outstanding creditors'!$E2529,"#,##0.00")</f>
        <v>บ.โกร๊ธ ซัพพลาย เมดิคอล IV6805072 16,000.00</v>
      </c>
      <c r="U2529" s="12"/>
    </row>
    <row r="2530" ht="13.5" customHeight="1">
      <c r="A2530" s="1" t="s">
        <v>3732</v>
      </c>
      <c r="B2530" s="2">
        <v>45936.0</v>
      </c>
      <c r="C2530" s="9" t="s">
        <v>2275</v>
      </c>
      <c r="D2530" s="1" t="s">
        <v>3733</v>
      </c>
      <c r="E2530" s="4">
        <v>15000.0</v>
      </c>
      <c r="F2530" s="4"/>
      <c r="G2530" s="4"/>
      <c r="H2530" s="4">
        <f>'data on outstanding creditors'!$E2530-'data on outstanding creditors'!$F2530-'data on outstanding creditors'!$G2530</f>
        <v>15000</v>
      </c>
      <c r="I2530" s="2"/>
      <c r="J2530" s="1" t="s">
        <v>757</v>
      </c>
      <c r="K2530" s="2">
        <v>45967.0</v>
      </c>
      <c r="L2530" s="5"/>
      <c r="M2530" s="9" t="s">
        <v>43</v>
      </c>
      <c r="N2530" s="9" t="s">
        <v>49</v>
      </c>
      <c r="O2530" s="10">
        <f>'data on outstanding creditors'!$E2530*100/107</f>
        <v>14018.69159</v>
      </c>
      <c r="P2530" s="10">
        <f>'data on outstanding creditors'!$E2530-'data on outstanding creditors'!$O2530</f>
        <v>981.3084112</v>
      </c>
      <c r="Q2530" s="7">
        <f>DAY('data on outstanding creditors'!$B2530)</f>
        <v>6</v>
      </c>
      <c r="R2530" s="7">
        <f>MONTH('data on outstanding creditors'!$B2530)</f>
        <v>10</v>
      </c>
      <c r="S2530" s="7">
        <f>YEAR('data on outstanding creditors'!$B2530)</f>
        <v>2025</v>
      </c>
      <c r="T2530" s="11" t="str">
        <f>'data on outstanding creditors'!$C2530&amp;" "&amp;'data on outstanding creditors'!$D2530&amp;" "&amp;TEXT('data on outstanding creditors'!$E2530,"#,##0.00")</f>
        <v>บ.ยู.พี.เมดิคอล ซอลเตอร์ 682927 15,000.00</v>
      </c>
      <c r="U2530" s="12"/>
    </row>
    <row r="2531" ht="13.5" customHeight="1">
      <c r="A2531" s="1" t="s">
        <v>3734</v>
      </c>
      <c r="B2531" s="2">
        <v>45936.0</v>
      </c>
      <c r="C2531" s="9" t="s">
        <v>399</v>
      </c>
      <c r="D2531" s="1" t="s">
        <v>3735</v>
      </c>
      <c r="E2531" s="4">
        <v>9095.0</v>
      </c>
      <c r="F2531" s="4"/>
      <c r="G2531" s="4"/>
      <c r="H2531" s="4">
        <f>'data on outstanding creditors'!$E2531-'data on outstanding creditors'!$F2531-'data on outstanding creditors'!$G2531</f>
        <v>9095</v>
      </c>
      <c r="I2531" s="2"/>
      <c r="J2531" s="1"/>
      <c r="K2531" s="2"/>
      <c r="L2531" s="5"/>
      <c r="M2531" s="9" t="s">
        <v>43</v>
      </c>
      <c r="N2531" s="9" t="s">
        <v>49</v>
      </c>
      <c r="O2531" s="10">
        <f>'data on outstanding creditors'!$E2531*100/107</f>
        <v>8500</v>
      </c>
      <c r="P2531" s="10">
        <f>'data on outstanding creditors'!$E2531-'data on outstanding creditors'!$O2531</f>
        <v>595</v>
      </c>
      <c r="Q2531" s="7">
        <f>DAY('data on outstanding creditors'!$B2531)</f>
        <v>6</v>
      </c>
      <c r="R2531" s="7">
        <f>MONTH('data on outstanding creditors'!$B2531)</f>
        <v>10</v>
      </c>
      <c r="S2531" s="7">
        <f>YEAR('data on outstanding creditors'!$B2531)</f>
        <v>2025</v>
      </c>
      <c r="T2531" s="11" t="str">
        <f>'data on outstanding creditors'!$C2531&amp;" "&amp;'data on outstanding creditors'!$D2531&amp;" "&amp;TEXT('data on outstanding creditors'!$E2531,"#,##0.00")</f>
        <v>บ.ดีเคเอสเอช(ประเทศไทย) 5344490340 9,095.00</v>
      </c>
      <c r="U2531" s="12"/>
    </row>
    <row r="2532" ht="13.5" customHeight="1">
      <c r="A2532" s="1" t="s">
        <v>3736</v>
      </c>
      <c r="B2532" s="2">
        <v>45936.0</v>
      </c>
      <c r="C2532" s="9" t="s">
        <v>399</v>
      </c>
      <c r="D2532" s="1" t="s">
        <v>3737</v>
      </c>
      <c r="E2532" s="4">
        <v>9095.0</v>
      </c>
      <c r="F2532" s="4"/>
      <c r="G2532" s="4"/>
      <c r="H2532" s="4">
        <f>'data on outstanding creditors'!$E2532-'data on outstanding creditors'!$F2532-'data on outstanding creditors'!$G2532</f>
        <v>9095</v>
      </c>
      <c r="I2532" s="2"/>
      <c r="J2532" s="1"/>
      <c r="K2532" s="2"/>
      <c r="L2532" s="5"/>
      <c r="M2532" s="9" t="s">
        <v>43</v>
      </c>
      <c r="N2532" s="9" t="s">
        <v>49</v>
      </c>
      <c r="O2532" s="10">
        <f>'data on outstanding creditors'!$E2532*100/107</f>
        <v>8500</v>
      </c>
      <c r="P2532" s="10">
        <f>'data on outstanding creditors'!$E2532-'data on outstanding creditors'!$O2532</f>
        <v>595</v>
      </c>
      <c r="Q2532" s="7">
        <f>DAY('data on outstanding creditors'!$B2532)</f>
        <v>6</v>
      </c>
      <c r="R2532" s="7">
        <f>MONTH('data on outstanding creditors'!$B2532)</f>
        <v>10</v>
      </c>
      <c r="S2532" s="7">
        <f>YEAR('data on outstanding creditors'!$B2532)</f>
        <v>2025</v>
      </c>
      <c r="T2532" s="11" t="str">
        <f>'data on outstanding creditors'!$C2532&amp;" "&amp;'data on outstanding creditors'!$D2532&amp;" "&amp;TEXT('data on outstanding creditors'!$E2532,"#,##0.00")</f>
        <v>บ.ดีเคเอสเอช(ประเทศไทย) 5344491427 9,095.00</v>
      </c>
      <c r="U2532" s="12"/>
    </row>
    <row r="2533" ht="13.5" customHeight="1">
      <c r="A2533" s="1" t="s">
        <v>3738</v>
      </c>
      <c r="B2533" s="2">
        <v>45937.0</v>
      </c>
      <c r="C2533" s="9" t="s">
        <v>1029</v>
      </c>
      <c r="D2533" s="1" t="s">
        <v>3739</v>
      </c>
      <c r="E2533" s="4">
        <v>18200.0</v>
      </c>
      <c r="F2533" s="4"/>
      <c r="G2533" s="4"/>
      <c r="H2533" s="4">
        <f>'data on outstanding creditors'!$E2533-'data on outstanding creditors'!$F2533-'data on outstanding creditors'!$G2533</f>
        <v>18200</v>
      </c>
      <c r="I2533" s="2"/>
      <c r="J2533" s="1"/>
      <c r="K2533" s="2"/>
      <c r="L2533" s="5"/>
      <c r="M2533" s="9" t="s">
        <v>43</v>
      </c>
      <c r="N2533" s="9" t="s">
        <v>49</v>
      </c>
      <c r="O2533" s="10">
        <f>'data on outstanding creditors'!$E2533*100/107</f>
        <v>17009.34579</v>
      </c>
      <c r="P2533" s="10">
        <f>'data on outstanding creditors'!$E2533-'data on outstanding creditors'!$O2533</f>
        <v>1190.654206</v>
      </c>
      <c r="Q2533" s="7">
        <f>DAY('data on outstanding creditors'!$B2533)</f>
        <v>7</v>
      </c>
      <c r="R2533" s="7">
        <f>MONTH('data on outstanding creditors'!$B2533)</f>
        <v>10</v>
      </c>
      <c r="S2533" s="7">
        <f>YEAR('data on outstanding creditors'!$B2533)</f>
        <v>2025</v>
      </c>
      <c r="T2533" s="11" t="str">
        <f>'data on outstanding creditors'!$C2533&amp;" "&amp;'data on outstanding creditors'!$D2533&amp;" "&amp;TEXT('data on outstanding creditors'!$E2533,"#,##0.00")</f>
        <v>บ.เอเทค เมดิคอล IV6810106 18,200.00</v>
      </c>
      <c r="U2533" s="12"/>
    </row>
    <row r="2534" ht="13.5" customHeight="1">
      <c r="A2534" s="1" t="s">
        <v>3740</v>
      </c>
      <c r="B2534" s="2">
        <v>45937.0</v>
      </c>
      <c r="C2534" s="9" t="s">
        <v>286</v>
      </c>
      <c r="D2534" s="1" t="s">
        <v>3741</v>
      </c>
      <c r="E2534" s="4">
        <v>20000.0</v>
      </c>
      <c r="F2534" s="4"/>
      <c r="G2534" s="4"/>
      <c r="H2534" s="4">
        <f>'data on outstanding creditors'!$E2534-'data on outstanding creditors'!$F2534-'data on outstanding creditors'!$G2534</f>
        <v>20000</v>
      </c>
      <c r="I2534" s="2"/>
      <c r="J2534" s="1"/>
      <c r="K2534" s="2"/>
      <c r="L2534" s="5"/>
      <c r="M2534" s="9" t="s">
        <v>43</v>
      </c>
      <c r="N2534" s="9" t="s">
        <v>49</v>
      </c>
      <c r="O2534" s="10">
        <f>'data on outstanding creditors'!$E2534*100/107</f>
        <v>18691.58879</v>
      </c>
      <c r="P2534" s="10">
        <f>'data on outstanding creditors'!$E2534-'data on outstanding creditors'!$O2534</f>
        <v>1308.411215</v>
      </c>
      <c r="Q2534" s="7">
        <f>DAY('data on outstanding creditors'!$B2534)</f>
        <v>7</v>
      </c>
      <c r="R2534" s="7">
        <f>MONTH('data on outstanding creditors'!$B2534)</f>
        <v>10</v>
      </c>
      <c r="S2534" s="7">
        <f>YEAR('data on outstanding creditors'!$B2534)</f>
        <v>2025</v>
      </c>
      <c r="T2534" s="11" t="str">
        <f>'data on outstanding creditors'!$C2534&amp;" "&amp;'data on outstanding creditors'!$D2534&amp;" "&amp;TEXT('data on outstanding creditors'!$E2534,"#,##0.00")</f>
        <v>บ.เอ็ม ดี ซี (ประเทศไทย) IV25100252 20,000.00</v>
      </c>
      <c r="U2534" s="12"/>
    </row>
    <row r="2535" ht="13.5" customHeight="1">
      <c r="A2535" s="1"/>
      <c r="B2535" s="2">
        <v>45937.0</v>
      </c>
      <c r="C2535" s="9" t="s">
        <v>1029</v>
      </c>
      <c r="D2535" s="1" t="s">
        <v>3742</v>
      </c>
      <c r="E2535" s="4">
        <v>10400.0</v>
      </c>
      <c r="F2535" s="4"/>
      <c r="G2535" s="4"/>
      <c r="H2535" s="4">
        <f>'data on outstanding creditors'!$E2535-'data on outstanding creditors'!$F2535-'data on outstanding creditors'!$G2535</f>
        <v>10400</v>
      </c>
      <c r="I2535" s="2"/>
      <c r="J2535" s="1"/>
      <c r="K2535" s="2"/>
      <c r="L2535" s="5"/>
      <c r="M2535" s="9" t="s">
        <v>43</v>
      </c>
      <c r="N2535" s="9" t="s">
        <v>49</v>
      </c>
      <c r="O2535" s="10">
        <f>'data on outstanding creditors'!$E2535*100/107</f>
        <v>9719.626168</v>
      </c>
      <c r="P2535" s="10">
        <f>'data on outstanding creditors'!$E2535-'data on outstanding creditors'!$O2535</f>
        <v>680.3738318</v>
      </c>
      <c r="Q2535" s="7">
        <f>DAY('data on outstanding creditors'!$B2535)</f>
        <v>7</v>
      </c>
      <c r="R2535" s="7">
        <f>MONTH('data on outstanding creditors'!$B2535)</f>
        <v>10</v>
      </c>
      <c r="S2535" s="7">
        <f>YEAR('data on outstanding creditors'!$B2535)</f>
        <v>2025</v>
      </c>
      <c r="T2535" s="11" t="str">
        <f>'data on outstanding creditors'!$C2535&amp;" "&amp;'data on outstanding creditors'!$D2535&amp;" "&amp;TEXT('data on outstanding creditors'!$E2535,"#,##0.00")</f>
        <v>บ.เอเทค เมดิคอล IV6810131 10,400.00</v>
      </c>
      <c r="U2535" s="12"/>
    </row>
    <row r="2536" ht="13.5" customHeight="1">
      <c r="A2536" s="1" t="s">
        <v>3743</v>
      </c>
      <c r="B2536" s="2">
        <v>45938.0</v>
      </c>
      <c r="C2536" s="9" t="s">
        <v>399</v>
      </c>
      <c r="D2536" s="1" t="s">
        <v>3744</v>
      </c>
      <c r="E2536" s="4">
        <v>48000.0</v>
      </c>
      <c r="F2536" s="4"/>
      <c r="G2536" s="4"/>
      <c r="H2536" s="4">
        <f>'data on outstanding creditors'!$E2536-'data on outstanding creditors'!$F2536-'data on outstanding creditors'!$G2536</f>
        <v>48000</v>
      </c>
      <c r="I2536" s="2"/>
      <c r="J2536" s="1"/>
      <c r="K2536" s="2"/>
      <c r="L2536" s="5"/>
      <c r="M2536" s="9" t="s">
        <v>43</v>
      </c>
      <c r="N2536" s="9" t="s">
        <v>49</v>
      </c>
      <c r="O2536" s="10">
        <f>'data on outstanding creditors'!$E2536*100/107</f>
        <v>44859.81308</v>
      </c>
      <c r="P2536" s="10">
        <f>'data on outstanding creditors'!$E2536-'data on outstanding creditors'!$O2536</f>
        <v>3140.186916</v>
      </c>
      <c r="Q2536" s="7">
        <f>DAY('data on outstanding creditors'!$B2536)</f>
        <v>8</v>
      </c>
      <c r="R2536" s="7">
        <f>MONTH('data on outstanding creditors'!$B2536)</f>
        <v>10</v>
      </c>
      <c r="S2536" s="7">
        <f>YEAR('data on outstanding creditors'!$B2536)</f>
        <v>2025</v>
      </c>
      <c r="T2536" s="11" t="str">
        <f>'data on outstanding creditors'!$C2536&amp;" "&amp;'data on outstanding creditors'!$D2536&amp;" "&amp;TEXT('data on outstanding creditors'!$E2536,"#,##0.00")</f>
        <v>บ.ดีเคเอสเอช(ประเทศไทย) 5344472931 48,000.00</v>
      </c>
      <c r="U2536" s="12"/>
    </row>
    <row r="2537" ht="13.5" customHeight="1">
      <c r="A2537" s="1" t="s">
        <v>3745</v>
      </c>
      <c r="B2537" s="2">
        <v>45939.0</v>
      </c>
      <c r="C2537" s="9" t="s">
        <v>1029</v>
      </c>
      <c r="D2537" s="1" t="s">
        <v>3746</v>
      </c>
      <c r="E2537" s="4">
        <v>18200.0</v>
      </c>
      <c r="F2537" s="4"/>
      <c r="G2537" s="4"/>
      <c r="H2537" s="4">
        <f>'data on outstanding creditors'!$E2537-'data on outstanding creditors'!$F2537-'data on outstanding creditors'!$G2537</f>
        <v>18200</v>
      </c>
      <c r="I2537" s="2"/>
      <c r="J2537" s="1"/>
      <c r="K2537" s="2"/>
      <c r="L2537" s="5"/>
      <c r="M2537" s="9" t="s">
        <v>43</v>
      </c>
      <c r="N2537" s="9" t="s">
        <v>49</v>
      </c>
      <c r="O2537" s="10">
        <f>'data on outstanding creditors'!$E2537*100/107</f>
        <v>17009.34579</v>
      </c>
      <c r="P2537" s="10">
        <f>'data on outstanding creditors'!$E2537-'data on outstanding creditors'!$O2537</f>
        <v>1190.654206</v>
      </c>
      <c r="Q2537" s="7">
        <f>DAY('data on outstanding creditors'!$B2537)</f>
        <v>9</v>
      </c>
      <c r="R2537" s="7">
        <f>MONTH('data on outstanding creditors'!$B2537)</f>
        <v>10</v>
      </c>
      <c r="S2537" s="7">
        <f>YEAR('data on outstanding creditors'!$B2537)</f>
        <v>2025</v>
      </c>
      <c r="T2537" s="11" t="str">
        <f>'data on outstanding creditors'!$C2537&amp;" "&amp;'data on outstanding creditors'!$D2537&amp;" "&amp;TEXT('data on outstanding creditors'!$E2537,"#,##0.00")</f>
        <v>บ.เอเทค เมดิคอล IV6810166 18,200.00</v>
      </c>
      <c r="U2537" s="12"/>
    </row>
    <row r="2538" ht="13.5" customHeight="1">
      <c r="A2538" s="1" t="s">
        <v>3747</v>
      </c>
      <c r="B2538" s="2">
        <v>45939.0</v>
      </c>
      <c r="C2538" s="9" t="s">
        <v>1029</v>
      </c>
      <c r="D2538" s="1" t="s">
        <v>3748</v>
      </c>
      <c r="E2538" s="4">
        <v>18200.0</v>
      </c>
      <c r="F2538" s="4"/>
      <c r="G2538" s="4"/>
      <c r="H2538" s="4">
        <f>'data on outstanding creditors'!$E2538-'data on outstanding creditors'!$F2538-'data on outstanding creditors'!$G2538</f>
        <v>18200</v>
      </c>
      <c r="I2538" s="2"/>
      <c r="J2538" s="1"/>
      <c r="K2538" s="2"/>
      <c r="L2538" s="5"/>
      <c r="M2538" s="9" t="s">
        <v>43</v>
      </c>
      <c r="N2538" s="9" t="s">
        <v>49</v>
      </c>
      <c r="O2538" s="10">
        <f>'data on outstanding creditors'!$E2538*100/107</f>
        <v>17009.34579</v>
      </c>
      <c r="P2538" s="10">
        <f>'data on outstanding creditors'!$E2538-'data on outstanding creditors'!$O2538</f>
        <v>1190.654206</v>
      </c>
      <c r="Q2538" s="7">
        <f>DAY('data on outstanding creditors'!$B2538)</f>
        <v>9</v>
      </c>
      <c r="R2538" s="7">
        <f>MONTH('data on outstanding creditors'!$B2538)</f>
        <v>10</v>
      </c>
      <c r="S2538" s="7">
        <f>YEAR('data on outstanding creditors'!$B2538)</f>
        <v>2025</v>
      </c>
      <c r="T2538" s="11" t="str">
        <f>'data on outstanding creditors'!$C2538&amp;" "&amp;'data on outstanding creditors'!$D2538&amp;" "&amp;TEXT('data on outstanding creditors'!$E2538,"#,##0.00")</f>
        <v>บ.เอเทค เมดิคอล IV6810167 18,200.00</v>
      </c>
      <c r="U2538" s="12"/>
    </row>
    <row r="2539" ht="13.5" customHeight="1">
      <c r="A2539" s="1" t="s">
        <v>3749</v>
      </c>
      <c r="B2539" s="2">
        <v>45939.0</v>
      </c>
      <c r="C2539" s="9" t="s">
        <v>1029</v>
      </c>
      <c r="D2539" s="1" t="s">
        <v>3750</v>
      </c>
      <c r="E2539" s="4">
        <v>18200.0</v>
      </c>
      <c r="F2539" s="4"/>
      <c r="G2539" s="4"/>
      <c r="H2539" s="4">
        <f>'data on outstanding creditors'!$E2539-'data on outstanding creditors'!$F2539-'data on outstanding creditors'!$G2539</f>
        <v>18200</v>
      </c>
      <c r="I2539" s="2"/>
      <c r="J2539" s="1"/>
      <c r="K2539" s="2"/>
      <c r="L2539" s="5"/>
      <c r="M2539" s="9" t="s">
        <v>43</v>
      </c>
      <c r="N2539" s="9" t="s">
        <v>49</v>
      </c>
      <c r="O2539" s="10">
        <f>'data on outstanding creditors'!$E2539*100/107</f>
        <v>17009.34579</v>
      </c>
      <c r="P2539" s="10">
        <f>'data on outstanding creditors'!$E2539-'data on outstanding creditors'!$O2539</f>
        <v>1190.654206</v>
      </c>
      <c r="Q2539" s="7">
        <f>DAY('data on outstanding creditors'!$B2539)</f>
        <v>9</v>
      </c>
      <c r="R2539" s="7">
        <f>MONTH('data on outstanding creditors'!$B2539)</f>
        <v>10</v>
      </c>
      <c r="S2539" s="7">
        <f>YEAR('data on outstanding creditors'!$B2539)</f>
        <v>2025</v>
      </c>
      <c r="T2539" s="11" t="str">
        <f>'data on outstanding creditors'!$C2539&amp;" "&amp;'data on outstanding creditors'!$D2539&amp;" "&amp;TEXT('data on outstanding creditors'!$E2539,"#,##0.00")</f>
        <v>บ.เอเทค เมดิคอล IV6810165 18,200.00</v>
      </c>
      <c r="U2539" s="12"/>
    </row>
    <row r="2540" ht="13.5" customHeight="1">
      <c r="A2540" s="1" t="s">
        <v>3751</v>
      </c>
      <c r="B2540" s="2">
        <v>45939.0</v>
      </c>
      <c r="C2540" s="9" t="s">
        <v>2472</v>
      </c>
      <c r="D2540" s="1" t="s">
        <v>3752</v>
      </c>
      <c r="E2540" s="4">
        <v>32000.0</v>
      </c>
      <c r="F2540" s="4"/>
      <c r="G2540" s="4"/>
      <c r="H2540" s="4">
        <f>'data on outstanding creditors'!$E2540-'data on outstanding creditors'!$F2540-'data on outstanding creditors'!$G2540</f>
        <v>32000</v>
      </c>
      <c r="I2540" s="2"/>
      <c r="J2540" s="1"/>
      <c r="K2540" s="2"/>
      <c r="L2540" s="5"/>
      <c r="M2540" s="9" t="s">
        <v>43</v>
      </c>
      <c r="N2540" s="9" t="s">
        <v>49</v>
      </c>
      <c r="O2540" s="10">
        <f>'data on outstanding creditors'!$E2540*100/107</f>
        <v>29906.54206</v>
      </c>
      <c r="P2540" s="10">
        <f>'data on outstanding creditors'!$E2540-'data on outstanding creditors'!$O2540</f>
        <v>2093.457944</v>
      </c>
      <c r="Q2540" s="7">
        <f>DAY('data on outstanding creditors'!$B2540)</f>
        <v>9</v>
      </c>
      <c r="R2540" s="7">
        <f>MONTH('data on outstanding creditors'!$B2540)</f>
        <v>10</v>
      </c>
      <c r="S2540" s="7">
        <f>YEAR('data on outstanding creditors'!$B2540)</f>
        <v>2025</v>
      </c>
      <c r="T2540" s="11" t="str">
        <f>'data on outstanding creditors'!$C2540&amp;" "&amp;'data on outstanding creditors'!$D2540&amp;" "&amp;TEXT('data on outstanding creditors'!$E2540,"#,##0.00")</f>
        <v>บ.เอเมอร์สัน กรุ๊ป IV6810194 32,000.00</v>
      </c>
      <c r="U2540" s="12"/>
    </row>
    <row r="2541" ht="13.5" customHeight="1">
      <c r="A2541" s="1" t="s">
        <v>3753</v>
      </c>
      <c r="B2541" s="2">
        <v>45940.0</v>
      </c>
      <c r="C2541" s="9" t="s">
        <v>1029</v>
      </c>
      <c r="D2541" s="1" t="s">
        <v>3754</v>
      </c>
      <c r="E2541" s="4">
        <v>11400.0</v>
      </c>
      <c r="F2541" s="4"/>
      <c r="G2541" s="4"/>
      <c r="H2541" s="4">
        <f>'data on outstanding creditors'!$E2541-'data on outstanding creditors'!$F2541-'data on outstanding creditors'!$G2541</f>
        <v>11400</v>
      </c>
      <c r="I2541" s="2"/>
      <c r="J2541" s="1"/>
      <c r="K2541" s="2"/>
      <c r="L2541" s="5"/>
      <c r="M2541" s="9" t="s">
        <v>43</v>
      </c>
      <c r="N2541" s="9" t="s">
        <v>49</v>
      </c>
      <c r="O2541" s="10">
        <f>'data on outstanding creditors'!$E2541*100/107</f>
        <v>10654.20561</v>
      </c>
      <c r="P2541" s="10">
        <f>'data on outstanding creditors'!$E2541-'data on outstanding creditors'!$O2541</f>
        <v>745.7943925</v>
      </c>
      <c r="Q2541" s="7">
        <f>DAY('data on outstanding creditors'!$B2541)</f>
        <v>10</v>
      </c>
      <c r="R2541" s="7">
        <f>MONTH('data on outstanding creditors'!$B2541)</f>
        <v>10</v>
      </c>
      <c r="S2541" s="7">
        <f>YEAR('data on outstanding creditors'!$B2541)</f>
        <v>2025</v>
      </c>
      <c r="T2541" s="11" t="str">
        <f>'data on outstanding creditors'!$C2541&amp;" "&amp;'data on outstanding creditors'!$D2541&amp;" "&amp;TEXT('data on outstanding creditors'!$E2541,"#,##0.00")</f>
        <v>บ.เอเทค เมดิคอล IV6810184 11,400.00</v>
      </c>
      <c r="U2541" s="12"/>
    </row>
    <row r="2542" ht="13.5" customHeight="1">
      <c r="A2542" s="1" t="s">
        <v>3755</v>
      </c>
      <c r="B2542" s="2">
        <v>45940.0</v>
      </c>
      <c r="C2542" s="9" t="s">
        <v>1029</v>
      </c>
      <c r="D2542" s="1" t="s">
        <v>3756</v>
      </c>
      <c r="E2542" s="4">
        <v>17300.0</v>
      </c>
      <c r="F2542" s="4"/>
      <c r="G2542" s="4"/>
      <c r="H2542" s="4">
        <f>'data on outstanding creditors'!$E2542-'data on outstanding creditors'!$F2542-'data on outstanding creditors'!$G2542</f>
        <v>17300</v>
      </c>
      <c r="I2542" s="2"/>
      <c r="J2542" s="1"/>
      <c r="K2542" s="2"/>
      <c r="L2542" s="5"/>
      <c r="M2542" s="9" t="s">
        <v>43</v>
      </c>
      <c r="N2542" s="9" t="s">
        <v>49</v>
      </c>
      <c r="O2542" s="10">
        <f>'data on outstanding creditors'!$E2542*100/107</f>
        <v>16168.2243</v>
      </c>
      <c r="P2542" s="10">
        <f>'data on outstanding creditors'!$E2542-'data on outstanding creditors'!$O2542</f>
        <v>1131.775701</v>
      </c>
      <c r="Q2542" s="7">
        <f>DAY('data on outstanding creditors'!$B2542)</f>
        <v>10</v>
      </c>
      <c r="R2542" s="7">
        <f>MONTH('data on outstanding creditors'!$B2542)</f>
        <v>10</v>
      </c>
      <c r="S2542" s="7">
        <f>YEAR('data on outstanding creditors'!$B2542)</f>
        <v>2025</v>
      </c>
      <c r="T2542" s="11" t="str">
        <f>'data on outstanding creditors'!$C2542&amp;" "&amp;'data on outstanding creditors'!$D2542&amp;" "&amp;TEXT('data on outstanding creditors'!$E2542,"#,##0.00")</f>
        <v>บ.เอเทค เมดิคอล IV6810171 17,300.00</v>
      </c>
      <c r="U2542" s="12"/>
    </row>
    <row r="2543" ht="13.5" customHeight="1">
      <c r="A2543" s="1" t="s">
        <v>3757</v>
      </c>
      <c r="B2543" s="2">
        <v>45940.0</v>
      </c>
      <c r="C2543" s="9" t="s">
        <v>1029</v>
      </c>
      <c r="D2543" s="1" t="s">
        <v>3758</v>
      </c>
      <c r="E2543" s="4">
        <v>19100.0</v>
      </c>
      <c r="F2543" s="4"/>
      <c r="G2543" s="4"/>
      <c r="H2543" s="4">
        <f>'data on outstanding creditors'!$E2543-'data on outstanding creditors'!$F2543-'data on outstanding creditors'!$G2543</f>
        <v>19100</v>
      </c>
      <c r="I2543" s="2"/>
      <c r="J2543" s="1"/>
      <c r="K2543" s="2"/>
      <c r="L2543" s="5"/>
      <c r="M2543" s="9" t="s">
        <v>43</v>
      </c>
      <c r="N2543" s="9" t="s">
        <v>49</v>
      </c>
      <c r="O2543" s="10">
        <f>'data on outstanding creditors'!$E2543*100/107</f>
        <v>17850.46729</v>
      </c>
      <c r="P2543" s="10">
        <f>'data on outstanding creditors'!$E2543-'data on outstanding creditors'!$O2543</f>
        <v>1249.53271</v>
      </c>
      <c r="Q2543" s="7">
        <f>DAY('data on outstanding creditors'!$B2543)</f>
        <v>10</v>
      </c>
      <c r="R2543" s="7">
        <f>MONTH('data on outstanding creditors'!$B2543)</f>
        <v>10</v>
      </c>
      <c r="S2543" s="7">
        <f>YEAR('data on outstanding creditors'!$B2543)</f>
        <v>2025</v>
      </c>
      <c r="T2543" s="11" t="str">
        <f>'data on outstanding creditors'!$C2543&amp;" "&amp;'data on outstanding creditors'!$D2543&amp;" "&amp;TEXT('data on outstanding creditors'!$E2543,"#,##0.00")</f>
        <v>บ.เอเทค เมดิคอล IV6810172 19,100.00</v>
      </c>
      <c r="U2543" s="12"/>
    </row>
    <row r="2544" ht="13.5" customHeight="1">
      <c r="A2544" s="1" t="s">
        <v>3759</v>
      </c>
      <c r="B2544" s="2">
        <v>45940.0</v>
      </c>
      <c r="C2544" s="9" t="s">
        <v>1029</v>
      </c>
      <c r="D2544" s="1" t="s">
        <v>3760</v>
      </c>
      <c r="E2544" s="4">
        <v>19400.0</v>
      </c>
      <c r="F2544" s="4"/>
      <c r="G2544" s="4"/>
      <c r="H2544" s="4">
        <f>'data on outstanding creditors'!$E2544-'data on outstanding creditors'!$F2544-'data on outstanding creditors'!$G2544</f>
        <v>19400</v>
      </c>
      <c r="I2544" s="2"/>
      <c r="J2544" s="1"/>
      <c r="K2544" s="2"/>
      <c r="L2544" s="5"/>
      <c r="M2544" s="9" t="s">
        <v>43</v>
      </c>
      <c r="N2544" s="9" t="s">
        <v>49</v>
      </c>
      <c r="O2544" s="10">
        <f>'data on outstanding creditors'!$E2544*100/107</f>
        <v>18130.84112</v>
      </c>
      <c r="P2544" s="10">
        <f>'data on outstanding creditors'!$E2544-'data on outstanding creditors'!$O2544</f>
        <v>1269.158879</v>
      </c>
      <c r="Q2544" s="7">
        <f>DAY('data on outstanding creditors'!$B2544)</f>
        <v>10</v>
      </c>
      <c r="R2544" s="7">
        <f>MONTH('data on outstanding creditors'!$B2544)</f>
        <v>10</v>
      </c>
      <c r="S2544" s="7">
        <f>YEAR('data on outstanding creditors'!$B2544)</f>
        <v>2025</v>
      </c>
      <c r="T2544" s="11" t="str">
        <f>'data on outstanding creditors'!$C2544&amp;" "&amp;'data on outstanding creditors'!$D2544&amp;" "&amp;TEXT('data on outstanding creditors'!$E2544,"#,##0.00")</f>
        <v>บ.เอเทค เมดิคอล IV6810173 19,400.00</v>
      </c>
      <c r="U2544" s="12"/>
    </row>
    <row r="2545" ht="13.5" customHeight="1">
      <c r="A2545" s="1" t="s">
        <v>3761</v>
      </c>
      <c r="B2545" s="2">
        <v>45944.0</v>
      </c>
      <c r="C2545" s="9" t="s">
        <v>3762</v>
      </c>
      <c r="D2545" s="1" t="s">
        <v>3763</v>
      </c>
      <c r="E2545" s="4">
        <v>27000.0</v>
      </c>
      <c r="F2545" s="4"/>
      <c r="G2545" s="4"/>
      <c r="H2545" s="4">
        <f>'data on outstanding creditors'!$E2545-'data on outstanding creditors'!$F2545-'data on outstanding creditors'!$G2545</f>
        <v>27000</v>
      </c>
      <c r="I2545" s="2"/>
      <c r="J2545" s="1"/>
      <c r="K2545" s="2"/>
      <c r="L2545" s="5"/>
      <c r="M2545" s="9" t="s">
        <v>43</v>
      </c>
      <c r="N2545" s="9" t="s">
        <v>49</v>
      </c>
      <c r="O2545" s="10">
        <f>'data on outstanding creditors'!$E2545*100/107</f>
        <v>25233.64486</v>
      </c>
      <c r="P2545" s="10">
        <f>'data on outstanding creditors'!$E2545-'data on outstanding creditors'!$O2545</f>
        <v>1766.35514</v>
      </c>
      <c r="Q2545" s="7">
        <f>DAY('data on outstanding creditors'!$B2545)</f>
        <v>14</v>
      </c>
      <c r="R2545" s="7">
        <f>MONTH('data on outstanding creditors'!$B2545)</f>
        <v>10</v>
      </c>
      <c r="S2545" s="7">
        <f>YEAR('data on outstanding creditors'!$B2545)</f>
        <v>2025</v>
      </c>
      <c r="T2545" s="11" t="str">
        <f>'data on outstanding creditors'!$C2545&amp;" "&amp;'data on outstanding creditors'!$D2545&amp;" "&amp;TEXT('data on outstanding creditors'!$E2545,"#,##0.00")</f>
        <v>บ.เคทู เมดิคอล (ประเทศไทย) IV6810000036 27,000.00</v>
      </c>
      <c r="U2545" s="12"/>
    </row>
    <row r="2546" ht="13.5" customHeight="1">
      <c r="A2546" s="1" t="s">
        <v>3764</v>
      </c>
      <c r="B2546" s="2">
        <v>45944.0</v>
      </c>
      <c r="C2546" s="9" t="s">
        <v>1029</v>
      </c>
      <c r="D2546" s="1" t="s">
        <v>3765</v>
      </c>
      <c r="E2546" s="4">
        <v>11400.0</v>
      </c>
      <c r="F2546" s="4"/>
      <c r="G2546" s="4"/>
      <c r="H2546" s="4">
        <f>'data on outstanding creditors'!$E2546-'data on outstanding creditors'!$F2546-'data on outstanding creditors'!$G2546</f>
        <v>11400</v>
      </c>
      <c r="I2546" s="2"/>
      <c r="J2546" s="1"/>
      <c r="K2546" s="2"/>
      <c r="L2546" s="5"/>
      <c r="M2546" s="9" t="s">
        <v>43</v>
      </c>
      <c r="N2546" s="9" t="s">
        <v>49</v>
      </c>
      <c r="O2546" s="10">
        <f>'data on outstanding creditors'!$E2546*100/107</f>
        <v>10654.20561</v>
      </c>
      <c r="P2546" s="10">
        <f>'data on outstanding creditors'!$E2546-'data on outstanding creditors'!$O2546</f>
        <v>745.7943925</v>
      </c>
      <c r="Q2546" s="7">
        <f>DAY('data on outstanding creditors'!$B2546)</f>
        <v>14</v>
      </c>
      <c r="R2546" s="7">
        <f>MONTH('data on outstanding creditors'!$B2546)</f>
        <v>10</v>
      </c>
      <c r="S2546" s="7">
        <f>YEAR('data on outstanding creditors'!$B2546)</f>
        <v>2025</v>
      </c>
      <c r="T2546" s="11" t="str">
        <f>'data on outstanding creditors'!$C2546&amp;" "&amp;'data on outstanding creditors'!$D2546&amp;" "&amp;TEXT('data on outstanding creditors'!$E2546,"#,##0.00")</f>
        <v>บ.เอเทค เมดิคอล IV6810208 11,400.00</v>
      </c>
      <c r="U2546" s="12"/>
    </row>
    <row r="2547" ht="13.5" customHeight="1">
      <c r="A2547" s="1" t="s">
        <v>3766</v>
      </c>
      <c r="B2547" s="2">
        <v>45944.0</v>
      </c>
      <c r="C2547" s="9" t="s">
        <v>1029</v>
      </c>
      <c r="D2547" s="1" t="s">
        <v>3767</v>
      </c>
      <c r="E2547" s="4">
        <v>19100.0</v>
      </c>
      <c r="F2547" s="4"/>
      <c r="G2547" s="4"/>
      <c r="H2547" s="4">
        <f>'data on outstanding creditors'!$E2547-'data on outstanding creditors'!$F2547-'data on outstanding creditors'!$G2547</f>
        <v>19100</v>
      </c>
      <c r="I2547" s="2"/>
      <c r="J2547" s="1"/>
      <c r="K2547" s="2"/>
      <c r="L2547" s="5"/>
      <c r="M2547" s="9" t="s">
        <v>43</v>
      </c>
      <c r="N2547" s="9" t="s">
        <v>49</v>
      </c>
      <c r="O2547" s="10">
        <f>'data on outstanding creditors'!$E2547*100/107</f>
        <v>17850.46729</v>
      </c>
      <c r="P2547" s="10">
        <f>'data on outstanding creditors'!$E2547-'data on outstanding creditors'!$O2547</f>
        <v>1249.53271</v>
      </c>
      <c r="Q2547" s="7">
        <f>DAY('data on outstanding creditors'!$B2547)</f>
        <v>14</v>
      </c>
      <c r="R2547" s="7">
        <f>MONTH('data on outstanding creditors'!$B2547)</f>
        <v>10</v>
      </c>
      <c r="S2547" s="7">
        <f>YEAR('data on outstanding creditors'!$B2547)</f>
        <v>2025</v>
      </c>
      <c r="T2547" s="11" t="str">
        <f>'data on outstanding creditors'!$C2547&amp;" "&amp;'data on outstanding creditors'!$D2547&amp;" "&amp;TEXT('data on outstanding creditors'!$E2547,"#,##0.00")</f>
        <v>บ.เอเทค เมดิคอล IV6810206 19,100.00</v>
      </c>
      <c r="U2547" s="12"/>
    </row>
    <row r="2548" ht="13.5" customHeight="1">
      <c r="A2548" s="1" t="s">
        <v>3768</v>
      </c>
      <c r="B2548" s="2">
        <v>45944.0</v>
      </c>
      <c r="C2548" s="9" t="s">
        <v>2315</v>
      </c>
      <c r="D2548" s="1" t="s">
        <v>3769</v>
      </c>
      <c r="E2548" s="4">
        <v>3000.0</v>
      </c>
      <c r="F2548" s="4"/>
      <c r="G2548" s="4"/>
      <c r="H2548" s="4">
        <f>'data on outstanding creditors'!$E2548-'data on outstanding creditors'!$F2548-'data on outstanding creditors'!$G2548</f>
        <v>3000</v>
      </c>
      <c r="I2548" s="2"/>
      <c r="J2548" s="1"/>
      <c r="K2548" s="2"/>
      <c r="L2548" s="5"/>
      <c r="M2548" s="9" t="s">
        <v>43</v>
      </c>
      <c r="N2548" s="9" t="s">
        <v>49</v>
      </c>
      <c r="O2548" s="10">
        <f>'data on outstanding creditors'!$E2548*100/107</f>
        <v>2803.738318</v>
      </c>
      <c r="P2548" s="10">
        <f>'data on outstanding creditors'!$E2548-'data on outstanding creditors'!$O2548</f>
        <v>196.2616822</v>
      </c>
      <c r="Q2548" s="7">
        <f>DAY('data on outstanding creditors'!$B2548)</f>
        <v>14</v>
      </c>
      <c r="R2548" s="7">
        <f>MONTH('data on outstanding creditors'!$B2548)</f>
        <v>10</v>
      </c>
      <c r="S2548" s="7">
        <f>YEAR('data on outstanding creditors'!$B2548)</f>
        <v>2025</v>
      </c>
      <c r="T2548" s="11" t="str">
        <f>'data on outstanding creditors'!$C2548&amp;" "&amp;'data on outstanding creditors'!$D2548&amp;" "&amp;TEXT('data on outstanding creditors'!$E2548,"#,##0.00")</f>
        <v>บ.เรียลเมดคอร์ป IV25094036 3,000.00</v>
      </c>
      <c r="U2548" s="12"/>
    </row>
    <row r="2549" ht="13.5" customHeight="1">
      <c r="A2549" s="1" t="s">
        <v>3770</v>
      </c>
      <c r="B2549" s="2">
        <v>45944.0</v>
      </c>
      <c r="C2549" s="9" t="s">
        <v>1114</v>
      </c>
      <c r="D2549" s="1" t="s">
        <v>3771</v>
      </c>
      <c r="E2549" s="4">
        <v>40300.0</v>
      </c>
      <c r="F2549" s="4"/>
      <c r="G2549" s="4"/>
      <c r="H2549" s="4">
        <f>'data on outstanding creditors'!$E2549-'data on outstanding creditors'!$F2549-'data on outstanding creditors'!$G2549</f>
        <v>40300</v>
      </c>
      <c r="I2549" s="2"/>
      <c r="J2549" s="1"/>
      <c r="K2549" s="2"/>
      <c r="L2549" s="5"/>
      <c r="M2549" s="9" t="s">
        <v>43</v>
      </c>
      <c r="N2549" s="9" t="s">
        <v>49</v>
      </c>
      <c r="O2549" s="10">
        <f>'data on outstanding creditors'!$E2549*100/107</f>
        <v>37663.5514</v>
      </c>
      <c r="P2549" s="10">
        <f>'data on outstanding creditors'!$E2549-'data on outstanding creditors'!$O2549</f>
        <v>2636.448598</v>
      </c>
      <c r="Q2549" s="7">
        <f>DAY('data on outstanding creditors'!$B2549)</f>
        <v>14</v>
      </c>
      <c r="R2549" s="7">
        <f>MONTH('data on outstanding creditors'!$B2549)</f>
        <v>10</v>
      </c>
      <c r="S2549" s="7">
        <f>YEAR('data on outstanding creditors'!$B2549)</f>
        <v>2025</v>
      </c>
      <c r="T2549" s="11" t="str">
        <f>'data on outstanding creditors'!$C2549&amp;" "&amp;'data on outstanding creditors'!$D2549&amp;" "&amp;TEXT('data on outstanding creditors'!$E2549,"#,##0.00")</f>
        <v>หจก.อิเลฟเว่น พลัซ EL681009064 40,300.00</v>
      </c>
      <c r="U2549" s="12"/>
    </row>
    <row r="2550" ht="13.5" customHeight="1">
      <c r="A2550" s="1" t="s">
        <v>3772</v>
      </c>
      <c r="B2550" s="2">
        <v>45944.0</v>
      </c>
      <c r="C2550" s="9" t="s">
        <v>2404</v>
      </c>
      <c r="D2550" s="1" t="s">
        <v>3773</v>
      </c>
      <c r="E2550" s="4">
        <v>30960.0</v>
      </c>
      <c r="F2550" s="4"/>
      <c r="G2550" s="4"/>
      <c r="H2550" s="4">
        <f>'data on outstanding creditors'!$E2550-'data on outstanding creditors'!$F2550-'data on outstanding creditors'!$G2550</f>
        <v>30960</v>
      </c>
      <c r="I2550" s="2"/>
      <c r="J2550" s="1"/>
      <c r="K2550" s="2"/>
      <c r="L2550" s="5"/>
      <c r="M2550" s="9" t="s">
        <v>43</v>
      </c>
      <c r="N2550" s="9" t="s">
        <v>49</v>
      </c>
      <c r="O2550" s="10">
        <f>'data on outstanding creditors'!$E2550*100/107</f>
        <v>28934.57944</v>
      </c>
      <c r="P2550" s="10">
        <f>'data on outstanding creditors'!$E2550-'data on outstanding creditors'!$O2550</f>
        <v>2025.420561</v>
      </c>
      <c r="Q2550" s="7">
        <f>DAY('data on outstanding creditors'!$B2550)</f>
        <v>14</v>
      </c>
      <c r="R2550" s="7">
        <f>MONTH('data on outstanding creditors'!$B2550)</f>
        <v>10</v>
      </c>
      <c r="S2550" s="7">
        <f>YEAR('data on outstanding creditors'!$B2550)</f>
        <v>2025</v>
      </c>
      <c r="T2550" s="11" t="str">
        <f>'data on outstanding creditors'!$C2550&amp;" "&amp;'data on outstanding creditors'!$D2550&amp;" "&amp;TEXT('data on outstanding creditors'!$E2550,"#,##0.00")</f>
        <v>บ.โกสินทร์เวชภัณฑ์ KS681996 30,960.00</v>
      </c>
      <c r="U2550" s="12"/>
    </row>
    <row r="2551" ht="13.5" customHeight="1">
      <c r="A2551" s="1" t="s">
        <v>3774</v>
      </c>
      <c r="B2551" s="2">
        <v>45944.0</v>
      </c>
      <c r="C2551" s="9" t="s">
        <v>399</v>
      </c>
      <c r="D2551" s="1" t="s">
        <v>3775</v>
      </c>
      <c r="E2551" s="4">
        <v>12840.0</v>
      </c>
      <c r="F2551" s="4"/>
      <c r="G2551" s="4"/>
      <c r="H2551" s="4">
        <f>'data on outstanding creditors'!$E2551-'data on outstanding creditors'!$F2551-'data on outstanding creditors'!$G2551</f>
        <v>12840</v>
      </c>
      <c r="I2551" s="2"/>
      <c r="J2551" s="1"/>
      <c r="K2551" s="2"/>
      <c r="L2551" s="5"/>
      <c r="M2551" s="9" t="s">
        <v>43</v>
      </c>
      <c r="N2551" s="9" t="s">
        <v>49</v>
      </c>
      <c r="O2551" s="10">
        <f>'data on outstanding creditors'!$E2551*100/107</f>
        <v>12000</v>
      </c>
      <c r="P2551" s="10">
        <f>'data on outstanding creditors'!$E2551-'data on outstanding creditors'!$O2551</f>
        <v>840</v>
      </c>
      <c r="Q2551" s="7">
        <f>DAY('data on outstanding creditors'!$B2551)</f>
        <v>14</v>
      </c>
      <c r="R2551" s="7">
        <f>MONTH('data on outstanding creditors'!$B2551)</f>
        <v>10</v>
      </c>
      <c r="S2551" s="7">
        <f>YEAR('data on outstanding creditors'!$B2551)</f>
        <v>2025</v>
      </c>
      <c r="T2551" s="11" t="str">
        <f>'data on outstanding creditors'!$C2551&amp;" "&amp;'data on outstanding creditors'!$D2551&amp;" "&amp;TEXT('data on outstanding creditors'!$E2551,"#,##0.00")</f>
        <v>บ.ดีเคเอสเอช(ประเทศไทย) 5344544419 12,840.00</v>
      </c>
      <c r="U2551" s="12"/>
    </row>
    <row r="2552" ht="13.5" customHeight="1">
      <c r="A2552" s="1" t="s">
        <v>3776</v>
      </c>
      <c r="B2552" s="2">
        <v>45944.0</v>
      </c>
      <c r="C2552" s="9" t="s">
        <v>399</v>
      </c>
      <c r="D2552" s="1" t="s">
        <v>3777</v>
      </c>
      <c r="E2552" s="4">
        <v>9095.0</v>
      </c>
      <c r="F2552" s="4"/>
      <c r="G2552" s="4"/>
      <c r="H2552" s="4">
        <f>'data on outstanding creditors'!$E2552-'data on outstanding creditors'!$F2552-'data on outstanding creditors'!$G2552</f>
        <v>9095</v>
      </c>
      <c r="I2552" s="2"/>
      <c r="J2552" s="1"/>
      <c r="K2552" s="2"/>
      <c r="L2552" s="5"/>
      <c r="M2552" s="9" t="s">
        <v>43</v>
      </c>
      <c r="N2552" s="9" t="s">
        <v>49</v>
      </c>
      <c r="O2552" s="10">
        <f>'data on outstanding creditors'!$E2552*100/107</f>
        <v>8500</v>
      </c>
      <c r="P2552" s="10">
        <f>'data on outstanding creditors'!$E2552-'data on outstanding creditors'!$O2552</f>
        <v>595</v>
      </c>
      <c r="Q2552" s="7">
        <f>DAY('data on outstanding creditors'!$B2552)</f>
        <v>14</v>
      </c>
      <c r="R2552" s="7">
        <f>MONTH('data on outstanding creditors'!$B2552)</f>
        <v>10</v>
      </c>
      <c r="S2552" s="7">
        <f>YEAR('data on outstanding creditors'!$B2552)</f>
        <v>2025</v>
      </c>
      <c r="T2552" s="11" t="str">
        <f>'data on outstanding creditors'!$C2552&amp;" "&amp;'data on outstanding creditors'!$D2552&amp;" "&amp;TEXT('data on outstanding creditors'!$E2552,"#,##0.00")</f>
        <v>บ.ดีเคเอสเอช(ประเทศไทย) 5344490369 9,095.00</v>
      </c>
      <c r="U2552" s="12"/>
    </row>
    <row r="2553" ht="13.5" customHeight="1">
      <c r="A2553" s="1" t="s">
        <v>3778</v>
      </c>
      <c r="B2553" s="2">
        <v>45944.0</v>
      </c>
      <c r="C2553" s="9" t="s">
        <v>2956</v>
      </c>
      <c r="D2553" s="1" t="s">
        <v>3779</v>
      </c>
      <c r="E2553" s="4">
        <v>20000.0</v>
      </c>
      <c r="F2553" s="4"/>
      <c r="G2553" s="4"/>
      <c r="H2553" s="4">
        <f>'data on outstanding creditors'!$E2553-'data on outstanding creditors'!$F2553-'data on outstanding creditors'!$G2553</f>
        <v>20000</v>
      </c>
      <c r="I2553" s="2"/>
      <c r="J2553" s="1"/>
      <c r="K2553" s="2"/>
      <c r="L2553" s="5"/>
      <c r="M2553" s="9" t="s">
        <v>43</v>
      </c>
      <c r="N2553" s="9" t="s">
        <v>49</v>
      </c>
      <c r="O2553" s="10">
        <f>'data on outstanding creditors'!$E2553*100/107</f>
        <v>18691.58879</v>
      </c>
      <c r="P2553" s="10">
        <f>'data on outstanding creditors'!$E2553-'data on outstanding creditors'!$O2553</f>
        <v>1308.411215</v>
      </c>
      <c r="Q2553" s="7">
        <f>DAY('data on outstanding creditors'!$B2553)</f>
        <v>14</v>
      </c>
      <c r="R2553" s="7">
        <f>MONTH('data on outstanding creditors'!$B2553)</f>
        <v>10</v>
      </c>
      <c r="S2553" s="7">
        <f>YEAR('data on outstanding creditors'!$B2553)</f>
        <v>2025</v>
      </c>
      <c r="T2553" s="11" t="str">
        <f>'data on outstanding creditors'!$C2553&amp;" "&amp;'data on outstanding creditors'!$D2553&amp;" "&amp;TEXT('data on outstanding creditors'!$E2553,"#,##0.00")</f>
        <v>บ.แอม เบส พลัส AM6810/115 20,000.00</v>
      </c>
      <c r="U2553" s="12"/>
    </row>
    <row r="2554" ht="13.5" customHeight="1">
      <c r="A2554" s="1" t="s">
        <v>3780</v>
      </c>
      <c r="B2554" s="2">
        <v>45945.0</v>
      </c>
      <c r="C2554" s="9" t="s">
        <v>1034</v>
      </c>
      <c r="D2554" s="1" t="s">
        <v>3781</v>
      </c>
      <c r="E2554" s="4">
        <v>3325.0</v>
      </c>
      <c r="F2554" s="4"/>
      <c r="G2554" s="4"/>
      <c r="H2554" s="4">
        <f>'data on outstanding creditors'!$E2554-'data on outstanding creditors'!$F2554-'data on outstanding creditors'!$G2554</f>
        <v>3325</v>
      </c>
      <c r="I2554" s="2"/>
      <c r="J2554" s="1"/>
      <c r="K2554" s="2"/>
      <c r="L2554" s="5"/>
      <c r="M2554" s="9" t="s">
        <v>43</v>
      </c>
      <c r="N2554" s="9" t="s">
        <v>49</v>
      </c>
      <c r="O2554" s="10">
        <f>'data on outstanding creditors'!$E2554*100/107</f>
        <v>3107.476636</v>
      </c>
      <c r="P2554" s="10">
        <f>'data on outstanding creditors'!$E2554-'data on outstanding creditors'!$O2554</f>
        <v>217.5233645</v>
      </c>
      <c r="Q2554" s="7">
        <f>DAY('data on outstanding creditors'!$B2554)</f>
        <v>15</v>
      </c>
      <c r="R2554" s="7">
        <f>MONTH('data on outstanding creditors'!$B2554)</f>
        <v>10</v>
      </c>
      <c r="S2554" s="7">
        <f>YEAR('data on outstanding creditors'!$B2554)</f>
        <v>2025</v>
      </c>
      <c r="T2554" s="11" t="str">
        <f>'data on outstanding creditors'!$C2554&amp;" "&amp;'data on outstanding creditors'!$D2554&amp;" "&amp;TEXT('data on outstanding creditors'!$E2554,"#,##0.00")</f>
        <v>บ.แบงค็อก เมดิคอลส์ โปร IV18542/68 3,325.00</v>
      </c>
      <c r="U2554" s="12"/>
    </row>
    <row r="2555" ht="13.5" customHeight="1">
      <c r="A2555" s="1" t="s">
        <v>3782</v>
      </c>
      <c r="B2555" s="2">
        <v>45945.0</v>
      </c>
      <c r="C2555" s="9" t="s">
        <v>3676</v>
      </c>
      <c r="D2555" s="1" t="s">
        <v>3783</v>
      </c>
      <c r="E2555" s="4">
        <v>3500.0</v>
      </c>
      <c r="F2555" s="4"/>
      <c r="G2555" s="4"/>
      <c r="H2555" s="4">
        <f>'data on outstanding creditors'!$E2555-'data on outstanding creditors'!$F2555-'data on outstanding creditors'!$G2555</f>
        <v>3500</v>
      </c>
      <c r="I2555" s="2"/>
      <c r="J2555" s="1"/>
      <c r="K2555" s="2"/>
      <c r="L2555" s="5"/>
      <c r="M2555" s="9" t="s">
        <v>43</v>
      </c>
      <c r="N2555" s="9" t="s">
        <v>49</v>
      </c>
      <c r="O2555" s="10">
        <f>'data on outstanding creditors'!$E2555*100/107</f>
        <v>3271.028037</v>
      </c>
      <c r="P2555" s="10">
        <f>'data on outstanding creditors'!$E2555-'data on outstanding creditors'!$O2555</f>
        <v>228.9719626</v>
      </c>
      <c r="Q2555" s="7">
        <f>DAY('data on outstanding creditors'!$B2555)</f>
        <v>15</v>
      </c>
      <c r="R2555" s="7">
        <f>MONTH('data on outstanding creditors'!$B2555)</f>
        <v>10</v>
      </c>
      <c r="S2555" s="7">
        <f>YEAR('data on outstanding creditors'!$B2555)</f>
        <v>2025</v>
      </c>
      <c r="T2555" s="11" t="str">
        <f>'data on outstanding creditors'!$C2555&amp;" "&amp;'data on outstanding creditors'!$D2555&amp;" "&amp;TEXT('data on outstanding creditors'!$E2555,"#,##0.00")</f>
        <v>ร้าน เอที ซัพพลาย แอนด์ เซอร์วิส A6809/017 3,500.00</v>
      </c>
      <c r="U2555" s="12"/>
    </row>
    <row r="2556" ht="13.5" customHeight="1">
      <c r="A2556" s="1" t="s">
        <v>3784</v>
      </c>
      <c r="B2556" s="2">
        <v>45945.0</v>
      </c>
      <c r="C2556" s="9" t="s">
        <v>1034</v>
      </c>
      <c r="D2556" s="1" t="s">
        <v>3785</v>
      </c>
      <c r="E2556" s="4">
        <v>3325.0</v>
      </c>
      <c r="F2556" s="4"/>
      <c r="G2556" s="4"/>
      <c r="H2556" s="4">
        <f>'data on outstanding creditors'!$E2556-'data on outstanding creditors'!$F2556-'data on outstanding creditors'!$G2556</f>
        <v>3325</v>
      </c>
      <c r="I2556" s="2"/>
      <c r="J2556" s="1"/>
      <c r="K2556" s="2"/>
      <c r="L2556" s="5"/>
      <c r="M2556" s="9" t="s">
        <v>43</v>
      </c>
      <c r="N2556" s="9" t="s">
        <v>49</v>
      </c>
      <c r="O2556" s="10">
        <f>'data on outstanding creditors'!$E2556*100/107</f>
        <v>3107.476636</v>
      </c>
      <c r="P2556" s="10">
        <f>'data on outstanding creditors'!$E2556-'data on outstanding creditors'!$O2556</f>
        <v>217.5233645</v>
      </c>
      <c r="Q2556" s="7">
        <f>DAY('data on outstanding creditors'!$B2556)</f>
        <v>15</v>
      </c>
      <c r="R2556" s="7">
        <f>MONTH('data on outstanding creditors'!$B2556)</f>
        <v>10</v>
      </c>
      <c r="S2556" s="7">
        <f>YEAR('data on outstanding creditors'!$B2556)</f>
        <v>2025</v>
      </c>
      <c r="T2556" s="11" t="str">
        <f>'data on outstanding creditors'!$C2556&amp;" "&amp;'data on outstanding creditors'!$D2556&amp;" "&amp;TEXT('data on outstanding creditors'!$E2556,"#,##0.00")</f>
        <v>บ.แบงค็อก เมดิคอลส์ โปร IV18539/68 3,325.00</v>
      </c>
      <c r="U2556" s="12"/>
    </row>
    <row r="2557" ht="13.5" customHeight="1">
      <c r="A2557" s="1" t="s">
        <v>3786</v>
      </c>
      <c r="B2557" s="2">
        <v>45945.0</v>
      </c>
      <c r="C2557" s="9" t="s">
        <v>1034</v>
      </c>
      <c r="D2557" s="1" t="s">
        <v>3787</v>
      </c>
      <c r="E2557" s="4">
        <v>3325.0</v>
      </c>
      <c r="F2557" s="4"/>
      <c r="G2557" s="4"/>
      <c r="H2557" s="4">
        <f>'data on outstanding creditors'!$E2557-'data on outstanding creditors'!$F2557-'data on outstanding creditors'!$G2557</f>
        <v>3325</v>
      </c>
      <c r="I2557" s="2"/>
      <c r="J2557" s="1"/>
      <c r="K2557" s="2"/>
      <c r="L2557" s="5"/>
      <c r="M2557" s="9" t="s">
        <v>43</v>
      </c>
      <c r="N2557" s="9" t="s">
        <v>49</v>
      </c>
      <c r="O2557" s="10">
        <f>'data on outstanding creditors'!$E2557*100/107</f>
        <v>3107.476636</v>
      </c>
      <c r="P2557" s="10">
        <f>'data on outstanding creditors'!$E2557-'data on outstanding creditors'!$O2557</f>
        <v>217.5233645</v>
      </c>
      <c r="Q2557" s="7">
        <f>DAY('data on outstanding creditors'!$B2557)</f>
        <v>15</v>
      </c>
      <c r="R2557" s="7">
        <f>MONTH('data on outstanding creditors'!$B2557)</f>
        <v>10</v>
      </c>
      <c r="S2557" s="7">
        <f>YEAR('data on outstanding creditors'!$B2557)</f>
        <v>2025</v>
      </c>
      <c r="T2557" s="11" t="str">
        <f>'data on outstanding creditors'!$C2557&amp;" "&amp;'data on outstanding creditors'!$D2557&amp;" "&amp;TEXT('data on outstanding creditors'!$E2557,"#,##0.00")</f>
        <v>บ.แบงค็อก เมดิคอลส์ โปร IV18541/68 3,325.00</v>
      </c>
      <c r="U2557" s="12"/>
    </row>
    <row r="2558" ht="13.5" customHeight="1">
      <c r="A2558" s="1" t="s">
        <v>3788</v>
      </c>
      <c r="B2558" s="2">
        <v>45945.0</v>
      </c>
      <c r="C2558" s="9" t="s">
        <v>1034</v>
      </c>
      <c r="D2558" s="1" t="s">
        <v>3789</v>
      </c>
      <c r="E2558" s="4">
        <v>3325.0</v>
      </c>
      <c r="F2558" s="4"/>
      <c r="G2558" s="4"/>
      <c r="H2558" s="4">
        <f>'data on outstanding creditors'!$E2558-'data on outstanding creditors'!$F2558-'data on outstanding creditors'!$G2558</f>
        <v>3325</v>
      </c>
      <c r="I2558" s="2"/>
      <c r="J2558" s="1"/>
      <c r="K2558" s="2"/>
      <c r="L2558" s="5"/>
      <c r="M2558" s="9" t="s">
        <v>43</v>
      </c>
      <c r="N2558" s="9" t="s">
        <v>49</v>
      </c>
      <c r="O2558" s="10">
        <f>'data on outstanding creditors'!$E2558*100/107</f>
        <v>3107.476636</v>
      </c>
      <c r="P2558" s="10">
        <f>'data on outstanding creditors'!$E2558-'data on outstanding creditors'!$O2558</f>
        <v>217.5233645</v>
      </c>
      <c r="Q2558" s="7">
        <f>DAY('data on outstanding creditors'!$B2558)</f>
        <v>15</v>
      </c>
      <c r="R2558" s="7">
        <f>MONTH('data on outstanding creditors'!$B2558)</f>
        <v>10</v>
      </c>
      <c r="S2558" s="7">
        <f>YEAR('data on outstanding creditors'!$B2558)</f>
        <v>2025</v>
      </c>
      <c r="T2558" s="11" t="str">
        <f>'data on outstanding creditors'!$C2558&amp;" "&amp;'data on outstanding creditors'!$D2558&amp;" "&amp;TEXT('data on outstanding creditors'!$E2558,"#,##0.00")</f>
        <v>บ.แบงค็อก เมดิคอลส์ โปร IV18540/68 3,325.00</v>
      </c>
      <c r="U2558" s="12"/>
    </row>
    <row r="2559" ht="13.5" customHeight="1">
      <c r="A2559" s="1" t="s">
        <v>3790</v>
      </c>
      <c r="B2559" s="2">
        <v>45945.0</v>
      </c>
      <c r="C2559" s="9" t="s">
        <v>1034</v>
      </c>
      <c r="D2559" s="1" t="s">
        <v>3791</v>
      </c>
      <c r="E2559" s="4">
        <v>3325.0</v>
      </c>
      <c r="F2559" s="4"/>
      <c r="G2559" s="4"/>
      <c r="H2559" s="4">
        <f>'data on outstanding creditors'!$E2559-'data on outstanding creditors'!$F2559-'data on outstanding creditors'!$G2559</f>
        <v>3325</v>
      </c>
      <c r="I2559" s="2"/>
      <c r="J2559" s="1"/>
      <c r="K2559" s="2"/>
      <c r="L2559" s="5"/>
      <c r="M2559" s="9" t="s">
        <v>43</v>
      </c>
      <c r="N2559" s="9" t="s">
        <v>49</v>
      </c>
      <c r="O2559" s="10">
        <f>'data on outstanding creditors'!$E2559*100/107</f>
        <v>3107.476636</v>
      </c>
      <c r="P2559" s="10">
        <f>'data on outstanding creditors'!$E2559-'data on outstanding creditors'!$O2559</f>
        <v>217.5233645</v>
      </c>
      <c r="Q2559" s="7">
        <f>DAY('data on outstanding creditors'!$B2559)</f>
        <v>15</v>
      </c>
      <c r="R2559" s="7">
        <f>MONTH('data on outstanding creditors'!$B2559)</f>
        <v>10</v>
      </c>
      <c r="S2559" s="7">
        <f>YEAR('data on outstanding creditors'!$B2559)</f>
        <v>2025</v>
      </c>
      <c r="T2559" s="11" t="str">
        <f>'data on outstanding creditors'!$C2559&amp;" "&amp;'data on outstanding creditors'!$D2559&amp;" "&amp;TEXT('data on outstanding creditors'!$E2559,"#,##0.00")</f>
        <v>บ.แบงค็อก เมดิคอลส์ โปร IV18543/68 3,325.00</v>
      </c>
      <c r="U2559" s="12"/>
    </row>
    <row r="2560" ht="13.5" customHeight="1">
      <c r="A2560" s="1" t="s">
        <v>3792</v>
      </c>
      <c r="B2560" s="2">
        <v>45945.0</v>
      </c>
      <c r="C2560" s="9" t="s">
        <v>1034</v>
      </c>
      <c r="D2560" s="1" t="s">
        <v>3793</v>
      </c>
      <c r="E2560" s="4">
        <v>3500.0</v>
      </c>
      <c r="F2560" s="4"/>
      <c r="G2560" s="4"/>
      <c r="H2560" s="4">
        <f>'data on outstanding creditors'!$E2560-'data on outstanding creditors'!$F2560-'data on outstanding creditors'!$G2560</f>
        <v>3500</v>
      </c>
      <c r="I2560" s="2"/>
      <c r="J2560" s="1"/>
      <c r="K2560" s="2"/>
      <c r="L2560" s="5"/>
      <c r="M2560" s="9" t="s">
        <v>43</v>
      </c>
      <c r="N2560" s="9" t="s">
        <v>49</v>
      </c>
      <c r="O2560" s="10">
        <f>'data on outstanding creditors'!$E2560*100/107</f>
        <v>3271.028037</v>
      </c>
      <c r="P2560" s="10">
        <f>'data on outstanding creditors'!$E2560-'data on outstanding creditors'!$O2560</f>
        <v>228.9719626</v>
      </c>
      <c r="Q2560" s="7">
        <f>DAY('data on outstanding creditors'!$B2560)</f>
        <v>15</v>
      </c>
      <c r="R2560" s="7">
        <f>MONTH('data on outstanding creditors'!$B2560)</f>
        <v>10</v>
      </c>
      <c r="S2560" s="7">
        <f>YEAR('data on outstanding creditors'!$B2560)</f>
        <v>2025</v>
      </c>
      <c r="T2560" s="11" t="str">
        <f>'data on outstanding creditors'!$C2560&amp;" "&amp;'data on outstanding creditors'!$D2560&amp;" "&amp;TEXT('data on outstanding creditors'!$E2560,"#,##0.00")</f>
        <v>บ.แบงค็อก เมดิคอลส์ โปร IV18573/68 3,500.00</v>
      </c>
      <c r="U2560" s="12"/>
    </row>
    <row r="2561" ht="13.5" customHeight="1">
      <c r="A2561" s="1" t="s">
        <v>3794</v>
      </c>
      <c r="B2561" s="2">
        <v>45945.0</v>
      </c>
      <c r="C2561" s="9" t="s">
        <v>1034</v>
      </c>
      <c r="D2561" s="1" t="s">
        <v>3795</v>
      </c>
      <c r="E2561" s="4">
        <v>3500.0</v>
      </c>
      <c r="F2561" s="4"/>
      <c r="G2561" s="4"/>
      <c r="H2561" s="4">
        <f>'data on outstanding creditors'!$E2561-'data on outstanding creditors'!$F2561-'data on outstanding creditors'!$G2561</f>
        <v>3500</v>
      </c>
      <c r="I2561" s="2"/>
      <c r="J2561" s="1"/>
      <c r="K2561" s="2"/>
      <c r="L2561" s="5"/>
      <c r="M2561" s="9" t="s">
        <v>43</v>
      </c>
      <c r="N2561" s="9" t="s">
        <v>49</v>
      </c>
      <c r="O2561" s="10">
        <f>'data on outstanding creditors'!$E2561*100/107</f>
        <v>3271.028037</v>
      </c>
      <c r="P2561" s="10">
        <f>'data on outstanding creditors'!$E2561-'data on outstanding creditors'!$O2561</f>
        <v>228.9719626</v>
      </c>
      <c r="Q2561" s="7">
        <f>DAY('data on outstanding creditors'!$B2561)</f>
        <v>15</v>
      </c>
      <c r="R2561" s="7">
        <f>MONTH('data on outstanding creditors'!$B2561)</f>
        <v>10</v>
      </c>
      <c r="S2561" s="7">
        <f>YEAR('data on outstanding creditors'!$B2561)</f>
        <v>2025</v>
      </c>
      <c r="T2561" s="11" t="str">
        <f>'data on outstanding creditors'!$C2561&amp;" "&amp;'data on outstanding creditors'!$D2561&amp;" "&amp;TEXT('data on outstanding creditors'!$E2561,"#,##0.00")</f>
        <v>บ.แบงค็อก เมดิคอลส์ โปร IV18574/68 3,500.00</v>
      </c>
      <c r="U2561" s="12"/>
    </row>
    <row r="2562" ht="13.5" customHeight="1">
      <c r="A2562" s="1" t="s">
        <v>3796</v>
      </c>
      <c r="B2562" s="2">
        <v>45945.0</v>
      </c>
      <c r="C2562" s="9" t="s">
        <v>3797</v>
      </c>
      <c r="D2562" s="1" t="s">
        <v>3798</v>
      </c>
      <c r="E2562" s="4">
        <v>16400.0</v>
      </c>
      <c r="F2562" s="4"/>
      <c r="G2562" s="4"/>
      <c r="H2562" s="4">
        <f>'data on outstanding creditors'!$E2562-'data on outstanding creditors'!$F2562-'data on outstanding creditors'!$G2562</f>
        <v>16400</v>
      </c>
      <c r="I2562" s="2"/>
      <c r="J2562" s="1"/>
      <c r="K2562" s="2"/>
      <c r="L2562" s="5"/>
      <c r="M2562" s="9" t="s">
        <v>43</v>
      </c>
      <c r="N2562" s="9" t="s">
        <v>49</v>
      </c>
      <c r="O2562" s="10">
        <f>'data on outstanding creditors'!$E2562*100/107</f>
        <v>15327.1028</v>
      </c>
      <c r="P2562" s="10">
        <f>'data on outstanding creditors'!$E2562-'data on outstanding creditors'!$O2562</f>
        <v>1072.897196</v>
      </c>
      <c r="Q2562" s="7">
        <f>DAY('data on outstanding creditors'!$B2562)</f>
        <v>15</v>
      </c>
      <c r="R2562" s="7">
        <f>MONTH('data on outstanding creditors'!$B2562)</f>
        <v>10</v>
      </c>
      <c r="S2562" s="7">
        <f>YEAR('data on outstanding creditors'!$B2562)</f>
        <v>2025</v>
      </c>
      <c r="T2562" s="11" t="str">
        <f>'data on outstanding creditors'!$C2562&amp;" "&amp;'data on outstanding creditors'!$D2562&amp;" "&amp;TEXT('data on outstanding creditors'!$E2562,"#,##0.00")</f>
        <v>บ.บางกอกยูนิเทรด 68/12091 16,400.00</v>
      </c>
      <c r="U2562" s="12"/>
    </row>
    <row r="2563" ht="13.5" customHeight="1">
      <c r="A2563" s="1" t="s">
        <v>3799</v>
      </c>
      <c r="B2563" s="2">
        <v>45945.0</v>
      </c>
      <c r="C2563" s="9" t="s">
        <v>1211</v>
      </c>
      <c r="D2563" s="1" t="s">
        <v>3800</v>
      </c>
      <c r="E2563" s="4">
        <v>3450.0</v>
      </c>
      <c r="F2563" s="4"/>
      <c r="G2563" s="4"/>
      <c r="H2563" s="4">
        <f>'data on outstanding creditors'!$E2563-'data on outstanding creditors'!$F2563-'data on outstanding creditors'!$G2563</f>
        <v>3450</v>
      </c>
      <c r="I2563" s="2"/>
      <c r="J2563" s="1"/>
      <c r="K2563" s="2"/>
      <c r="L2563" s="5"/>
      <c r="M2563" s="9" t="s">
        <v>43</v>
      </c>
      <c r="N2563" s="9" t="s">
        <v>49</v>
      </c>
      <c r="O2563" s="10">
        <f>'data on outstanding creditors'!$E2563*100/107</f>
        <v>3224.299065</v>
      </c>
      <c r="P2563" s="10">
        <f>'data on outstanding creditors'!$E2563-'data on outstanding creditors'!$O2563</f>
        <v>225.7009346</v>
      </c>
      <c r="Q2563" s="7">
        <f>DAY('data on outstanding creditors'!$B2563)</f>
        <v>15</v>
      </c>
      <c r="R2563" s="7">
        <f>MONTH('data on outstanding creditors'!$B2563)</f>
        <v>10</v>
      </c>
      <c r="S2563" s="7">
        <f>YEAR('data on outstanding creditors'!$B2563)</f>
        <v>2025</v>
      </c>
      <c r="T2563" s="11" t="str">
        <f>'data on outstanding creditors'!$C2563&amp;" "&amp;'data on outstanding creditors'!$D2563&amp;" "&amp;TEXT('data on outstanding creditors'!$E2563,"#,##0.00")</f>
        <v>บ.เอน-ไซน์ เอ็นจิเนียริง 20251909 3,450.00</v>
      </c>
      <c r="U2563" s="12"/>
    </row>
    <row r="2564" ht="13.5" customHeight="1">
      <c r="A2564" s="1" t="s">
        <v>3801</v>
      </c>
      <c r="B2564" s="2">
        <v>45945.0</v>
      </c>
      <c r="C2564" s="9" t="s">
        <v>1211</v>
      </c>
      <c r="D2564" s="1" t="s">
        <v>3802</v>
      </c>
      <c r="E2564" s="4">
        <v>3450.0</v>
      </c>
      <c r="F2564" s="4"/>
      <c r="G2564" s="4"/>
      <c r="H2564" s="4">
        <f>'data on outstanding creditors'!$E2564-'data on outstanding creditors'!$F2564-'data on outstanding creditors'!$G2564</f>
        <v>3450</v>
      </c>
      <c r="I2564" s="2"/>
      <c r="J2564" s="1"/>
      <c r="K2564" s="2"/>
      <c r="L2564" s="5"/>
      <c r="M2564" s="9" t="s">
        <v>43</v>
      </c>
      <c r="N2564" s="9" t="s">
        <v>49</v>
      </c>
      <c r="O2564" s="10">
        <f>'data on outstanding creditors'!$E2564*100/107</f>
        <v>3224.299065</v>
      </c>
      <c r="P2564" s="10">
        <f>'data on outstanding creditors'!$E2564-'data on outstanding creditors'!$O2564</f>
        <v>225.7009346</v>
      </c>
      <c r="Q2564" s="7">
        <f>DAY('data on outstanding creditors'!$B2564)</f>
        <v>15</v>
      </c>
      <c r="R2564" s="7">
        <f>MONTH('data on outstanding creditors'!$B2564)</f>
        <v>10</v>
      </c>
      <c r="S2564" s="7">
        <f>YEAR('data on outstanding creditors'!$B2564)</f>
        <v>2025</v>
      </c>
      <c r="T2564" s="11" t="str">
        <f>'data on outstanding creditors'!$C2564&amp;" "&amp;'data on outstanding creditors'!$D2564&amp;" "&amp;TEXT('data on outstanding creditors'!$E2564,"#,##0.00")</f>
        <v>บ.เอน-ไซน์ เอ็นจิเนียริง 20251908 3,450.00</v>
      </c>
      <c r="U2564" s="12"/>
    </row>
    <row r="2565" ht="13.5" customHeight="1">
      <c r="A2565" s="1" t="s">
        <v>3803</v>
      </c>
      <c r="B2565" s="2">
        <v>45945.0</v>
      </c>
      <c r="C2565" s="9" t="s">
        <v>1211</v>
      </c>
      <c r="D2565" s="1" t="s">
        <v>3804</v>
      </c>
      <c r="E2565" s="4">
        <v>3450.0</v>
      </c>
      <c r="F2565" s="4"/>
      <c r="G2565" s="4"/>
      <c r="H2565" s="4">
        <f>'data on outstanding creditors'!$E2565-'data on outstanding creditors'!$F2565-'data on outstanding creditors'!$G2565</f>
        <v>3450</v>
      </c>
      <c r="I2565" s="2"/>
      <c r="J2565" s="1"/>
      <c r="K2565" s="2"/>
      <c r="L2565" s="5"/>
      <c r="M2565" s="9" t="s">
        <v>43</v>
      </c>
      <c r="N2565" s="9" t="s">
        <v>49</v>
      </c>
      <c r="O2565" s="10">
        <f>'data on outstanding creditors'!$E2565*100/107</f>
        <v>3224.299065</v>
      </c>
      <c r="P2565" s="10">
        <f>'data on outstanding creditors'!$E2565-'data on outstanding creditors'!$O2565</f>
        <v>225.7009346</v>
      </c>
      <c r="Q2565" s="7">
        <f>DAY('data on outstanding creditors'!$B2565)</f>
        <v>15</v>
      </c>
      <c r="R2565" s="7">
        <f>MONTH('data on outstanding creditors'!$B2565)</f>
        <v>10</v>
      </c>
      <c r="S2565" s="7">
        <f>YEAR('data on outstanding creditors'!$B2565)</f>
        <v>2025</v>
      </c>
      <c r="T2565" s="11" t="str">
        <f>'data on outstanding creditors'!$C2565&amp;" "&amp;'data on outstanding creditors'!$D2565&amp;" "&amp;TEXT('data on outstanding creditors'!$E2565,"#,##0.00")</f>
        <v>บ.เอน-ไซน์ เอ็นจิเนียริง 20251852 3,450.00</v>
      </c>
      <c r="U2565" s="12"/>
    </row>
    <row r="2566" ht="13.5" customHeight="1">
      <c r="A2566" s="1" t="s">
        <v>3805</v>
      </c>
      <c r="B2566" s="2">
        <v>45945.0</v>
      </c>
      <c r="C2566" s="9" t="s">
        <v>1034</v>
      </c>
      <c r="D2566" s="1" t="s">
        <v>3806</v>
      </c>
      <c r="E2566" s="4">
        <v>2400.0</v>
      </c>
      <c r="F2566" s="4"/>
      <c r="G2566" s="4"/>
      <c r="H2566" s="4">
        <f>'data on outstanding creditors'!$E2566-'data on outstanding creditors'!$F2566-'data on outstanding creditors'!$G2566</f>
        <v>2400</v>
      </c>
      <c r="I2566" s="2"/>
      <c r="J2566" s="1"/>
      <c r="K2566" s="2"/>
      <c r="L2566" s="5"/>
      <c r="M2566" s="9" t="s">
        <v>43</v>
      </c>
      <c r="N2566" s="9" t="s">
        <v>49</v>
      </c>
      <c r="O2566" s="10">
        <f>'data on outstanding creditors'!$E2566*100/107</f>
        <v>2242.990654</v>
      </c>
      <c r="P2566" s="10">
        <f>'data on outstanding creditors'!$E2566-'data on outstanding creditors'!$O2566</f>
        <v>157.0093458</v>
      </c>
      <c r="Q2566" s="7">
        <f>DAY('data on outstanding creditors'!$B2566)</f>
        <v>15</v>
      </c>
      <c r="R2566" s="7">
        <f>MONTH('data on outstanding creditors'!$B2566)</f>
        <v>10</v>
      </c>
      <c r="S2566" s="7">
        <f>YEAR('data on outstanding creditors'!$B2566)</f>
        <v>2025</v>
      </c>
      <c r="T2566" s="11" t="str">
        <f>'data on outstanding creditors'!$C2566&amp;" "&amp;'data on outstanding creditors'!$D2566&amp;" "&amp;TEXT('data on outstanding creditors'!$E2566,"#,##0.00")</f>
        <v>บ.แบงค็อก เมดิคอลส์ โปร IV18631/68 2,400.00</v>
      </c>
      <c r="U2566" s="12"/>
    </row>
    <row r="2567" ht="13.5" customHeight="1">
      <c r="A2567" s="1" t="s">
        <v>3807</v>
      </c>
      <c r="B2567" s="2">
        <v>45945.0</v>
      </c>
      <c r="C2567" s="9" t="s">
        <v>3808</v>
      </c>
      <c r="D2567" s="1" t="s">
        <v>3809</v>
      </c>
      <c r="E2567" s="4">
        <v>48150.0</v>
      </c>
      <c r="F2567" s="4"/>
      <c r="G2567" s="4"/>
      <c r="H2567" s="4">
        <f>'data on outstanding creditors'!$E2567-'data on outstanding creditors'!$F2567-'data on outstanding creditors'!$G2567</f>
        <v>48150</v>
      </c>
      <c r="I2567" s="2"/>
      <c r="J2567" s="1"/>
      <c r="K2567" s="2"/>
      <c r="L2567" s="5"/>
      <c r="M2567" s="9" t="s">
        <v>43</v>
      </c>
      <c r="N2567" s="9" t="s">
        <v>49</v>
      </c>
      <c r="O2567" s="10">
        <f>'data on outstanding creditors'!$E2567*100/107</f>
        <v>45000</v>
      </c>
      <c r="P2567" s="10">
        <f>'data on outstanding creditors'!$E2567-'data on outstanding creditors'!$O2567</f>
        <v>3150</v>
      </c>
      <c r="Q2567" s="7">
        <f>DAY('data on outstanding creditors'!$B2567)</f>
        <v>15</v>
      </c>
      <c r="R2567" s="7">
        <f>MONTH('data on outstanding creditors'!$B2567)</f>
        <v>10</v>
      </c>
      <c r="S2567" s="7">
        <f>YEAR('data on outstanding creditors'!$B2567)</f>
        <v>2025</v>
      </c>
      <c r="T2567" s="11" t="str">
        <f>'data on outstanding creditors'!$C2567&amp;" "&amp;'data on outstanding creditors'!$D2567&amp;" "&amp;TEXT('data on outstanding creditors'!$E2567,"#,##0.00")</f>
        <v>บ.เกท์ทิงเก (ไทยแลนด์) 25100011 48,150.00</v>
      </c>
      <c r="U2567" s="12"/>
    </row>
    <row r="2568" ht="13.5" customHeight="1">
      <c r="A2568" s="1" t="s">
        <v>3810</v>
      </c>
      <c r="B2568" s="2">
        <v>45945.0</v>
      </c>
      <c r="C2568" s="9" t="s">
        <v>1034</v>
      </c>
      <c r="D2568" s="1" t="s">
        <v>3811</v>
      </c>
      <c r="E2568" s="4">
        <v>1800.0</v>
      </c>
      <c r="F2568" s="4"/>
      <c r="G2568" s="4"/>
      <c r="H2568" s="4">
        <f>'data on outstanding creditors'!$E2568-'data on outstanding creditors'!$F2568-'data on outstanding creditors'!$G2568</f>
        <v>1800</v>
      </c>
      <c r="I2568" s="2"/>
      <c r="J2568" s="1"/>
      <c r="K2568" s="2"/>
      <c r="L2568" s="5"/>
      <c r="M2568" s="9" t="s">
        <v>43</v>
      </c>
      <c r="N2568" s="9" t="s">
        <v>49</v>
      </c>
      <c r="O2568" s="10">
        <f>'data on outstanding creditors'!$E2568*100/107</f>
        <v>1682.242991</v>
      </c>
      <c r="P2568" s="10">
        <f>'data on outstanding creditors'!$E2568-'data on outstanding creditors'!$O2568</f>
        <v>117.7570093</v>
      </c>
      <c r="Q2568" s="7">
        <f>DAY('data on outstanding creditors'!$B2568)</f>
        <v>15</v>
      </c>
      <c r="R2568" s="7">
        <f>MONTH('data on outstanding creditors'!$B2568)</f>
        <v>10</v>
      </c>
      <c r="S2568" s="7">
        <f>YEAR('data on outstanding creditors'!$B2568)</f>
        <v>2025</v>
      </c>
      <c r="T2568" s="11" t="str">
        <f>'data on outstanding creditors'!$C2568&amp;" "&amp;'data on outstanding creditors'!$D2568&amp;" "&amp;TEXT('data on outstanding creditors'!$E2568,"#,##0.00")</f>
        <v>บ.แบงค็อก เมดิคอลส์ โปร IV18632/68 1,800.00</v>
      </c>
      <c r="U2568" s="12"/>
    </row>
    <row r="2569" ht="13.5" customHeight="1">
      <c r="A2569" s="1" t="s">
        <v>3812</v>
      </c>
      <c r="B2569" s="2">
        <v>45945.0</v>
      </c>
      <c r="C2569" s="9" t="s">
        <v>1034</v>
      </c>
      <c r="D2569" s="1" t="s">
        <v>3813</v>
      </c>
      <c r="E2569" s="4">
        <v>1200.0</v>
      </c>
      <c r="F2569" s="4"/>
      <c r="G2569" s="4"/>
      <c r="H2569" s="4">
        <f>'data on outstanding creditors'!$E2569-'data on outstanding creditors'!$F2569-'data on outstanding creditors'!$G2569</f>
        <v>1200</v>
      </c>
      <c r="I2569" s="2"/>
      <c r="J2569" s="1"/>
      <c r="K2569" s="2"/>
      <c r="L2569" s="5"/>
      <c r="M2569" s="9" t="s">
        <v>43</v>
      </c>
      <c r="N2569" s="9" t="s">
        <v>49</v>
      </c>
      <c r="O2569" s="10">
        <f>'data on outstanding creditors'!$E2569*100/107</f>
        <v>1121.495327</v>
      </c>
      <c r="P2569" s="10">
        <f>'data on outstanding creditors'!$E2569-'data on outstanding creditors'!$O2569</f>
        <v>78.5046729</v>
      </c>
      <c r="Q2569" s="7">
        <f>DAY('data on outstanding creditors'!$B2569)</f>
        <v>15</v>
      </c>
      <c r="R2569" s="7">
        <f>MONTH('data on outstanding creditors'!$B2569)</f>
        <v>10</v>
      </c>
      <c r="S2569" s="7">
        <f>YEAR('data on outstanding creditors'!$B2569)</f>
        <v>2025</v>
      </c>
      <c r="T2569" s="11" t="str">
        <f>'data on outstanding creditors'!$C2569&amp;" "&amp;'data on outstanding creditors'!$D2569&amp;" "&amp;TEXT('data on outstanding creditors'!$E2569,"#,##0.00")</f>
        <v>บ.แบงค็อก เมดิคอลส์ โปร IV18641/68 1,200.00</v>
      </c>
      <c r="U2569" s="12"/>
    </row>
    <row r="2570" ht="13.5" customHeight="1">
      <c r="A2570" s="1" t="s">
        <v>3814</v>
      </c>
      <c r="B2570" s="2">
        <v>45945.0</v>
      </c>
      <c r="C2570" s="9" t="s">
        <v>1029</v>
      </c>
      <c r="D2570" s="1" t="s">
        <v>3815</v>
      </c>
      <c r="E2570" s="4">
        <v>18200.0</v>
      </c>
      <c r="F2570" s="4"/>
      <c r="G2570" s="4"/>
      <c r="H2570" s="4">
        <f>'data on outstanding creditors'!$E2570-'data on outstanding creditors'!$F2570-'data on outstanding creditors'!$G2570</f>
        <v>18200</v>
      </c>
      <c r="I2570" s="2"/>
      <c r="J2570" s="1"/>
      <c r="K2570" s="2"/>
      <c r="L2570" s="5"/>
      <c r="M2570" s="9" t="s">
        <v>43</v>
      </c>
      <c r="N2570" s="9" t="s">
        <v>49</v>
      </c>
      <c r="O2570" s="10">
        <f>'data on outstanding creditors'!$E2570*100/107</f>
        <v>17009.34579</v>
      </c>
      <c r="P2570" s="10">
        <f>'data on outstanding creditors'!$E2570-'data on outstanding creditors'!$O2570</f>
        <v>1190.654206</v>
      </c>
      <c r="Q2570" s="7">
        <f>DAY('data on outstanding creditors'!$B2570)</f>
        <v>15</v>
      </c>
      <c r="R2570" s="7">
        <f>MONTH('data on outstanding creditors'!$B2570)</f>
        <v>10</v>
      </c>
      <c r="S2570" s="7">
        <f>YEAR('data on outstanding creditors'!$B2570)</f>
        <v>2025</v>
      </c>
      <c r="T2570" s="11" t="str">
        <f>'data on outstanding creditors'!$C2570&amp;" "&amp;'data on outstanding creditors'!$D2570&amp;" "&amp;TEXT('data on outstanding creditors'!$E2570,"#,##0.00")</f>
        <v>บ.เอเทค เมดิคอล IV6810205 18,200.00</v>
      </c>
      <c r="U2570" s="12"/>
    </row>
    <row r="2571" ht="13.5" customHeight="1">
      <c r="A2571" s="1" t="s">
        <v>3816</v>
      </c>
      <c r="B2571" s="2">
        <v>45945.0</v>
      </c>
      <c r="C2571" s="9" t="s">
        <v>1029</v>
      </c>
      <c r="D2571" s="1" t="s">
        <v>3817</v>
      </c>
      <c r="E2571" s="4">
        <v>17600.0</v>
      </c>
      <c r="F2571" s="4"/>
      <c r="G2571" s="4"/>
      <c r="H2571" s="4">
        <f>'data on outstanding creditors'!$E2571-'data on outstanding creditors'!$F2571-'data on outstanding creditors'!$G2571</f>
        <v>17600</v>
      </c>
      <c r="I2571" s="2"/>
      <c r="J2571" s="1"/>
      <c r="K2571" s="2"/>
      <c r="L2571" s="5"/>
      <c r="M2571" s="9" t="s">
        <v>43</v>
      </c>
      <c r="N2571" s="9" t="s">
        <v>49</v>
      </c>
      <c r="O2571" s="10">
        <f>'data on outstanding creditors'!$E2571*100/107</f>
        <v>16448.59813</v>
      </c>
      <c r="P2571" s="10">
        <f>'data on outstanding creditors'!$E2571-'data on outstanding creditors'!$O2571</f>
        <v>1151.401869</v>
      </c>
      <c r="Q2571" s="7">
        <f>DAY('data on outstanding creditors'!$B2571)</f>
        <v>15</v>
      </c>
      <c r="R2571" s="7">
        <f>MONTH('data on outstanding creditors'!$B2571)</f>
        <v>10</v>
      </c>
      <c r="S2571" s="7">
        <f>YEAR('data on outstanding creditors'!$B2571)</f>
        <v>2025</v>
      </c>
      <c r="T2571" s="11" t="str">
        <f>'data on outstanding creditors'!$C2571&amp;" "&amp;'data on outstanding creditors'!$D2571&amp;" "&amp;TEXT('data on outstanding creditors'!$E2571,"#,##0.00")</f>
        <v>บ.เอเทค เมดิคอล IV6810204 17,600.00</v>
      </c>
      <c r="U2571" s="12"/>
    </row>
    <row r="2572" ht="13.5" customHeight="1">
      <c r="A2572" s="1" t="s">
        <v>3818</v>
      </c>
      <c r="B2572" s="2">
        <v>45945.0</v>
      </c>
      <c r="C2572" s="9" t="s">
        <v>2472</v>
      </c>
      <c r="D2572" s="1" t="s">
        <v>3819</v>
      </c>
      <c r="E2572" s="4">
        <v>32000.0</v>
      </c>
      <c r="F2572" s="4"/>
      <c r="G2572" s="4"/>
      <c r="H2572" s="4">
        <f>'data on outstanding creditors'!$E2572-'data on outstanding creditors'!$F2572-'data on outstanding creditors'!$G2572</f>
        <v>32000</v>
      </c>
      <c r="I2572" s="2"/>
      <c r="J2572" s="1"/>
      <c r="K2572" s="2"/>
      <c r="L2572" s="5"/>
      <c r="M2572" s="9" t="s">
        <v>43</v>
      </c>
      <c r="N2572" s="9" t="s">
        <v>49</v>
      </c>
      <c r="O2572" s="10">
        <f>'data on outstanding creditors'!$E2572*100/107</f>
        <v>29906.54206</v>
      </c>
      <c r="P2572" s="10">
        <f>'data on outstanding creditors'!$E2572-'data on outstanding creditors'!$O2572</f>
        <v>2093.457944</v>
      </c>
      <c r="Q2572" s="7">
        <f>DAY('data on outstanding creditors'!$B2572)</f>
        <v>15</v>
      </c>
      <c r="R2572" s="7">
        <f>MONTH('data on outstanding creditors'!$B2572)</f>
        <v>10</v>
      </c>
      <c r="S2572" s="7">
        <f>YEAR('data on outstanding creditors'!$B2572)</f>
        <v>2025</v>
      </c>
      <c r="T2572" s="11" t="str">
        <f>'data on outstanding creditors'!$C2572&amp;" "&amp;'data on outstanding creditors'!$D2572&amp;" "&amp;TEXT('data on outstanding creditors'!$E2572,"#,##0.00")</f>
        <v>บ.เอเมอร์สัน กรุ๊ป IV6810252 32,000.00</v>
      </c>
      <c r="U2572" s="12"/>
    </row>
    <row r="2573" ht="13.5" customHeight="1">
      <c r="A2573" s="1" t="s">
        <v>3820</v>
      </c>
      <c r="B2573" s="2">
        <v>45945.0</v>
      </c>
      <c r="C2573" s="9" t="s">
        <v>1029</v>
      </c>
      <c r="D2573" s="1" t="s">
        <v>3821</v>
      </c>
      <c r="E2573" s="4">
        <v>19100.0</v>
      </c>
      <c r="F2573" s="4"/>
      <c r="G2573" s="4"/>
      <c r="H2573" s="4">
        <f>'data on outstanding creditors'!$E2573-'data on outstanding creditors'!$F2573-'data on outstanding creditors'!$G2573</f>
        <v>19100</v>
      </c>
      <c r="I2573" s="2"/>
      <c r="J2573" s="1"/>
      <c r="K2573" s="2"/>
      <c r="L2573" s="5"/>
      <c r="M2573" s="9" t="s">
        <v>43</v>
      </c>
      <c r="N2573" s="9" t="s">
        <v>49</v>
      </c>
      <c r="O2573" s="10">
        <f>'data on outstanding creditors'!$E2573*100/107</f>
        <v>17850.46729</v>
      </c>
      <c r="P2573" s="10">
        <f>'data on outstanding creditors'!$E2573-'data on outstanding creditors'!$O2573</f>
        <v>1249.53271</v>
      </c>
      <c r="Q2573" s="7">
        <f>DAY('data on outstanding creditors'!$B2573)</f>
        <v>15</v>
      </c>
      <c r="R2573" s="7">
        <f>MONTH('data on outstanding creditors'!$B2573)</f>
        <v>10</v>
      </c>
      <c r="S2573" s="7">
        <f>YEAR('data on outstanding creditors'!$B2573)</f>
        <v>2025</v>
      </c>
      <c r="T2573" s="11" t="str">
        <f>'data on outstanding creditors'!$C2573&amp;" "&amp;'data on outstanding creditors'!$D2573&amp;" "&amp;TEXT('data on outstanding creditors'!$E2573,"#,##0.00")</f>
        <v>บ.เอเทค เมดิคอล IV6810221 19,100.00</v>
      </c>
      <c r="U2573" s="12"/>
    </row>
    <row r="2574" ht="13.5" customHeight="1">
      <c r="A2574" s="1" t="s">
        <v>3822</v>
      </c>
      <c r="B2574" s="2">
        <v>45946.0</v>
      </c>
      <c r="C2574" s="9" t="s">
        <v>2310</v>
      </c>
      <c r="D2574" s="1" t="s">
        <v>3823</v>
      </c>
      <c r="E2574" s="4">
        <v>117000.0</v>
      </c>
      <c r="F2574" s="4"/>
      <c r="G2574" s="4"/>
      <c r="H2574" s="4">
        <f>'data on outstanding creditors'!$E2574-'data on outstanding creditors'!$F2574-'data on outstanding creditors'!$G2574</f>
        <v>117000</v>
      </c>
      <c r="I2574" s="2"/>
      <c r="J2574" s="1"/>
      <c r="K2574" s="2"/>
      <c r="L2574" s="5"/>
      <c r="M2574" s="9" t="s">
        <v>43</v>
      </c>
      <c r="N2574" s="9" t="s">
        <v>49</v>
      </c>
      <c r="O2574" s="10">
        <f>'data on outstanding creditors'!$E2574*100/107</f>
        <v>109345.7944</v>
      </c>
      <c r="P2574" s="10">
        <f>'data on outstanding creditors'!$E2574-'data on outstanding creditors'!$O2574</f>
        <v>7654.205607</v>
      </c>
      <c r="Q2574" s="7">
        <f>DAY('data on outstanding creditors'!$B2574)</f>
        <v>16</v>
      </c>
      <c r="R2574" s="7">
        <f>MONTH('data on outstanding creditors'!$B2574)</f>
        <v>10</v>
      </c>
      <c r="S2574" s="7">
        <f>YEAR('data on outstanding creditors'!$B2574)</f>
        <v>2025</v>
      </c>
      <c r="T2574" s="11" t="str">
        <f>'data on outstanding creditors'!$C2574&amp;" "&amp;'data on outstanding creditors'!$D2574&amp;" "&amp;TEXT('data on outstanding creditors'!$E2574,"#,##0.00")</f>
        <v>บ.เอ็นจี โปรเกรสซีฟ 003.09.68 117,000.00</v>
      </c>
      <c r="U2574" s="12"/>
    </row>
    <row r="2575" ht="13.5" customHeight="1">
      <c r="A2575" s="1" t="s">
        <v>3824</v>
      </c>
      <c r="B2575" s="2">
        <v>45946.0</v>
      </c>
      <c r="C2575" s="9" t="s">
        <v>399</v>
      </c>
      <c r="D2575" s="1" t="s">
        <v>3825</v>
      </c>
      <c r="E2575" s="4">
        <v>26750.0</v>
      </c>
      <c r="F2575" s="4"/>
      <c r="G2575" s="4"/>
      <c r="H2575" s="4">
        <f>'data on outstanding creditors'!$E2575-'data on outstanding creditors'!$F2575-'data on outstanding creditors'!$G2575</f>
        <v>26750</v>
      </c>
      <c r="I2575" s="2"/>
      <c r="J2575" s="1"/>
      <c r="K2575" s="2"/>
      <c r="L2575" s="5"/>
      <c r="M2575" s="9" t="s">
        <v>43</v>
      </c>
      <c r="N2575" s="9" t="s">
        <v>49</v>
      </c>
      <c r="O2575" s="10">
        <f>'data on outstanding creditors'!$E2575*100/107</f>
        <v>25000</v>
      </c>
      <c r="P2575" s="10">
        <f>'data on outstanding creditors'!$E2575-'data on outstanding creditors'!$O2575</f>
        <v>1750</v>
      </c>
      <c r="Q2575" s="7">
        <f>DAY('data on outstanding creditors'!$B2575)</f>
        <v>16</v>
      </c>
      <c r="R2575" s="7">
        <f>MONTH('data on outstanding creditors'!$B2575)</f>
        <v>10</v>
      </c>
      <c r="S2575" s="7">
        <f>YEAR('data on outstanding creditors'!$B2575)</f>
        <v>2025</v>
      </c>
      <c r="T2575" s="11" t="str">
        <f>'data on outstanding creditors'!$C2575&amp;" "&amp;'data on outstanding creditors'!$D2575&amp;" "&amp;TEXT('data on outstanding creditors'!$E2575,"#,##0.00")</f>
        <v>บ.ดีเคเอสเอช(ประเทศไทย) 5344567494 26,750.00</v>
      </c>
      <c r="U2575" s="12"/>
    </row>
    <row r="2576" ht="13.5" customHeight="1">
      <c r="A2576" s="1" t="s">
        <v>3826</v>
      </c>
      <c r="B2576" s="2">
        <v>45946.0</v>
      </c>
      <c r="C2576" s="9" t="s">
        <v>399</v>
      </c>
      <c r="D2576" s="1" t="s">
        <v>3827</v>
      </c>
      <c r="E2576" s="4">
        <v>25680.0</v>
      </c>
      <c r="F2576" s="4"/>
      <c r="G2576" s="4"/>
      <c r="H2576" s="4">
        <f>'data on outstanding creditors'!$E2576-'data on outstanding creditors'!$F2576-'data on outstanding creditors'!$G2576</f>
        <v>25680</v>
      </c>
      <c r="I2576" s="2"/>
      <c r="J2576" s="1"/>
      <c r="K2576" s="2"/>
      <c r="L2576" s="5"/>
      <c r="M2576" s="9" t="s">
        <v>43</v>
      </c>
      <c r="N2576" s="9" t="s">
        <v>49</v>
      </c>
      <c r="O2576" s="10">
        <f>'data on outstanding creditors'!$E2576*100/107</f>
        <v>24000</v>
      </c>
      <c r="P2576" s="10">
        <f>'data on outstanding creditors'!$E2576-'data on outstanding creditors'!$O2576</f>
        <v>1680</v>
      </c>
      <c r="Q2576" s="7">
        <f>DAY('data on outstanding creditors'!$B2576)</f>
        <v>16</v>
      </c>
      <c r="R2576" s="7">
        <f>MONTH('data on outstanding creditors'!$B2576)</f>
        <v>10</v>
      </c>
      <c r="S2576" s="7">
        <f>YEAR('data on outstanding creditors'!$B2576)</f>
        <v>2025</v>
      </c>
      <c r="T2576" s="11" t="str">
        <f>'data on outstanding creditors'!$C2576&amp;" "&amp;'data on outstanding creditors'!$D2576&amp;" "&amp;TEXT('data on outstanding creditors'!$E2576,"#,##0.00")</f>
        <v>บ.ดีเคเอสเอช(ประเทศไทย) 5344555115 25,680.00</v>
      </c>
      <c r="U2576" s="12"/>
    </row>
    <row r="2577" ht="13.5" customHeight="1">
      <c r="A2577" s="1" t="s">
        <v>3828</v>
      </c>
      <c r="B2577" s="2">
        <v>45946.0</v>
      </c>
      <c r="C2577" s="9" t="s">
        <v>1029</v>
      </c>
      <c r="D2577" s="1" t="s">
        <v>3829</v>
      </c>
      <c r="E2577" s="4">
        <v>12600.0</v>
      </c>
      <c r="F2577" s="4"/>
      <c r="G2577" s="4"/>
      <c r="H2577" s="4">
        <f>'data on outstanding creditors'!$E2577-'data on outstanding creditors'!$F2577-'data on outstanding creditors'!$G2577</f>
        <v>12600</v>
      </c>
      <c r="I2577" s="2"/>
      <c r="J2577" s="1"/>
      <c r="K2577" s="2"/>
      <c r="L2577" s="5"/>
      <c r="M2577" s="9" t="s">
        <v>43</v>
      </c>
      <c r="N2577" s="9" t="s">
        <v>49</v>
      </c>
      <c r="O2577" s="10">
        <f>'data on outstanding creditors'!$E2577*100/107</f>
        <v>11775.70093</v>
      </c>
      <c r="P2577" s="10">
        <f>'data on outstanding creditors'!$E2577-'data on outstanding creditors'!$O2577</f>
        <v>824.2990654</v>
      </c>
      <c r="Q2577" s="7">
        <f>DAY('data on outstanding creditors'!$B2577)</f>
        <v>16</v>
      </c>
      <c r="R2577" s="7">
        <f>MONTH('data on outstanding creditors'!$B2577)</f>
        <v>10</v>
      </c>
      <c r="S2577" s="7">
        <f>YEAR('data on outstanding creditors'!$B2577)</f>
        <v>2025</v>
      </c>
      <c r="T2577" s="11" t="str">
        <f>'data on outstanding creditors'!$C2577&amp;" "&amp;'data on outstanding creditors'!$D2577&amp;" "&amp;TEXT('data on outstanding creditors'!$E2577,"#,##0.00")</f>
        <v>บ.เอเทค เมดิคอล IV6810223 12,600.00</v>
      </c>
      <c r="U2577" s="12"/>
    </row>
    <row r="2578" ht="13.5" customHeight="1">
      <c r="A2578" s="1" t="s">
        <v>3830</v>
      </c>
      <c r="B2578" s="2">
        <v>45947.0</v>
      </c>
      <c r="C2578" s="9" t="s">
        <v>2472</v>
      </c>
      <c r="D2578" s="1" t="s">
        <v>3831</v>
      </c>
      <c r="E2578" s="4">
        <v>32000.0</v>
      </c>
      <c r="F2578" s="4"/>
      <c r="G2578" s="4"/>
      <c r="H2578" s="4">
        <f>'data on outstanding creditors'!$E2578-'data on outstanding creditors'!$F2578-'data on outstanding creditors'!$G2578</f>
        <v>32000</v>
      </c>
      <c r="I2578" s="2"/>
      <c r="J2578" s="1"/>
      <c r="K2578" s="2"/>
      <c r="L2578" s="5"/>
      <c r="M2578" s="9" t="s">
        <v>43</v>
      </c>
      <c r="N2578" s="9" t="s">
        <v>49</v>
      </c>
      <c r="O2578" s="10">
        <f>'data on outstanding creditors'!$E2578*100/107</f>
        <v>29906.54206</v>
      </c>
      <c r="P2578" s="10">
        <f>'data on outstanding creditors'!$E2578-'data on outstanding creditors'!$O2578</f>
        <v>2093.457944</v>
      </c>
      <c r="Q2578" s="7">
        <f>DAY('data on outstanding creditors'!$B2578)</f>
        <v>17</v>
      </c>
      <c r="R2578" s="7">
        <f>MONTH('data on outstanding creditors'!$B2578)</f>
        <v>10</v>
      </c>
      <c r="S2578" s="7">
        <f>YEAR('data on outstanding creditors'!$B2578)</f>
        <v>2025</v>
      </c>
      <c r="T2578" s="11" t="str">
        <f>'data on outstanding creditors'!$C2578&amp;" "&amp;'data on outstanding creditors'!$D2578&amp;" "&amp;TEXT('data on outstanding creditors'!$E2578,"#,##0.00")</f>
        <v>บ.เอเมอร์สัน กรุ๊ป IV6810318 32,000.00</v>
      </c>
      <c r="U2578" s="12"/>
    </row>
    <row r="2579" ht="13.5" customHeight="1">
      <c r="A2579" s="1" t="s">
        <v>3832</v>
      </c>
      <c r="B2579" s="2">
        <v>45947.0</v>
      </c>
      <c r="C2579" s="9" t="s">
        <v>286</v>
      </c>
      <c r="D2579" s="1" t="s">
        <v>3833</v>
      </c>
      <c r="E2579" s="4">
        <v>5600.0</v>
      </c>
      <c r="F2579" s="4"/>
      <c r="G2579" s="4"/>
      <c r="H2579" s="4">
        <f>'data on outstanding creditors'!$E2579-'data on outstanding creditors'!$F2579-'data on outstanding creditors'!$G2579</f>
        <v>5600</v>
      </c>
      <c r="I2579" s="2"/>
      <c r="J2579" s="1"/>
      <c r="K2579" s="2"/>
      <c r="L2579" s="5"/>
      <c r="M2579" s="9" t="s">
        <v>43</v>
      </c>
      <c r="N2579" s="9" t="s">
        <v>49</v>
      </c>
      <c r="O2579" s="10">
        <f>'data on outstanding creditors'!$E2579*100/107</f>
        <v>5233.64486</v>
      </c>
      <c r="P2579" s="10">
        <f>'data on outstanding creditors'!$E2579-'data on outstanding creditors'!$O2579</f>
        <v>366.3551402</v>
      </c>
      <c r="Q2579" s="7">
        <f>DAY('data on outstanding creditors'!$B2579)</f>
        <v>17</v>
      </c>
      <c r="R2579" s="7">
        <f>MONTH('data on outstanding creditors'!$B2579)</f>
        <v>10</v>
      </c>
      <c r="S2579" s="7">
        <f>YEAR('data on outstanding creditors'!$B2579)</f>
        <v>2025</v>
      </c>
      <c r="T2579" s="11" t="str">
        <f>'data on outstanding creditors'!$C2579&amp;" "&amp;'data on outstanding creditors'!$D2579&amp;" "&amp;TEXT('data on outstanding creditors'!$E2579,"#,##0.00")</f>
        <v>บ.เอ็ม ดี ซี (ประเทศไทย) IV25100566 5,600.00</v>
      </c>
      <c r="U2579" s="12"/>
    </row>
    <row r="2580" ht="13.5" customHeight="1">
      <c r="A2580" s="1" t="s">
        <v>3834</v>
      </c>
      <c r="B2580" s="2">
        <v>45950.0</v>
      </c>
      <c r="C2580" s="9" t="s">
        <v>399</v>
      </c>
      <c r="D2580" s="1" t="s">
        <v>3835</v>
      </c>
      <c r="E2580" s="4">
        <v>19000.0</v>
      </c>
      <c r="F2580" s="4"/>
      <c r="G2580" s="4"/>
      <c r="H2580" s="4">
        <f>'data on outstanding creditors'!$E2580-'data on outstanding creditors'!$F2580-'data on outstanding creditors'!$G2580</f>
        <v>19000</v>
      </c>
      <c r="I2580" s="2"/>
      <c r="J2580" s="1"/>
      <c r="K2580" s="2"/>
      <c r="L2580" s="5"/>
      <c r="M2580" s="9" t="s">
        <v>43</v>
      </c>
      <c r="N2580" s="9" t="s">
        <v>49</v>
      </c>
      <c r="O2580" s="10">
        <f>'data on outstanding creditors'!$E2580*100/107</f>
        <v>17757.00935</v>
      </c>
      <c r="P2580" s="10">
        <f>'data on outstanding creditors'!$E2580-'data on outstanding creditors'!$O2580</f>
        <v>1242.990654</v>
      </c>
      <c r="Q2580" s="7">
        <f>DAY('data on outstanding creditors'!$B2580)</f>
        <v>20</v>
      </c>
      <c r="R2580" s="7">
        <f>MONTH('data on outstanding creditors'!$B2580)</f>
        <v>10</v>
      </c>
      <c r="S2580" s="7">
        <f>YEAR('data on outstanding creditors'!$B2580)</f>
        <v>2025</v>
      </c>
      <c r="T2580" s="11" t="str">
        <f>'data on outstanding creditors'!$C2580&amp;" "&amp;'data on outstanding creditors'!$D2580&amp;" "&amp;TEXT('data on outstanding creditors'!$E2580,"#,##0.00")</f>
        <v>บ.ดีเคเอสเอช(ประเทศไทย) 5344572696 19,000.00</v>
      </c>
      <c r="U2580" s="12"/>
    </row>
    <row r="2581" ht="13.5" customHeight="1">
      <c r="A2581" s="1" t="s">
        <v>3836</v>
      </c>
      <c r="B2581" s="2">
        <v>45950.0</v>
      </c>
      <c r="C2581" s="9" t="s">
        <v>399</v>
      </c>
      <c r="D2581" s="1" t="s">
        <v>3837</v>
      </c>
      <c r="E2581" s="4">
        <v>42800.0</v>
      </c>
      <c r="F2581" s="4"/>
      <c r="G2581" s="4"/>
      <c r="H2581" s="4">
        <f>'data on outstanding creditors'!$E2581-'data on outstanding creditors'!$F2581-'data on outstanding creditors'!$G2581</f>
        <v>42800</v>
      </c>
      <c r="I2581" s="2"/>
      <c r="J2581" s="1"/>
      <c r="K2581" s="2"/>
      <c r="L2581" s="5"/>
      <c r="M2581" s="9" t="s">
        <v>43</v>
      </c>
      <c r="N2581" s="9" t="s">
        <v>49</v>
      </c>
      <c r="O2581" s="10">
        <f>'data on outstanding creditors'!$E2581*100/107</f>
        <v>40000</v>
      </c>
      <c r="P2581" s="10">
        <f>'data on outstanding creditors'!$E2581-'data on outstanding creditors'!$O2581</f>
        <v>2800</v>
      </c>
      <c r="Q2581" s="7">
        <f>DAY('data on outstanding creditors'!$B2581)</f>
        <v>20</v>
      </c>
      <c r="R2581" s="7">
        <f>MONTH('data on outstanding creditors'!$B2581)</f>
        <v>10</v>
      </c>
      <c r="S2581" s="7">
        <f>YEAR('data on outstanding creditors'!$B2581)</f>
        <v>2025</v>
      </c>
      <c r="T2581" s="11" t="str">
        <f>'data on outstanding creditors'!$C2581&amp;" "&amp;'data on outstanding creditors'!$D2581&amp;" "&amp;TEXT('data on outstanding creditors'!$E2581,"#,##0.00")</f>
        <v>บ.ดีเคเอสเอช(ประเทศไทย) 5344578083 42,800.00</v>
      </c>
      <c r="U2581" s="12"/>
    </row>
    <row r="2582" ht="13.5" customHeight="1">
      <c r="A2582" s="1" t="s">
        <v>3838</v>
      </c>
      <c r="B2582" s="2">
        <v>45950.0</v>
      </c>
      <c r="C2582" s="9" t="s">
        <v>2315</v>
      </c>
      <c r="D2582" s="1" t="s">
        <v>3839</v>
      </c>
      <c r="E2582" s="4">
        <v>4300.0</v>
      </c>
      <c r="F2582" s="4"/>
      <c r="G2582" s="4"/>
      <c r="H2582" s="4">
        <f>'data on outstanding creditors'!$E2582-'data on outstanding creditors'!$F2582-'data on outstanding creditors'!$G2582</f>
        <v>4300</v>
      </c>
      <c r="I2582" s="2"/>
      <c r="J2582" s="1"/>
      <c r="K2582" s="2"/>
      <c r="L2582" s="5"/>
      <c r="M2582" s="9" t="s">
        <v>43</v>
      </c>
      <c r="N2582" s="9" t="s">
        <v>49</v>
      </c>
      <c r="O2582" s="10">
        <f>'data on outstanding creditors'!$E2582*100/107</f>
        <v>4018.691589</v>
      </c>
      <c r="P2582" s="10">
        <f>'data on outstanding creditors'!$E2582-'data on outstanding creditors'!$O2582</f>
        <v>281.3084112</v>
      </c>
      <c r="Q2582" s="7">
        <f>DAY('data on outstanding creditors'!$B2582)</f>
        <v>20</v>
      </c>
      <c r="R2582" s="7">
        <f>MONTH('data on outstanding creditors'!$B2582)</f>
        <v>10</v>
      </c>
      <c r="S2582" s="7">
        <f>YEAR('data on outstanding creditors'!$B2582)</f>
        <v>2025</v>
      </c>
      <c r="T2582" s="11" t="str">
        <f>'data on outstanding creditors'!$C2582&amp;" "&amp;'data on outstanding creditors'!$D2582&amp;" "&amp;TEXT('data on outstanding creditors'!$E2582,"#,##0.00")</f>
        <v>บ.เรียลเมดคอร์ป IV25102642 4,300.00</v>
      </c>
      <c r="U2582" s="12"/>
    </row>
    <row r="2583" ht="13.5" customHeight="1">
      <c r="A2583" s="1" t="s">
        <v>3840</v>
      </c>
      <c r="B2583" s="2">
        <v>45951.0</v>
      </c>
      <c r="C2583" s="9" t="s">
        <v>2343</v>
      </c>
      <c r="D2583" s="1" t="s">
        <v>3841</v>
      </c>
      <c r="E2583" s="4">
        <v>6508.0</v>
      </c>
      <c r="F2583" s="4"/>
      <c r="G2583" s="4"/>
      <c r="H2583" s="4">
        <f>'data on outstanding creditors'!$E2583-'data on outstanding creditors'!$F2583-'data on outstanding creditors'!$G2583</f>
        <v>6508</v>
      </c>
      <c r="I2583" s="2"/>
      <c r="J2583" s="1"/>
      <c r="K2583" s="2"/>
      <c r="L2583" s="5"/>
      <c r="M2583" s="9" t="s">
        <v>43</v>
      </c>
      <c r="N2583" s="9" t="s">
        <v>49</v>
      </c>
      <c r="O2583" s="10">
        <f>'data on outstanding creditors'!$E2583*100/107</f>
        <v>6082.242991</v>
      </c>
      <c r="P2583" s="10">
        <f>'data on outstanding creditors'!$E2583-'data on outstanding creditors'!$O2583</f>
        <v>425.7570093</v>
      </c>
      <c r="Q2583" s="7">
        <f>DAY('data on outstanding creditors'!$B2583)</f>
        <v>21</v>
      </c>
      <c r="R2583" s="7">
        <f>MONTH('data on outstanding creditors'!$B2583)</f>
        <v>10</v>
      </c>
      <c r="S2583" s="7">
        <f>YEAR('data on outstanding creditors'!$B2583)</f>
        <v>2025</v>
      </c>
      <c r="T2583" s="11" t="str">
        <f>'data on outstanding creditors'!$C2583&amp;" "&amp;'data on outstanding creditors'!$D2583&amp;" "&amp;TEXT('data on outstanding creditors'!$E2583,"#,##0.00")</f>
        <v>บ.ทริมเมอร์ IV251003267 6,508.00</v>
      </c>
      <c r="U2583" s="12"/>
    </row>
    <row r="2584" ht="13.5" customHeight="1">
      <c r="A2584" s="1" t="s">
        <v>3842</v>
      </c>
      <c r="B2584" s="2">
        <v>45951.0</v>
      </c>
      <c r="C2584" s="9" t="s">
        <v>520</v>
      </c>
      <c r="D2584" s="1" t="s">
        <v>3843</v>
      </c>
      <c r="E2584" s="4">
        <v>18000.0</v>
      </c>
      <c r="F2584" s="4"/>
      <c r="G2584" s="4"/>
      <c r="H2584" s="4">
        <f>'data on outstanding creditors'!$E2584-'data on outstanding creditors'!$F2584-'data on outstanding creditors'!$G2584</f>
        <v>18000</v>
      </c>
      <c r="I2584" s="2"/>
      <c r="J2584" s="1"/>
      <c r="K2584" s="2"/>
      <c r="L2584" s="5"/>
      <c r="M2584" s="9" t="s">
        <v>43</v>
      </c>
      <c r="N2584" s="9" t="s">
        <v>49</v>
      </c>
      <c r="O2584" s="10">
        <f>'data on outstanding creditors'!$E2584*100/107</f>
        <v>16822.42991</v>
      </c>
      <c r="P2584" s="10">
        <f>'data on outstanding creditors'!$E2584-'data on outstanding creditors'!$O2584</f>
        <v>1177.570093</v>
      </c>
      <c r="Q2584" s="7">
        <f>DAY('data on outstanding creditors'!$B2584)</f>
        <v>21</v>
      </c>
      <c r="R2584" s="7">
        <f>MONTH('data on outstanding creditors'!$B2584)</f>
        <v>10</v>
      </c>
      <c r="S2584" s="7">
        <f>YEAR('data on outstanding creditors'!$B2584)</f>
        <v>2025</v>
      </c>
      <c r="T2584" s="11" t="str">
        <f>'data on outstanding creditors'!$C2584&amp;" "&amp;'data on outstanding creditors'!$D2584&amp;" "&amp;TEXT('data on outstanding creditors'!$E2584,"#,##0.00")</f>
        <v>บ.ซิลลิคฟาร์มา 1318475879 18,000.00</v>
      </c>
      <c r="U2584" s="12"/>
    </row>
    <row r="2585" ht="13.5" customHeight="1">
      <c r="A2585" s="1" t="s">
        <v>3844</v>
      </c>
      <c r="B2585" s="2">
        <v>45951.0</v>
      </c>
      <c r="C2585" s="9" t="s">
        <v>1029</v>
      </c>
      <c r="D2585" s="1" t="s">
        <v>3845</v>
      </c>
      <c r="E2585" s="4">
        <v>11400.0</v>
      </c>
      <c r="F2585" s="4"/>
      <c r="G2585" s="4"/>
      <c r="H2585" s="4">
        <f>'data on outstanding creditors'!$E2585-'data on outstanding creditors'!$F2585-'data on outstanding creditors'!$G2585</f>
        <v>11400</v>
      </c>
      <c r="I2585" s="2"/>
      <c r="J2585" s="1"/>
      <c r="K2585" s="2"/>
      <c r="L2585" s="5"/>
      <c r="M2585" s="9" t="s">
        <v>43</v>
      </c>
      <c r="N2585" s="9" t="s">
        <v>49</v>
      </c>
      <c r="O2585" s="10">
        <f>'data on outstanding creditors'!$E2585*100/107</f>
        <v>10654.20561</v>
      </c>
      <c r="P2585" s="10">
        <f>'data on outstanding creditors'!$E2585-'data on outstanding creditors'!$O2585</f>
        <v>745.7943925</v>
      </c>
      <c r="Q2585" s="7">
        <f>DAY('data on outstanding creditors'!$B2585)</f>
        <v>21</v>
      </c>
      <c r="R2585" s="7">
        <f>MONTH('data on outstanding creditors'!$B2585)</f>
        <v>10</v>
      </c>
      <c r="S2585" s="7">
        <f>YEAR('data on outstanding creditors'!$B2585)</f>
        <v>2025</v>
      </c>
      <c r="T2585" s="11" t="str">
        <f>'data on outstanding creditors'!$C2585&amp;" "&amp;'data on outstanding creditors'!$D2585&amp;" "&amp;TEXT('data on outstanding creditors'!$E2585,"#,##0.00")</f>
        <v>บ.เอเทค เมดิคอล IV6810371 11,400.00</v>
      </c>
      <c r="U2585" s="12"/>
    </row>
    <row r="2586" ht="13.5" customHeight="1">
      <c r="A2586" s="1" t="s">
        <v>3846</v>
      </c>
      <c r="B2586" s="2">
        <v>45952.0</v>
      </c>
      <c r="C2586" s="9" t="s">
        <v>3847</v>
      </c>
      <c r="D2586" s="1" t="s">
        <v>3848</v>
      </c>
      <c r="E2586" s="4">
        <v>61498.25</v>
      </c>
      <c r="F2586" s="4"/>
      <c r="G2586" s="4"/>
      <c r="H2586" s="4">
        <f>'data on outstanding creditors'!$E2586-'data on outstanding creditors'!$F2586-'data on outstanding creditors'!$G2586</f>
        <v>61498.25</v>
      </c>
      <c r="I2586" s="2"/>
      <c r="J2586" s="1"/>
      <c r="K2586" s="2"/>
      <c r="L2586" s="5"/>
      <c r="M2586" s="9" t="s">
        <v>43</v>
      </c>
      <c r="N2586" s="9" t="s">
        <v>49</v>
      </c>
      <c r="O2586" s="10">
        <f>'data on outstanding creditors'!$E2586*100/107</f>
        <v>57475</v>
      </c>
      <c r="P2586" s="10">
        <f>'data on outstanding creditors'!$E2586-'data on outstanding creditors'!$O2586</f>
        <v>4023.25</v>
      </c>
      <c r="Q2586" s="7">
        <f>DAY('data on outstanding creditors'!$B2586)</f>
        <v>22</v>
      </c>
      <c r="R2586" s="7">
        <f>MONTH('data on outstanding creditors'!$B2586)</f>
        <v>10</v>
      </c>
      <c r="S2586" s="7">
        <f>YEAR('data on outstanding creditors'!$B2586)</f>
        <v>2025</v>
      </c>
      <c r="T2586" s="11" t="str">
        <f>'data on outstanding creditors'!$C2586&amp;" "&amp;'data on outstanding creditors'!$D2586&amp;" "&amp;TEXT('data on outstanding creditors'!$E2586,"#,##0.00")</f>
        <v>บ.ซี อี เฮลท์แคร์ CE-202500075 61,498.25</v>
      </c>
      <c r="U2586" s="12"/>
    </row>
    <row r="2587" ht="13.5" customHeight="1">
      <c r="A2587" s="1" t="s">
        <v>3849</v>
      </c>
      <c r="B2587" s="2">
        <v>45954.0</v>
      </c>
      <c r="C2587" s="9" t="s">
        <v>399</v>
      </c>
      <c r="D2587" s="1" t="s">
        <v>3850</v>
      </c>
      <c r="E2587" s="4">
        <v>4280.0</v>
      </c>
      <c r="F2587" s="4"/>
      <c r="G2587" s="4"/>
      <c r="H2587" s="4">
        <f>'data on outstanding creditors'!$E2587-'data on outstanding creditors'!$F2587-'data on outstanding creditors'!$G2587</f>
        <v>4280</v>
      </c>
      <c r="I2587" s="2"/>
      <c r="J2587" s="1"/>
      <c r="K2587" s="2"/>
      <c r="L2587" s="5"/>
      <c r="M2587" s="9" t="s">
        <v>43</v>
      </c>
      <c r="N2587" s="9" t="s">
        <v>49</v>
      </c>
      <c r="O2587" s="10">
        <f>'data on outstanding creditors'!$E2587*100/107</f>
        <v>4000</v>
      </c>
      <c r="P2587" s="10">
        <f>'data on outstanding creditors'!$E2587-'data on outstanding creditors'!$O2587</f>
        <v>280</v>
      </c>
      <c r="Q2587" s="7">
        <f>DAY('data on outstanding creditors'!$B2587)</f>
        <v>24</v>
      </c>
      <c r="R2587" s="7">
        <f>MONTH('data on outstanding creditors'!$B2587)</f>
        <v>10</v>
      </c>
      <c r="S2587" s="7">
        <f>YEAR('data on outstanding creditors'!$B2587)</f>
        <v>2025</v>
      </c>
      <c r="T2587" s="11" t="str">
        <f>'data on outstanding creditors'!$C2587&amp;" "&amp;'data on outstanding creditors'!$D2587&amp;" "&amp;TEXT('data on outstanding creditors'!$E2587,"#,##0.00")</f>
        <v>บ.ดีเคเอสเอช(ประเทศไทย) 5344589241 4,280.00</v>
      </c>
      <c r="U2587" s="12"/>
    </row>
    <row r="2588" ht="13.5" customHeight="1">
      <c r="A2588" s="1" t="s">
        <v>3851</v>
      </c>
      <c r="B2588" s="2">
        <v>45957.0</v>
      </c>
      <c r="C2588" s="9" t="s">
        <v>399</v>
      </c>
      <c r="D2588" s="1" t="s">
        <v>3852</v>
      </c>
      <c r="E2588" s="4">
        <v>17280.5</v>
      </c>
      <c r="F2588" s="4"/>
      <c r="G2588" s="4"/>
      <c r="H2588" s="4">
        <f>'data on outstanding creditors'!$E2588-'data on outstanding creditors'!$F2588-'data on outstanding creditors'!$G2588</f>
        <v>17280.5</v>
      </c>
      <c r="I2588" s="2"/>
      <c r="J2588" s="1"/>
      <c r="K2588" s="2"/>
      <c r="L2588" s="5"/>
      <c r="M2588" s="9" t="s">
        <v>43</v>
      </c>
      <c r="N2588" s="9" t="s">
        <v>49</v>
      </c>
      <c r="O2588" s="10">
        <f>'data on outstanding creditors'!$E2588*100/107</f>
        <v>16150</v>
      </c>
      <c r="P2588" s="10">
        <f>'data on outstanding creditors'!$E2588-'data on outstanding creditors'!$O2588</f>
        <v>1130.5</v>
      </c>
      <c r="Q2588" s="7">
        <f>DAY('data on outstanding creditors'!$B2588)</f>
        <v>27</v>
      </c>
      <c r="R2588" s="7">
        <f>MONTH('data on outstanding creditors'!$B2588)</f>
        <v>10</v>
      </c>
      <c r="S2588" s="7">
        <f>YEAR('data on outstanding creditors'!$B2588)</f>
        <v>2025</v>
      </c>
      <c r="T2588" s="11" t="str">
        <f>'data on outstanding creditors'!$C2588&amp;" "&amp;'data on outstanding creditors'!$D2588&amp;" "&amp;TEXT('data on outstanding creditors'!$E2588,"#,##0.00")</f>
        <v>บ.ดีเคเอสเอช(ประเทศไทย) 5344617558 17,280.50</v>
      </c>
      <c r="U2588" s="12"/>
    </row>
    <row r="2589" ht="13.5" customHeight="1">
      <c r="A2589" s="1" t="s">
        <v>3853</v>
      </c>
      <c r="B2589" s="2">
        <v>45957.0</v>
      </c>
      <c r="C2589" s="9" t="s">
        <v>2312</v>
      </c>
      <c r="D2589" s="1" t="s">
        <v>3854</v>
      </c>
      <c r="E2589" s="4">
        <v>15000.0</v>
      </c>
      <c r="F2589" s="4"/>
      <c r="G2589" s="4"/>
      <c r="H2589" s="4">
        <f>'data on outstanding creditors'!$E2589-'data on outstanding creditors'!$F2589-'data on outstanding creditors'!$G2589</f>
        <v>15000</v>
      </c>
      <c r="I2589" s="2"/>
      <c r="J2589" s="1"/>
      <c r="K2589" s="2"/>
      <c r="L2589" s="5"/>
      <c r="M2589" s="9" t="s">
        <v>43</v>
      </c>
      <c r="N2589" s="9" t="s">
        <v>49</v>
      </c>
      <c r="O2589" s="10">
        <f>'data on outstanding creditors'!$E2589*100/107</f>
        <v>14018.69159</v>
      </c>
      <c r="P2589" s="10">
        <f>'data on outstanding creditors'!$E2589-'data on outstanding creditors'!$O2589</f>
        <v>981.3084112</v>
      </c>
      <c r="Q2589" s="7">
        <f>DAY('data on outstanding creditors'!$B2589)</f>
        <v>27</v>
      </c>
      <c r="R2589" s="7">
        <f>MONTH('data on outstanding creditors'!$B2589)</f>
        <v>10</v>
      </c>
      <c r="S2589" s="7">
        <f>YEAR('data on outstanding creditors'!$B2589)</f>
        <v>2025</v>
      </c>
      <c r="T2589" s="11" t="str">
        <f>'data on outstanding creditors'!$C2589&amp;" "&amp;'data on outstanding creditors'!$D2589&amp;" "&amp;TEXT('data on outstanding creditors'!$E2589,"#,##0.00")</f>
        <v>บ.สเตอลีน เฮลท์ SH8622 15,000.00</v>
      </c>
      <c r="U2589" s="12"/>
    </row>
    <row r="2590" ht="13.5" customHeight="1">
      <c r="A2590" s="1" t="s">
        <v>3855</v>
      </c>
      <c r="B2590" s="2">
        <v>45959.0</v>
      </c>
      <c r="C2590" s="9" t="s">
        <v>3856</v>
      </c>
      <c r="D2590" s="1" t="s">
        <v>3857</v>
      </c>
      <c r="E2590" s="4">
        <v>464000.0</v>
      </c>
      <c r="F2590" s="4"/>
      <c r="G2590" s="4"/>
      <c r="H2590" s="4">
        <f>'data on outstanding creditors'!$E2590-'data on outstanding creditors'!$F2590-'data on outstanding creditors'!$G2590</f>
        <v>464000</v>
      </c>
      <c r="I2590" s="2"/>
      <c r="J2590" s="1"/>
      <c r="K2590" s="2"/>
      <c r="L2590" s="5"/>
      <c r="M2590" s="9" t="s">
        <v>43</v>
      </c>
      <c r="N2590" s="9" t="s">
        <v>49</v>
      </c>
      <c r="O2590" s="10">
        <f>'data on outstanding creditors'!$E2590*100/107</f>
        <v>433644.8598</v>
      </c>
      <c r="P2590" s="10">
        <f>'data on outstanding creditors'!$E2590-'data on outstanding creditors'!$O2590</f>
        <v>30355.14019</v>
      </c>
      <c r="Q2590" s="7">
        <f>DAY('data on outstanding creditors'!$B2590)</f>
        <v>29</v>
      </c>
      <c r="R2590" s="7">
        <f>MONTH('data on outstanding creditors'!$B2590)</f>
        <v>10</v>
      </c>
      <c r="S2590" s="7">
        <f>YEAR('data on outstanding creditors'!$B2590)</f>
        <v>2025</v>
      </c>
      <c r="T2590" s="11" t="str">
        <f>'data on outstanding creditors'!$C2590&amp;" "&amp;'data on outstanding creditors'!$D2590&amp;" "&amp;TEXT('data on outstanding creditors'!$E2590,"#,##0.00")</f>
        <v>บ.เฟรซีเนียส เมดิคอล แคร์ 681023680 464,000.00</v>
      </c>
      <c r="U2590" s="12"/>
    </row>
    <row r="2591" ht="13.5" customHeight="1">
      <c r="A2591" s="1" t="s">
        <v>3858</v>
      </c>
      <c r="B2591" s="2">
        <v>45959.0</v>
      </c>
      <c r="C2591" s="9" t="s">
        <v>3023</v>
      </c>
      <c r="D2591" s="1" t="s">
        <v>3859</v>
      </c>
      <c r="E2591" s="4">
        <v>7500.0</v>
      </c>
      <c r="F2591" s="4"/>
      <c r="G2591" s="4"/>
      <c r="H2591" s="4">
        <f>'data on outstanding creditors'!$E2591-'data on outstanding creditors'!$F2591-'data on outstanding creditors'!$G2591</f>
        <v>7500</v>
      </c>
      <c r="I2591" s="2"/>
      <c r="J2591" s="1"/>
      <c r="K2591" s="2"/>
      <c r="L2591" s="5"/>
      <c r="M2591" s="9" t="s">
        <v>43</v>
      </c>
      <c r="N2591" s="9" t="s">
        <v>49</v>
      </c>
      <c r="O2591" s="10">
        <f>'data on outstanding creditors'!$E2591*100/107</f>
        <v>7009.345794</v>
      </c>
      <c r="P2591" s="10">
        <f>'data on outstanding creditors'!$E2591-'data on outstanding creditors'!$O2591</f>
        <v>490.6542056</v>
      </c>
      <c r="Q2591" s="7">
        <f>DAY('data on outstanding creditors'!$B2591)</f>
        <v>29</v>
      </c>
      <c r="R2591" s="7">
        <f>MONTH('data on outstanding creditors'!$B2591)</f>
        <v>10</v>
      </c>
      <c r="S2591" s="7">
        <f>YEAR('data on outstanding creditors'!$B2591)</f>
        <v>2025</v>
      </c>
      <c r="T2591" s="11" t="str">
        <f>'data on outstanding creditors'!$C2591&amp;" "&amp;'data on outstanding creditors'!$D2591&amp;" "&amp;TEXT('data on outstanding creditors'!$E2591,"#,##0.00")</f>
        <v>บ.ไพรม์ เมดิคอล IV6810-14422 7,500.00</v>
      </c>
      <c r="U2591" s="12"/>
    </row>
    <row r="2592" ht="13.5" customHeight="1">
      <c r="A2592" s="1" t="s">
        <v>3860</v>
      </c>
      <c r="B2592" s="2">
        <v>45960.0</v>
      </c>
      <c r="C2592" s="9" t="s">
        <v>1034</v>
      </c>
      <c r="D2592" s="1" t="s">
        <v>3861</v>
      </c>
      <c r="E2592" s="4">
        <v>350.0</v>
      </c>
      <c r="F2592" s="4"/>
      <c r="G2592" s="4"/>
      <c r="H2592" s="4">
        <f>'data on outstanding creditors'!$E2592-'data on outstanding creditors'!$F2592-'data on outstanding creditors'!$G2592</f>
        <v>350</v>
      </c>
      <c r="I2592" s="2"/>
      <c r="J2592" s="1"/>
      <c r="K2592" s="2"/>
      <c r="L2592" s="5"/>
      <c r="M2592" s="9" t="s">
        <v>43</v>
      </c>
      <c r="N2592" s="9" t="s">
        <v>49</v>
      </c>
      <c r="O2592" s="10">
        <f>'data on outstanding creditors'!$E2592*100/107</f>
        <v>327.1028037</v>
      </c>
      <c r="P2592" s="10">
        <f>'data on outstanding creditors'!$E2592-'data on outstanding creditors'!$O2592</f>
        <v>22.89719626</v>
      </c>
      <c r="Q2592" s="7">
        <f>DAY('data on outstanding creditors'!$B2592)</f>
        <v>30</v>
      </c>
      <c r="R2592" s="7">
        <f>MONTH('data on outstanding creditors'!$B2592)</f>
        <v>10</v>
      </c>
      <c r="S2592" s="7">
        <f>YEAR('data on outstanding creditors'!$B2592)</f>
        <v>2025</v>
      </c>
      <c r="T2592" s="11" t="str">
        <f>'data on outstanding creditors'!$C2592&amp;" "&amp;'data on outstanding creditors'!$D2592&amp;" "&amp;TEXT('data on outstanding creditors'!$E2592,"#,##0.00")</f>
        <v>บ.แบงค็อก เมดิคอลส์ โปร IV18789/68 350.00</v>
      </c>
      <c r="U2592" s="12"/>
    </row>
    <row r="2593" ht="13.5" customHeight="1">
      <c r="A2593" s="1" t="s">
        <v>3862</v>
      </c>
      <c r="B2593" s="2">
        <v>45960.0</v>
      </c>
      <c r="C2593" s="9" t="s">
        <v>1114</v>
      </c>
      <c r="D2593" s="1" t="s">
        <v>3863</v>
      </c>
      <c r="E2593" s="4">
        <v>94210.0</v>
      </c>
      <c r="F2593" s="4"/>
      <c r="G2593" s="4"/>
      <c r="H2593" s="4">
        <f>'data on outstanding creditors'!$E2593-'data on outstanding creditors'!$F2593-'data on outstanding creditors'!$G2593</f>
        <v>94210</v>
      </c>
      <c r="I2593" s="2"/>
      <c r="J2593" s="1"/>
      <c r="K2593" s="2"/>
      <c r="L2593" s="5"/>
      <c r="M2593" s="9" t="s">
        <v>43</v>
      </c>
      <c r="N2593" s="9" t="s">
        <v>49</v>
      </c>
      <c r="O2593" s="10">
        <f>'data on outstanding creditors'!$E2593*100/107</f>
        <v>88046.72897</v>
      </c>
      <c r="P2593" s="10">
        <f>'data on outstanding creditors'!$E2593-'data on outstanding creditors'!$O2593</f>
        <v>6163.271028</v>
      </c>
      <c r="Q2593" s="7">
        <f>DAY('data on outstanding creditors'!$B2593)</f>
        <v>30</v>
      </c>
      <c r="R2593" s="7">
        <f>MONTH('data on outstanding creditors'!$B2593)</f>
        <v>10</v>
      </c>
      <c r="S2593" s="7">
        <f>YEAR('data on outstanding creditors'!$B2593)</f>
        <v>2025</v>
      </c>
      <c r="T2593" s="11" t="str">
        <f>'data on outstanding creditors'!$C2593&amp;" "&amp;'data on outstanding creditors'!$D2593&amp;" "&amp;TEXT('data on outstanding creditors'!$E2593,"#,##0.00")</f>
        <v>หจก.อิเลฟเว่น พลัซ EL681025161 94,210.00</v>
      </c>
      <c r="U2593" s="12"/>
    </row>
    <row r="2594" ht="13.5" customHeight="1">
      <c r="A2594" s="1" t="s">
        <v>3864</v>
      </c>
      <c r="B2594" s="2">
        <v>45960.0</v>
      </c>
      <c r="C2594" s="9" t="s">
        <v>2343</v>
      </c>
      <c r="D2594" s="1" t="s">
        <v>3865</v>
      </c>
      <c r="E2594" s="4">
        <v>3600.0</v>
      </c>
      <c r="F2594" s="4"/>
      <c r="G2594" s="4"/>
      <c r="H2594" s="4">
        <f>'data on outstanding creditors'!$E2594-'data on outstanding creditors'!$F2594-'data on outstanding creditors'!$G2594</f>
        <v>3600</v>
      </c>
      <c r="I2594" s="2"/>
      <c r="J2594" s="1"/>
      <c r="K2594" s="2"/>
      <c r="L2594" s="5"/>
      <c r="M2594" s="9" t="s">
        <v>43</v>
      </c>
      <c r="N2594" s="9" t="s">
        <v>49</v>
      </c>
      <c r="O2594" s="10">
        <f>'data on outstanding creditors'!$E2594*100/107</f>
        <v>3364.485981</v>
      </c>
      <c r="P2594" s="10">
        <f>'data on outstanding creditors'!$E2594-'data on outstanding creditors'!$O2594</f>
        <v>235.5140187</v>
      </c>
      <c r="Q2594" s="7">
        <f>DAY('data on outstanding creditors'!$B2594)</f>
        <v>30</v>
      </c>
      <c r="R2594" s="7">
        <f>MONTH('data on outstanding creditors'!$B2594)</f>
        <v>10</v>
      </c>
      <c r="S2594" s="7">
        <f>YEAR('data on outstanding creditors'!$B2594)</f>
        <v>2025</v>
      </c>
      <c r="T2594" s="11" t="str">
        <f>'data on outstanding creditors'!$C2594&amp;" "&amp;'data on outstanding creditors'!$D2594&amp;" "&amp;TEXT('data on outstanding creditors'!$E2594,"#,##0.00")</f>
        <v>บ.ทริมเมอร์ IV251003363 3,600.00</v>
      </c>
      <c r="U2594" s="12"/>
    </row>
    <row r="2595" ht="13.5" customHeight="1">
      <c r="A2595" s="1" t="s">
        <v>3866</v>
      </c>
      <c r="B2595" s="2">
        <v>45961.0</v>
      </c>
      <c r="C2595" s="9" t="s">
        <v>3867</v>
      </c>
      <c r="D2595" s="1" t="s">
        <v>3868</v>
      </c>
      <c r="E2595" s="4">
        <v>50000.0</v>
      </c>
      <c r="F2595" s="4"/>
      <c r="G2595" s="4"/>
      <c r="H2595" s="4">
        <f>'data on outstanding creditors'!$E2595-'data on outstanding creditors'!$F2595-'data on outstanding creditors'!$G2595</f>
        <v>50000</v>
      </c>
      <c r="I2595" s="2"/>
      <c r="J2595" s="1"/>
      <c r="K2595" s="2"/>
      <c r="L2595" s="5"/>
      <c r="M2595" s="9" t="s">
        <v>43</v>
      </c>
      <c r="N2595" s="9" t="s">
        <v>49</v>
      </c>
      <c r="O2595" s="10">
        <f>'data on outstanding creditors'!$E2595*100/107</f>
        <v>46728.97196</v>
      </c>
      <c r="P2595" s="10">
        <f>'data on outstanding creditors'!$E2595-'data on outstanding creditors'!$O2595</f>
        <v>3271.028037</v>
      </c>
      <c r="Q2595" s="7">
        <f>DAY('data on outstanding creditors'!$B2595)</f>
        <v>31</v>
      </c>
      <c r="R2595" s="7">
        <f>MONTH('data on outstanding creditors'!$B2595)</f>
        <v>10</v>
      </c>
      <c r="S2595" s="7">
        <f>YEAR('data on outstanding creditors'!$B2595)</f>
        <v>2025</v>
      </c>
      <c r="T2595" s="11" t="str">
        <f>'data on outstanding creditors'!$C2595&amp;" "&amp;'data on outstanding creditors'!$D2595&amp;" "&amp;TEXT('data on outstanding creditors'!$E2595,"#,##0.00")</f>
        <v>บ.ไทย วอเตอร์ เจนเนอเรชั่น TWG6810027 50,000.00</v>
      </c>
      <c r="U2595" s="12"/>
    </row>
    <row r="2596" ht="13.5" customHeight="1">
      <c r="A2596" s="1" t="s">
        <v>3869</v>
      </c>
      <c r="B2596" s="2">
        <v>45961.0</v>
      </c>
      <c r="C2596" s="9" t="s">
        <v>1029</v>
      </c>
      <c r="D2596" s="1" t="s">
        <v>3870</v>
      </c>
      <c r="E2596" s="4">
        <v>2500.0</v>
      </c>
      <c r="F2596" s="4"/>
      <c r="G2596" s="4"/>
      <c r="H2596" s="4">
        <f>'data on outstanding creditors'!$E2596-'data on outstanding creditors'!$F2596-'data on outstanding creditors'!$G2596</f>
        <v>2500</v>
      </c>
      <c r="I2596" s="2"/>
      <c r="J2596" s="1"/>
      <c r="K2596" s="2"/>
      <c r="L2596" s="5"/>
      <c r="M2596" s="9" t="s">
        <v>43</v>
      </c>
      <c r="N2596" s="9" t="s">
        <v>49</v>
      </c>
      <c r="O2596" s="10">
        <f>'data on outstanding creditors'!$E2596*100/107</f>
        <v>2336.448598</v>
      </c>
      <c r="P2596" s="10">
        <f>'data on outstanding creditors'!$E2596-'data on outstanding creditors'!$O2596</f>
        <v>163.5514019</v>
      </c>
      <c r="Q2596" s="7">
        <f>DAY('data on outstanding creditors'!$B2596)</f>
        <v>31</v>
      </c>
      <c r="R2596" s="7">
        <f>MONTH('data on outstanding creditors'!$B2596)</f>
        <v>10</v>
      </c>
      <c r="S2596" s="7">
        <f>YEAR('data on outstanding creditors'!$B2596)</f>
        <v>2025</v>
      </c>
      <c r="T2596" s="11" t="str">
        <f>'data on outstanding creditors'!$C2596&amp;" "&amp;'data on outstanding creditors'!$D2596&amp;" "&amp;TEXT('data on outstanding creditors'!$E2596,"#,##0.00")</f>
        <v>บ.เอเทค เมดิคอล IV6810486 2,500.00</v>
      </c>
      <c r="U2596" s="12"/>
    </row>
    <row r="2597" ht="13.5" customHeight="1">
      <c r="A2597" s="1" t="s">
        <v>3871</v>
      </c>
      <c r="B2597" s="2">
        <v>45961.0</v>
      </c>
      <c r="C2597" s="9" t="s">
        <v>3603</v>
      </c>
      <c r="D2597" s="1" t="s">
        <v>3872</v>
      </c>
      <c r="E2597" s="4">
        <v>27000.0</v>
      </c>
      <c r="F2597" s="4"/>
      <c r="G2597" s="4"/>
      <c r="H2597" s="4">
        <f>'data on outstanding creditors'!$E2597-'data on outstanding creditors'!$F2597-'data on outstanding creditors'!$G2597</f>
        <v>27000</v>
      </c>
      <c r="I2597" s="2"/>
      <c r="J2597" s="1"/>
      <c r="K2597" s="2"/>
      <c r="L2597" s="5"/>
      <c r="M2597" s="9" t="s">
        <v>43</v>
      </c>
      <c r="N2597" s="9" t="s">
        <v>49</v>
      </c>
      <c r="O2597" s="10">
        <f>'data on outstanding creditors'!$E2597*100/107</f>
        <v>25233.64486</v>
      </c>
      <c r="P2597" s="10">
        <f>'data on outstanding creditors'!$E2597-'data on outstanding creditors'!$O2597</f>
        <v>1766.35514</v>
      </c>
      <c r="Q2597" s="7">
        <f>DAY('data on outstanding creditors'!$B2597)</f>
        <v>31</v>
      </c>
      <c r="R2597" s="7">
        <f>MONTH('data on outstanding creditors'!$B2597)</f>
        <v>10</v>
      </c>
      <c r="S2597" s="7">
        <f>YEAR('data on outstanding creditors'!$B2597)</f>
        <v>2025</v>
      </c>
      <c r="T2597" s="11" t="str">
        <f>'data on outstanding creditors'!$C2597&amp;" "&amp;'data on outstanding creditors'!$D2597&amp;" "&amp;TEXT('data on outstanding creditors'!$E2597,"#,##0.00")</f>
        <v>บ.อาร์โอ เมดิคอล ซัพพลาย IVT-20251000001 27,000.00</v>
      </c>
      <c r="U2597" s="12"/>
    </row>
    <row r="2598" ht="13.5" customHeight="1">
      <c r="A2598" s="1" t="s">
        <v>3873</v>
      </c>
      <c r="B2598" s="2">
        <v>45638.0</v>
      </c>
      <c r="C2598" s="9" t="s">
        <v>3874</v>
      </c>
      <c r="D2598" s="1" t="s">
        <v>3875</v>
      </c>
      <c r="E2598" s="4">
        <v>42000.0</v>
      </c>
      <c r="F2598" s="4"/>
      <c r="G2598" s="4"/>
      <c r="H2598" s="4">
        <f>'data on outstanding creditors'!$E2598-'data on outstanding creditors'!$F2598-'data on outstanding creditors'!$G2598</f>
        <v>42000</v>
      </c>
      <c r="I2598" s="2"/>
      <c r="J2598" s="1" t="s">
        <v>757</v>
      </c>
      <c r="K2598" s="2">
        <v>45701.0</v>
      </c>
      <c r="L2598" s="5"/>
      <c r="M2598" s="9" t="s">
        <v>339</v>
      </c>
      <c r="N2598" s="9" t="s">
        <v>49</v>
      </c>
      <c r="O2598" s="10">
        <f>'data on outstanding creditors'!$E2598*100/107</f>
        <v>39252.33645</v>
      </c>
      <c r="P2598" s="10">
        <f>'data on outstanding creditors'!$E2598-'data on outstanding creditors'!$O2598</f>
        <v>2747.663551</v>
      </c>
      <c r="Q2598" s="7">
        <f>DAY('data on outstanding creditors'!$B2598)</f>
        <v>12</v>
      </c>
      <c r="R2598" s="7">
        <f>MONTH('data on outstanding creditors'!$B2598)</f>
        <v>12</v>
      </c>
      <c r="S2598" s="7">
        <f>YEAR('data on outstanding creditors'!$B2598)</f>
        <v>2024</v>
      </c>
      <c r="T2598" s="11" t="str">
        <f>'data on outstanding creditors'!$C2598&amp;" "&amp;'data on outstanding creditors'!$D2598&amp;" "&amp;TEXT('data on outstanding creditors'!$E2598,"#,##0.00")</f>
        <v>บ.เคม-ซายม์ IV6712005 42,000.00</v>
      </c>
      <c r="U2598" s="12"/>
    </row>
    <row r="2599" ht="13.5" customHeight="1">
      <c r="A2599" s="1" t="s">
        <v>3876</v>
      </c>
      <c r="B2599" s="2">
        <v>45643.0</v>
      </c>
      <c r="C2599" s="9" t="s">
        <v>3877</v>
      </c>
      <c r="D2599" s="1" t="s">
        <v>3878</v>
      </c>
      <c r="E2599" s="4">
        <v>10000.0</v>
      </c>
      <c r="F2599" s="4"/>
      <c r="G2599" s="4"/>
      <c r="H2599" s="4">
        <f>'data on outstanding creditors'!$E2599-'data on outstanding creditors'!$F2599-'data on outstanding creditors'!$G2599</f>
        <v>10000</v>
      </c>
      <c r="I2599" s="2"/>
      <c r="J2599" s="1" t="s">
        <v>757</v>
      </c>
      <c r="K2599" s="2">
        <v>45701.0</v>
      </c>
      <c r="L2599" s="5"/>
      <c r="M2599" s="9" t="s">
        <v>339</v>
      </c>
      <c r="N2599" s="9" t="s">
        <v>49</v>
      </c>
      <c r="O2599" s="10">
        <f>'data on outstanding creditors'!$E2599*100/107</f>
        <v>9345.794393</v>
      </c>
      <c r="P2599" s="10">
        <f>'data on outstanding creditors'!$E2599-'data on outstanding creditors'!$O2599</f>
        <v>654.2056075</v>
      </c>
      <c r="Q2599" s="7">
        <f>DAY('data on outstanding creditors'!$B2599)</f>
        <v>17</v>
      </c>
      <c r="R2599" s="7">
        <f>MONTH('data on outstanding creditors'!$B2599)</f>
        <v>12</v>
      </c>
      <c r="S2599" s="7">
        <f>YEAR('data on outstanding creditors'!$B2599)</f>
        <v>2024</v>
      </c>
      <c r="T2599" s="11" t="str">
        <f>'data on outstanding creditors'!$C2599&amp;" "&amp;'data on outstanding creditors'!$D2599&amp;" "&amp;TEXT('data on outstanding creditors'!$E2599,"#,##0.00")</f>
        <v>บ.เกรทส์ เมดเทคส์ 67/0210 10,000.00</v>
      </c>
      <c r="U2599" s="12"/>
    </row>
    <row r="2600" ht="13.5" customHeight="1">
      <c r="A2600" s="1" t="s">
        <v>3879</v>
      </c>
      <c r="B2600" s="2">
        <v>45662.0</v>
      </c>
      <c r="C2600" s="9" t="s">
        <v>413</v>
      </c>
      <c r="D2600" s="1" t="s">
        <v>3880</v>
      </c>
      <c r="E2600" s="4">
        <v>7150.0</v>
      </c>
      <c r="F2600" s="4"/>
      <c r="G2600" s="4"/>
      <c r="H2600" s="4">
        <f>'data on outstanding creditors'!$E2600-'data on outstanding creditors'!$F2600-'data on outstanding creditors'!$G2600</f>
        <v>7150</v>
      </c>
      <c r="I2600" s="2"/>
      <c r="J2600" s="1"/>
      <c r="K2600" s="2"/>
      <c r="L2600" s="5"/>
      <c r="M2600" s="9" t="s">
        <v>339</v>
      </c>
      <c r="N2600" s="9" t="s">
        <v>49</v>
      </c>
      <c r="O2600" s="10">
        <f>'data on outstanding creditors'!$E2600*100/107</f>
        <v>6682.242991</v>
      </c>
      <c r="P2600" s="10">
        <f>'data on outstanding creditors'!$E2600-'data on outstanding creditors'!$O2600</f>
        <v>467.7570093</v>
      </c>
      <c r="Q2600" s="7">
        <f>DAY('data on outstanding creditors'!$B2600)</f>
        <v>5</v>
      </c>
      <c r="R2600" s="7">
        <f>MONTH('data on outstanding creditors'!$B2600)</f>
        <v>1</v>
      </c>
      <c r="S2600" s="7">
        <f>YEAR('data on outstanding creditors'!$B2600)</f>
        <v>2025</v>
      </c>
      <c r="T2600" s="11" t="str">
        <f>'data on outstanding creditors'!$C2600&amp;" "&amp;'data on outstanding creditors'!$D2600&amp;" "&amp;TEXT('data on outstanding creditors'!$E2600,"#,##0.00")</f>
        <v>ศูนย์บริการโลหิตแห่งชาติ สภากาชาดไทย I6810-0101-01247 7,150.00</v>
      </c>
      <c r="U2600" s="12"/>
    </row>
    <row r="2601" ht="13.5" customHeight="1">
      <c r="A2601" s="1" t="s">
        <v>3881</v>
      </c>
      <c r="B2601" s="2">
        <v>45664.0</v>
      </c>
      <c r="C2601" s="9" t="s">
        <v>3882</v>
      </c>
      <c r="D2601" s="1" t="s">
        <v>3883</v>
      </c>
      <c r="E2601" s="4">
        <v>106500.0</v>
      </c>
      <c r="F2601" s="4"/>
      <c r="G2601" s="4"/>
      <c r="H2601" s="4">
        <f>'data on outstanding creditors'!$E2601-'data on outstanding creditors'!$F2601-'data on outstanding creditors'!$G2601</f>
        <v>106500</v>
      </c>
      <c r="I2601" s="2"/>
      <c r="J2601" s="1" t="s">
        <v>757</v>
      </c>
      <c r="K2601" s="2">
        <v>45722.0</v>
      </c>
      <c r="L2601" s="5"/>
      <c r="M2601" s="9" t="s">
        <v>339</v>
      </c>
      <c r="N2601" s="9" t="s">
        <v>49</v>
      </c>
      <c r="O2601" s="10">
        <f>'data on outstanding creditors'!$E2601*100/107</f>
        <v>99532.71028</v>
      </c>
      <c r="P2601" s="10">
        <f>'data on outstanding creditors'!$E2601-'data on outstanding creditors'!$O2601</f>
        <v>6967.28972</v>
      </c>
      <c r="Q2601" s="7">
        <f>DAY('data on outstanding creditors'!$B2601)</f>
        <v>7</v>
      </c>
      <c r="R2601" s="7">
        <f>MONTH('data on outstanding creditors'!$B2601)</f>
        <v>1</v>
      </c>
      <c r="S2601" s="7">
        <f>YEAR('data on outstanding creditors'!$B2601)</f>
        <v>2025</v>
      </c>
      <c r="T2601" s="11" t="str">
        <f>'data on outstanding creditors'!$C2601&amp;" "&amp;'data on outstanding creditors'!$D2601&amp;" "&amp;TEXT('data on outstanding creditors'!$E2601,"#,##0.00")</f>
        <v>บ.ทัซแล็บ 2013 INV6801-006 106,500.00</v>
      </c>
      <c r="U2601" s="12"/>
    </row>
    <row r="2602" ht="13.5" customHeight="1">
      <c r="A2602" s="1" t="s">
        <v>3884</v>
      </c>
      <c r="B2602" s="2">
        <v>45670.0</v>
      </c>
      <c r="C2602" s="9" t="s">
        <v>2339</v>
      </c>
      <c r="D2602" s="1" t="s">
        <v>3885</v>
      </c>
      <c r="E2602" s="4">
        <v>8100.0</v>
      </c>
      <c r="F2602" s="4"/>
      <c r="G2602" s="4"/>
      <c r="H2602" s="4">
        <f>'data on outstanding creditors'!$E2602-'data on outstanding creditors'!$F2602-'data on outstanding creditors'!$G2602</f>
        <v>8100</v>
      </c>
      <c r="I2602" s="2"/>
      <c r="J2602" s="1" t="s">
        <v>646</v>
      </c>
      <c r="K2602" s="2">
        <v>45855.0</v>
      </c>
      <c r="L2602" s="5"/>
      <c r="M2602" s="9" t="s">
        <v>339</v>
      </c>
      <c r="N2602" s="9" t="s">
        <v>49</v>
      </c>
      <c r="O2602" s="10">
        <f>'data on outstanding creditors'!$E2602*100/107</f>
        <v>7570.093458</v>
      </c>
      <c r="P2602" s="10">
        <f>'data on outstanding creditors'!$E2602-'data on outstanding creditors'!$O2602</f>
        <v>529.9065421</v>
      </c>
      <c r="Q2602" s="7">
        <f>DAY('data on outstanding creditors'!$B2602)</f>
        <v>13</v>
      </c>
      <c r="R2602" s="7">
        <f>MONTH('data on outstanding creditors'!$B2602)</f>
        <v>1</v>
      </c>
      <c r="S2602" s="7">
        <f>YEAR('data on outstanding creditors'!$B2602)</f>
        <v>2025</v>
      </c>
      <c r="T2602" s="11" t="str">
        <f>'data on outstanding creditors'!$C2602&amp;" "&amp;'data on outstanding creditors'!$D2602&amp;" "&amp;TEXT('data on outstanding creditors'!$E2602,"#,##0.00")</f>
        <v>บ.ไอแคร์ เมดิคัล BL68-01/184 8,100.00</v>
      </c>
      <c r="U2602" s="12"/>
    </row>
    <row r="2603" ht="13.5" customHeight="1">
      <c r="A2603" s="1" t="s">
        <v>3886</v>
      </c>
      <c r="B2603" s="2">
        <v>45672.0</v>
      </c>
      <c r="C2603" s="9" t="s">
        <v>3882</v>
      </c>
      <c r="D2603" s="1" t="s">
        <v>3887</v>
      </c>
      <c r="E2603" s="4">
        <v>42500.0</v>
      </c>
      <c r="F2603" s="4"/>
      <c r="G2603" s="4"/>
      <c r="H2603" s="4">
        <f>'data on outstanding creditors'!$E2603-'data on outstanding creditors'!$F2603-'data on outstanding creditors'!$G2603</f>
        <v>42500</v>
      </c>
      <c r="I2603" s="2"/>
      <c r="J2603" s="1" t="s">
        <v>757</v>
      </c>
      <c r="K2603" s="2">
        <v>45722.0</v>
      </c>
      <c r="L2603" s="5"/>
      <c r="M2603" s="9" t="s">
        <v>339</v>
      </c>
      <c r="N2603" s="9" t="s">
        <v>49</v>
      </c>
      <c r="O2603" s="10">
        <f>'data on outstanding creditors'!$E2603*100/107</f>
        <v>39719.62617</v>
      </c>
      <c r="P2603" s="10">
        <f>'data on outstanding creditors'!$E2603-'data on outstanding creditors'!$O2603</f>
        <v>2780.373832</v>
      </c>
      <c r="Q2603" s="7">
        <f>DAY('data on outstanding creditors'!$B2603)</f>
        <v>15</v>
      </c>
      <c r="R2603" s="7">
        <f>MONTH('data on outstanding creditors'!$B2603)</f>
        <v>1</v>
      </c>
      <c r="S2603" s="7">
        <f>YEAR('data on outstanding creditors'!$B2603)</f>
        <v>2025</v>
      </c>
      <c r="T2603" s="11" t="str">
        <f>'data on outstanding creditors'!$C2603&amp;" "&amp;'data on outstanding creditors'!$D2603&amp;" "&amp;TEXT('data on outstanding creditors'!$E2603,"#,##0.00")</f>
        <v>บ.ทัซแล็บ 2013 INV6712-034 42,500.00</v>
      </c>
      <c r="U2603" s="12"/>
    </row>
    <row r="2604" ht="13.5" customHeight="1">
      <c r="A2604" s="1"/>
      <c r="B2604" s="2">
        <v>45691.0</v>
      </c>
      <c r="C2604" s="9" t="s">
        <v>3888</v>
      </c>
      <c r="D2604" s="1" t="s">
        <v>3889</v>
      </c>
      <c r="E2604" s="4">
        <v>373780.1</v>
      </c>
      <c r="F2604" s="4"/>
      <c r="G2604" s="4"/>
      <c r="H2604" s="4">
        <f>'data on outstanding creditors'!$E2604-'data on outstanding creditors'!$F2604-'data on outstanding creditors'!$G2604</f>
        <v>373780.1</v>
      </c>
      <c r="I2604" s="2"/>
      <c r="J2604" s="1" t="s">
        <v>646</v>
      </c>
      <c r="K2604" s="2">
        <v>45800.0</v>
      </c>
      <c r="L2604" s="5"/>
      <c r="M2604" s="9" t="s">
        <v>339</v>
      </c>
      <c r="N2604" s="9" t="s">
        <v>49</v>
      </c>
      <c r="O2604" s="10">
        <f>'data on outstanding creditors'!$E2604*100/107</f>
        <v>349327.1963</v>
      </c>
      <c r="P2604" s="10">
        <f>'data on outstanding creditors'!$E2604-'data on outstanding creditors'!$O2604</f>
        <v>24452.90374</v>
      </c>
      <c r="Q2604" s="7">
        <f>DAY('data on outstanding creditors'!$B2604)</f>
        <v>3</v>
      </c>
      <c r="R2604" s="7">
        <f>MONTH('data on outstanding creditors'!$B2604)</f>
        <v>2</v>
      </c>
      <c r="S2604" s="7">
        <f>YEAR('data on outstanding creditors'!$B2604)</f>
        <v>2025</v>
      </c>
      <c r="T2604" s="11" t="str">
        <f>'data on outstanding creditors'!$C2604&amp;" "&amp;'data on outstanding creditors'!$D2604&amp;" "&amp;TEXT('data on outstanding creditors'!$E2604,"#,##0.00")</f>
        <v>บ.พี ซี แอล โฮลดิ้ง PCI25-02-0165 373,780.10</v>
      </c>
      <c r="U2604" s="12"/>
    </row>
    <row r="2605" ht="13.5" customHeight="1">
      <c r="A2605" s="1"/>
      <c r="B2605" s="2">
        <v>45691.0</v>
      </c>
      <c r="C2605" s="9" t="s">
        <v>3888</v>
      </c>
      <c r="D2605" s="1" t="s">
        <v>3890</v>
      </c>
      <c r="E2605" s="4">
        <v>197536.45</v>
      </c>
      <c r="F2605" s="4"/>
      <c r="G2605" s="4"/>
      <c r="H2605" s="4">
        <f>'data on outstanding creditors'!$E2605-'data on outstanding creditors'!$F2605-'data on outstanding creditors'!$G2605</f>
        <v>197536.45</v>
      </c>
      <c r="I2605" s="2"/>
      <c r="J2605" s="1" t="s">
        <v>646</v>
      </c>
      <c r="K2605" s="2">
        <v>45800.0</v>
      </c>
      <c r="L2605" s="5"/>
      <c r="M2605" s="9" t="s">
        <v>339</v>
      </c>
      <c r="N2605" s="9" t="s">
        <v>49</v>
      </c>
      <c r="O2605" s="10">
        <f>'data on outstanding creditors'!$E2605*100/107</f>
        <v>184613.5047</v>
      </c>
      <c r="P2605" s="10">
        <f>'data on outstanding creditors'!$E2605-'data on outstanding creditors'!$O2605</f>
        <v>12922.94533</v>
      </c>
      <c r="Q2605" s="7">
        <f>DAY('data on outstanding creditors'!$B2605)</f>
        <v>3</v>
      </c>
      <c r="R2605" s="7">
        <f>MONTH('data on outstanding creditors'!$B2605)</f>
        <v>2</v>
      </c>
      <c r="S2605" s="7">
        <f>YEAR('data on outstanding creditors'!$B2605)</f>
        <v>2025</v>
      </c>
      <c r="T2605" s="11" t="str">
        <f>'data on outstanding creditors'!$C2605&amp;" "&amp;'data on outstanding creditors'!$D2605&amp;" "&amp;TEXT('data on outstanding creditors'!$E2605,"#,##0.00")</f>
        <v>บ.พี ซี แอล โฮลดิ้ง PCI25-02-2009 197,536.45</v>
      </c>
      <c r="U2605" s="12"/>
    </row>
    <row r="2606" ht="13.5" customHeight="1">
      <c r="A2606" s="1" t="s">
        <v>3891</v>
      </c>
      <c r="B2606" s="2">
        <v>45691.0</v>
      </c>
      <c r="C2606" s="9" t="s">
        <v>3888</v>
      </c>
      <c r="D2606" s="1" t="s">
        <v>3892</v>
      </c>
      <c r="E2606" s="4">
        <v>293322.0</v>
      </c>
      <c r="F2606" s="4"/>
      <c r="G2606" s="4"/>
      <c r="H2606" s="4">
        <f>'data on outstanding creditors'!$E2606-'data on outstanding creditors'!$F2606-'data on outstanding creditors'!$G2606</f>
        <v>293322</v>
      </c>
      <c r="I2606" s="2"/>
      <c r="J2606" s="1" t="s">
        <v>646</v>
      </c>
      <c r="K2606" s="2">
        <v>45800.0</v>
      </c>
      <c r="L2606" s="5"/>
      <c r="M2606" s="9" t="s">
        <v>339</v>
      </c>
      <c r="N2606" s="9" t="s">
        <v>49</v>
      </c>
      <c r="O2606" s="10">
        <f>'data on outstanding creditors'!$E2606*100/107</f>
        <v>274132.7103</v>
      </c>
      <c r="P2606" s="10">
        <f>'data on outstanding creditors'!$E2606-'data on outstanding creditors'!$O2606</f>
        <v>19189.28972</v>
      </c>
      <c r="Q2606" s="7">
        <f>DAY('data on outstanding creditors'!$B2606)</f>
        <v>3</v>
      </c>
      <c r="R2606" s="7">
        <f>MONTH('data on outstanding creditors'!$B2606)</f>
        <v>2</v>
      </c>
      <c r="S2606" s="7">
        <f>YEAR('data on outstanding creditors'!$B2606)</f>
        <v>2025</v>
      </c>
      <c r="T2606" s="11" t="str">
        <f>'data on outstanding creditors'!$C2606&amp;" "&amp;'data on outstanding creditors'!$D2606&amp;" "&amp;TEXT('data on outstanding creditors'!$E2606,"#,##0.00")</f>
        <v>บ.พี ซี แอล โฮลดิ้ง PCI25-02-3006 293,322.00</v>
      </c>
      <c r="U2606" s="12"/>
    </row>
    <row r="2607" ht="13.5" customHeight="1">
      <c r="A2607" s="1" t="s">
        <v>3893</v>
      </c>
      <c r="B2607" s="2">
        <v>45692.0</v>
      </c>
      <c r="C2607" s="9" t="s">
        <v>3894</v>
      </c>
      <c r="D2607" s="1" t="s">
        <v>3895</v>
      </c>
      <c r="E2607" s="4">
        <v>419400.0</v>
      </c>
      <c r="F2607" s="4"/>
      <c r="G2607" s="4"/>
      <c r="H2607" s="4">
        <f>'data on outstanding creditors'!$E2607-'data on outstanding creditors'!$F2607-'data on outstanding creditors'!$G2607</f>
        <v>419400</v>
      </c>
      <c r="I2607" s="2"/>
      <c r="J2607" s="1" t="s">
        <v>646</v>
      </c>
      <c r="K2607" s="2">
        <v>45855.0</v>
      </c>
      <c r="L2607" s="5"/>
      <c r="M2607" s="9" t="s">
        <v>339</v>
      </c>
      <c r="N2607" s="9" t="s">
        <v>49</v>
      </c>
      <c r="O2607" s="10">
        <f>'data on outstanding creditors'!$E2607*100/107</f>
        <v>391962.6168</v>
      </c>
      <c r="P2607" s="10">
        <f>'data on outstanding creditors'!$E2607-'data on outstanding creditors'!$O2607</f>
        <v>27437.38318</v>
      </c>
      <c r="Q2607" s="7">
        <f>DAY('data on outstanding creditors'!$B2607)</f>
        <v>4</v>
      </c>
      <c r="R2607" s="7">
        <f>MONTH('data on outstanding creditors'!$B2607)</f>
        <v>2</v>
      </c>
      <c r="S2607" s="7">
        <f>YEAR('data on outstanding creditors'!$B2607)</f>
        <v>2025</v>
      </c>
      <c r="T2607" s="11" t="str">
        <f>'data on outstanding creditors'!$C2607&amp;" "&amp;'data on outstanding creditors'!$D2607&amp;" "&amp;TEXT('data on outstanding creditors'!$E2607,"#,##0.00")</f>
        <v>บ.ไทย ไดแอ็กนอสติก 6712454 419,400.00</v>
      </c>
      <c r="U2607" s="12"/>
    </row>
    <row r="2608" ht="13.5" customHeight="1">
      <c r="A2608" s="1" t="s">
        <v>3896</v>
      </c>
      <c r="B2608" s="2">
        <v>45692.0</v>
      </c>
      <c r="C2608" s="9" t="s">
        <v>2320</v>
      </c>
      <c r="D2608" s="1" t="s">
        <v>3897</v>
      </c>
      <c r="E2608" s="4">
        <v>180000.0</v>
      </c>
      <c r="F2608" s="4"/>
      <c r="G2608" s="4"/>
      <c r="H2608" s="4">
        <f>'data on outstanding creditors'!$E2608-'data on outstanding creditors'!$F2608-'data on outstanding creditors'!$G2608</f>
        <v>180000</v>
      </c>
      <c r="I2608" s="2"/>
      <c r="J2608" s="1" t="s">
        <v>646</v>
      </c>
      <c r="K2608" s="2">
        <v>45928.0</v>
      </c>
      <c r="L2608" s="5"/>
      <c r="M2608" s="9" t="s">
        <v>339</v>
      </c>
      <c r="N2608" s="9" t="s">
        <v>49</v>
      </c>
      <c r="O2608" s="10">
        <f>'data on outstanding creditors'!$E2608*100/107</f>
        <v>168224.2991</v>
      </c>
      <c r="P2608" s="10">
        <f>'data on outstanding creditors'!$E2608-'data on outstanding creditors'!$O2608</f>
        <v>11775.70093</v>
      </c>
      <c r="Q2608" s="7">
        <f>DAY('data on outstanding creditors'!$B2608)</f>
        <v>4</v>
      </c>
      <c r="R2608" s="7">
        <f>MONTH('data on outstanding creditors'!$B2608)</f>
        <v>2</v>
      </c>
      <c r="S2608" s="7">
        <f>YEAR('data on outstanding creditors'!$B2608)</f>
        <v>2025</v>
      </c>
      <c r="T2608" s="11" t="str">
        <f>'data on outstanding creditors'!$C2608&amp;" "&amp;'data on outstanding creditors'!$D2608&amp;" "&amp;TEXT('data on outstanding creditors'!$E2608,"#,##0.00")</f>
        <v>บ.เทคโนเมดิคัล 24122130 180,000.00</v>
      </c>
      <c r="U2608" s="12"/>
    </row>
    <row r="2609" ht="13.5" customHeight="1">
      <c r="A2609" s="1" t="s">
        <v>3898</v>
      </c>
      <c r="B2609" s="2">
        <v>45695.0</v>
      </c>
      <c r="C2609" s="9" t="s">
        <v>3874</v>
      </c>
      <c r="D2609" s="1" t="s">
        <v>3899</v>
      </c>
      <c r="E2609" s="4">
        <v>42600.0</v>
      </c>
      <c r="F2609" s="4"/>
      <c r="G2609" s="4"/>
      <c r="H2609" s="4">
        <f>'data on outstanding creditors'!$E2609-'data on outstanding creditors'!$F2609-'data on outstanding creditors'!$G2609</f>
        <v>42600</v>
      </c>
      <c r="I2609" s="2"/>
      <c r="J2609" s="1" t="s">
        <v>757</v>
      </c>
      <c r="K2609" s="2">
        <v>45753.0</v>
      </c>
      <c r="L2609" s="5"/>
      <c r="M2609" s="9" t="s">
        <v>339</v>
      </c>
      <c r="N2609" s="9" t="s">
        <v>49</v>
      </c>
      <c r="O2609" s="10">
        <f>'data on outstanding creditors'!$E2609*100/107</f>
        <v>39813.08411</v>
      </c>
      <c r="P2609" s="10">
        <f>'data on outstanding creditors'!$E2609-'data on outstanding creditors'!$O2609</f>
        <v>2786.915888</v>
      </c>
      <c r="Q2609" s="7">
        <f>DAY('data on outstanding creditors'!$B2609)</f>
        <v>7</v>
      </c>
      <c r="R2609" s="7">
        <f>MONTH('data on outstanding creditors'!$B2609)</f>
        <v>2</v>
      </c>
      <c r="S2609" s="7">
        <f>YEAR('data on outstanding creditors'!$B2609)</f>
        <v>2025</v>
      </c>
      <c r="T2609" s="11" t="str">
        <f>'data on outstanding creditors'!$C2609&amp;" "&amp;'data on outstanding creditors'!$D2609&amp;" "&amp;TEXT('data on outstanding creditors'!$E2609,"#,##0.00")</f>
        <v>บ.เคม-ซายม์ IV6802002 42,600.00</v>
      </c>
      <c r="U2609" s="12"/>
    </row>
    <row r="2610" ht="13.5" customHeight="1">
      <c r="A2610" s="1" t="s">
        <v>3900</v>
      </c>
      <c r="B2610" s="2">
        <v>45701.0</v>
      </c>
      <c r="C2610" s="9" t="s">
        <v>2330</v>
      </c>
      <c r="D2610" s="1" t="s">
        <v>3901</v>
      </c>
      <c r="E2610" s="4">
        <v>60000.0</v>
      </c>
      <c r="F2610" s="4"/>
      <c r="G2610" s="4"/>
      <c r="H2610" s="4">
        <f>'data on outstanding creditors'!$E2610-'data on outstanding creditors'!$F2610-'data on outstanding creditors'!$G2610</f>
        <v>60000</v>
      </c>
      <c r="I2610" s="2"/>
      <c r="J2610" s="1" t="s">
        <v>646</v>
      </c>
      <c r="K2610" s="2">
        <v>45843.0</v>
      </c>
      <c r="L2610" s="5"/>
      <c r="M2610" s="9" t="s">
        <v>339</v>
      </c>
      <c r="N2610" s="9" t="s">
        <v>49</v>
      </c>
      <c r="O2610" s="10">
        <f>'data on outstanding creditors'!$E2610*100/107</f>
        <v>56074.76636</v>
      </c>
      <c r="P2610" s="10">
        <f>'data on outstanding creditors'!$E2610-'data on outstanding creditors'!$O2610</f>
        <v>3925.233645</v>
      </c>
      <c r="Q2610" s="7">
        <f>DAY('data on outstanding creditors'!$B2610)</f>
        <v>13</v>
      </c>
      <c r="R2610" s="7">
        <f>MONTH('data on outstanding creditors'!$B2610)</f>
        <v>2</v>
      </c>
      <c r="S2610" s="7">
        <f>YEAR('data on outstanding creditors'!$B2610)</f>
        <v>2025</v>
      </c>
      <c r="T2610" s="11" t="str">
        <f>'data on outstanding creditors'!$C2610&amp;" "&amp;'data on outstanding creditors'!$D2610&amp;" "&amp;TEXT('data on outstanding creditors'!$E2610,"#,##0.00")</f>
        <v>บ.อี ฟอร์ แอล เอม M6802-0245 60,000.00</v>
      </c>
      <c r="U2610" s="12"/>
    </row>
    <row r="2611" ht="13.5" customHeight="1">
      <c r="A2611" s="1" t="s">
        <v>3902</v>
      </c>
      <c r="B2611" s="2">
        <v>45708.0</v>
      </c>
      <c r="C2611" s="9" t="s">
        <v>3882</v>
      </c>
      <c r="D2611" s="1" t="s">
        <v>3903</v>
      </c>
      <c r="E2611" s="4">
        <v>43500.0</v>
      </c>
      <c r="F2611" s="4"/>
      <c r="G2611" s="4"/>
      <c r="H2611" s="4">
        <f>'data on outstanding creditors'!$E2611-'data on outstanding creditors'!$F2611-'data on outstanding creditors'!$G2611</f>
        <v>43500</v>
      </c>
      <c r="I2611" s="2"/>
      <c r="J2611" s="1" t="s">
        <v>757</v>
      </c>
      <c r="K2611" s="2">
        <v>45753.0</v>
      </c>
      <c r="L2611" s="5"/>
      <c r="M2611" s="9" t="s">
        <v>339</v>
      </c>
      <c r="N2611" s="9" t="s">
        <v>49</v>
      </c>
      <c r="O2611" s="10">
        <f>'data on outstanding creditors'!$E2611*100/107</f>
        <v>40654.20561</v>
      </c>
      <c r="P2611" s="10">
        <f>'data on outstanding creditors'!$E2611-'data on outstanding creditors'!$O2611</f>
        <v>2845.794393</v>
      </c>
      <c r="Q2611" s="7">
        <f>DAY('data on outstanding creditors'!$B2611)</f>
        <v>20</v>
      </c>
      <c r="R2611" s="7">
        <f>MONTH('data on outstanding creditors'!$B2611)</f>
        <v>2</v>
      </c>
      <c r="S2611" s="7">
        <f>YEAR('data on outstanding creditors'!$B2611)</f>
        <v>2025</v>
      </c>
      <c r="T2611" s="11" t="str">
        <f>'data on outstanding creditors'!$C2611&amp;" "&amp;'data on outstanding creditors'!$D2611&amp;" "&amp;TEXT('data on outstanding creditors'!$E2611,"#,##0.00")</f>
        <v>บ.ทัซแล็บ 2013 INV6802-047 43,500.00</v>
      </c>
      <c r="U2611" s="12"/>
    </row>
    <row r="2612" ht="13.5" customHeight="1">
      <c r="A2612" s="1" t="s">
        <v>3904</v>
      </c>
      <c r="B2612" s="2">
        <v>45719.0</v>
      </c>
      <c r="C2612" s="9" t="s">
        <v>3888</v>
      </c>
      <c r="D2612" s="1" t="s">
        <v>3905</v>
      </c>
      <c r="E2612" s="4">
        <v>183483.8</v>
      </c>
      <c r="F2612" s="4"/>
      <c r="G2612" s="4"/>
      <c r="H2612" s="4">
        <f>'data on outstanding creditors'!$E2612-'data on outstanding creditors'!$F2612-'data on outstanding creditors'!$G2612</f>
        <v>183483.8</v>
      </c>
      <c r="I2612" s="2"/>
      <c r="J2612" s="1" t="s">
        <v>646</v>
      </c>
      <c r="K2612" s="2">
        <v>45866.0</v>
      </c>
      <c r="L2612" s="5"/>
      <c r="M2612" s="9" t="s">
        <v>339</v>
      </c>
      <c r="N2612" s="9" t="s">
        <v>49</v>
      </c>
      <c r="O2612" s="10">
        <f>'data on outstanding creditors'!$E2612*100/107</f>
        <v>171480.1869</v>
      </c>
      <c r="P2612" s="10">
        <f>'data on outstanding creditors'!$E2612-'data on outstanding creditors'!$O2612</f>
        <v>12003.61308</v>
      </c>
      <c r="Q2612" s="7">
        <f>DAY('data on outstanding creditors'!$B2612)</f>
        <v>3</v>
      </c>
      <c r="R2612" s="7">
        <f>MONTH('data on outstanding creditors'!$B2612)</f>
        <v>3</v>
      </c>
      <c r="S2612" s="7">
        <f>YEAR('data on outstanding creditors'!$B2612)</f>
        <v>2025</v>
      </c>
      <c r="T2612" s="11" t="str">
        <f>'data on outstanding creditors'!$C2612&amp;" "&amp;'data on outstanding creditors'!$D2612&amp;" "&amp;TEXT('data on outstanding creditors'!$E2612,"#,##0.00")</f>
        <v>บ.พี ซี แอล โฮลดิ้ง PCI25-03-0126 183,483.80</v>
      </c>
      <c r="U2612" s="12"/>
    </row>
    <row r="2613" ht="13.5" customHeight="1">
      <c r="A2613" s="1" t="s">
        <v>3906</v>
      </c>
      <c r="B2613" s="2">
        <v>45719.0</v>
      </c>
      <c r="C2613" s="9" t="s">
        <v>3888</v>
      </c>
      <c r="D2613" s="1" t="s">
        <v>3907</v>
      </c>
      <c r="E2613" s="4">
        <v>98730.3</v>
      </c>
      <c r="F2613" s="4"/>
      <c r="G2613" s="4"/>
      <c r="H2613" s="4">
        <f>'data on outstanding creditors'!$E2613-'data on outstanding creditors'!$F2613-'data on outstanding creditors'!$G2613</f>
        <v>98730.3</v>
      </c>
      <c r="I2613" s="2"/>
      <c r="J2613" s="1" t="s">
        <v>646</v>
      </c>
      <c r="K2613" s="2">
        <v>45866.0</v>
      </c>
      <c r="L2613" s="5"/>
      <c r="M2613" s="9" t="s">
        <v>339</v>
      </c>
      <c r="N2613" s="9" t="s">
        <v>49</v>
      </c>
      <c r="O2613" s="10">
        <f>'data on outstanding creditors'!$E2613*100/107</f>
        <v>92271.30841</v>
      </c>
      <c r="P2613" s="10">
        <f>'data on outstanding creditors'!$E2613-'data on outstanding creditors'!$O2613</f>
        <v>6458.991589</v>
      </c>
      <c r="Q2613" s="7">
        <f>DAY('data on outstanding creditors'!$B2613)</f>
        <v>3</v>
      </c>
      <c r="R2613" s="7">
        <f>MONTH('data on outstanding creditors'!$B2613)</f>
        <v>3</v>
      </c>
      <c r="S2613" s="7">
        <f>YEAR('data on outstanding creditors'!$B2613)</f>
        <v>2025</v>
      </c>
      <c r="T2613" s="11" t="str">
        <f>'data on outstanding creditors'!$C2613&amp;" "&amp;'data on outstanding creditors'!$D2613&amp;" "&amp;TEXT('data on outstanding creditors'!$E2613,"#,##0.00")</f>
        <v>บ.พี ซี แอล โฮลดิ้ง PCI25-03-0130 98,730.30</v>
      </c>
      <c r="U2613" s="12"/>
    </row>
    <row r="2614" ht="13.5" customHeight="1">
      <c r="A2614" s="1" t="s">
        <v>3908</v>
      </c>
      <c r="B2614" s="2">
        <v>45719.0</v>
      </c>
      <c r="C2614" s="9" t="s">
        <v>3888</v>
      </c>
      <c r="D2614" s="1" t="s">
        <v>3909</v>
      </c>
      <c r="E2614" s="4">
        <v>208562.0</v>
      </c>
      <c r="F2614" s="4"/>
      <c r="G2614" s="4"/>
      <c r="H2614" s="4">
        <f>'data on outstanding creditors'!$E2614-'data on outstanding creditors'!$F2614-'data on outstanding creditors'!$G2614</f>
        <v>208562</v>
      </c>
      <c r="I2614" s="2"/>
      <c r="J2614" s="1" t="s">
        <v>646</v>
      </c>
      <c r="K2614" s="2">
        <v>45866.0</v>
      </c>
      <c r="L2614" s="5"/>
      <c r="M2614" s="9" t="s">
        <v>339</v>
      </c>
      <c r="N2614" s="9" t="s">
        <v>49</v>
      </c>
      <c r="O2614" s="10">
        <f>'data on outstanding creditors'!$E2614*100/107</f>
        <v>194917.757</v>
      </c>
      <c r="P2614" s="10">
        <f>'data on outstanding creditors'!$E2614-'data on outstanding creditors'!$O2614</f>
        <v>13644.24299</v>
      </c>
      <c r="Q2614" s="7">
        <f>DAY('data on outstanding creditors'!$B2614)</f>
        <v>3</v>
      </c>
      <c r="R2614" s="7">
        <f>MONTH('data on outstanding creditors'!$B2614)</f>
        <v>3</v>
      </c>
      <c r="S2614" s="7">
        <f>YEAR('data on outstanding creditors'!$B2614)</f>
        <v>2025</v>
      </c>
      <c r="T2614" s="11" t="str">
        <f>'data on outstanding creditors'!$C2614&amp;" "&amp;'data on outstanding creditors'!$D2614&amp;" "&amp;TEXT('data on outstanding creditors'!$E2614,"#,##0.00")</f>
        <v>บ.พี ซี แอล โฮลดิ้ง PCI25-03-0131 208,562.00</v>
      </c>
      <c r="U2614" s="12"/>
    </row>
    <row r="2615" ht="13.5" customHeight="1">
      <c r="A2615" s="1" t="s">
        <v>3910</v>
      </c>
      <c r="B2615" s="2">
        <v>45719.0</v>
      </c>
      <c r="C2615" s="9" t="s">
        <v>1422</v>
      </c>
      <c r="D2615" s="1" t="s">
        <v>3911</v>
      </c>
      <c r="E2615" s="4">
        <v>162316.0</v>
      </c>
      <c r="F2615" s="4"/>
      <c r="G2615" s="4"/>
      <c r="H2615" s="4">
        <f>'data on outstanding creditors'!$E2615-'data on outstanding creditors'!$F2615-'data on outstanding creditors'!$G2615</f>
        <v>162316</v>
      </c>
      <c r="I2615" s="2"/>
      <c r="J2615" s="1" t="s">
        <v>646</v>
      </c>
      <c r="K2615" s="2">
        <v>45885.0</v>
      </c>
      <c r="L2615" s="5"/>
      <c r="M2615" s="9" t="s">
        <v>339</v>
      </c>
      <c r="N2615" s="9" t="s">
        <v>49</v>
      </c>
      <c r="O2615" s="10">
        <f>'data on outstanding creditors'!$E2615*100/107</f>
        <v>151697.1963</v>
      </c>
      <c r="P2615" s="10">
        <f>'data on outstanding creditors'!$E2615-'data on outstanding creditors'!$O2615</f>
        <v>10618.80374</v>
      </c>
      <c r="Q2615" s="7">
        <f>DAY('data on outstanding creditors'!$B2615)</f>
        <v>3</v>
      </c>
      <c r="R2615" s="7">
        <f>MONTH('data on outstanding creditors'!$B2615)</f>
        <v>3</v>
      </c>
      <c r="S2615" s="7">
        <f>YEAR('data on outstanding creditors'!$B2615)</f>
        <v>2025</v>
      </c>
      <c r="T2615" s="11" t="str">
        <f>'data on outstanding creditors'!$C2615&amp;" "&amp;'data on outstanding creditors'!$D2615&amp;" "&amp;TEXT('data on outstanding creditors'!$E2615,"#,##0.00")</f>
        <v>บ.ดีซีเอช ออดิกา (ปรเทศไทย) UO94050538 162,316.00</v>
      </c>
      <c r="U2615" s="12"/>
    </row>
    <row r="2616" ht="13.5" customHeight="1">
      <c r="A2616" s="1" t="s">
        <v>3912</v>
      </c>
      <c r="B2616" s="2">
        <v>45722.0</v>
      </c>
      <c r="C2616" s="9" t="s">
        <v>3882</v>
      </c>
      <c r="D2616" s="1" t="s">
        <v>3913</v>
      </c>
      <c r="E2616" s="4">
        <v>106250.0</v>
      </c>
      <c r="F2616" s="4"/>
      <c r="G2616" s="4"/>
      <c r="H2616" s="4">
        <f>'data on outstanding creditors'!$E2616-'data on outstanding creditors'!$F2616-'data on outstanding creditors'!$G2616</f>
        <v>106250</v>
      </c>
      <c r="I2616" s="2"/>
      <c r="J2616" s="1" t="s">
        <v>757</v>
      </c>
      <c r="K2616" s="2">
        <v>45804.0</v>
      </c>
      <c r="L2616" s="5"/>
      <c r="M2616" s="9" t="s">
        <v>339</v>
      </c>
      <c r="N2616" s="9" t="s">
        <v>49</v>
      </c>
      <c r="O2616" s="10">
        <f>'data on outstanding creditors'!$E2616*100/107</f>
        <v>99299.06542</v>
      </c>
      <c r="P2616" s="10">
        <f>'data on outstanding creditors'!$E2616-'data on outstanding creditors'!$O2616</f>
        <v>6950.934579</v>
      </c>
      <c r="Q2616" s="7">
        <f>DAY('data on outstanding creditors'!$B2616)</f>
        <v>6</v>
      </c>
      <c r="R2616" s="7">
        <f>MONTH('data on outstanding creditors'!$B2616)</f>
        <v>3</v>
      </c>
      <c r="S2616" s="7">
        <f>YEAR('data on outstanding creditors'!$B2616)</f>
        <v>2025</v>
      </c>
      <c r="T2616" s="11" t="str">
        <f>'data on outstanding creditors'!$C2616&amp;" "&amp;'data on outstanding creditors'!$D2616&amp;" "&amp;TEXT('data on outstanding creditors'!$E2616,"#,##0.00")</f>
        <v>บ.ทัซแล็บ 2013 INV6803-012 106,250.00</v>
      </c>
      <c r="U2616" s="12"/>
    </row>
    <row r="2617" ht="13.5" customHeight="1">
      <c r="A2617" s="1" t="s">
        <v>3914</v>
      </c>
      <c r="B2617" s="2">
        <v>45733.0</v>
      </c>
      <c r="C2617" s="9" t="s">
        <v>3915</v>
      </c>
      <c r="D2617" s="1" t="s">
        <v>3916</v>
      </c>
      <c r="E2617" s="4">
        <v>38000.0</v>
      </c>
      <c r="F2617" s="4"/>
      <c r="G2617" s="4"/>
      <c r="H2617" s="4">
        <f>'data on outstanding creditors'!$E2617-'data on outstanding creditors'!$F2617-'data on outstanding creditors'!$G2617</f>
        <v>38000</v>
      </c>
      <c r="I2617" s="2"/>
      <c r="J2617" s="1" t="s">
        <v>646</v>
      </c>
      <c r="K2617" s="2">
        <v>45928.0</v>
      </c>
      <c r="L2617" s="5"/>
      <c r="M2617" s="9" t="s">
        <v>339</v>
      </c>
      <c r="N2617" s="9" t="s">
        <v>49</v>
      </c>
      <c r="O2617" s="10">
        <f>'data on outstanding creditors'!$E2617*100/107</f>
        <v>35514.01869</v>
      </c>
      <c r="P2617" s="10">
        <f>'data on outstanding creditors'!$E2617-'data on outstanding creditors'!$O2617</f>
        <v>2485.981308</v>
      </c>
      <c r="Q2617" s="7">
        <f>DAY('data on outstanding creditors'!$B2617)</f>
        <v>17</v>
      </c>
      <c r="R2617" s="7">
        <f>MONTH('data on outstanding creditors'!$B2617)</f>
        <v>3</v>
      </c>
      <c r="S2617" s="7">
        <f>YEAR('data on outstanding creditors'!$B2617)</f>
        <v>2025</v>
      </c>
      <c r="T2617" s="11" t="str">
        <f>'data on outstanding creditors'!$C2617&amp;" "&amp;'data on outstanding creditors'!$D2617&amp;" "&amp;TEXT('data on outstanding creditors'!$E2617,"#,##0.00")</f>
        <v>บ.ควอลิฟาย เมด โซลูชันส์ IV0198766 38,000.00</v>
      </c>
      <c r="U2617" s="12"/>
    </row>
    <row r="2618" ht="13.5" customHeight="1">
      <c r="A2618" s="1" t="s">
        <v>3917</v>
      </c>
      <c r="B2618" s="2">
        <v>45734.0</v>
      </c>
      <c r="C2618" s="9" t="s">
        <v>3874</v>
      </c>
      <c r="D2618" s="1" t="s">
        <v>3918</v>
      </c>
      <c r="E2618" s="4">
        <v>44650.0</v>
      </c>
      <c r="F2618" s="4"/>
      <c r="G2618" s="4"/>
      <c r="H2618" s="4">
        <f>'data on outstanding creditors'!$E2618-'data on outstanding creditors'!$F2618-'data on outstanding creditors'!$G2618</f>
        <v>44650</v>
      </c>
      <c r="I2618" s="2"/>
      <c r="J2618" s="1" t="s">
        <v>757</v>
      </c>
      <c r="K2618" s="2">
        <v>45804.0</v>
      </c>
      <c r="L2618" s="5"/>
      <c r="M2618" s="9" t="s">
        <v>339</v>
      </c>
      <c r="N2618" s="9" t="s">
        <v>49</v>
      </c>
      <c r="O2618" s="10">
        <f>'data on outstanding creditors'!$E2618*100/107</f>
        <v>41728.97196</v>
      </c>
      <c r="P2618" s="10">
        <f>'data on outstanding creditors'!$E2618-'data on outstanding creditors'!$O2618</f>
        <v>2921.028037</v>
      </c>
      <c r="Q2618" s="7">
        <f>DAY('data on outstanding creditors'!$B2618)</f>
        <v>18</v>
      </c>
      <c r="R2618" s="7">
        <f>MONTH('data on outstanding creditors'!$B2618)</f>
        <v>3</v>
      </c>
      <c r="S2618" s="7">
        <f>YEAR('data on outstanding creditors'!$B2618)</f>
        <v>2025</v>
      </c>
      <c r="T2618" s="11" t="str">
        <f>'data on outstanding creditors'!$C2618&amp;" "&amp;'data on outstanding creditors'!$D2618&amp;" "&amp;TEXT('data on outstanding creditors'!$E2618,"#,##0.00")</f>
        <v>บ.เคม-ซายม์ IV6803006 44,650.00</v>
      </c>
      <c r="U2618" s="12"/>
    </row>
    <row r="2619" ht="13.5" customHeight="1">
      <c r="A2619" s="1" t="s">
        <v>3919</v>
      </c>
      <c r="B2619" s="2">
        <v>45734.0</v>
      </c>
      <c r="C2619" s="9" t="s">
        <v>3882</v>
      </c>
      <c r="D2619" s="1" t="s">
        <v>3920</v>
      </c>
      <c r="E2619" s="4">
        <v>7500.0</v>
      </c>
      <c r="F2619" s="4"/>
      <c r="G2619" s="4"/>
      <c r="H2619" s="4">
        <f>'data on outstanding creditors'!$E2619-'data on outstanding creditors'!$F2619-'data on outstanding creditors'!$G2619</f>
        <v>7500</v>
      </c>
      <c r="I2619" s="2"/>
      <c r="J2619" s="1" t="s">
        <v>757</v>
      </c>
      <c r="K2619" s="2">
        <v>45798.0</v>
      </c>
      <c r="L2619" s="5"/>
      <c r="M2619" s="9" t="s">
        <v>339</v>
      </c>
      <c r="N2619" s="9" t="s">
        <v>49</v>
      </c>
      <c r="O2619" s="10">
        <f>'data on outstanding creditors'!$E2619*100/107</f>
        <v>7009.345794</v>
      </c>
      <c r="P2619" s="10">
        <f>'data on outstanding creditors'!$E2619-'data on outstanding creditors'!$O2619</f>
        <v>490.6542056</v>
      </c>
      <c r="Q2619" s="7">
        <f>DAY('data on outstanding creditors'!$B2619)</f>
        <v>18</v>
      </c>
      <c r="R2619" s="7">
        <f>MONTH('data on outstanding creditors'!$B2619)</f>
        <v>3</v>
      </c>
      <c r="S2619" s="7">
        <f>YEAR('data on outstanding creditors'!$B2619)</f>
        <v>2025</v>
      </c>
      <c r="T2619" s="11" t="str">
        <f>'data on outstanding creditors'!$C2619&amp;" "&amp;'data on outstanding creditors'!$D2619&amp;" "&amp;TEXT('data on outstanding creditors'!$E2619,"#,##0.00")</f>
        <v>บ.ทัซแล็บ 2013 INV6803-038 7,500.00</v>
      </c>
      <c r="U2619" s="12"/>
    </row>
    <row r="2620" ht="13.5" customHeight="1">
      <c r="A2620" s="1" t="s">
        <v>3921</v>
      </c>
      <c r="B2620" s="2">
        <v>45734.0</v>
      </c>
      <c r="C2620" s="9" t="s">
        <v>3922</v>
      </c>
      <c r="D2620" s="1" t="s">
        <v>3923</v>
      </c>
      <c r="E2620" s="4">
        <v>307450.0</v>
      </c>
      <c r="F2620" s="4"/>
      <c r="G2620" s="4"/>
      <c r="H2620" s="4">
        <f>'data on outstanding creditors'!$E2620-'data on outstanding creditors'!$F2620-'data on outstanding creditors'!$G2620</f>
        <v>307450</v>
      </c>
      <c r="I2620" s="2"/>
      <c r="J2620" s="1" t="s">
        <v>646</v>
      </c>
      <c r="K2620" s="2">
        <v>45877.0</v>
      </c>
      <c r="L2620" s="5"/>
      <c r="M2620" s="9" t="s">
        <v>339</v>
      </c>
      <c r="N2620" s="9" t="s">
        <v>49</v>
      </c>
      <c r="O2620" s="10">
        <f>'data on outstanding creditors'!$E2620*100/107</f>
        <v>287336.4486</v>
      </c>
      <c r="P2620" s="10">
        <f>'data on outstanding creditors'!$E2620-'data on outstanding creditors'!$O2620</f>
        <v>20113.5514</v>
      </c>
      <c r="Q2620" s="7">
        <f>DAY('data on outstanding creditors'!$B2620)</f>
        <v>18</v>
      </c>
      <c r="R2620" s="7">
        <f>MONTH('data on outstanding creditors'!$B2620)</f>
        <v>3</v>
      </c>
      <c r="S2620" s="7">
        <f>YEAR('data on outstanding creditors'!$B2620)</f>
        <v>2025</v>
      </c>
      <c r="T2620" s="11" t="str">
        <f>'data on outstanding creditors'!$C2620&amp;" "&amp;'data on outstanding creditors'!$D2620&amp;" "&amp;TEXT('data on outstanding creditors'!$E2620,"#,##0.00")</f>
        <v>บ.ซี เมดิค IVZ6803-0580 307,450.00</v>
      </c>
      <c r="U2620" s="12"/>
    </row>
    <row r="2621" ht="13.5" customHeight="1">
      <c r="A2621" s="1" t="s">
        <v>3924</v>
      </c>
      <c r="B2621" s="2">
        <v>45735.0</v>
      </c>
      <c r="C2621" s="9" t="s">
        <v>337</v>
      </c>
      <c r="D2621" s="1" t="s">
        <v>3925</v>
      </c>
      <c r="E2621" s="4">
        <v>181365.0</v>
      </c>
      <c r="F2621" s="4"/>
      <c r="G2621" s="4"/>
      <c r="H2621" s="4">
        <f>'data on outstanding creditors'!$E2621-'data on outstanding creditors'!$F2621-'data on outstanding creditors'!$G2621</f>
        <v>181365</v>
      </c>
      <c r="I2621" s="2"/>
      <c r="J2621" s="1" t="s">
        <v>646</v>
      </c>
      <c r="K2621" s="2">
        <v>45843.0</v>
      </c>
      <c r="L2621" s="5"/>
      <c r="M2621" s="9" t="s">
        <v>339</v>
      </c>
      <c r="N2621" s="9" t="s">
        <v>49</v>
      </c>
      <c r="O2621" s="10">
        <f>'data on outstanding creditors'!$E2621*100/107</f>
        <v>169500</v>
      </c>
      <c r="P2621" s="10">
        <f>'data on outstanding creditors'!$E2621-'data on outstanding creditors'!$O2621</f>
        <v>11865</v>
      </c>
      <c r="Q2621" s="7">
        <f>DAY('data on outstanding creditors'!$B2621)</f>
        <v>19</v>
      </c>
      <c r="R2621" s="7">
        <f>MONTH('data on outstanding creditors'!$B2621)</f>
        <v>3</v>
      </c>
      <c r="S2621" s="7">
        <f>YEAR('data on outstanding creditors'!$B2621)</f>
        <v>2025</v>
      </c>
      <c r="T2621" s="11" t="str">
        <f>'data on outstanding creditors'!$C2621&amp;" "&amp;'data on outstanding creditors'!$D2621&amp;" "&amp;TEXT('data on outstanding creditors'!$E2621,"#,##0.00")</f>
        <v>บ.เมด-วัน I25030343 181,365.00</v>
      </c>
      <c r="U2621" s="12"/>
    </row>
    <row r="2622" ht="13.5" customHeight="1">
      <c r="A2622" s="1" t="s">
        <v>3926</v>
      </c>
      <c r="B2622" s="2">
        <v>45735.0</v>
      </c>
      <c r="C2622" s="9" t="s">
        <v>3927</v>
      </c>
      <c r="D2622" s="1" t="s">
        <v>3928</v>
      </c>
      <c r="E2622" s="4">
        <v>75000.0</v>
      </c>
      <c r="F2622" s="4"/>
      <c r="G2622" s="4"/>
      <c r="H2622" s="4">
        <f>'data on outstanding creditors'!$E2622-'data on outstanding creditors'!$F2622-'data on outstanding creditors'!$G2622</f>
        <v>75000</v>
      </c>
      <c r="I2622" s="2"/>
      <c r="J2622" s="1" t="s">
        <v>646</v>
      </c>
      <c r="K2622" s="2">
        <v>45843.0</v>
      </c>
      <c r="L2622" s="5"/>
      <c r="M2622" s="9" t="s">
        <v>339</v>
      </c>
      <c r="N2622" s="9" t="s">
        <v>49</v>
      </c>
      <c r="O2622" s="10">
        <f>'data on outstanding creditors'!$E2622*100/107</f>
        <v>70093.45794</v>
      </c>
      <c r="P2622" s="10">
        <f>'data on outstanding creditors'!$E2622-'data on outstanding creditors'!$O2622</f>
        <v>4906.542056</v>
      </c>
      <c r="Q2622" s="7">
        <f>DAY('data on outstanding creditors'!$B2622)</f>
        <v>19</v>
      </c>
      <c r="R2622" s="7">
        <f>MONTH('data on outstanding creditors'!$B2622)</f>
        <v>3</v>
      </c>
      <c r="S2622" s="7">
        <f>YEAR('data on outstanding creditors'!$B2622)</f>
        <v>2025</v>
      </c>
      <c r="T2622" s="11" t="str">
        <f>'data on outstanding creditors'!$C2622&amp;" "&amp;'data on outstanding creditors'!$D2622&amp;" "&amp;TEXT('data on outstanding creditors'!$E2622,"#,##0.00")</f>
        <v>บ.โปรเฟสชั่นแนล เมดิคอล ซายน์ INT-PMS-680300121 75,000.00</v>
      </c>
      <c r="U2622" s="12"/>
    </row>
    <row r="2623" ht="13.5" customHeight="1">
      <c r="A2623" s="1" t="s">
        <v>3929</v>
      </c>
      <c r="B2623" s="2">
        <v>45736.0</v>
      </c>
      <c r="C2623" s="9" t="s">
        <v>3888</v>
      </c>
      <c r="D2623" s="1" t="s">
        <v>3930</v>
      </c>
      <c r="E2623" s="4">
        <v>20000.0</v>
      </c>
      <c r="F2623" s="4"/>
      <c r="G2623" s="4"/>
      <c r="H2623" s="4">
        <f>'data on outstanding creditors'!$E2623-'data on outstanding creditors'!$F2623-'data on outstanding creditors'!$G2623</f>
        <v>20000</v>
      </c>
      <c r="I2623" s="2"/>
      <c r="J2623" s="1" t="s">
        <v>646</v>
      </c>
      <c r="K2623" s="2">
        <v>45866.0</v>
      </c>
      <c r="L2623" s="5"/>
      <c r="M2623" s="9" t="s">
        <v>339</v>
      </c>
      <c r="N2623" s="9" t="s">
        <v>49</v>
      </c>
      <c r="O2623" s="10">
        <f>'data on outstanding creditors'!$E2623*100/107</f>
        <v>18691.58879</v>
      </c>
      <c r="P2623" s="10">
        <f>'data on outstanding creditors'!$E2623-'data on outstanding creditors'!$O2623</f>
        <v>1308.411215</v>
      </c>
      <c r="Q2623" s="7">
        <f>DAY('data on outstanding creditors'!$B2623)</f>
        <v>20</v>
      </c>
      <c r="R2623" s="7">
        <f>MONTH('data on outstanding creditors'!$B2623)</f>
        <v>3</v>
      </c>
      <c r="S2623" s="7">
        <f>YEAR('data on outstanding creditors'!$B2623)</f>
        <v>2025</v>
      </c>
      <c r="T2623" s="11" t="str">
        <f>'data on outstanding creditors'!$C2623&amp;" "&amp;'data on outstanding creditors'!$D2623&amp;" "&amp;TEXT('data on outstanding creditors'!$E2623,"#,##0.00")</f>
        <v>บ.พี ซี แอล โฮลดิ้ง PI25-03-0476 20,000.00</v>
      </c>
      <c r="U2623" s="12"/>
    </row>
    <row r="2624" ht="13.5" customHeight="1">
      <c r="A2624" s="1" t="s">
        <v>3931</v>
      </c>
      <c r="B2624" s="2">
        <v>45736.0</v>
      </c>
      <c r="C2624" s="9" t="s">
        <v>3894</v>
      </c>
      <c r="D2624" s="1" t="s">
        <v>3932</v>
      </c>
      <c r="E2624" s="4">
        <v>285120.0</v>
      </c>
      <c r="F2624" s="4"/>
      <c r="G2624" s="4"/>
      <c r="H2624" s="4">
        <f>'data on outstanding creditors'!$E2624-'data on outstanding creditors'!$F2624-'data on outstanding creditors'!$G2624</f>
        <v>285120</v>
      </c>
      <c r="I2624" s="2"/>
      <c r="J2624" s="1" t="s">
        <v>646</v>
      </c>
      <c r="K2624" s="2">
        <v>45855.0</v>
      </c>
      <c r="L2624" s="5"/>
      <c r="M2624" s="9" t="s">
        <v>339</v>
      </c>
      <c r="N2624" s="9" t="s">
        <v>49</v>
      </c>
      <c r="O2624" s="10">
        <f>'data on outstanding creditors'!$E2624*100/107</f>
        <v>266467.2897</v>
      </c>
      <c r="P2624" s="10">
        <f>'data on outstanding creditors'!$E2624-'data on outstanding creditors'!$O2624</f>
        <v>18652.71028</v>
      </c>
      <c r="Q2624" s="7">
        <f>DAY('data on outstanding creditors'!$B2624)</f>
        <v>20</v>
      </c>
      <c r="R2624" s="7">
        <f>MONTH('data on outstanding creditors'!$B2624)</f>
        <v>3</v>
      </c>
      <c r="S2624" s="7">
        <f>YEAR('data on outstanding creditors'!$B2624)</f>
        <v>2025</v>
      </c>
      <c r="T2624" s="11" t="str">
        <f>'data on outstanding creditors'!$C2624&amp;" "&amp;'data on outstanding creditors'!$D2624&amp;" "&amp;TEXT('data on outstanding creditors'!$E2624,"#,##0.00")</f>
        <v>บ.ไทย ไดแอ็กนอสติก 6803252 285,120.00</v>
      </c>
      <c r="U2624" s="12"/>
    </row>
    <row r="2625" ht="13.5" customHeight="1">
      <c r="A2625" s="1" t="s">
        <v>3933</v>
      </c>
      <c r="B2625" s="2">
        <v>45737.0</v>
      </c>
      <c r="C2625" s="9" t="s">
        <v>2330</v>
      </c>
      <c r="D2625" s="1" t="s">
        <v>3934</v>
      </c>
      <c r="E2625" s="4">
        <v>60000.0</v>
      </c>
      <c r="F2625" s="4"/>
      <c r="G2625" s="4"/>
      <c r="H2625" s="4">
        <f>'data on outstanding creditors'!$E2625-'data on outstanding creditors'!$F2625-'data on outstanding creditors'!$G2625</f>
        <v>60000</v>
      </c>
      <c r="I2625" s="2"/>
      <c r="J2625" s="1" t="s">
        <v>646</v>
      </c>
      <c r="K2625" s="2">
        <v>45944.0</v>
      </c>
      <c r="L2625" s="5"/>
      <c r="M2625" s="9" t="s">
        <v>339</v>
      </c>
      <c r="N2625" s="9" t="s">
        <v>49</v>
      </c>
      <c r="O2625" s="10">
        <f>'data on outstanding creditors'!$E2625*100/107</f>
        <v>56074.76636</v>
      </c>
      <c r="P2625" s="10">
        <f>'data on outstanding creditors'!$E2625-'data on outstanding creditors'!$O2625</f>
        <v>3925.233645</v>
      </c>
      <c r="Q2625" s="7">
        <f>DAY('data on outstanding creditors'!$B2625)</f>
        <v>21</v>
      </c>
      <c r="R2625" s="7">
        <f>MONTH('data on outstanding creditors'!$B2625)</f>
        <v>3</v>
      </c>
      <c r="S2625" s="7">
        <f>YEAR('data on outstanding creditors'!$B2625)</f>
        <v>2025</v>
      </c>
      <c r="T2625" s="11" t="str">
        <f>'data on outstanding creditors'!$C2625&amp;" "&amp;'data on outstanding creditors'!$D2625&amp;" "&amp;TEXT('data on outstanding creditors'!$E2625,"#,##0.00")</f>
        <v>บ.อี ฟอร์ แอล เอม M6803-0632 60,000.00</v>
      </c>
      <c r="U2625" s="12"/>
    </row>
    <row r="2626" ht="13.5" customHeight="1">
      <c r="A2626" s="1" t="s">
        <v>3935</v>
      </c>
      <c r="B2626" s="2">
        <v>45748.0</v>
      </c>
      <c r="C2626" s="9" t="s">
        <v>1422</v>
      </c>
      <c r="D2626" s="1" t="s">
        <v>3936</v>
      </c>
      <c r="E2626" s="4">
        <v>193676.0</v>
      </c>
      <c r="F2626" s="4"/>
      <c r="G2626" s="4"/>
      <c r="H2626" s="4">
        <f>'data on outstanding creditors'!$E2626-'data on outstanding creditors'!$F2626-'data on outstanding creditors'!$G2626</f>
        <v>193676</v>
      </c>
      <c r="I2626" s="2"/>
      <c r="J2626" s="1" t="s">
        <v>646</v>
      </c>
      <c r="K2626" s="2">
        <v>45885.0</v>
      </c>
      <c r="L2626" s="5"/>
      <c r="M2626" s="9" t="s">
        <v>339</v>
      </c>
      <c r="N2626" s="9" t="s">
        <v>49</v>
      </c>
      <c r="O2626" s="10">
        <f>'data on outstanding creditors'!$E2626*100/107</f>
        <v>181005.6075</v>
      </c>
      <c r="P2626" s="10">
        <f>'data on outstanding creditors'!$E2626-'data on outstanding creditors'!$O2626</f>
        <v>12670.39252</v>
      </c>
      <c r="Q2626" s="7">
        <f>DAY('data on outstanding creditors'!$B2626)</f>
        <v>1</v>
      </c>
      <c r="R2626" s="7">
        <f>MONTH('data on outstanding creditors'!$B2626)</f>
        <v>4</v>
      </c>
      <c r="S2626" s="7">
        <f>YEAR('data on outstanding creditors'!$B2626)</f>
        <v>2025</v>
      </c>
      <c r="T2626" s="11" t="str">
        <f>'data on outstanding creditors'!$C2626&amp;" "&amp;'data on outstanding creditors'!$D2626&amp;" "&amp;TEXT('data on outstanding creditors'!$E2626,"#,##0.00")</f>
        <v>บ.ดีซีเอช ออดิกา (ปรเทศไทย) UO94051455 193,676.00</v>
      </c>
      <c r="U2626" s="12"/>
    </row>
    <row r="2627" ht="13.5" customHeight="1">
      <c r="A2627" s="1" t="s">
        <v>3937</v>
      </c>
      <c r="B2627" s="2">
        <v>45748.0</v>
      </c>
      <c r="C2627" s="9" t="s">
        <v>3888</v>
      </c>
      <c r="D2627" s="1" t="s">
        <v>3938</v>
      </c>
      <c r="E2627" s="4">
        <v>327970.4</v>
      </c>
      <c r="F2627" s="4"/>
      <c r="G2627" s="4"/>
      <c r="H2627" s="4">
        <f>'data on outstanding creditors'!$E2627-'data on outstanding creditors'!$F2627-'data on outstanding creditors'!$G2627</f>
        <v>327970.4</v>
      </c>
      <c r="I2627" s="2"/>
      <c r="J2627" s="1" t="s">
        <v>646</v>
      </c>
      <c r="K2627" s="2">
        <v>45866.0</v>
      </c>
      <c r="L2627" s="5"/>
      <c r="M2627" s="9" t="s">
        <v>339</v>
      </c>
      <c r="N2627" s="9" t="s">
        <v>49</v>
      </c>
      <c r="O2627" s="10">
        <f>'data on outstanding creditors'!$E2627*100/107</f>
        <v>306514.3925</v>
      </c>
      <c r="P2627" s="10">
        <f>'data on outstanding creditors'!$E2627-'data on outstanding creditors'!$O2627</f>
        <v>21456.00748</v>
      </c>
      <c r="Q2627" s="7">
        <f>DAY('data on outstanding creditors'!$B2627)</f>
        <v>1</v>
      </c>
      <c r="R2627" s="7">
        <f>MONTH('data on outstanding creditors'!$B2627)</f>
        <v>4</v>
      </c>
      <c r="S2627" s="7">
        <f>YEAR('data on outstanding creditors'!$B2627)</f>
        <v>2025</v>
      </c>
      <c r="T2627" s="11" t="str">
        <f>'data on outstanding creditors'!$C2627&amp;" "&amp;'data on outstanding creditors'!$D2627&amp;" "&amp;TEXT('data on outstanding creditors'!$E2627,"#,##0.00")</f>
        <v>บ.พี ซี แอล โฮลดิ้ง PCI25-04-0111 327,970.40</v>
      </c>
      <c r="U2627" s="12"/>
    </row>
    <row r="2628" ht="13.5" customHeight="1">
      <c r="A2628" s="1" t="s">
        <v>3939</v>
      </c>
      <c r="B2628" s="2">
        <v>45748.0</v>
      </c>
      <c r="C2628" s="9" t="s">
        <v>3888</v>
      </c>
      <c r="D2628" s="1" t="s">
        <v>3940</v>
      </c>
      <c r="E2628" s="4">
        <v>377888.25</v>
      </c>
      <c r="F2628" s="4"/>
      <c r="G2628" s="4"/>
      <c r="H2628" s="4">
        <f>'data on outstanding creditors'!$E2628-'data on outstanding creditors'!$F2628-'data on outstanding creditors'!$G2628</f>
        <v>377888.25</v>
      </c>
      <c r="I2628" s="2"/>
      <c r="J2628" s="1" t="s">
        <v>646</v>
      </c>
      <c r="K2628" s="2">
        <v>45866.0</v>
      </c>
      <c r="L2628" s="5"/>
      <c r="M2628" s="9" t="s">
        <v>339</v>
      </c>
      <c r="N2628" s="9" t="s">
        <v>49</v>
      </c>
      <c r="O2628" s="10">
        <f>'data on outstanding creditors'!$E2628*100/107</f>
        <v>353166.5888</v>
      </c>
      <c r="P2628" s="10">
        <f>'data on outstanding creditors'!$E2628-'data on outstanding creditors'!$O2628</f>
        <v>24721.66121</v>
      </c>
      <c r="Q2628" s="7">
        <f>DAY('data on outstanding creditors'!$B2628)</f>
        <v>1</v>
      </c>
      <c r="R2628" s="7">
        <f>MONTH('data on outstanding creditors'!$B2628)</f>
        <v>4</v>
      </c>
      <c r="S2628" s="7">
        <f>YEAR('data on outstanding creditors'!$B2628)</f>
        <v>2025</v>
      </c>
      <c r="T2628" s="11" t="str">
        <f>'data on outstanding creditors'!$C2628&amp;" "&amp;'data on outstanding creditors'!$D2628&amp;" "&amp;TEXT('data on outstanding creditors'!$E2628,"#,##0.00")</f>
        <v>บ.พี ซี แอล โฮลดิ้ง PCI25-04-0114 377,888.25</v>
      </c>
      <c r="U2628" s="12"/>
    </row>
    <row r="2629" ht="13.5" customHeight="1">
      <c r="A2629" s="1" t="s">
        <v>3941</v>
      </c>
      <c r="B2629" s="2">
        <v>45755.0</v>
      </c>
      <c r="C2629" s="9" t="s">
        <v>3762</v>
      </c>
      <c r="D2629" s="1" t="s">
        <v>3942</v>
      </c>
      <c r="E2629" s="4">
        <v>142380.0</v>
      </c>
      <c r="F2629" s="4"/>
      <c r="G2629" s="4"/>
      <c r="H2629" s="4">
        <f>'data on outstanding creditors'!$E2629-'data on outstanding creditors'!$F2629-'data on outstanding creditors'!$G2629</f>
        <v>142380</v>
      </c>
      <c r="I2629" s="2"/>
      <c r="J2629" s="1" t="s">
        <v>646</v>
      </c>
      <c r="K2629" s="2">
        <v>45855.0</v>
      </c>
      <c r="L2629" s="5"/>
      <c r="M2629" s="9" t="s">
        <v>339</v>
      </c>
      <c r="N2629" s="9" t="s">
        <v>49</v>
      </c>
      <c r="O2629" s="10">
        <f>'data on outstanding creditors'!$E2629*100/107</f>
        <v>133065.4206</v>
      </c>
      <c r="P2629" s="10">
        <f>'data on outstanding creditors'!$E2629-'data on outstanding creditors'!$O2629</f>
        <v>9314.579439</v>
      </c>
      <c r="Q2629" s="7">
        <f>DAY('data on outstanding creditors'!$B2629)</f>
        <v>8</v>
      </c>
      <c r="R2629" s="7">
        <f>MONTH('data on outstanding creditors'!$B2629)</f>
        <v>4</v>
      </c>
      <c r="S2629" s="7">
        <f>YEAR('data on outstanding creditors'!$B2629)</f>
        <v>2025</v>
      </c>
      <c r="T2629" s="11" t="str">
        <f>'data on outstanding creditors'!$C2629&amp;" "&amp;'data on outstanding creditors'!$D2629&amp;" "&amp;TEXT('data on outstanding creditors'!$E2629,"#,##0.00")</f>
        <v>บ.เคทู เมดิคอล (ประเทศไทย) IV6803000061 142,380.00</v>
      </c>
      <c r="U2629" s="12"/>
    </row>
    <row r="2630" ht="13.5" customHeight="1">
      <c r="A2630" s="1" t="s">
        <v>3943</v>
      </c>
      <c r="B2630" s="2">
        <v>45755.0</v>
      </c>
      <c r="C2630" s="9" t="s">
        <v>2320</v>
      </c>
      <c r="D2630" s="1" t="s">
        <v>3944</v>
      </c>
      <c r="E2630" s="4">
        <v>135000.0</v>
      </c>
      <c r="F2630" s="4"/>
      <c r="G2630" s="4"/>
      <c r="H2630" s="4">
        <f>'data on outstanding creditors'!$E2630-'data on outstanding creditors'!$F2630-'data on outstanding creditors'!$G2630</f>
        <v>135000</v>
      </c>
      <c r="I2630" s="2"/>
      <c r="J2630" s="1" t="s">
        <v>646</v>
      </c>
      <c r="K2630" s="2">
        <v>45928.0</v>
      </c>
      <c r="L2630" s="5"/>
      <c r="M2630" s="9" t="s">
        <v>339</v>
      </c>
      <c r="N2630" s="9" t="s">
        <v>49</v>
      </c>
      <c r="O2630" s="10">
        <f>'data on outstanding creditors'!$E2630*100/107</f>
        <v>126168.2243</v>
      </c>
      <c r="P2630" s="10">
        <f>'data on outstanding creditors'!$E2630-'data on outstanding creditors'!$O2630</f>
        <v>8831.775701</v>
      </c>
      <c r="Q2630" s="7">
        <f>DAY('data on outstanding creditors'!$B2630)</f>
        <v>8</v>
      </c>
      <c r="R2630" s="7">
        <f>MONTH('data on outstanding creditors'!$B2630)</f>
        <v>4</v>
      </c>
      <c r="S2630" s="7">
        <f>YEAR('data on outstanding creditors'!$B2630)</f>
        <v>2025</v>
      </c>
      <c r="T2630" s="11" t="str">
        <f>'data on outstanding creditors'!$C2630&amp;" "&amp;'data on outstanding creditors'!$D2630&amp;" "&amp;TEXT('data on outstanding creditors'!$E2630,"#,##0.00")</f>
        <v>บ.เทคโนเมดิคัล 25031908 135,000.00</v>
      </c>
      <c r="U2630" s="12"/>
    </row>
    <row r="2631" ht="13.5" customHeight="1">
      <c r="A2631" s="1" t="s">
        <v>3945</v>
      </c>
      <c r="B2631" s="2">
        <v>45758.0</v>
      </c>
      <c r="C2631" s="9" t="s">
        <v>3882</v>
      </c>
      <c r="D2631" s="1" t="s">
        <v>3946</v>
      </c>
      <c r="E2631" s="4">
        <v>21500.0</v>
      </c>
      <c r="F2631" s="4"/>
      <c r="G2631" s="4"/>
      <c r="H2631" s="4">
        <f>'data on outstanding creditors'!$E2631-'data on outstanding creditors'!$F2631-'data on outstanding creditors'!$G2631</f>
        <v>21500</v>
      </c>
      <c r="I2631" s="2"/>
      <c r="J2631" s="1" t="s">
        <v>757</v>
      </c>
      <c r="K2631" s="2">
        <v>45831.0</v>
      </c>
      <c r="L2631" s="5"/>
      <c r="M2631" s="9" t="s">
        <v>339</v>
      </c>
      <c r="N2631" s="9" t="s">
        <v>49</v>
      </c>
      <c r="O2631" s="10">
        <f>'data on outstanding creditors'!$E2631*100/107</f>
        <v>20093.45794</v>
      </c>
      <c r="P2631" s="10">
        <f>'data on outstanding creditors'!$E2631-'data on outstanding creditors'!$O2631</f>
        <v>1406.542056</v>
      </c>
      <c r="Q2631" s="7">
        <f>DAY('data on outstanding creditors'!$B2631)</f>
        <v>11</v>
      </c>
      <c r="R2631" s="7">
        <f>MONTH('data on outstanding creditors'!$B2631)</f>
        <v>4</v>
      </c>
      <c r="S2631" s="7">
        <f>YEAR('data on outstanding creditors'!$B2631)</f>
        <v>2025</v>
      </c>
      <c r="T2631" s="11" t="str">
        <f>'data on outstanding creditors'!$C2631&amp;" "&amp;'data on outstanding creditors'!$D2631&amp;" "&amp;TEXT('data on outstanding creditors'!$E2631,"#,##0.00")</f>
        <v>บ.ทัซแล็บ 2013 INV6804-018 21,500.00</v>
      </c>
      <c r="U2631" s="12"/>
    </row>
    <row r="2632" ht="13.5" customHeight="1">
      <c r="A2632" s="1" t="s">
        <v>3947</v>
      </c>
      <c r="B2632" s="2">
        <v>45758.0</v>
      </c>
      <c r="C2632" s="9" t="s">
        <v>3948</v>
      </c>
      <c r="D2632" s="1" t="s">
        <v>3949</v>
      </c>
      <c r="E2632" s="4">
        <v>6500.0</v>
      </c>
      <c r="F2632" s="4"/>
      <c r="G2632" s="4"/>
      <c r="H2632" s="4">
        <f>'data on outstanding creditors'!$E2632-'data on outstanding creditors'!$F2632-'data on outstanding creditors'!$G2632</f>
        <v>6500</v>
      </c>
      <c r="I2632" s="2"/>
      <c r="J2632" s="1" t="s">
        <v>646</v>
      </c>
      <c r="K2632" s="2">
        <v>45906.0</v>
      </c>
      <c r="L2632" s="5"/>
      <c r="M2632" s="9" t="s">
        <v>339</v>
      </c>
      <c r="N2632" s="9" t="s">
        <v>49</v>
      </c>
      <c r="O2632" s="10">
        <f>'data on outstanding creditors'!$E2632*100/107</f>
        <v>6074.766355</v>
      </c>
      <c r="P2632" s="10">
        <f>'data on outstanding creditors'!$E2632-'data on outstanding creditors'!$O2632</f>
        <v>425.2336449</v>
      </c>
      <c r="Q2632" s="7">
        <f>DAY('data on outstanding creditors'!$B2632)</f>
        <v>11</v>
      </c>
      <c r="R2632" s="7">
        <f>MONTH('data on outstanding creditors'!$B2632)</f>
        <v>4</v>
      </c>
      <c r="S2632" s="7">
        <f>YEAR('data on outstanding creditors'!$B2632)</f>
        <v>2025</v>
      </c>
      <c r="T2632" s="11" t="str">
        <f>'data on outstanding creditors'!$C2632&amp;" "&amp;'data on outstanding creditors'!$D2632&amp;" "&amp;TEXT('data on outstanding creditors'!$E2632,"#,##0.00")</f>
        <v>บ.เอ็มพี เมดกรุ๊ป INT-MPM-680400134 6,500.00</v>
      </c>
      <c r="U2632" s="12"/>
    </row>
    <row r="2633" ht="13.5" customHeight="1">
      <c r="A2633" s="1" t="s">
        <v>3950</v>
      </c>
      <c r="B2633" s="2">
        <v>45758.0</v>
      </c>
      <c r="C2633" s="9" t="s">
        <v>3915</v>
      </c>
      <c r="D2633" s="1" t="s">
        <v>3951</v>
      </c>
      <c r="E2633" s="4">
        <v>6300.0</v>
      </c>
      <c r="F2633" s="4"/>
      <c r="G2633" s="4"/>
      <c r="H2633" s="4">
        <f>'data on outstanding creditors'!$E2633-'data on outstanding creditors'!$F2633-'data on outstanding creditors'!$G2633</f>
        <v>6300</v>
      </c>
      <c r="I2633" s="2"/>
      <c r="J2633" s="1" t="s">
        <v>646</v>
      </c>
      <c r="K2633" s="2">
        <v>45928.0</v>
      </c>
      <c r="L2633" s="5"/>
      <c r="M2633" s="9" t="s">
        <v>339</v>
      </c>
      <c r="N2633" s="9" t="s">
        <v>49</v>
      </c>
      <c r="O2633" s="10">
        <f>'data on outstanding creditors'!$E2633*100/107</f>
        <v>5887.850467</v>
      </c>
      <c r="P2633" s="10">
        <f>'data on outstanding creditors'!$E2633-'data on outstanding creditors'!$O2633</f>
        <v>412.1495327</v>
      </c>
      <c r="Q2633" s="7">
        <f>DAY('data on outstanding creditors'!$B2633)</f>
        <v>11</v>
      </c>
      <c r="R2633" s="7">
        <f>MONTH('data on outstanding creditors'!$B2633)</f>
        <v>4</v>
      </c>
      <c r="S2633" s="7">
        <f>YEAR('data on outstanding creditors'!$B2633)</f>
        <v>2025</v>
      </c>
      <c r="T2633" s="11" t="str">
        <f>'data on outstanding creditors'!$C2633&amp;" "&amp;'data on outstanding creditors'!$D2633&amp;" "&amp;TEXT('data on outstanding creditors'!$E2633,"#,##0.00")</f>
        <v>บ.ควอลิฟาย เมด โซลูชันส์ IV0199453 6,300.00</v>
      </c>
      <c r="U2633" s="12"/>
    </row>
    <row r="2634" ht="13.5" customHeight="1">
      <c r="A2634" s="1" t="s">
        <v>3952</v>
      </c>
      <c r="B2634" s="2">
        <v>45758.0</v>
      </c>
      <c r="C2634" s="9" t="s">
        <v>3874</v>
      </c>
      <c r="D2634" s="1" t="s">
        <v>3953</v>
      </c>
      <c r="E2634" s="4">
        <v>44250.0</v>
      </c>
      <c r="F2634" s="4"/>
      <c r="G2634" s="4"/>
      <c r="H2634" s="4">
        <f>'data on outstanding creditors'!$E2634-'data on outstanding creditors'!$F2634-'data on outstanding creditors'!$G2634</f>
        <v>44250</v>
      </c>
      <c r="I2634" s="2"/>
      <c r="J2634" s="1" t="s">
        <v>757</v>
      </c>
      <c r="K2634" s="2">
        <v>45831.0</v>
      </c>
      <c r="L2634" s="5"/>
      <c r="M2634" s="9" t="s">
        <v>339</v>
      </c>
      <c r="N2634" s="9" t="s">
        <v>49</v>
      </c>
      <c r="O2634" s="10">
        <f>'data on outstanding creditors'!$E2634*100/107</f>
        <v>41355.14019</v>
      </c>
      <c r="P2634" s="10">
        <f>'data on outstanding creditors'!$E2634-'data on outstanding creditors'!$O2634</f>
        <v>2894.859813</v>
      </c>
      <c r="Q2634" s="7">
        <f>DAY('data on outstanding creditors'!$B2634)</f>
        <v>11</v>
      </c>
      <c r="R2634" s="7">
        <f>MONTH('data on outstanding creditors'!$B2634)</f>
        <v>4</v>
      </c>
      <c r="S2634" s="7">
        <f>YEAR('data on outstanding creditors'!$B2634)</f>
        <v>2025</v>
      </c>
      <c r="T2634" s="11" t="str">
        <f>'data on outstanding creditors'!$C2634&amp;" "&amp;'data on outstanding creditors'!$D2634&amp;" "&amp;TEXT('data on outstanding creditors'!$E2634,"#,##0.00")</f>
        <v>บ.เคม-ซายม์ IV6804005 44,250.00</v>
      </c>
      <c r="U2634" s="12"/>
    </row>
    <row r="2635" ht="13.5" customHeight="1">
      <c r="A2635" s="1" t="s">
        <v>3954</v>
      </c>
      <c r="B2635" s="2">
        <v>45768.0</v>
      </c>
      <c r="C2635" s="9" t="s">
        <v>3922</v>
      </c>
      <c r="D2635" s="1" t="s">
        <v>3955</v>
      </c>
      <c r="E2635" s="4">
        <v>281325.0</v>
      </c>
      <c r="F2635" s="4"/>
      <c r="G2635" s="4"/>
      <c r="H2635" s="4">
        <f>'data on outstanding creditors'!$E2635-'data on outstanding creditors'!$F2635-'data on outstanding creditors'!$G2635</f>
        <v>281325</v>
      </c>
      <c r="I2635" s="2"/>
      <c r="J2635" s="1" t="s">
        <v>646</v>
      </c>
      <c r="K2635" s="2">
        <v>45894.0</v>
      </c>
      <c r="L2635" s="5"/>
      <c r="M2635" s="9" t="s">
        <v>339</v>
      </c>
      <c r="N2635" s="9" t="s">
        <v>49</v>
      </c>
      <c r="O2635" s="10">
        <f>'data on outstanding creditors'!$E2635*100/107</f>
        <v>262920.5607</v>
      </c>
      <c r="P2635" s="10">
        <f>'data on outstanding creditors'!$E2635-'data on outstanding creditors'!$O2635</f>
        <v>18404.43925</v>
      </c>
      <c r="Q2635" s="7">
        <f>DAY('data on outstanding creditors'!$B2635)</f>
        <v>21</v>
      </c>
      <c r="R2635" s="7">
        <f>MONTH('data on outstanding creditors'!$B2635)</f>
        <v>4</v>
      </c>
      <c r="S2635" s="7">
        <f>YEAR('data on outstanding creditors'!$B2635)</f>
        <v>2025</v>
      </c>
      <c r="T2635" s="11" t="str">
        <f>'data on outstanding creditors'!$C2635&amp;" "&amp;'data on outstanding creditors'!$D2635&amp;" "&amp;TEXT('data on outstanding creditors'!$E2635,"#,##0.00")</f>
        <v>บ.ซี เมดิค IVZ6804-0382 281,325.00</v>
      </c>
      <c r="U2635" s="12"/>
    </row>
    <row r="2636" ht="13.5" customHeight="1">
      <c r="A2636" s="1" t="s">
        <v>3956</v>
      </c>
      <c r="B2636" s="2">
        <v>45769.0</v>
      </c>
      <c r="C2636" s="9" t="s">
        <v>2330</v>
      </c>
      <c r="D2636" s="1" t="s">
        <v>3957</v>
      </c>
      <c r="E2636" s="4">
        <v>60000.0</v>
      </c>
      <c r="F2636" s="4"/>
      <c r="G2636" s="4"/>
      <c r="H2636" s="4">
        <f>'data on outstanding creditors'!$E2636-'data on outstanding creditors'!$F2636-'data on outstanding creditors'!$G2636</f>
        <v>60000</v>
      </c>
      <c r="I2636" s="2"/>
      <c r="J2636" s="1" t="s">
        <v>646</v>
      </c>
      <c r="K2636" s="2">
        <v>45944.0</v>
      </c>
      <c r="L2636" s="5"/>
      <c r="M2636" s="9" t="s">
        <v>339</v>
      </c>
      <c r="N2636" s="9" t="s">
        <v>49</v>
      </c>
      <c r="O2636" s="10">
        <f>'data on outstanding creditors'!$E2636*100/107</f>
        <v>56074.76636</v>
      </c>
      <c r="P2636" s="10">
        <f>'data on outstanding creditors'!$E2636-'data on outstanding creditors'!$O2636</f>
        <v>3925.233645</v>
      </c>
      <c r="Q2636" s="7">
        <f>DAY('data on outstanding creditors'!$B2636)</f>
        <v>22</v>
      </c>
      <c r="R2636" s="7">
        <f>MONTH('data on outstanding creditors'!$B2636)</f>
        <v>4</v>
      </c>
      <c r="S2636" s="7">
        <f>YEAR('data on outstanding creditors'!$B2636)</f>
        <v>2025</v>
      </c>
      <c r="T2636" s="11" t="str">
        <f>'data on outstanding creditors'!$C2636&amp;" "&amp;'data on outstanding creditors'!$D2636&amp;" "&amp;TEXT('data on outstanding creditors'!$E2636,"#,##0.00")</f>
        <v>บ.อี ฟอร์ แอล เอม M6804-0190 60,000.00</v>
      </c>
      <c r="U2636" s="12"/>
    </row>
    <row r="2637" ht="13.5" customHeight="1">
      <c r="A2637" s="1" t="s">
        <v>3958</v>
      </c>
      <c r="B2637" s="2">
        <v>45770.0</v>
      </c>
      <c r="C2637" s="9" t="s">
        <v>3894</v>
      </c>
      <c r="D2637" s="1" t="s">
        <v>3959</v>
      </c>
      <c r="E2637" s="4">
        <v>316800.0</v>
      </c>
      <c r="F2637" s="4"/>
      <c r="G2637" s="4"/>
      <c r="H2637" s="4">
        <f>'data on outstanding creditors'!$E2637-'data on outstanding creditors'!$F2637-'data on outstanding creditors'!$G2637</f>
        <v>316800</v>
      </c>
      <c r="I2637" s="2"/>
      <c r="J2637" s="1" t="s">
        <v>646</v>
      </c>
      <c r="K2637" s="2">
        <v>45855.0</v>
      </c>
      <c r="L2637" s="5"/>
      <c r="M2637" s="9" t="s">
        <v>339</v>
      </c>
      <c r="N2637" s="9" t="s">
        <v>49</v>
      </c>
      <c r="O2637" s="10">
        <f>'data on outstanding creditors'!$E2637*100/107</f>
        <v>296074.7664</v>
      </c>
      <c r="P2637" s="10">
        <f>'data on outstanding creditors'!$E2637-'data on outstanding creditors'!$O2637</f>
        <v>20725.23364</v>
      </c>
      <c r="Q2637" s="7">
        <f>DAY('data on outstanding creditors'!$B2637)</f>
        <v>23</v>
      </c>
      <c r="R2637" s="7">
        <f>MONTH('data on outstanding creditors'!$B2637)</f>
        <v>4</v>
      </c>
      <c r="S2637" s="7">
        <f>YEAR('data on outstanding creditors'!$B2637)</f>
        <v>2025</v>
      </c>
      <c r="T2637" s="11" t="str">
        <f>'data on outstanding creditors'!$C2637&amp;" "&amp;'data on outstanding creditors'!$D2637&amp;" "&amp;TEXT('data on outstanding creditors'!$E2637,"#,##0.00")</f>
        <v>บ.ไทย ไดแอ็กนอสติก 6804222 316,800.00</v>
      </c>
      <c r="U2637" s="12"/>
    </row>
    <row r="2638" ht="13.5" customHeight="1">
      <c r="A2638" s="1" t="s">
        <v>3960</v>
      </c>
      <c r="B2638" s="2">
        <v>45771.0</v>
      </c>
      <c r="C2638" s="9" t="s">
        <v>3915</v>
      </c>
      <c r="D2638" s="1" t="s">
        <v>3961</v>
      </c>
      <c r="E2638" s="4">
        <v>64000.0</v>
      </c>
      <c r="F2638" s="4"/>
      <c r="G2638" s="4"/>
      <c r="H2638" s="4">
        <f>'data on outstanding creditors'!$E2638-'data on outstanding creditors'!$F2638-'data on outstanding creditors'!$G2638</f>
        <v>64000</v>
      </c>
      <c r="I2638" s="2"/>
      <c r="J2638" s="1" t="s">
        <v>646</v>
      </c>
      <c r="K2638" s="2">
        <v>45928.0</v>
      </c>
      <c r="L2638" s="5"/>
      <c r="M2638" s="9" t="s">
        <v>339</v>
      </c>
      <c r="N2638" s="9" t="s">
        <v>49</v>
      </c>
      <c r="O2638" s="10">
        <f>'data on outstanding creditors'!$E2638*100/107</f>
        <v>59813.08411</v>
      </c>
      <c r="P2638" s="10">
        <f>'data on outstanding creditors'!$E2638-'data on outstanding creditors'!$O2638</f>
        <v>4186.915888</v>
      </c>
      <c r="Q2638" s="7">
        <f>DAY('data on outstanding creditors'!$B2638)</f>
        <v>24</v>
      </c>
      <c r="R2638" s="7">
        <f>MONTH('data on outstanding creditors'!$B2638)</f>
        <v>4</v>
      </c>
      <c r="S2638" s="7">
        <f>YEAR('data on outstanding creditors'!$B2638)</f>
        <v>2025</v>
      </c>
      <c r="T2638" s="11" t="str">
        <f>'data on outstanding creditors'!$C2638&amp;" "&amp;'data on outstanding creditors'!$D2638&amp;" "&amp;TEXT('data on outstanding creditors'!$E2638,"#,##0.00")</f>
        <v>บ.ควอลิฟาย เมด โซลูชันส์ IV0199695 64,000.00</v>
      </c>
      <c r="U2638" s="12"/>
    </row>
    <row r="2639" ht="13.5" customHeight="1">
      <c r="A2639" s="1" t="s">
        <v>3962</v>
      </c>
      <c r="B2639" s="2">
        <v>45772.0</v>
      </c>
      <c r="C2639" s="9" t="s">
        <v>3882</v>
      </c>
      <c r="D2639" s="1" t="s">
        <v>3963</v>
      </c>
      <c r="E2639" s="4">
        <v>42500.0</v>
      </c>
      <c r="F2639" s="4"/>
      <c r="G2639" s="4"/>
      <c r="H2639" s="4">
        <f>'data on outstanding creditors'!$E2639-'data on outstanding creditors'!$F2639-'data on outstanding creditors'!$G2639</f>
        <v>42500</v>
      </c>
      <c r="I2639" s="2"/>
      <c r="J2639" s="1" t="s">
        <v>757</v>
      </c>
      <c r="K2639" s="2">
        <v>45832.0</v>
      </c>
      <c r="L2639" s="5"/>
      <c r="M2639" s="9" t="s">
        <v>339</v>
      </c>
      <c r="N2639" s="9" t="s">
        <v>49</v>
      </c>
      <c r="O2639" s="10">
        <f>'data on outstanding creditors'!$E2639*100/107</f>
        <v>39719.62617</v>
      </c>
      <c r="P2639" s="10">
        <f>'data on outstanding creditors'!$E2639-'data on outstanding creditors'!$O2639</f>
        <v>2780.373832</v>
      </c>
      <c r="Q2639" s="7">
        <f>DAY('data on outstanding creditors'!$B2639)</f>
        <v>25</v>
      </c>
      <c r="R2639" s="7">
        <f>MONTH('data on outstanding creditors'!$B2639)</f>
        <v>4</v>
      </c>
      <c r="S2639" s="7">
        <f>YEAR('data on outstanding creditors'!$B2639)</f>
        <v>2025</v>
      </c>
      <c r="T2639" s="11" t="str">
        <f>'data on outstanding creditors'!$C2639&amp;" "&amp;'data on outstanding creditors'!$D2639&amp;" "&amp;TEXT('data on outstanding creditors'!$E2639,"#,##0.00")</f>
        <v>บ.ทัซแล็บ 2013 INV6804-048 42,500.00</v>
      </c>
      <c r="U2639" s="12"/>
    </row>
    <row r="2640" ht="13.5" customHeight="1">
      <c r="A2640" s="1" t="s">
        <v>3964</v>
      </c>
      <c r="B2640" s="2">
        <v>45778.0</v>
      </c>
      <c r="C2640" s="9" t="s">
        <v>1422</v>
      </c>
      <c r="D2640" s="1" t="s">
        <v>3965</v>
      </c>
      <c r="E2640" s="4">
        <v>138544.0</v>
      </c>
      <c r="F2640" s="4"/>
      <c r="G2640" s="4"/>
      <c r="H2640" s="4">
        <f>'data on outstanding creditors'!$E2640-'data on outstanding creditors'!$F2640-'data on outstanding creditors'!$G2640</f>
        <v>138544</v>
      </c>
      <c r="I2640" s="2"/>
      <c r="J2640" s="1" t="s">
        <v>646</v>
      </c>
      <c r="K2640" s="2">
        <v>45885.0</v>
      </c>
      <c r="L2640" s="5"/>
      <c r="M2640" s="9" t="s">
        <v>339</v>
      </c>
      <c r="N2640" s="9" t="s">
        <v>49</v>
      </c>
      <c r="O2640" s="10">
        <f>'data on outstanding creditors'!$E2640*100/107</f>
        <v>129480.3738</v>
      </c>
      <c r="P2640" s="10">
        <f>'data on outstanding creditors'!$E2640-'data on outstanding creditors'!$O2640</f>
        <v>9063.626168</v>
      </c>
      <c r="Q2640" s="7">
        <f>DAY('data on outstanding creditors'!$B2640)</f>
        <v>1</v>
      </c>
      <c r="R2640" s="7">
        <f>MONTH('data on outstanding creditors'!$B2640)</f>
        <v>5</v>
      </c>
      <c r="S2640" s="7">
        <f>YEAR('data on outstanding creditors'!$B2640)</f>
        <v>2025</v>
      </c>
      <c r="T2640" s="11" t="str">
        <f>'data on outstanding creditors'!$C2640&amp;" "&amp;'data on outstanding creditors'!$D2640&amp;" "&amp;TEXT('data on outstanding creditors'!$E2640,"#,##0.00")</f>
        <v>บ.ดีซีเอช ออดิกา (ปรเทศไทย) UO94052006 138,544.00</v>
      </c>
      <c r="U2640" s="12"/>
    </row>
    <row r="2641" ht="13.5" customHeight="1">
      <c r="A2641" s="1" t="s">
        <v>3966</v>
      </c>
      <c r="B2641" s="2">
        <v>45778.0</v>
      </c>
      <c r="C2641" s="9" t="s">
        <v>3888</v>
      </c>
      <c r="D2641" s="1" t="s">
        <v>3967</v>
      </c>
      <c r="E2641" s="4">
        <v>266560.75</v>
      </c>
      <c r="F2641" s="4"/>
      <c r="G2641" s="4"/>
      <c r="H2641" s="4">
        <f>'data on outstanding creditors'!$E2641-'data on outstanding creditors'!$F2641-'data on outstanding creditors'!$G2641</f>
        <v>266560.75</v>
      </c>
      <c r="I2641" s="2"/>
      <c r="J2641" s="1" t="s">
        <v>646</v>
      </c>
      <c r="K2641" s="2">
        <v>45928.0</v>
      </c>
      <c r="L2641" s="5"/>
      <c r="M2641" s="9" t="s">
        <v>339</v>
      </c>
      <c r="N2641" s="9" t="s">
        <v>49</v>
      </c>
      <c r="O2641" s="10">
        <f>'data on outstanding creditors'!$E2641*100/107</f>
        <v>249122.1963</v>
      </c>
      <c r="P2641" s="10">
        <f>'data on outstanding creditors'!$E2641-'data on outstanding creditors'!$O2641</f>
        <v>17438.55374</v>
      </c>
      <c r="Q2641" s="7">
        <f>DAY('data on outstanding creditors'!$B2641)</f>
        <v>1</v>
      </c>
      <c r="R2641" s="7">
        <f>MONTH('data on outstanding creditors'!$B2641)</f>
        <v>5</v>
      </c>
      <c r="S2641" s="7">
        <f>YEAR('data on outstanding creditors'!$B2641)</f>
        <v>2025</v>
      </c>
      <c r="T2641" s="11" t="str">
        <f>'data on outstanding creditors'!$C2641&amp;" "&amp;'data on outstanding creditors'!$D2641&amp;" "&amp;TEXT('data on outstanding creditors'!$E2641,"#,##0.00")</f>
        <v>บ.พี ซี แอล โฮลดิ้ง PCI25-05-0118 266,560.75</v>
      </c>
      <c r="U2641" s="12"/>
    </row>
    <row r="2642" ht="13.5" customHeight="1">
      <c r="A2642" s="1" t="s">
        <v>3968</v>
      </c>
      <c r="B2642" s="2">
        <v>45778.0</v>
      </c>
      <c r="C2642" s="9" t="s">
        <v>3888</v>
      </c>
      <c r="D2642" s="1" t="s">
        <v>3969</v>
      </c>
      <c r="E2642" s="4">
        <v>245353.75</v>
      </c>
      <c r="F2642" s="4"/>
      <c r="G2642" s="4"/>
      <c r="H2642" s="4">
        <f>'data on outstanding creditors'!$E2642-'data on outstanding creditors'!$F2642-'data on outstanding creditors'!$G2642</f>
        <v>245353.75</v>
      </c>
      <c r="I2642" s="2"/>
      <c r="J2642" s="1" t="s">
        <v>646</v>
      </c>
      <c r="K2642" s="2">
        <v>45928.0</v>
      </c>
      <c r="L2642" s="5"/>
      <c r="M2642" s="9" t="s">
        <v>339</v>
      </c>
      <c r="N2642" s="9" t="s">
        <v>49</v>
      </c>
      <c r="O2642" s="10">
        <f>'data on outstanding creditors'!$E2642*100/107</f>
        <v>229302.5701</v>
      </c>
      <c r="P2642" s="10">
        <f>'data on outstanding creditors'!$E2642-'data on outstanding creditors'!$O2642</f>
        <v>16051.17991</v>
      </c>
      <c r="Q2642" s="7">
        <f>DAY('data on outstanding creditors'!$B2642)</f>
        <v>1</v>
      </c>
      <c r="R2642" s="7">
        <f>MONTH('data on outstanding creditors'!$B2642)</f>
        <v>5</v>
      </c>
      <c r="S2642" s="7">
        <f>YEAR('data on outstanding creditors'!$B2642)</f>
        <v>2025</v>
      </c>
      <c r="T2642" s="11" t="str">
        <f>'data on outstanding creditors'!$C2642&amp;" "&amp;'data on outstanding creditors'!$D2642&amp;" "&amp;TEXT('data on outstanding creditors'!$E2642,"#,##0.00")</f>
        <v>บ.พี ซี แอล โฮลดิ้ง PCI25-05-3003 245,353.75</v>
      </c>
      <c r="U2642" s="12"/>
    </row>
    <row r="2643" ht="13.5" customHeight="1">
      <c r="A2643" s="1" t="s">
        <v>3970</v>
      </c>
      <c r="B2643" s="2">
        <v>45790.0</v>
      </c>
      <c r="C2643" s="9" t="s">
        <v>3874</v>
      </c>
      <c r="D2643" s="1" t="s">
        <v>2736</v>
      </c>
      <c r="E2643" s="4">
        <v>33375.0</v>
      </c>
      <c r="F2643" s="4"/>
      <c r="G2643" s="4"/>
      <c r="H2643" s="4">
        <f>'data on outstanding creditors'!$E2643-'data on outstanding creditors'!$F2643-'data on outstanding creditors'!$G2643</f>
        <v>33375</v>
      </c>
      <c r="I2643" s="2"/>
      <c r="J2643" s="1" t="s">
        <v>757</v>
      </c>
      <c r="K2643" s="2">
        <v>45871.0</v>
      </c>
      <c r="L2643" s="5"/>
      <c r="M2643" s="9" t="s">
        <v>339</v>
      </c>
      <c r="N2643" s="9" t="s">
        <v>49</v>
      </c>
      <c r="O2643" s="10">
        <f>'data on outstanding creditors'!$E2643*100/107</f>
        <v>31191.58879</v>
      </c>
      <c r="P2643" s="10">
        <f>'data on outstanding creditors'!$E2643-'data on outstanding creditors'!$O2643</f>
        <v>2183.411215</v>
      </c>
      <c r="Q2643" s="7">
        <f>DAY('data on outstanding creditors'!$B2643)</f>
        <v>13</v>
      </c>
      <c r="R2643" s="7">
        <f>MONTH('data on outstanding creditors'!$B2643)</f>
        <v>5</v>
      </c>
      <c r="S2643" s="7">
        <f>YEAR('data on outstanding creditors'!$B2643)</f>
        <v>2025</v>
      </c>
      <c r="T2643" s="11" t="str">
        <f>'data on outstanding creditors'!$C2643&amp;" "&amp;'data on outstanding creditors'!$D2643&amp;" "&amp;TEXT('data on outstanding creditors'!$E2643,"#,##0.00")</f>
        <v>บ.เคม-ซายม์ IV6805004 33,375.00</v>
      </c>
      <c r="U2643" s="12"/>
    </row>
    <row r="2644" ht="13.5" customHeight="1">
      <c r="A2644" s="1" t="s">
        <v>3971</v>
      </c>
      <c r="B2644" s="2">
        <v>45796.0</v>
      </c>
      <c r="C2644" s="9" t="s">
        <v>3922</v>
      </c>
      <c r="D2644" s="1" t="s">
        <v>3972</v>
      </c>
      <c r="E2644" s="4">
        <v>93500.0</v>
      </c>
      <c r="F2644" s="4"/>
      <c r="G2644" s="4"/>
      <c r="H2644" s="4">
        <f>'data on outstanding creditors'!$E2644-'data on outstanding creditors'!$F2644-'data on outstanding creditors'!$G2644</f>
        <v>93500</v>
      </c>
      <c r="I2644" s="2"/>
      <c r="J2644" s="1" t="s">
        <v>646</v>
      </c>
      <c r="K2644" s="2">
        <v>45894.0</v>
      </c>
      <c r="L2644" s="5"/>
      <c r="M2644" s="9" t="s">
        <v>339</v>
      </c>
      <c r="N2644" s="9" t="s">
        <v>49</v>
      </c>
      <c r="O2644" s="10">
        <f>'data on outstanding creditors'!$E2644*100/107</f>
        <v>87383.17757</v>
      </c>
      <c r="P2644" s="10">
        <f>'data on outstanding creditors'!$E2644-'data on outstanding creditors'!$O2644</f>
        <v>6116.82243</v>
      </c>
      <c r="Q2644" s="7">
        <f>DAY('data on outstanding creditors'!$B2644)</f>
        <v>19</v>
      </c>
      <c r="R2644" s="7">
        <f>MONTH('data on outstanding creditors'!$B2644)</f>
        <v>5</v>
      </c>
      <c r="S2644" s="7">
        <f>YEAR('data on outstanding creditors'!$B2644)</f>
        <v>2025</v>
      </c>
      <c r="T2644" s="11" t="str">
        <f>'data on outstanding creditors'!$C2644&amp;" "&amp;'data on outstanding creditors'!$D2644&amp;" "&amp;TEXT('data on outstanding creditors'!$E2644,"#,##0.00")</f>
        <v>บ.ซี เมดิค IVZ6805-0481 93,500.00</v>
      </c>
      <c r="U2644" s="12"/>
    </row>
    <row r="2645" ht="13.5" customHeight="1">
      <c r="A2645" s="1" t="s">
        <v>3973</v>
      </c>
      <c r="B2645" s="2">
        <v>45796.0</v>
      </c>
      <c r="C2645" s="9" t="s">
        <v>2330</v>
      </c>
      <c r="D2645" s="1" t="s">
        <v>3974</v>
      </c>
      <c r="E2645" s="4">
        <v>60000.0</v>
      </c>
      <c r="F2645" s="4"/>
      <c r="G2645" s="4"/>
      <c r="H2645" s="4">
        <f>'data on outstanding creditors'!$E2645-'data on outstanding creditors'!$F2645-'data on outstanding creditors'!$G2645</f>
        <v>60000</v>
      </c>
      <c r="I2645" s="2"/>
      <c r="J2645" s="1" t="s">
        <v>646</v>
      </c>
      <c r="K2645" s="2">
        <v>45944.0</v>
      </c>
      <c r="L2645" s="5"/>
      <c r="M2645" s="9" t="s">
        <v>339</v>
      </c>
      <c r="N2645" s="9" t="s">
        <v>49</v>
      </c>
      <c r="O2645" s="10">
        <f>'data on outstanding creditors'!$E2645*100/107</f>
        <v>56074.76636</v>
      </c>
      <c r="P2645" s="10">
        <f>'data on outstanding creditors'!$E2645-'data on outstanding creditors'!$O2645</f>
        <v>3925.233645</v>
      </c>
      <c r="Q2645" s="7">
        <f>DAY('data on outstanding creditors'!$B2645)</f>
        <v>19</v>
      </c>
      <c r="R2645" s="7">
        <f>MONTH('data on outstanding creditors'!$B2645)</f>
        <v>5</v>
      </c>
      <c r="S2645" s="7">
        <f>YEAR('data on outstanding creditors'!$B2645)</f>
        <v>2025</v>
      </c>
      <c r="T2645" s="11" t="str">
        <f>'data on outstanding creditors'!$C2645&amp;" "&amp;'data on outstanding creditors'!$D2645&amp;" "&amp;TEXT('data on outstanding creditors'!$E2645,"#,##0.00")</f>
        <v>บ.อี ฟอร์ แอล เอม M6805-0353 60,000.00</v>
      </c>
      <c r="U2645" s="12"/>
    </row>
    <row r="2646" ht="13.5" customHeight="1">
      <c r="A2646" s="1" t="s">
        <v>3975</v>
      </c>
      <c r="B2646" s="2">
        <v>45800.0</v>
      </c>
      <c r="C2646" s="9" t="s">
        <v>337</v>
      </c>
      <c r="D2646" s="1" t="s">
        <v>3976</v>
      </c>
      <c r="E2646" s="4">
        <v>83424.0</v>
      </c>
      <c r="F2646" s="4"/>
      <c r="G2646" s="4"/>
      <c r="H2646" s="4">
        <f>'data on outstanding creditors'!$E2646-'data on outstanding creditors'!$F2646-'data on outstanding creditors'!$G2646</f>
        <v>83424</v>
      </c>
      <c r="I2646" s="2"/>
      <c r="J2646" s="1" t="s">
        <v>757</v>
      </c>
      <c r="K2646" s="2">
        <v>45871.0</v>
      </c>
      <c r="L2646" s="5"/>
      <c r="M2646" s="9" t="s">
        <v>339</v>
      </c>
      <c r="N2646" s="9" t="s">
        <v>49</v>
      </c>
      <c r="O2646" s="10">
        <f>'data on outstanding creditors'!$E2646*100/107</f>
        <v>77966.35514</v>
      </c>
      <c r="P2646" s="10">
        <f>'data on outstanding creditors'!$E2646-'data on outstanding creditors'!$O2646</f>
        <v>5457.64486</v>
      </c>
      <c r="Q2646" s="7">
        <f>DAY('data on outstanding creditors'!$B2646)</f>
        <v>23</v>
      </c>
      <c r="R2646" s="7">
        <f>MONTH('data on outstanding creditors'!$B2646)</f>
        <v>5</v>
      </c>
      <c r="S2646" s="7">
        <f>YEAR('data on outstanding creditors'!$B2646)</f>
        <v>2025</v>
      </c>
      <c r="T2646" s="11" t="str">
        <f>'data on outstanding creditors'!$C2646&amp;" "&amp;'data on outstanding creditors'!$D2646&amp;" "&amp;TEXT('data on outstanding creditors'!$E2646,"#,##0.00")</f>
        <v>บ.เมด-วัน I25050375 83,424.00</v>
      </c>
      <c r="U2646" s="12"/>
    </row>
    <row r="2647" ht="13.5" customHeight="1">
      <c r="A2647" s="1" t="s">
        <v>3977</v>
      </c>
      <c r="B2647" s="2">
        <v>45803.0</v>
      </c>
      <c r="C2647" s="9" t="s">
        <v>413</v>
      </c>
      <c r="D2647" s="1" t="s">
        <v>3978</v>
      </c>
      <c r="E2647" s="4">
        <v>281400.0</v>
      </c>
      <c r="F2647" s="4"/>
      <c r="G2647" s="4"/>
      <c r="H2647" s="4">
        <f>'data on outstanding creditors'!$E2647-'data on outstanding creditors'!$F2647-'data on outstanding creditors'!$G2647</f>
        <v>281400</v>
      </c>
      <c r="I2647" s="2"/>
      <c r="J2647" s="1" t="s">
        <v>646</v>
      </c>
      <c r="K2647" s="2">
        <v>45876.0</v>
      </c>
      <c r="L2647" s="5"/>
      <c r="M2647" s="9" t="s">
        <v>339</v>
      </c>
      <c r="N2647" s="9" t="s">
        <v>49</v>
      </c>
      <c r="O2647" s="10">
        <f>'data on outstanding creditors'!$E2647*100/107</f>
        <v>262990.6542</v>
      </c>
      <c r="P2647" s="10">
        <f>'data on outstanding creditors'!$E2647-'data on outstanding creditors'!$O2647</f>
        <v>18409.34579</v>
      </c>
      <c r="Q2647" s="7">
        <f>DAY('data on outstanding creditors'!$B2647)</f>
        <v>26</v>
      </c>
      <c r="R2647" s="7">
        <f>MONTH('data on outstanding creditors'!$B2647)</f>
        <v>5</v>
      </c>
      <c r="S2647" s="7">
        <f>YEAR('data on outstanding creditors'!$B2647)</f>
        <v>2025</v>
      </c>
      <c r="T2647" s="11" t="str">
        <f>'data on outstanding creditors'!$C2647&amp;" "&amp;'data on outstanding creditors'!$D2647&amp;" "&amp;TEXT('data on outstanding creditors'!$E2647,"#,##0.00")</f>
        <v>ศูนย์บริการโลหิตแห่งชาติ สภากาชาดไทย 682013-00095 281,400.00</v>
      </c>
      <c r="U2647" s="12"/>
    </row>
    <row r="2648" ht="13.5" customHeight="1">
      <c r="A2648" s="1" t="s">
        <v>3979</v>
      </c>
      <c r="B2648" s="2">
        <v>45805.0</v>
      </c>
      <c r="C2648" s="9" t="s">
        <v>413</v>
      </c>
      <c r="D2648" s="1" t="s">
        <v>3980</v>
      </c>
      <c r="E2648" s="4">
        <v>18000.0</v>
      </c>
      <c r="F2648" s="4"/>
      <c r="G2648" s="4"/>
      <c r="H2648" s="4">
        <f>'data on outstanding creditors'!$E2648-'data on outstanding creditors'!$F2648-'data on outstanding creditors'!$G2648</f>
        <v>18000</v>
      </c>
      <c r="I2648" s="2"/>
      <c r="J2648" s="1" t="s">
        <v>646</v>
      </c>
      <c r="K2648" s="2">
        <v>45876.0</v>
      </c>
      <c r="L2648" s="5"/>
      <c r="M2648" s="9" t="s">
        <v>339</v>
      </c>
      <c r="N2648" s="9" t="s">
        <v>49</v>
      </c>
      <c r="O2648" s="10">
        <f>'data on outstanding creditors'!$E2648*100/107</f>
        <v>16822.42991</v>
      </c>
      <c r="P2648" s="10">
        <f>'data on outstanding creditors'!$E2648-'data on outstanding creditors'!$O2648</f>
        <v>1177.570093</v>
      </c>
      <c r="Q2648" s="7">
        <f>DAY('data on outstanding creditors'!$B2648)</f>
        <v>28</v>
      </c>
      <c r="R2648" s="7">
        <f>MONTH('data on outstanding creditors'!$B2648)</f>
        <v>5</v>
      </c>
      <c r="S2648" s="7">
        <f>YEAR('data on outstanding creditors'!$B2648)</f>
        <v>2025</v>
      </c>
      <c r="T2648" s="11" t="str">
        <f>'data on outstanding creditors'!$C2648&amp;" "&amp;'data on outstanding creditors'!$D2648&amp;" "&amp;TEXT('data on outstanding creditors'!$E2648,"#,##0.00")</f>
        <v>ศูนย์บริการโลหิตแห่งชาติ สภากาชาดไทย 682022/00071 18,000.00</v>
      </c>
      <c r="U2648" s="12"/>
    </row>
    <row r="2649" ht="13.5" customHeight="1">
      <c r="A2649" s="1" t="s">
        <v>3981</v>
      </c>
      <c r="B2649" s="2">
        <v>45805.0</v>
      </c>
      <c r="C2649" s="9" t="s">
        <v>413</v>
      </c>
      <c r="D2649" s="1" t="s">
        <v>3982</v>
      </c>
      <c r="E2649" s="4">
        <v>2420.0</v>
      </c>
      <c r="F2649" s="4"/>
      <c r="G2649" s="4"/>
      <c r="H2649" s="4">
        <f>'data on outstanding creditors'!$E2649-'data on outstanding creditors'!$F2649-'data on outstanding creditors'!$G2649</f>
        <v>2420</v>
      </c>
      <c r="I2649" s="2"/>
      <c r="J2649" s="1" t="s">
        <v>646</v>
      </c>
      <c r="K2649" s="2">
        <v>45876.0</v>
      </c>
      <c r="L2649" s="5"/>
      <c r="M2649" s="9" t="s">
        <v>339</v>
      </c>
      <c r="N2649" s="9" t="s">
        <v>49</v>
      </c>
      <c r="O2649" s="10">
        <f>'data on outstanding creditors'!$E2649*100/107</f>
        <v>2261.682243</v>
      </c>
      <c r="P2649" s="10">
        <f>'data on outstanding creditors'!$E2649-'data on outstanding creditors'!$O2649</f>
        <v>158.317757</v>
      </c>
      <c r="Q2649" s="7">
        <f>DAY('data on outstanding creditors'!$B2649)</f>
        <v>28</v>
      </c>
      <c r="R2649" s="7">
        <f>MONTH('data on outstanding creditors'!$B2649)</f>
        <v>5</v>
      </c>
      <c r="S2649" s="7">
        <f>YEAR('data on outstanding creditors'!$B2649)</f>
        <v>2025</v>
      </c>
      <c r="T2649" s="11" t="str">
        <f>'data on outstanding creditors'!$C2649&amp;" "&amp;'data on outstanding creditors'!$D2649&amp;" "&amp;TEXT('data on outstanding creditors'!$E2649,"#,##0.00")</f>
        <v>ศูนย์บริการโลหิตแห่งชาติ สภากาชาดไทย 682027/00062 2,420.00</v>
      </c>
      <c r="U2649" s="12"/>
    </row>
    <row r="2650" ht="13.5" customHeight="1">
      <c r="A2650" s="1" t="s">
        <v>3983</v>
      </c>
      <c r="B2650" s="2">
        <v>45812.0</v>
      </c>
      <c r="C2650" s="9" t="s">
        <v>3888</v>
      </c>
      <c r="D2650" s="1" t="s">
        <v>3984</v>
      </c>
      <c r="E2650" s="4">
        <v>198930.4</v>
      </c>
      <c r="F2650" s="4"/>
      <c r="G2650" s="4"/>
      <c r="H2650" s="4">
        <f>'data on outstanding creditors'!$E2650-'data on outstanding creditors'!$F2650-'data on outstanding creditors'!$G2650</f>
        <v>198930.4</v>
      </c>
      <c r="I2650" s="2"/>
      <c r="J2650" s="1" t="s">
        <v>646</v>
      </c>
      <c r="K2650" s="2">
        <v>45928.0</v>
      </c>
      <c r="L2650" s="5"/>
      <c r="M2650" s="9" t="s">
        <v>339</v>
      </c>
      <c r="N2650" s="9" t="s">
        <v>49</v>
      </c>
      <c r="O2650" s="10">
        <f>'data on outstanding creditors'!$E2650*100/107</f>
        <v>185916.2617</v>
      </c>
      <c r="P2650" s="10">
        <f>'data on outstanding creditors'!$E2650-'data on outstanding creditors'!$O2650</f>
        <v>13014.13832</v>
      </c>
      <c r="Q2650" s="7">
        <f>DAY('data on outstanding creditors'!$B2650)</f>
        <v>4</v>
      </c>
      <c r="R2650" s="7">
        <f>MONTH('data on outstanding creditors'!$B2650)</f>
        <v>6</v>
      </c>
      <c r="S2650" s="7">
        <f>YEAR('data on outstanding creditors'!$B2650)</f>
        <v>2025</v>
      </c>
      <c r="T2650" s="11" t="str">
        <f>'data on outstanding creditors'!$C2650&amp;" "&amp;'data on outstanding creditors'!$D2650&amp;" "&amp;TEXT('data on outstanding creditors'!$E2650,"#,##0.00")</f>
        <v>บ.พี ซี แอล โฮลดิ้ง PCI25-06-0115 198,930.40</v>
      </c>
      <c r="U2650" s="12"/>
    </row>
    <row r="2651" ht="13.5" customHeight="1">
      <c r="A2651" s="1" t="s">
        <v>3985</v>
      </c>
      <c r="B2651" s="2">
        <v>45812.0</v>
      </c>
      <c r="C2651" s="9" t="s">
        <v>3888</v>
      </c>
      <c r="D2651" s="1" t="s">
        <v>3986</v>
      </c>
      <c r="E2651" s="4">
        <v>140693.55</v>
      </c>
      <c r="F2651" s="4"/>
      <c r="G2651" s="4"/>
      <c r="H2651" s="4">
        <f>'data on outstanding creditors'!$E2651-'data on outstanding creditors'!$F2651-'data on outstanding creditors'!$G2651</f>
        <v>140693.55</v>
      </c>
      <c r="I2651" s="2"/>
      <c r="J2651" s="1" t="s">
        <v>646</v>
      </c>
      <c r="K2651" s="2">
        <v>45928.0</v>
      </c>
      <c r="L2651" s="5"/>
      <c r="M2651" s="9" t="s">
        <v>339</v>
      </c>
      <c r="N2651" s="9" t="s">
        <v>49</v>
      </c>
      <c r="O2651" s="10">
        <f>'data on outstanding creditors'!$E2651*100/107</f>
        <v>131489.2991</v>
      </c>
      <c r="P2651" s="10">
        <f>'data on outstanding creditors'!$E2651-'data on outstanding creditors'!$O2651</f>
        <v>9204.250935</v>
      </c>
      <c r="Q2651" s="7">
        <f>DAY('data on outstanding creditors'!$B2651)</f>
        <v>4</v>
      </c>
      <c r="R2651" s="7">
        <f>MONTH('data on outstanding creditors'!$B2651)</f>
        <v>6</v>
      </c>
      <c r="S2651" s="7">
        <f>YEAR('data on outstanding creditors'!$B2651)</f>
        <v>2025</v>
      </c>
      <c r="T2651" s="11" t="str">
        <f>'data on outstanding creditors'!$C2651&amp;" "&amp;'data on outstanding creditors'!$D2651&amp;" "&amp;TEXT('data on outstanding creditors'!$E2651,"#,##0.00")</f>
        <v>บ.พี ซี แอล โฮลดิ้ง PCI25-06-0118 140,693.55</v>
      </c>
      <c r="U2651" s="12"/>
    </row>
    <row r="2652" ht="13.5" customHeight="1">
      <c r="A2652" s="1" t="s">
        <v>3987</v>
      </c>
      <c r="B2652" s="2">
        <v>45812.0</v>
      </c>
      <c r="C2652" s="9" t="s">
        <v>1422</v>
      </c>
      <c r="D2652" s="1" t="s">
        <v>3988</v>
      </c>
      <c r="E2652" s="4">
        <v>154084.0</v>
      </c>
      <c r="F2652" s="4"/>
      <c r="G2652" s="4"/>
      <c r="H2652" s="4">
        <f>'data on outstanding creditors'!$E2652-'data on outstanding creditors'!$F2652-'data on outstanding creditors'!$G2652</f>
        <v>154084</v>
      </c>
      <c r="I2652" s="2"/>
      <c r="J2652" s="1" t="s">
        <v>646</v>
      </c>
      <c r="K2652" s="2">
        <v>45944.0</v>
      </c>
      <c r="L2652" s="5"/>
      <c r="M2652" s="9" t="s">
        <v>339</v>
      </c>
      <c r="N2652" s="9" t="s">
        <v>49</v>
      </c>
      <c r="O2652" s="10">
        <f>'data on outstanding creditors'!$E2652*100/107</f>
        <v>144003.7383</v>
      </c>
      <c r="P2652" s="10">
        <f>'data on outstanding creditors'!$E2652-'data on outstanding creditors'!$O2652</f>
        <v>10080.26168</v>
      </c>
      <c r="Q2652" s="7">
        <f>DAY('data on outstanding creditors'!$B2652)</f>
        <v>4</v>
      </c>
      <c r="R2652" s="7">
        <f>MONTH('data on outstanding creditors'!$B2652)</f>
        <v>6</v>
      </c>
      <c r="S2652" s="7">
        <f>YEAR('data on outstanding creditors'!$B2652)</f>
        <v>2025</v>
      </c>
      <c r="T2652" s="11" t="str">
        <f>'data on outstanding creditors'!$C2652&amp;" "&amp;'data on outstanding creditors'!$D2652&amp;" "&amp;TEXT('data on outstanding creditors'!$E2652,"#,##0.00")</f>
        <v>บ.ดีซีเอช ออดิกา (ปรเทศไทย) UO94053158 154,084.00</v>
      </c>
      <c r="U2652" s="12"/>
    </row>
    <row r="2653" ht="13.5" customHeight="1">
      <c r="A2653" s="1" t="s">
        <v>3989</v>
      </c>
      <c r="B2653" s="2">
        <v>45812.0</v>
      </c>
      <c r="C2653" s="9" t="s">
        <v>3888</v>
      </c>
      <c r="D2653" s="1" t="s">
        <v>3990</v>
      </c>
      <c r="E2653" s="4">
        <v>227341.0</v>
      </c>
      <c r="F2653" s="4"/>
      <c r="G2653" s="4"/>
      <c r="H2653" s="4">
        <f>'data on outstanding creditors'!$E2653-'data on outstanding creditors'!$F2653-'data on outstanding creditors'!$G2653</f>
        <v>227341</v>
      </c>
      <c r="I2653" s="2"/>
      <c r="J2653" s="1" t="s">
        <v>646</v>
      </c>
      <c r="K2653" s="2">
        <v>45928.0</v>
      </c>
      <c r="L2653" s="5"/>
      <c r="M2653" s="9" t="s">
        <v>339</v>
      </c>
      <c r="N2653" s="9" t="s">
        <v>49</v>
      </c>
      <c r="O2653" s="10">
        <f>'data on outstanding creditors'!$E2653*100/107</f>
        <v>212468.2243</v>
      </c>
      <c r="P2653" s="10">
        <f>'data on outstanding creditors'!$E2653-'data on outstanding creditors'!$O2653</f>
        <v>14872.7757</v>
      </c>
      <c r="Q2653" s="7">
        <f>DAY('data on outstanding creditors'!$B2653)</f>
        <v>4</v>
      </c>
      <c r="R2653" s="7">
        <f>MONTH('data on outstanding creditors'!$B2653)</f>
        <v>6</v>
      </c>
      <c r="S2653" s="7">
        <f>YEAR('data on outstanding creditors'!$B2653)</f>
        <v>2025</v>
      </c>
      <c r="T2653" s="11" t="str">
        <f>'data on outstanding creditors'!$C2653&amp;" "&amp;'data on outstanding creditors'!$D2653&amp;" "&amp;TEXT('data on outstanding creditors'!$E2653,"#,##0.00")</f>
        <v>บ.พี ซี แอล โฮลดิ้ง PCI25-06-0126 227,341.00</v>
      </c>
      <c r="U2653" s="12"/>
    </row>
    <row r="2654" ht="13.5" customHeight="1">
      <c r="A2654" s="1" t="s">
        <v>3991</v>
      </c>
      <c r="B2654" s="2">
        <v>45817.0</v>
      </c>
      <c r="C2654" s="9" t="s">
        <v>3874</v>
      </c>
      <c r="D2654" s="1" t="s">
        <v>3992</v>
      </c>
      <c r="E2654" s="4">
        <v>39175.0</v>
      </c>
      <c r="F2654" s="4"/>
      <c r="G2654" s="4"/>
      <c r="H2654" s="4">
        <f>'data on outstanding creditors'!$E2654-'data on outstanding creditors'!$F2654-'data on outstanding creditors'!$G2654</f>
        <v>39175</v>
      </c>
      <c r="I2654" s="2"/>
      <c r="J2654" s="1" t="s">
        <v>757</v>
      </c>
      <c r="K2654" s="2">
        <v>45891.0</v>
      </c>
      <c r="L2654" s="5"/>
      <c r="M2654" s="9" t="s">
        <v>339</v>
      </c>
      <c r="N2654" s="9" t="s">
        <v>49</v>
      </c>
      <c r="O2654" s="10">
        <f>'data on outstanding creditors'!$E2654*100/107</f>
        <v>36612.14953</v>
      </c>
      <c r="P2654" s="10">
        <f>'data on outstanding creditors'!$E2654-'data on outstanding creditors'!$O2654</f>
        <v>2562.850467</v>
      </c>
      <c r="Q2654" s="7">
        <f>DAY('data on outstanding creditors'!$B2654)</f>
        <v>9</v>
      </c>
      <c r="R2654" s="7">
        <f>MONTH('data on outstanding creditors'!$B2654)</f>
        <v>6</v>
      </c>
      <c r="S2654" s="7">
        <f>YEAR('data on outstanding creditors'!$B2654)</f>
        <v>2025</v>
      </c>
      <c r="T2654" s="11" t="str">
        <f>'data on outstanding creditors'!$C2654&amp;" "&amp;'data on outstanding creditors'!$D2654&amp;" "&amp;TEXT('data on outstanding creditors'!$E2654,"#,##0.00")</f>
        <v>บ.เคม-ซายม์ IV6805010 39,175.00</v>
      </c>
      <c r="U2654" s="12"/>
    </row>
    <row r="2655" ht="13.5" customHeight="1">
      <c r="A2655" s="1" t="s">
        <v>3993</v>
      </c>
      <c r="B2655" s="2">
        <v>45821.0</v>
      </c>
      <c r="C2655" s="9" t="s">
        <v>3994</v>
      </c>
      <c r="D2655" s="1" t="s">
        <v>3995</v>
      </c>
      <c r="E2655" s="4">
        <v>28575.0</v>
      </c>
      <c r="F2655" s="4"/>
      <c r="G2655" s="4"/>
      <c r="H2655" s="4">
        <f>'data on outstanding creditors'!$E2655-'data on outstanding creditors'!$F2655-'data on outstanding creditors'!$G2655</f>
        <v>28575</v>
      </c>
      <c r="I2655" s="2"/>
      <c r="J2655" s="1" t="s">
        <v>646</v>
      </c>
      <c r="K2655" s="2">
        <v>45928.0</v>
      </c>
      <c r="L2655" s="5"/>
      <c r="M2655" s="9" t="s">
        <v>339</v>
      </c>
      <c r="N2655" s="9" t="s">
        <v>49</v>
      </c>
      <c r="O2655" s="10">
        <f>'data on outstanding creditors'!$E2655*100/107</f>
        <v>26705.60748</v>
      </c>
      <c r="P2655" s="10">
        <f>'data on outstanding creditors'!$E2655-'data on outstanding creditors'!$O2655</f>
        <v>1869.392523</v>
      </c>
      <c r="Q2655" s="7">
        <f>DAY('data on outstanding creditors'!$B2655)</f>
        <v>13</v>
      </c>
      <c r="R2655" s="7">
        <f>MONTH('data on outstanding creditors'!$B2655)</f>
        <v>6</v>
      </c>
      <c r="S2655" s="7">
        <f>YEAR('data on outstanding creditors'!$B2655)</f>
        <v>2025</v>
      </c>
      <c r="T2655" s="11" t="str">
        <f>'data on outstanding creditors'!$C2655&amp;" "&amp;'data on outstanding creditors'!$D2655&amp;" "&amp;TEXT('data on outstanding creditors'!$E2655,"#,##0.00")</f>
        <v>บ.แล็บมาสเตอร์ แอ๊ดวานซ์ IV6806-0503 28,575.00</v>
      </c>
      <c r="U2655" s="12"/>
    </row>
    <row r="2656" ht="13.5" customHeight="1">
      <c r="A2656" s="1" t="s">
        <v>3996</v>
      </c>
      <c r="B2656" s="2">
        <v>45821.0</v>
      </c>
      <c r="C2656" s="9" t="s">
        <v>3915</v>
      </c>
      <c r="D2656" s="1" t="s">
        <v>3997</v>
      </c>
      <c r="E2656" s="4">
        <v>44350.0</v>
      </c>
      <c r="F2656" s="4"/>
      <c r="G2656" s="4"/>
      <c r="H2656" s="4">
        <f>'data on outstanding creditors'!$E2656-'data on outstanding creditors'!$F2656-'data on outstanding creditors'!$G2656</f>
        <v>44350</v>
      </c>
      <c r="I2656" s="2"/>
      <c r="J2656" s="1" t="s">
        <v>646</v>
      </c>
      <c r="K2656" s="2">
        <v>45928.0</v>
      </c>
      <c r="L2656" s="5"/>
      <c r="M2656" s="9" t="s">
        <v>339</v>
      </c>
      <c r="N2656" s="9" t="s">
        <v>49</v>
      </c>
      <c r="O2656" s="10">
        <f>'data on outstanding creditors'!$E2656*100/107</f>
        <v>41448.59813</v>
      </c>
      <c r="P2656" s="10">
        <f>'data on outstanding creditors'!$E2656-'data on outstanding creditors'!$O2656</f>
        <v>2901.401869</v>
      </c>
      <c r="Q2656" s="7">
        <f>DAY('data on outstanding creditors'!$B2656)</f>
        <v>13</v>
      </c>
      <c r="R2656" s="7">
        <f>MONTH('data on outstanding creditors'!$B2656)</f>
        <v>6</v>
      </c>
      <c r="S2656" s="7">
        <f>YEAR('data on outstanding creditors'!$B2656)</f>
        <v>2025</v>
      </c>
      <c r="T2656" s="11" t="str">
        <f>'data on outstanding creditors'!$C2656&amp;" "&amp;'data on outstanding creditors'!$D2656&amp;" "&amp;TEXT('data on outstanding creditors'!$E2656,"#,##0.00")</f>
        <v>บ.ควอลิฟาย เมด โซลูชันส์ IV0201204 44,350.00</v>
      </c>
      <c r="U2656" s="12"/>
    </row>
    <row r="2657" ht="13.5" customHeight="1">
      <c r="A2657" s="1" t="s">
        <v>3998</v>
      </c>
      <c r="B2657" s="2">
        <v>45824.0</v>
      </c>
      <c r="C2657" s="9" t="s">
        <v>3894</v>
      </c>
      <c r="D2657" s="1" t="s">
        <v>3999</v>
      </c>
      <c r="E2657" s="4">
        <v>316800.0</v>
      </c>
      <c r="F2657" s="4"/>
      <c r="G2657" s="4"/>
      <c r="H2657" s="4">
        <f>'data on outstanding creditors'!$E2657-'data on outstanding creditors'!$F2657-'data on outstanding creditors'!$G2657</f>
        <v>316800</v>
      </c>
      <c r="I2657" s="2"/>
      <c r="J2657" s="1" t="s">
        <v>646</v>
      </c>
      <c r="K2657" s="2">
        <v>45928.0</v>
      </c>
      <c r="L2657" s="5"/>
      <c r="M2657" s="9" t="s">
        <v>339</v>
      </c>
      <c r="N2657" s="9" t="s">
        <v>49</v>
      </c>
      <c r="O2657" s="10">
        <f>'data on outstanding creditors'!$E2657*100/107</f>
        <v>296074.7664</v>
      </c>
      <c r="P2657" s="10">
        <f>'data on outstanding creditors'!$E2657-'data on outstanding creditors'!$O2657</f>
        <v>20725.23364</v>
      </c>
      <c r="Q2657" s="7">
        <f>DAY('data on outstanding creditors'!$B2657)</f>
        <v>16</v>
      </c>
      <c r="R2657" s="7">
        <f>MONTH('data on outstanding creditors'!$B2657)</f>
        <v>6</v>
      </c>
      <c r="S2657" s="7">
        <f>YEAR('data on outstanding creditors'!$B2657)</f>
        <v>2025</v>
      </c>
      <c r="T2657" s="11" t="str">
        <f>'data on outstanding creditors'!$C2657&amp;" "&amp;'data on outstanding creditors'!$D2657&amp;" "&amp;TEXT('data on outstanding creditors'!$E2657,"#,##0.00")</f>
        <v>บ.ไทย ไดแอ็กนอสติก 6806032 316,800.00</v>
      </c>
      <c r="U2657" s="12"/>
    </row>
    <row r="2658" ht="13.5" customHeight="1">
      <c r="A2658" s="1" t="s">
        <v>4000</v>
      </c>
      <c r="B2658" s="2">
        <v>45824.0</v>
      </c>
      <c r="C2658" s="9" t="s">
        <v>3882</v>
      </c>
      <c r="D2658" s="1" t="s">
        <v>4001</v>
      </c>
      <c r="E2658" s="4">
        <v>28925.0</v>
      </c>
      <c r="F2658" s="4"/>
      <c r="G2658" s="4"/>
      <c r="H2658" s="4">
        <f>'data on outstanding creditors'!$E2658-'data on outstanding creditors'!$F2658-'data on outstanding creditors'!$G2658</f>
        <v>28925</v>
      </c>
      <c r="I2658" s="2"/>
      <c r="J2658" s="1" t="s">
        <v>757</v>
      </c>
      <c r="K2658" s="2">
        <v>45891.0</v>
      </c>
      <c r="L2658" s="5"/>
      <c r="M2658" s="9" t="s">
        <v>339</v>
      </c>
      <c r="N2658" s="9" t="s">
        <v>49</v>
      </c>
      <c r="O2658" s="10">
        <f>'data on outstanding creditors'!$E2658*100/107</f>
        <v>27032.71028</v>
      </c>
      <c r="P2658" s="10">
        <f>'data on outstanding creditors'!$E2658-'data on outstanding creditors'!$O2658</f>
        <v>1892.28972</v>
      </c>
      <c r="Q2658" s="7">
        <f>DAY('data on outstanding creditors'!$B2658)</f>
        <v>16</v>
      </c>
      <c r="R2658" s="7">
        <f>MONTH('data on outstanding creditors'!$B2658)</f>
        <v>6</v>
      </c>
      <c r="S2658" s="7">
        <f>YEAR('data on outstanding creditors'!$B2658)</f>
        <v>2025</v>
      </c>
      <c r="T2658" s="11" t="str">
        <f>'data on outstanding creditors'!$C2658&amp;" "&amp;'data on outstanding creditors'!$D2658&amp;" "&amp;TEXT('data on outstanding creditors'!$E2658,"#,##0.00")</f>
        <v>บ.ทัซแล็บ 2013 INV6806-029 28,925.00</v>
      </c>
      <c r="U2658" s="12"/>
    </row>
    <row r="2659" ht="13.5" customHeight="1">
      <c r="A2659" s="1" t="s">
        <v>4002</v>
      </c>
      <c r="B2659" s="2">
        <v>45825.0</v>
      </c>
      <c r="C2659" s="9" t="s">
        <v>3888</v>
      </c>
      <c r="D2659" s="1" t="s">
        <v>4003</v>
      </c>
      <c r="E2659" s="4">
        <v>40000.0</v>
      </c>
      <c r="F2659" s="4"/>
      <c r="G2659" s="4"/>
      <c r="H2659" s="4">
        <f>'data on outstanding creditors'!$E2659-'data on outstanding creditors'!$F2659-'data on outstanding creditors'!$G2659</f>
        <v>40000</v>
      </c>
      <c r="I2659" s="2"/>
      <c r="J2659" s="1" t="s">
        <v>646</v>
      </c>
      <c r="K2659" s="2">
        <v>45928.0</v>
      </c>
      <c r="L2659" s="5"/>
      <c r="M2659" s="9" t="s">
        <v>339</v>
      </c>
      <c r="N2659" s="9" t="s">
        <v>49</v>
      </c>
      <c r="O2659" s="10">
        <f>'data on outstanding creditors'!$E2659*100/107</f>
        <v>37383.17757</v>
      </c>
      <c r="P2659" s="10">
        <f>'data on outstanding creditors'!$E2659-'data on outstanding creditors'!$O2659</f>
        <v>2616.82243</v>
      </c>
      <c r="Q2659" s="7">
        <f>DAY('data on outstanding creditors'!$B2659)</f>
        <v>17</v>
      </c>
      <c r="R2659" s="7">
        <f>MONTH('data on outstanding creditors'!$B2659)</f>
        <v>6</v>
      </c>
      <c r="S2659" s="7">
        <f>YEAR('data on outstanding creditors'!$B2659)</f>
        <v>2025</v>
      </c>
      <c r="T2659" s="11" t="str">
        <f>'data on outstanding creditors'!$C2659&amp;" "&amp;'data on outstanding creditors'!$D2659&amp;" "&amp;TEXT('data on outstanding creditors'!$E2659,"#,##0.00")</f>
        <v>บ.พี ซี แอล โฮลดิ้ง PCi25-06-0092 40,000.00</v>
      </c>
      <c r="U2659" s="12"/>
    </row>
    <row r="2660" ht="13.5" customHeight="1">
      <c r="A2660" s="1" t="s">
        <v>4004</v>
      </c>
      <c r="B2660" s="2">
        <v>45827.0</v>
      </c>
      <c r="C2660" s="9" t="s">
        <v>3927</v>
      </c>
      <c r="D2660" s="1" t="s">
        <v>4005</v>
      </c>
      <c r="E2660" s="4">
        <v>75000.0</v>
      </c>
      <c r="F2660" s="4"/>
      <c r="G2660" s="4"/>
      <c r="H2660" s="4">
        <f>'data on outstanding creditors'!$E2660-'data on outstanding creditors'!$F2660-'data on outstanding creditors'!$G2660</f>
        <v>75000</v>
      </c>
      <c r="I2660" s="2"/>
      <c r="J2660" s="1" t="s">
        <v>757</v>
      </c>
      <c r="K2660" s="2">
        <v>45891.0</v>
      </c>
      <c r="L2660" s="5"/>
      <c r="M2660" s="9" t="s">
        <v>339</v>
      </c>
      <c r="N2660" s="9" t="s">
        <v>49</v>
      </c>
      <c r="O2660" s="10">
        <f>'data on outstanding creditors'!$E2660*100/107</f>
        <v>70093.45794</v>
      </c>
      <c r="P2660" s="10">
        <f>'data on outstanding creditors'!$E2660-'data on outstanding creditors'!$O2660</f>
        <v>4906.542056</v>
      </c>
      <c r="Q2660" s="7">
        <f>DAY('data on outstanding creditors'!$B2660)</f>
        <v>19</v>
      </c>
      <c r="R2660" s="7">
        <f>MONTH('data on outstanding creditors'!$B2660)</f>
        <v>6</v>
      </c>
      <c r="S2660" s="7">
        <f>YEAR('data on outstanding creditors'!$B2660)</f>
        <v>2025</v>
      </c>
      <c r="T2660" s="11" t="str">
        <f>'data on outstanding creditors'!$C2660&amp;" "&amp;'data on outstanding creditors'!$D2660&amp;" "&amp;TEXT('data on outstanding creditors'!$E2660,"#,##0.00")</f>
        <v>บ.โปรเฟสชั่นแนล เมดิคอล ซายน์ INT-PMS-680600149 75,000.00</v>
      </c>
      <c r="U2660" s="12"/>
    </row>
    <row r="2661" ht="13.5" customHeight="1">
      <c r="A2661" s="1" t="s">
        <v>4006</v>
      </c>
      <c r="B2661" s="2">
        <v>45828.0</v>
      </c>
      <c r="C2661" s="9" t="s">
        <v>337</v>
      </c>
      <c r="D2661" s="1" t="s">
        <v>4007</v>
      </c>
      <c r="E2661" s="4">
        <v>85600.0</v>
      </c>
      <c r="F2661" s="4"/>
      <c r="G2661" s="4"/>
      <c r="H2661" s="4">
        <f>'data on outstanding creditors'!$E2661-'data on outstanding creditors'!$F2661-'data on outstanding creditors'!$G2661</f>
        <v>85600</v>
      </c>
      <c r="I2661" s="2"/>
      <c r="J2661" s="1" t="s">
        <v>757</v>
      </c>
      <c r="K2661" s="2">
        <v>45891.0</v>
      </c>
      <c r="L2661" s="5"/>
      <c r="M2661" s="9" t="s">
        <v>339</v>
      </c>
      <c r="N2661" s="9" t="s">
        <v>49</v>
      </c>
      <c r="O2661" s="10">
        <f>'data on outstanding creditors'!$E2661*100/107</f>
        <v>80000</v>
      </c>
      <c r="P2661" s="10">
        <f>'data on outstanding creditors'!$E2661-'data on outstanding creditors'!$O2661</f>
        <v>5600</v>
      </c>
      <c r="Q2661" s="7">
        <f>DAY('data on outstanding creditors'!$B2661)</f>
        <v>20</v>
      </c>
      <c r="R2661" s="7">
        <f>MONTH('data on outstanding creditors'!$B2661)</f>
        <v>6</v>
      </c>
      <c r="S2661" s="7">
        <f>YEAR('data on outstanding creditors'!$B2661)</f>
        <v>2025</v>
      </c>
      <c r="T2661" s="11" t="str">
        <f>'data on outstanding creditors'!$C2661&amp;" "&amp;'data on outstanding creditors'!$D2661&amp;" "&amp;TEXT('data on outstanding creditors'!$E2661,"#,##0.00")</f>
        <v>บ.เมด-วัน I25060410 85,600.00</v>
      </c>
      <c r="U2661" s="12"/>
    </row>
    <row r="2662" ht="13.5" customHeight="1">
      <c r="A2662" s="1" t="s">
        <v>4008</v>
      </c>
      <c r="B2662" s="2">
        <v>45831.0</v>
      </c>
      <c r="C2662" s="9" t="s">
        <v>2330</v>
      </c>
      <c r="D2662" s="1" t="s">
        <v>4009</v>
      </c>
      <c r="E2662" s="4">
        <v>60000.0</v>
      </c>
      <c r="F2662" s="4"/>
      <c r="G2662" s="4"/>
      <c r="H2662" s="4">
        <f>'data on outstanding creditors'!$E2662-'data on outstanding creditors'!$F2662-'data on outstanding creditors'!$G2662</f>
        <v>60000</v>
      </c>
      <c r="I2662" s="2"/>
      <c r="J2662" s="1" t="s">
        <v>646</v>
      </c>
      <c r="K2662" s="2">
        <v>45944.0</v>
      </c>
      <c r="L2662" s="5"/>
      <c r="M2662" s="9" t="s">
        <v>339</v>
      </c>
      <c r="N2662" s="9" t="s">
        <v>49</v>
      </c>
      <c r="O2662" s="10">
        <f>'data on outstanding creditors'!$E2662*100/107</f>
        <v>56074.76636</v>
      </c>
      <c r="P2662" s="10">
        <f>'data on outstanding creditors'!$E2662-'data on outstanding creditors'!$O2662</f>
        <v>3925.233645</v>
      </c>
      <c r="Q2662" s="7">
        <f>DAY('data on outstanding creditors'!$B2662)</f>
        <v>23</v>
      </c>
      <c r="R2662" s="7">
        <f>MONTH('data on outstanding creditors'!$B2662)</f>
        <v>6</v>
      </c>
      <c r="S2662" s="7">
        <f>YEAR('data on outstanding creditors'!$B2662)</f>
        <v>2025</v>
      </c>
      <c r="T2662" s="11" t="str">
        <f>'data on outstanding creditors'!$C2662&amp;" "&amp;'data on outstanding creditors'!$D2662&amp;" "&amp;TEXT('data on outstanding creditors'!$E2662,"#,##0.00")</f>
        <v>บ.อี ฟอร์ แอล เอม M6806-0386 60,000.00</v>
      </c>
      <c r="U2662" s="12"/>
    </row>
    <row r="2663" ht="13.5" customHeight="1">
      <c r="A2663" s="1" t="s">
        <v>4010</v>
      </c>
      <c r="B2663" s="2">
        <v>45833.0</v>
      </c>
      <c r="C2663" s="9" t="s">
        <v>413</v>
      </c>
      <c r="D2663" s="1" t="s">
        <v>4011</v>
      </c>
      <c r="E2663" s="4">
        <v>385510.0</v>
      </c>
      <c r="F2663" s="4"/>
      <c r="G2663" s="4"/>
      <c r="H2663" s="4">
        <f>'data on outstanding creditors'!$E2663-'data on outstanding creditors'!$F2663-'data on outstanding creditors'!$G2663</f>
        <v>385510</v>
      </c>
      <c r="I2663" s="2"/>
      <c r="J2663" s="1" t="s">
        <v>646</v>
      </c>
      <c r="K2663" s="2">
        <v>45894.0</v>
      </c>
      <c r="L2663" s="5"/>
      <c r="M2663" s="9" t="s">
        <v>339</v>
      </c>
      <c r="N2663" s="9" t="s">
        <v>49</v>
      </c>
      <c r="O2663" s="10">
        <f>'data on outstanding creditors'!$E2663*100/107</f>
        <v>360289.7196</v>
      </c>
      <c r="P2663" s="10">
        <f>'data on outstanding creditors'!$E2663-'data on outstanding creditors'!$O2663</f>
        <v>25220.28037</v>
      </c>
      <c r="Q2663" s="7">
        <f>DAY('data on outstanding creditors'!$B2663)</f>
        <v>25</v>
      </c>
      <c r="R2663" s="7">
        <f>MONTH('data on outstanding creditors'!$B2663)</f>
        <v>6</v>
      </c>
      <c r="S2663" s="7">
        <f>YEAR('data on outstanding creditors'!$B2663)</f>
        <v>2025</v>
      </c>
      <c r="T2663" s="11" t="str">
        <f>'data on outstanding creditors'!$C2663&amp;" "&amp;'data on outstanding creditors'!$D2663&amp;" "&amp;TEXT('data on outstanding creditors'!$E2663,"#,##0.00")</f>
        <v>ศูนย์บริการโลหิตแห่งชาติ สภากาชาดไทย 682037/00081 385,510.00</v>
      </c>
      <c r="U2663" s="12"/>
    </row>
    <row r="2664" ht="13.5" customHeight="1">
      <c r="A2664" s="1" t="s">
        <v>4012</v>
      </c>
      <c r="B2664" s="2">
        <v>45833.0</v>
      </c>
      <c r="C2664" s="9" t="s">
        <v>413</v>
      </c>
      <c r="D2664" s="1" t="s">
        <v>4013</v>
      </c>
      <c r="E2664" s="4">
        <v>2420.0</v>
      </c>
      <c r="F2664" s="4"/>
      <c r="G2664" s="4"/>
      <c r="H2664" s="4">
        <f>'data on outstanding creditors'!$E2664-'data on outstanding creditors'!$F2664-'data on outstanding creditors'!$G2664</f>
        <v>2420</v>
      </c>
      <c r="I2664" s="2"/>
      <c r="J2664" s="1" t="s">
        <v>646</v>
      </c>
      <c r="K2664" s="2">
        <v>45894.0</v>
      </c>
      <c r="L2664" s="5"/>
      <c r="M2664" s="9" t="s">
        <v>339</v>
      </c>
      <c r="N2664" s="9" t="s">
        <v>49</v>
      </c>
      <c r="O2664" s="10">
        <f>'data on outstanding creditors'!$E2664*100/107</f>
        <v>2261.682243</v>
      </c>
      <c r="P2664" s="10">
        <f>'data on outstanding creditors'!$E2664-'data on outstanding creditors'!$O2664</f>
        <v>158.317757</v>
      </c>
      <c r="Q2664" s="7">
        <f>DAY('data on outstanding creditors'!$B2664)</f>
        <v>25</v>
      </c>
      <c r="R2664" s="7">
        <f>MONTH('data on outstanding creditors'!$B2664)</f>
        <v>6</v>
      </c>
      <c r="S2664" s="7">
        <f>YEAR('data on outstanding creditors'!$B2664)</f>
        <v>2025</v>
      </c>
      <c r="T2664" s="11" t="str">
        <f>'data on outstanding creditors'!$C2664&amp;" "&amp;'data on outstanding creditors'!$D2664&amp;" "&amp;TEXT('data on outstanding creditors'!$E2664,"#,##0.00")</f>
        <v>ศูนย์บริการโลหิตแห่งชาติ สภากาชาดไทย 682044/00044 2,420.00</v>
      </c>
      <c r="U2664" s="12"/>
    </row>
    <row r="2665" ht="13.5" customHeight="1">
      <c r="A2665" s="1" t="s">
        <v>4014</v>
      </c>
      <c r="B2665" s="2">
        <v>45834.0</v>
      </c>
      <c r="C2665" s="9" t="s">
        <v>3922</v>
      </c>
      <c r="D2665" s="1" t="s">
        <v>4015</v>
      </c>
      <c r="E2665" s="4">
        <v>51150.0</v>
      </c>
      <c r="F2665" s="4"/>
      <c r="G2665" s="4"/>
      <c r="H2665" s="4">
        <f>'data on outstanding creditors'!$E2665-'data on outstanding creditors'!$F2665-'data on outstanding creditors'!$G2665</f>
        <v>51150</v>
      </c>
      <c r="I2665" s="2"/>
      <c r="J2665" s="1" t="s">
        <v>646</v>
      </c>
      <c r="K2665" s="2">
        <v>45894.0</v>
      </c>
      <c r="L2665" s="5"/>
      <c r="M2665" s="9" t="s">
        <v>339</v>
      </c>
      <c r="N2665" s="9" t="s">
        <v>49</v>
      </c>
      <c r="O2665" s="10">
        <f>'data on outstanding creditors'!$E2665*100/107</f>
        <v>47803.73832</v>
      </c>
      <c r="P2665" s="10">
        <f>'data on outstanding creditors'!$E2665-'data on outstanding creditors'!$O2665</f>
        <v>3346.261682</v>
      </c>
      <c r="Q2665" s="7">
        <f>DAY('data on outstanding creditors'!$B2665)</f>
        <v>26</v>
      </c>
      <c r="R2665" s="7">
        <f>MONTH('data on outstanding creditors'!$B2665)</f>
        <v>6</v>
      </c>
      <c r="S2665" s="7">
        <f>YEAR('data on outstanding creditors'!$B2665)</f>
        <v>2025</v>
      </c>
      <c r="T2665" s="11" t="str">
        <f>'data on outstanding creditors'!$C2665&amp;" "&amp;'data on outstanding creditors'!$D2665&amp;" "&amp;TEXT('data on outstanding creditors'!$E2665,"#,##0.00")</f>
        <v>บ.ซี เมดิค IVZ6806-0611 51,150.00</v>
      </c>
      <c r="U2665" s="12"/>
    </row>
    <row r="2666" ht="13.5" customHeight="1">
      <c r="A2666" s="1" t="s">
        <v>4016</v>
      </c>
      <c r="B2666" s="2">
        <v>45839.0</v>
      </c>
      <c r="C2666" s="9" t="s">
        <v>3888</v>
      </c>
      <c r="D2666" s="1" t="s">
        <v>4017</v>
      </c>
      <c r="E2666" s="4">
        <v>202755.75</v>
      </c>
      <c r="F2666" s="4"/>
      <c r="G2666" s="4"/>
      <c r="H2666" s="4">
        <f>'data on outstanding creditors'!$E2666-'data on outstanding creditors'!$F2666-'data on outstanding creditors'!$G2666</f>
        <v>202755.75</v>
      </c>
      <c r="I2666" s="2"/>
      <c r="J2666" s="1" t="s">
        <v>646</v>
      </c>
      <c r="K2666" s="2">
        <v>45928.0</v>
      </c>
      <c r="L2666" s="5"/>
      <c r="M2666" s="9" t="s">
        <v>339</v>
      </c>
      <c r="N2666" s="9" t="s">
        <v>49</v>
      </c>
      <c r="O2666" s="10">
        <f>'data on outstanding creditors'!$E2666*100/107</f>
        <v>189491.3551</v>
      </c>
      <c r="P2666" s="10">
        <f>'data on outstanding creditors'!$E2666-'data on outstanding creditors'!$O2666</f>
        <v>13264.39486</v>
      </c>
      <c r="Q2666" s="7">
        <f>DAY('data on outstanding creditors'!$B2666)</f>
        <v>1</v>
      </c>
      <c r="R2666" s="7">
        <f>MONTH('data on outstanding creditors'!$B2666)</f>
        <v>7</v>
      </c>
      <c r="S2666" s="7">
        <f>YEAR('data on outstanding creditors'!$B2666)</f>
        <v>2025</v>
      </c>
      <c r="T2666" s="11" t="str">
        <f>'data on outstanding creditors'!$C2666&amp;" "&amp;'data on outstanding creditors'!$D2666&amp;" "&amp;TEXT('data on outstanding creditors'!$E2666,"#,##0.00")</f>
        <v>บ.พี ซี แอล โฮลดิ้ง PCI25-06-0266 202,755.75</v>
      </c>
      <c r="U2666" s="12"/>
    </row>
    <row r="2667" ht="13.5" customHeight="1">
      <c r="A2667" s="1" t="s">
        <v>4018</v>
      </c>
      <c r="B2667" s="2">
        <v>45839.0</v>
      </c>
      <c r="C2667" s="9" t="s">
        <v>3888</v>
      </c>
      <c r="D2667" s="1" t="s">
        <v>4019</v>
      </c>
      <c r="E2667" s="4">
        <v>214572.6</v>
      </c>
      <c r="F2667" s="4"/>
      <c r="G2667" s="4"/>
      <c r="H2667" s="4">
        <f>'data on outstanding creditors'!$E2667-'data on outstanding creditors'!$F2667-'data on outstanding creditors'!$G2667</f>
        <v>214572.6</v>
      </c>
      <c r="I2667" s="2"/>
      <c r="J2667" s="1" t="s">
        <v>646</v>
      </c>
      <c r="K2667" s="2">
        <v>45928.0</v>
      </c>
      <c r="L2667" s="5"/>
      <c r="M2667" s="9" t="s">
        <v>339</v>
      </c>
      <c r="N2667" s="9" t="s">
        <v>49</v>
      </c>
      <c r="O2667" s="10">
        <f>'data on outstanding creditors'!$E2667*100/107</f>
        <v>200535.1402</v>
      </c>
      <c r="P2667" s="10">
        <f>'data on outstanding creditors'!$E2667-'data on outstanding creditors'!$O2667</f>
        <v>14037.45981</v>
      </c>
      <c r="Q2667" s="7">
        <f>DAY('data on outstanding creditors'!$B2667)</f>
        <v>1</v>
      </c>
      <c r="R2667" s="7">
        <f>MONTH('data on outstanding creditors'!$B2667)</f>
        <v>7</v>
      </c>
      <c r="S2667" s="7">
        <f>YEAR('data on outstanding creditors'!$B2667)</f>
        <v>2025</v>
      </c>
      <c r="T2667" s="11" t="str">
        <f>'data on outstanding creditors'!$C2667&amp;" "&amp;'data on outstanding creditors'!$D2667&amp;" "&amp;TEXT('data on outstanding creditors'!$E2667,"#,##0.00")</f>
        <v>บ.พี ซี แอล โฮลดิ้ง PCI25-06-0269 214,572.60</v>
      </c>
      <c r="U2667" s="12"/>
    </row>
    <row r="2668" ht="13.5" customHeight="1">
      <c r="A2668" s="1" t="s">
        <v>4020</v>
      </c>
      <c r="B2668" s="2">
        <v>45839.0</v>
      </c>
      <c r="C2668" s="9" t="s">
        <v>1422</v>
      </c>
      <c r="D2668" s="1" t="s">
        <v>4021</v>
      </c>
      <c r="E2668" s="4">
        <v>133196.0</v>
      </c>
      <c r="F2668" s="4"/>
      <c r="G2668" s="4"/>
      <c r="H2668" s="4">
        <f>'data on outstanding creditors'!$E2668-'data on outstanding creditors'!$F2668-'data on outstanding creditors'!$G2668</f>
        <v>133196</v>
      </c>
      <c r="I2668" s="2"/>
      <c r="J2668" s="1" t="s">
        <v>757</v>
      </c>
      <c r="K2668" s="2">
        <v>45904.0</v>
      </c>
      <c r="L2668" s="5"/>
      <c r="M2668" s="9" t="s">
        <v>339</v>
      </c>
      <c r="N2668" s="9" t="s">
        <v>49</v>
      </c>
      <c r="O2668" s="10">
        <f>'data on outstanding creditors'!$E2668*100/107</f>
        <v>124482.243</v>
      </c>
      <c r="P2668" s="10">
        <f>'data on outstanding creditors'!$E2668-'data on outstanding creditors'!$O2668</f>
        <v>8713.757009</v>
      </c>
      <c r="Q2668" s="7">
        <f>DAY('data on outstanding creditors'!$B2668)</f>
        <v>1</v>
      </c>
      <c r="R2668" s="7">
        <f>MONTH('data on outstanding creditors'!$B2668)</f>
        <v>7</v>
      </c>
      <c r="S2668" s="7">
        <f>YEAR('data on outstanding creditors'!$B2668)</f>
        <v>2025</v>
      </c>
      <c r="T2668" s="11" t="str">
        <f>'data on outstanding creditors'!$C2668&amp;" "&amp;'data on outstanding creditors'!$D2668&amp;" "&amp;TEXT('data on outstanding creditors'!$E2668,"#,##0.00")</f>
        <v>บ.ดีซีเอช ออดิกา (ปรเทศไทย) UG94657740 133,196.00</v>
      </c>
      <c r="U2668" s="12"/>
    </row>
    <row r="2669" ht="13.5" customHeight="1">
      <c r="A2669" s="1" t="s">
        <v>4022</v>
      </c>
      <c r="B2669" s="2">
        <v>45846.0</v>
      </c>
      <c r="C2669" s="9" t="s">
        <v>3874</v>
      </c>
      <c r="D2669" s="1" t="s">
        <v>4023</v>
      </c>
      <c r="E2669" s="4">
        <v>51000.0</v>
      </c>
      <c r="F2669" s="4"/>
      <c r="G2669" s="4"/>
      <c r="H2669" s="4">
        <f>'data on outstanding creditors'!$E2669-'data on outstanding creditors'!$F2669-'data on outstanding creditors'!$G2669</f>
        <v>51000</v>
      </c>
      <c r="I2669" s="2"/>
      <c r="J2669" s="1" t="s">
        <v>757</v>
      </c>
      <c r="K2669" s="2">
        <v>45904.0</v>
      </c>
      <c r="L2669" s="5"/>
      <c r="M2669" s="9" t="s">
        <v>339</v>
      </c>
      <c r="N2669" s="9" t="s">
        <v>49</v>
      </c>
      <c r="O2669" s="10">
        <f>'data on outstanding creditors'!$E2669*100/107</f>
        <v>47663.5514</v>
      </c>
      <c r="P2669" s="10">
        <f>'data on outstanding creditors'!$E2669-'data on outstanding creditors'!$O2669</f>
        <v>3336.448598</v>
      </c>
      <c r="Q2669" s="7">
        <f>DAY('data on outstanding creditors'!$B2669)</f>
        <v>8</v>
      </c>
      <c r="R2669" s="7">
        <f>MONTH('data on outstanding creditors'!$B2669)</f>
        <v>7</v>
      </c>
      <c r="S2669" s="7">
        <f>YEAR('data on outstanding creditors'!$B2669)</f>
        <v>2025</v>
      </c>
      <c r="T2669" s="11" t="str">
        <f>'data on outstanding creditors'!$C2669&amp;" "&amp;'data on outstanding creditors'!$D2669&amp;" "&amp;TEXT('data on outstanding creditors'!$E2669,"#,##0.00")</f>
        <v>บ.เคม-ซายม์ IV6807005 51,000.00</v>
      </c>
      <c r="U2669" s="12"/>
    </row>
    <row r="2670" ht="13.5" customHeight="1">
      <c r="A2670" s="1" t="s">
        <v>4024</v>
      </c>
      <c r="B2670" s="2">
        <v>45846.0</v>
      </c>
      <c r="C2670" s="9" t="s">
        <v>3915</v>
      </c>
      <c r="D2670" s="1" t="s">
        <v>4025</v>
      </c>
      <c r="E2670" s="4">
        <v>41100.0</v>
      </c>
      <c r="F2670" s="4"/>
      <c r="G2670" s="4"/>
      <c r="H2670" s="4">
        <f>'data on outstanding creditors'!$E2670-'data on outstanding creditors'!$F2670-'data on outstanding creditors'!$G2670</f>
        <v>41100</v>
      </c>
      <c r="I2670" s="2"/>
      <c r="J2670" s="1" t="s">
        <v>646</v>
      </c>
      <c r="K2670" s="2">
        <v>45928.0</v>
      </c>
      <c r="L2670" s="5"/>
      <c r="M2670" s="9" t="s">
        <v>339</v>
      </c>
      <c r="N2670" s="9" t="s">
        <v>49</v>
      </c>
      <c r="O2670" s="10">
        <f>'data on outstanding creditors'!$E2670*100/107</f>
        <v>38411.21495</v>
      </c>
      <c r="P2670" s="10">
        <f>'data on outstanding creditors'!$E2670-'data on outstanding creditors'!$O2670</f>
        <v>2688.785047</v>
      </c>
      <c r="Q2670" s="7">
        <f>DAY('data on outstanding creditors'!$B2670)</f>
        <v>8</v>
      </c>
      <c r="R2670" s="7">
        <f>MONTH('data on outstanding creditors'!$B2670)</f>
        <v>7</v>
      </c>
      <c r="S2670" s="7">
        <f>YEAR('data on outstanding creditors'!$B2670)</f>
        <v>2025</v>
      </c>
      <c r="T2670" s="11" t="str">
        <f>'data on outstanding creditors'!$C2670&amp;" "&amp;'data on outstanding creditors'!$D2670&amp;" "&amp;TEXT('data on outstanding creditors'!$E2670,"#,##0.00")</f>
        <v>บ.ควอลิฟาย เมด โซลูชันส์ IV0201975 41,100.00</v>
      </c>
      <c r="U2670" s="12"/>
    </row>
    <row r="2671" ht="13.5" customHeight="1">
      <c r="A2671" s="1" t="s">
        <v>4026</v>
      </c>
      <c r="B2671" s="2">
        <v>45847.0</v>
      </c>
      <c r="C2671" s="9" t="s">
        <v>4027</v>
      </c>
      <c r="D2671" s="1" t="s">
        <v>4028</v>
      </c>
      <c r="E2671" s="4">
        <v>17000.0</v>
      </c>
      <c r="F2671" s="4"/>
      <c r="G2671" s="4"/>
      <c r="H2671" s="4">
        <f>'data on outstanding creditors'!$E2671-'data on outstanding creditors'!$F2671-'data on outstanding creditors'!$G2671</f>
        <v>17000</v>
      </c>
      <c r="I2671" s="2"/>
      <c r="J2671" s="1" t="s">
        <v>757</v>
      </c>
      <c r="K2671" s="2">
        <v>45904.0</v>
      </c>
      <c r="L2671" s="5"/>
      <c r="M2671" s="9" t="s">
        <v>339</v>
      </c>
      <c r="N2671" s="9" t="s">
        <v>49</v>
      </c>
      <c r="O2671" s="10">
        <f>'data on outstanding creditors'!$E2671*100/107</f>
        <v>15887.85047</v>
      </c>
      <c r="P2671" s="10">
        <f>'data on outstanding creditors'!$E2671-'data on outstanding creditors'!$O2671</f>
        <v>1112.149533</v>
      </c>
      <c r="Q2671" s="7">
        <f>DAY('data on outstanding creditors'!$B2671)</f>
        <v>9</v>
      </c>
      <c r="R2671" s="7">
        <f>MONTH('data on outstanding creditors'!$B2671)</f>
        <v>7</v>
      </c>
      <c r="S2671" s="7">
        <f>YEAR('data on outstanding creditors'!$B2671)</f>
        <v>2025</v>
      </c>
      <c r="T2671" s="11" t="str">
        <f>'data on outstanding creditors'!$C2671&amp;" "&amp;'data on outstanding creditors'!$D2671&amp;" "&amp;TEXT('data on outstanding creditors'!$E2671,"#,##0.00")</f>
        <v>บ.พลูก้าเทค P2507-018 17,000.00</v>
      </c>
      <c r="U2671" s="12"/>
    </row>
    <row r="2672" ht="13.5" customHeight="1">
      <c r="A2672" s="1" t="s">
        <v>4029</v>
      </c>
      <c r="B2672" s="2">
        <v>45847.0</v>
      </c>
      <c r="C2672" s="9" t="s">
        <v>2330</v>
      </c>
      <c r="D2672" s="1" t="s">
        <v>4030</v>
      </c>
      <c r="E2672" s="4">
        <v>60000.0</v>
      </c>
      <c r="F2672" s="4"/>
      <c r="G2672" s="4"/>
      <c r="H2672" s="4">
        <f>'data on outstanding creditors'!$E2672-'data on outstanding creditors'!$F2672-'data on outstanding creditors'!$G2672</f>
        <v>60000</v>
      </c>
      <c r="I2672" s="2"/>
      <c r="J2672" s="1" t="s">
        <v>646</v>
      </c>
      <c r="K2672" s="2">
        <v>45944.0</v>
      </c>
      <c r="L2672" s="5"/>
      <c r="M2672" s="9" t="s">
        <v>339</v>
      </c>
      <c r="N2672" s="9" t="s">
        <v>49</v>
      </c>
      <c r="O2672" s="10">
        <f>'data on outstanding creditors'!$E2672*100/107</f>
        <v>56074.76636</v>
      </c>
      <c r="P2672" s="10">
        <f>'data on outstanding creditors'!$E2672-'data on outstanding creditors'!$O2672</f>
        <v>3925.233645</v>
      </c>
      <c r="Q2672" s="7">
        <f>DAY('data on outstanding creditors'!$B2672)</f>
        <v>9</v>
      </c>
      <c r="R2672" s="7">
        <f>MONTH('data on outstanding creditors'!$B2672)</f>
        <v>7</v>
      </c>
      <c r="S2672" s="7">
        <f>YEAR('data on outstanding creditors'!$B2672)</f>
        <v>2025</v>
      </c>
      <c r="T2672" s="11" t="str">
        <f>'data on outstanding creditors'!$C2672&amp;" "&amp;'data on outstanding creditors'!$D2672&amp;" "&amp;TEXT('data on outstanding creditors'!$E2672,"#,##0.00")</f>
        <v>บ.อี ฟอร์ แอล เอม M6807-0265 60,000.00</v>
      </c>
      <c r="U2672" s="12"/>
    </row>
    <row r="2673" ht="13.5" customHeight="1">
      <c r="A2673" s="1" t="s">
        <v>4031</v>
      </c>
      <c r="B2673" s="2">
        <v>45847.0</v>
      </c>
      <c r="C2673" s="9" t="s">
        <v>337</v>
      </c>
      <c r="D2673" s="1" t="s">
        <v>4032</v>
      </c>
      <c r="E2673" s="4">
        <v>19000.0</v>
      </c>
      <c r="F2673" s="4"/>
      <c r="G2673" s="4"/>
      <c r="H2673" s="4">
        <f>'data on outstanding creditors'!$E2673-'data on outstanding creditors'!$F2673-'data on outstanding creditors'!$G2673</f>
        <v>19000</v>
      </c>
      <c r="I2673" s="2"/>
      <c r="J2673" s="1" t="s">
        <v>757</v>
      </c>
      <c r="K2673" s="2">
        <v>45904.0</v>
      </c>
      <c r="L2673" s="5"/>
      <c r="M2673" s="9" t="s">
        <v>339</v>
      </c>
      <c r="N2673" s="9" t="s">
        <v>49</v>
      </c>
      <c r="O2673" s="10">
        <f>'data on outstanding creditors'!$E2673*100/107</f>
        <v>17757.00935</v>
      </c>
      <c r="P2673" s="10">
        <f>'data on outstanding creditors'!$E2673-'data on outstanding creditors'!$O2673</f>
        <v>1242.990654</v>
      </c>
      <c r="Q2673" s="7">
        <f>DAY('data on outstanding creditors'!$B2673)</f>
        <v>9</v>
      </c>
      <c r="R2673" s="7">
        <f>MONTH('data on outstanding creditors'!$B2673)</f>
        <v>7</v>
      </c>
      <c r="S2673" s="7">
        <f>YEAR('data on outstanding creditors'!$B2673)</f>
        <v>2025</v>
      </c>
      <c r="T2673" s="11" t="str">
        <f>'data on outstanding creditors'!$C2673&amp;" "&amp;'data on outstanding creditors'!$D2673&amp;" "&amp;TEXT('data on outstanding creditors'!$E2673,"#,##0.00")</f>
        <v>บ.เมด-วัน I25070217 19,000.00</v>
      </c>
      <c r="U2673" s="12"/>
    </row>
    <row r="2674" ht="13.5" customHeight="1">
      <c r="A2674" s="1" t="s">
        <v>4033</v>
      </c>
      <c r="B2674" s="2">
        <v>45847.0</v>
      </c>
      <c r="C2674" s="9" t="s">
        <v>3882</v>
      </c>
      <c r="D2674" s="1" t="s">
        <v>4034</v>
      </c>
      <c r="E2674" s="4">
        <v>10000.0</v>
      </c>
      <c r="F2674" s="4"/>
      <c r="G2674" s="4"/>
      <c r="H2674" s="4">
        <f>'data on outstanding creditors'!$E2674-'data on outstanding creditors'!$F2674-'data on outstanding creditors'!$G2674</f>
        <v>10000</v>
      </c>
      <c r="I2674" s="2"/>
      <c r="J2674" s="1" t="s">
        <v>757</v>
      </c>
      <c r="K2674" s="2">
        <v>45904.0</v>
      </c>
      <c r="L2674" s="5"/>
      <c r="M2674" s="9" t="s">
        <v>339</v>
      </c>
      <c r="N2674" s="9" t="s">
        <v>49</v>
      </c>
      <c r="O2674" s="10">
        <f>'data on outstanding creditors'!$E2674*100/107</f>
        <v>9345.794393</v>
      </c>
      <c r="P2674" s="10">
        <f>'data on outstanding creditors'!$E2674-'data on outstanding creditors'!$O2674</f>
        <v>654.2056075</v>
      </c>
      <c r="Q2674" s="7">
        <f>DAY('data on outstanding creditors'!$B2674)</f>
        <v>9</v>
      </c>
      <c r="R2674" s="7">
        <f>MONTH('data on outstanding creditors'!$B2674)</f>
        <v>7</v>
      </c>
      <c r="S2674" s="7">
        <f>YEAR('data on outstanding creditors'!$B2674)</f>
        <v>2025</v>
      </c>
      <c r="T2674" s="11" t="str">
        <f>'data on outstanding creditors'!$C2674&amp;" "&amp;'data on outstanding creditors'!$D2674&amp;" "&amp;TEXT('data on outstanding creditors'!$E2674,"#,##0.00")</f>
        <v>บ.ทัซแล็บ 2013 INV6807-018 10,000.00</v>
      </c>
      <c r="U2674" s="12"/>
    </row>
    <row r="2675" ht="13.5" customHeight="1">
      <c r="A2675" s="1" t="s">
        <v>4035</v>
      </c>
      <c r="B2675" s="2">
        <v>45852.0</v>
      </c>
      <c r="C2675" s="9" t="s">
        <v>337</v>
      </c>
      <c r="D2675" s="1" t="s">
        <v>4036</v>
      </c>
      <c r="E2675" s="4">
        <v>63889.0</v>
      </c>
      <c r="F2675" s="4"/>
      <c r="G2675" s="4"/>
      <c r="H2675" s="4">
        <f>'data on outstanding creditors'!$E2675-'data on outstanding creditors'!$F2675-'data on outstanding creditors'!$G2675</f>
        <v>63889</v>
      </c>
      <c r="I2675" s="2"/>
      <c r="J2675" s="1" t="s">
        <v>757</v>
      </c>
      <c r="K2675" s="2">
        <v>45904.0</v>
      </c>
      <c r="L2675" s="5"/>
      <c r="M2675" s="9" t="s">
        <v>339</v>
      </c>
      <c r="N2675" s="9" t="s">
        <v>49</v>
      </c>
      <c r="O2675" s="10">
        <f>'data on outstanding creditors'!$E2675*100/107</f>
        <v>59709.34579</v>
      </c>
      <c r="P2675" s="10">
        <f>'data on outstanding creditors'!$E2675-'data on outstanding creditors'!$O2675</f>
        <v>4179.654206</v>
      </c>
      <c r="Q2675" s="7">
        <f>DAY('data on outstanding creditors'!$B2675)</f>
        <v>14</v>
      </c>
      <c r="R2675" s="7">
        <f>MONTH('data on outstanding creditors'!$B2675)</f>
        <v>7</v>
      </c>
      <c r="S2675" s="7">
        <f>YEAR('data on outstanding creditors'!$B2675)</f>
        <v>2025</v>
      </c>
      <c r="T2675" s="11" t="str">
        <f>'data on outstanding creditors'!$C2675&amp;" "&amp;'data on outstanding creditors'!$D2675&amp;" "&amp;TEXT('data on outstanding creditors'!$E2675,"#,##0.00")</f>
        <v>บ.เมด-วัน I25060865 63,889.00</v>
      </c>
      <c r="U2675" s="12"/>
    </row>
    <row r="2676" ht="13.5" customHeight="1">
      <c r="A2676" s="1" t="s">
        <v>4037</v>
      </c>
      <c r="B2676" s="2">
        <v>45853.0</v>
      </c>
      <c r="C2676" s="9" t="s">
        <v>3894</v>
      </c>
      <c r="D2676" s="1" t="s">
        <v>4038</v>
      </c>
      <c r="E2676" s="4">
        <v>316800.0</v>
      </c>
      <c r="F2676" s="4"/>
      <c r="G2676" s="4"/>
      <c r="H2676" s="4">
        <f>'data on outstanding creditors'!$E2676-'data on outstanding creditors'!$F2676-'data on outstanding creditors'!$G2676</f>
        <v>316800</v>
      </c>
      <c r="I2676" s="2"/>
      <c r="J2676" s="1" t="s">
        <v>646</v>
      </c>
      <c r="K2676" s="2">
        <v>45928.0</v>
      </c>
      <c r="L2676" s="5"/>
      <c r="M2676" s="9" t="s">
        <v>339</v>
      </c>
      <c r="N2676" s="9" t="s">
        <v>49</v>
      </c>
      <c r="O2676" s="10">
        <f>'data on outstanding creditors'!$E2676*100/107</f>
        <v>296074.7664</v>
      </c>
      <c r="P2676" s="10">
        <f>'data on outstanding creditors'!$E2676-'data on outstanding creditors'!$O2676</f>
        <v>20725.23364</v>
      </c>
      <c r="Q2676" s="7">
        <f>DAY('data on outstanding creditors'!$B2676)</f>
        <v>15</v>
      </c>
      <c r="R2676" s="7">
        <f>MONTH('data on outstanding creditors'!$B2676)</f>
        <v>7</v>
      </c>
      <c r="S2676" s="7">
        <f>YEAR('data on outstanding creditors'!$B2676)</f>
        <v>2025</v>
      </c>
      <c r="T2676" s="11" t="str">
        <f>'data on outstanding creditors'!$C2676&amp;" "&amp;'data on outstanding creditors'!$D2676&amp;" "&amp;TEXT('data on outstanding creditors'!$E2676,"#,##0.00")</f>
        <v>บ.ไทย ไดแอ็กนอสติก 6807177 316,800.00</v>
      </c>
      <c r="U2676" s="12"/>
    </row>
    <row r="2677" ht="13.5" customHeight="1">
      <c r="A2677" s="1" t="s">
        <v>4039</v>
      </c>
      <c r="B2677" s="2">
        <v>45853.0</v>
      </c>
      <c r="C2677" s="9" t="s">
        <v>3994</v>
      </c>
      <c r="D2677" s="1" t="s">
        <v>4040</v>
      </c>
      <c r="E2677" s="4">
        <v>83200.0</v>
      </c>
      <c r="F2677" s="4"/>
      <c r="G2677" s="4"/>
      <c r="H2677" s="4">
        <f>'data on outstanding creditors'!$E2677-'data on outstanding creditors'!$F2677-'data on outstanding creditors'!$G2677</f>
        <v>83200</v>
      </c>
      <c r="I2677" s="2"/>
      <c r="J2677" s="1" t="s">
        <v>646</v>
      </c>
      <c r="K2677" s="2">
        <v>45928.0</v>
      </c>
      <c r="L2677" s="5"/>
      <c r="M2677" s="9" t="s">
        <v>339</v>
      </c>
      <c r="N2677" s="9" t="s">
        <v>49</v>
      </c>
      <c r="O2677" s="10">
        <f>'data on outstanding creditors'!$E2677*100/107</f>
        <v>77757.00935</v>
      </c>
      <c r="P2677" s="10">
        <f>'data on outstanding creditors'!$E2677-'data on outstanding creditors'!$O2677</f>
        <v>5442.990654</v>
      </c>
      <c r="Q2677" s="7">
        <f>DAY('data on outstanding creditors'!$B2677)</f>
        <v>15</v>
      </c>
      <c r="R2677" s="7">
        <f>MONTH('data on outstanding creditors'!$B2677)</f>
        <v>7</v>
      </c>
      <c r="S2677" s="7">
        <f>YEAR('data on outstanding creditors'!$B2677)</f>
        <v>2025</v>
      </c>
      <c r="T2677" s="11" t="str">
        <f>'data on outstanding creditors'!$C2677&amp;" "&amp;'data on outstanding creditors'!$D2677&amp;" "&amp;TEXT('data on outstanding creditors'!$E2677,"#,##0.00")</f>
        <v>บ.แล็บมาสเตอร์ แอ๊ดวานซ์ IV6807-0497 83,200.00</v>
      </c>
      <c r="U2677" s="12"/>
    </row>
    <row r="2678" ht="13.5" customHeight="1">
      <c r="A2678" s="1" t="s">
        <v>4041</v>
      </c>
      <c r="B2678" s="2">
        <v>45855.0</v>
      </c>
      <c r="C2678" s="9" t="s">
        <v>3922</v>
      </c>
      <c r="D2678" s="1" t="s">
        <v>4042</v>
      </c>
      <c r="E2678" s="4">
        <v>55000.0</v>
      </c>
      <c r="F2678" s="4"/>
      <c r="G2678" s="4"/>
      <c r="H2678" s="4">
        <f>'data on outstanding creditors'!$E2678-'data on outstanding creditors'!$F2678-'data on outstanding creditors'!$G2678</f>
        <v>55000</v>
      </c>
      <c r="I2678" s="2"/>
      <c r="J2678" s="1" t="s">
        <v>646</v>
      </c>
      <c r="K2678" s="2">
        <v>45906.0</v>
      </c>
      <c r="L2678" s="5"/>
      <c r="M2678" s="9" t="s">
        <v>339</v>
      </c>
      <c r="N2678" s="9" t="s">
        <v>49</v>
      </c>
      <c r="O2678" s="10">
        <f>'data on outstanding creditors'!$E2678*100/107</f>
        <v>51401.86916</v>
      </c>
      <c r="P2678" s="10">
        <f>'data on outstanding creditors'!$E2678-'data on outstanding creditors'!$O2678</f>
        <v>3598.130841</v>
      </c>
      <c r="Q2678" s="7">
        <f>DAY('data on outstanding creditors'!$B2678)</f>
        <v>17</v>
      </c>
      <c r="R2678" s="7">
        <f>MONTH('data on outstanding creditors'!$B2678)</f>
        <v>7</v>
      </c>
      <c r="S2678" s="7">
        <f>YEAR('data on outstanding creditors'!$B2678)</f>
        <v>2025</v>
      </c>
      <c r="T2678" s="11" t="str">
        <f>'data on outstanding creditors'!$C2678&amp;" "&amp;'data on outstanding creditors'!$D2678&amp;" "&amp;TEXT('data on outstanding creditors'!$E2678,"#,##0.00")</f>
        <v>บ.ซี เมดิค IVZ6807-0457 55,000.00</v>
      </c>
      <c r="U2678" s="12"/>
    </row>
    <row r="2679" ht="13.5" customHeight="1">
      <c r="A2679" s="1" t="s">
        <v>4043</v>
      </c>
      <c r="B2679" s="2">
        <v>45859.0</v>
      </c>
      <c r="C2679" s="9" t="s">
        <v>413</v>
      </c>
      <c r="D2679" s="1" t="s">
        <v>4044</v>
      </c>
      <c r="E2679" s="4">
        <v>219920.0</v>
      </c>
      <c r="F2679" s="4"/>
      <c r="G2679" s="4"/>
      <c r="H2679" s="4">
        <f>'data on outstanding creditors'!$E2679-'data on outstanding creditors'!$F2679-'data on outstanding creditors'!$G2679</f>
        <v>219920</v>
      </c>
      <c r="I2679" s="2"/>
      <c r="J2679" s="1" t="s">
        <v>646</v>
      </c>
      <c r="K2679" s="2">
        <v>45906.0</v>
      </c>
      <c r="L2679" s="5"/>
      <c r="M2679" s="9" t="s">
        <v>339</v>
      </c>
      <c r="N2679" s="9" t="s">
        <v>49</v>
      </c>
      <c r="O2679" s="10">
        <f>'data on outstanding creditors'!$E2679*100/107</f>
        <v>205532.7103</v>
      </c>
      <c r="P2679" s="10">
        <f>'data on outstanding creditors'!$E2679-'data on outstanding creditors'!$O2679</f>
        <v>14387.28972</v>
      </c>
      <c r="Q2679" s="7">
        <f>DAY('data on outstanding creditors'!$B2679)</f>
        <v>21</v>
      </c>
      <c r="R2679" s="7">
        <f>MONTH('data on outstanding creditors'!$B2679)</f>
        <v>7</v>
      </c>
      <c r="S2679" s="7">
        <f>YEAR('data on outstanding creditors'!$B2679)</f>
        <v>2025</v>
      </c>
      <c r="T2679" s="11" t="str">
        <f>'data on outstanding creditors'!$C2679&amp;" "&amp;'data on outstanding creditors'!$D2679&amp;" "&amp;TEXT('data on outstanding creditors'!$E2679,"#,##0.00")</f>
        <v>ศูนย์บริการโลหิตแห่งชาติ สภากาชาดไทย 682064/00092 219,920.00</v>
      </c>
      <c r="U2679" s="12"/>
    </row>
    <row r="2680" ht="13.5" customHeight="1">
      <c r="A2680" s="1" t="s">
        <v>4045</v>
      </c>
      <c r="B2680" s="2">
        <v>45859.0</v>
      </c>
      <c r="C2680" s="9" t="s">
        <v>413</v>
      </c>
      <c r="D2680" s="1" t="s">
        <v>4046</v>
      </c>
      <c r="E2680" s="4">
        <v>2420.0</v>
      </c>
      <c r="F2680" s="4"/>
      <c r="G2680" s="4"/>
      <c r="H2680" s="4">
        <f>'data on outstanding creditors'!$E2680-'data on outstanding creditors'!$F2680-'data on outstanding creditors'!$G2680</f>
        <v>2420</v>
      </c>
      <c r="I2680" s="2"/>
      <c r="J2680" s="1" t="s">
        <v>646</v>
      </c>
      <c r="K2680" s="2">
        <v>45906.0</v>
      </c>
      <c r="L2680" s="5"/>
      <c r="M2680" s="9" t="s">
        <v>339</v>
      </c>
      <c r="N2680" s="9" t="s">
        <v>49</v>
      </c>
      <c r="O2680" s="10">
        <f>'data on outstanding creditors'!$E2680*100/107</f>
        <v>2261.682243</v>
      </c>
      <c r="P2680" s="10">
        <f>'data on outstanding creditors'!$E2680-'data on outstanding creditors'!$O2680</f>
        <v>158.317757</v>
      </c>
      <c r="Q2680" s="7">
        <f>DAY('data on outstanding creditors'!$B2680)</f>
        <v>21</v>
      </c>
      <c r="R2680" s="7">
        <f>MONTH('data on outstanding creditors'!$B2680)</f>
        <v>7</v>
      </c>
      <c r="S2680" s="7">
        <f>YEAR('data on outstanding creditors'!$B2680)</f>
        <v>2025</v>
      </c>
      <c r="T2680" s="11" t="str">
        <f>'data on outstanding creditors'!$C2680&amp;" "&amp;'data on outstanding creditors'!$D2680&amp;" "&amp;TEXT('data on outstanding creditors'!$E2680,"#,##0.00")</f>
        <v>ศูนย์บริการโลหิตแห่งชาติ สภากาชาดไทย 682059/00083 2,420.00</v>
      </c>
      <c r="U2680" s="12"/>
    </row>
    <row r="2681" ht="13.5" customHeight="1">
      <c r="A2681" s="1" t="s">
        <v>4047</v>
      </c>
      <c r="B2681" s="2">
        <v>45859.0</v>
      </c>
      <c r="C2681" s="9" t="s">
        <v>413</v>
      </c>
      <c r="D2681" s="1" t="s">
        <v>4048</v>
      </c>
      <c r="E2681" s="4">
        <v>2700.0</v>
      </c>
      <c r="F2681" s="4"/>
      <c r="G2681" s="4"/>
      <c r="H2681" s="4">
        <f>'data on outstanding creditors'!$E2681-'data on outstanding creditors'!$F2681-'data on outstanding creditors'!$G2681</f>
        <v>2700</v>
      </c>
      <c r="I2681" s="2"/>
      <c r="J2681" s="1" t="s">
        <v>646</v>
      </c>
      <c r="K2681" s="2">
        <v>45906.0</v>
      </c>
      <c r="L2681" s="5"/>
      <c r="M2681" s="9" t="s">
        <v>339</v>
      </c>
      <c r="N2681" s="9" t="s">
        <v>49</v>
      </c>
      <c r="O2681" s="10">
        <f>'data on outstanding creditors'!$E2681*100/107</f>
        <v>2523.364486</v>
      </c>
      <c r="P2681" s="10">
        <f>'data on outstanding creditors'!$E2681-'data on outstanding creditors'!$O2681</f>
        <v>176.635514</v>
      </c>
      <c r="Q2681" s="7">
        <f>DAY('data on outstanding creditors'!$B2681)</f>
        <v>21</v>
      </c>
      <c r="R2681" s="7">
        <f>MONTH('data on outstanding creditors'!$B2681)</f>
        <v>7</v>
      </c>
      <c r="S2681" s="7">
        <f>YEAR('data on outstanding creditors'!$B2681)</f>
        <v>2025</v>
      </c>
      <c r="T2681" s="11" t="str">
        <f>'data on outstanding creditors'!$C2681&amp;" "&amp;'data on outstanding creditors'!$D2681&amp;" "&amp;TEXT('data on outstanding creditors'!$E2681,"#,##0.00")</f>
        <v>ศูนย์บริการโลหิตแห่งชาติ สภากาชาดไทย 682071/00075 2,700.00</v>
      </c>
      <c r="U2681" s="12"/>
    </row>
    <row r="2682" ht="13.5" customHeight="1">
      <c r="A2682" s="1" t="s">
        <v>4049</v>
      </c>
      <c r="B2682" s="2">
        <v>45867.0</v>
      </c>
      <c r="C2682" s="9" t="s">
        <v>3927</v>
      </c>
      <c r="D2682" s="1" t="s">
        <v>4050</v>
      </c>
      <c r="E2682" s="4">
        <v>50000.0</v>
      </c>
      <c r="F2682" s="4"/>
      <c r="G2682" s="4"/>
      <c r="H2682" s="4">
        <f>'data on outstanding creditors'!$E2682-'data on outstanding creditors'!$F2682-'data on outstanding creditors'!$G2682</f>
        <v>50000</v>
      </c>
      <c r="I2682" s="2"/>
      <c r="J2682" s="1" t="s">
        <v>646</v>
      </c>
      <c r="K2682" s="2">
        <v>45954.0</v>
      </c>
      <c r="L2682" s="5"/>
      <c r="M2682" s="9" t="s">
        <v>339</v>
      </c>
      <c r="N2682" s="9" t="s">
        <v>49</v>
      </c>
      <c r="O2682" s="10">
        <f>'data on outstanding creditors'!$E2682*100/107</f>
        <v>46728.97196</v>
      </c>
      <c r="P2682" s="10">
        <f>'data on outstanding creditors'!$E2682-'data on outstanding creditors'!$O2682</f>
        <v>3271.028037</v>
      </c>
      <c r="Q2682" s="7">
        <f>DAY('data on outstanding creditors'!$B2682)</f>
        <v>29</v>
      </c>
      <c r="R2682" s="7">
        <f>MONTH('data on outstanding creditors'!$B2682)</f>
        <v>7</v>
      </c>
      <c r="S2682" s="7">
        <f>YEAR('data on outstanding creditors'!$B2682)</f>
        <v>2025</v>
      </c>
      <c r="T2682" s="11" t="str">
        <f>'data on outstanding creditors'!$C2682&amp;" "&amp;'data on outstanding creditors'!$D2682&amp;" "&amp;TEXT('data on outstanding creditors'!$E2682,"#,##0.00")</f>
        <v>บ.โปรเฟสชั่นแนล เมดิคอล ซายน์ INT-PMS-680700222 50,000.00</v>
      </c>
      <c r="U2682" s="12"/>
    </row>
    <row r="2683" ht="13.5" customHeight="1">
      <c r="A2683" s="1" t="s">
        <v>4051</v>
      </c>
      <c r="B2683" s="2">
        <v>45870.0</v>
      </c>
      <c r="C2683" s="9" t="s">
        <v>3882</v>
      </c>
      <c r="D2683" s="1" t="s">
        <v>4052</v>
      </c>
      <c r="E2683" s="4">
        <v>64000.0</v>
      </c>
      <c r="F2683" s="4"/>
      <c r="G2683" s="4"/>
      <c r="H2683" s="4">
        <f>'data on outstanding creditors'!$E2683-'data on outstanding creditors'!$F2683-'data on outstanding creditors'!$G2683</f>
        <v>64000</v>
      </c>
      <c r="I2683" s="2"/>
      <c r="J2683" s="1" t="s">
        <v>757</v>
      </c>
      <c r="K2683" s="2">
        <v>45904.0</v>
      </c>
      <c r="L2683" s="5"/>
      <c r="M2683" s="9" t="s">
        <v>339</v>
      </c>
      <c r="N2683" s="9" t="s">
        <v>49</v>
      </c>
      <c r="O2683" s="10">
        <f>'data on outstanding creditors'!$E2683*100/107</f>
        <v>59813.08411</v>
      </c>
      <c r="P2683" s="10">
        <f>'data on outstanding creditors'!$E2683-'data on outstanding creditors'!$O2683</f>
        <v>4186.915888</v>
      </c>
      <c r="Q2683" s="7">
        <f>DAY('data on outstanding creditors'!$B2683)</f>
        <v>1</v>
      </c>
      <c r="R2683" s="7">
        <f>MONTH('data on outstanding creditors'!$B2683)</f>
        <v>8</v>
      </c>
      <c r="S2683" s="7">
        <f>YEAR('data on outstanding creditors'!$B2683)</f>
        <v>2025</v>
      </c>
      <c r="T2683" s="11" t="str">
        <f>'data on outstanding creditors'!$C2683&amp;" "&amp;'data on outstanding creditors'!$D2683&amp;" "&amp;TEXT('data on outstanding creditors'!$E2683,"#,##0.00")</f>
        <v>บ.ทัซแล็บ 2013 INV6807-066 64,000.00</v>
      </c>
      <c r="U2683" s="12"/>
    </row>
    <row r="2684" ht="13.5" customHeight="1">
      <c r="A2684" s="1" t="s">
        <v>4053</v>
      </c>
      <c r="B2684" s="2">
        <v>45870.0</v>
      </c>
      <c r="C2684" s="9" t="s">
        <v>3888</v>
      </c>
      <c r="D2684" s="1" t="s">
        <v>4054</v>
      </c>
      <c r="E2684" s="4">
        <v>290062.1</v>
      </c>
      <c r="F2684" s="4"/>
      <c r="G2684" s="4"/>
      <c r="H2684" s="4">
        <f>'data on outstanding creditors'!$E2684-'data on outstanding creditors'!$F2684-'data on outstanding creditors'!$G2684</f>
        <v>290062.1</v>
      </c>
      <c r="I2684" s="2"/>
      <c r="J2684" s="1"/>
      <c r="K2684" s="2"/>
      <c r="L2684" s="5"/>
      <c r="M2684" s="9" t="s">
        <v>339</v>
      </c>
      <c r="N2684" s="9" t="s">
        <v>49</v>
      </c>
      <c r="O2684" s="10">
        <f>'data on outstanding creditors'!$E2684*100/107</f>
        <v>271086.0748</v>
      </c>
      <c r="P2684" s="10">
        <f>'data on outstanding creditors'!$E2684-'data on outstanding creditors'!$O2684</f>
        <v>18976.02523</v>
      </c>
      <c r="Q2684" s="7">
        <f>DAY('data on outstanding creditors'!$B2684)</f>
        <v>1</v>
      </c>
      <c r="R2684" s="7">
        <f>MONTH('data on outstanding creditors'!$B2684)</f>
        <v>8</v>
      </c>
      <c r="S2684" s="7">
        <f>YEAR('data on outstanding creditors'!$B2684)</f>
        <v>2025</v>
      </c>
      <c r="T2684" s="11" t="str">
        <f>'data on outstanding creditors'!$C2684&amp;" "&amp;'data on outstanding creditors'!$D2684&amp;" "&amp;TEXT('data on outstanding creditors'!$E2684,"#,##0.00")</f>
        <v>บ.พี ซี แอล โฮลดิ้ง PCI25-08-0125 290,062.10</v>
      </c>
      <c r="U2684" s="12"/>
    </row>
    <row r="2685" ht="13.5" customHeight="1">
      <c r="A2685" s="1" t="s">
        <v>4055</v>
      </c>
      <c r="B2685" s="2">
        <v>45870.0</v>
      </c>
      <c r="C2685" s="9" t="s">
        <v>3888</v>
      </c>
      <c r="D2685" s="1" t="s">
        <v>4056</v>
      </c>
      <c r="E2685" s="4">
        <v>323257.85</v>
      </c>
      <c r="F2685" s="4"/>
      <c r="G2685" s="4"/>
      <c r="H2685" s="4">
        <f>'data on outstanding creditors'!$E2685-'data on outstanding creditors'!$F2685-'data on outstanding creditors'!$G2685</f>
        <v>323257.85</v>
      </c>
      <c r="I2685" s="2"/>
      <c r="J2685" s="1"/>
      <c r="K2685" s="2"/>
      <c r="L2685" s="5"/>
      <c r="M2685" s="9" t="s">
        <v>339</v>
      </c>
      <c r="N2685" s="9" t="s">
        <v>49</v>
      </c>
      <c r="O2685" s="10">
        <f>'data on outstanding creditors'!$E2685*100/107</f>
        <v>302110.1402</v>
      </c>
      <c r="P2685" s="10">
        <f>'data on outstanding creditors'!$E2685-'data on outstanding creditors'!$O2685</f>
        <v>21147.70981</v>
      </c>
      <c r="Q2685" s="7">
        <f>DAY('data on outstanding creditors'!$B2685)</f>
        <v>1</v>
      </c>
      <c r="R2685" s="7">
        <f>MONTH('data on outstanding creditors'!$B2685)</f>
        <v>8</v>
      </c>
      <c r="S2685" s="7">
        <f>YEAR('data on outstanding creditors'!$B2685)</f>
        <v>2025</v>
      </c>
      <c r="T2685" s="11" t="str">
        <f>'data on outstanding creditors'!$C2685&amp;" "&amp;'data on outstanding creditors'!$D2685&amp;" "&amp;TEXT('data on outstanding creditors'!$E2685,"#,##0.00")</f>
        <v>บ.พี ซี แอล โฮลดิ้ง PCI25-08-0132 323,257.85</v>
      </c>
      <c r="U2685" s="12"/>
    </row>
    <row r="2686" ht="13.5" customHeight="1">
      <c r="A2686" s="1" t="s">
        <v>4057</v>
      </c>
      <c r="B2686" s="2">
        <v>45873.0</v>
      </c>
      <c r="C2686" s="9" t="s">
        <v>2320</v>
      </c>
      <c r="D2686" s="1" t="s">
        <v>4058</v>
      </c>
      <c r="E2686" s="4">
        <v>135000.0</v>
      </c>
      <c r="F2686" s="4"/>
      <c r="G2686" s="4"/>
      <c r="H2686" s="4">
        <f>'data on outstanding creditors'!$E2686-'data on outstanding creditors'!$F2686-'data on outstanding creditors'!$G2686</f>
        <v>135000</v>
      </c>
      <c r="I2686" s="2"/>
      <c r="J2686" s="1" t="s">
        <v>646</v>
      </c>
      <c r="K2686" s="2">
        <v>45928.0</v>
      </c>
      <c r="L2686" s="5"/>
      <c r="M2686" s="9" t="s">
        <v>339</v>
      </c>
      <c r="N2686" s="9" t="s">
        <v>49</v>
      </c>
      <c r="O2686" s="10">
        <f>'data on outstanding creditors'!$E2686*100/107</f>
        <v>126168.2243</v>
      </c>
      <c r="P2686" s="10">
        <f>'data on outstanding creditors'!$E2686-'data on outstanding creditors'!$O2686</f>
        <v>8831.775701</v>
      </c>
      <c r="Q2686" s="7">
        <f>DAY('data on outstanding creditors'!$B2686)</f>
        <v>4</v>
      </c>
      <c r="R2686" s="7">
        <f>MONTH('data on outstanding creditors'!$B2686)</f>
        <v>8</v>
      </c>
      <c r="S2686" s="7">
        <f>YEAR('data on outstanding creditors'!$B2686)</f>
        <v>2025</v>
      </c>
      <c r="T2686" s="11" t="str">
        <f>'data on outstanding creditors'!$C2686&amp;" "&amp;'data on outstanding creditors'!$D2686&amp;" "&amp;TEXT('data on outstanding creditors'!$E2686,"#,##0.00")</f>
        <v>บ.เทคโนเมดิคัล 25071963 135,000.00</v>
      </c>
      <c r="U2686" s="12"/>
    </row>
    <row r="2687" ht="13.5" customHeight="1">
      <c r="A2687" s="1" t="s">
        <v>4059</v>
      </c>
      <c r="B2687" s="2">
        <v>45875.0</v>
      </c>
      <c r="C2687" s="9" t="s">
        <v>3874</v>
      </c>
      <c r="D2687" s="1" t="s">
        <v>4060</v>
      </c>
      <c r="E2687" s="4">
        <v>52375.0</v>
      </c>
      <c r="F2687" s="4"/>
      <c r="G2687" s="4"/>
      <c r="H2687" s="4">
        <f>'data on outstanding creditors'!$E2687-'data on outstanding creditors'!$F2687-'data on outstanding creditors'!$G2687</f>
        <v>52375</v>
      </c>
      <c r="I2687" s="2"/>
      <c r="J2687" s="1"/>
      <c r="K2687" s="2"/>
      <c r="L2687" s="5"/>
      <c r="M2687" s="9" t="s">
        <v>339</v>
      </c>
      <c r="N2687" s="9" t="s">
        <v>49</v>
      </c>
      <c r="O2687" s="10">
        <f>'data on outstanding creditors'!$E2687*100/107</f>
        <v>48948.59813</v>
      </c>
      <c r="P2687" s="10">
        <f>'data on outstanding creditors'!$E2687-'data on outstanding creditors'!$O2687</f>
        <v>3426.401869</v>
      </c>
      <c r="Q2687" s="7">
        <f>DAY('data on outstanding creditors'!$B2687)</f>
        <v>6</v>
      </c>
      <c r="R2687" s="7">
        <f>MONTH('data on outstanding creditors'!$B2687)</f>
        <v>8</v>
      </c>
      <c r="S2687" s="7">
        <f>YEAR('data on outstanding creditors'!$B2687)</f>
        <v>2025</v>
      </c>
      <c r="T2687" s="11" t="str">
        <f>'data on outstanding creditors'!$C2687&amp;" "&amp;'data on outstanding creditors'!$D2687&amp;" "&amp;TEXT('data on outstanding creditors'!$E2687,"#,##0.00")</f>
        <v>บ.เคม-ซายม์ IV6808005 52,375.00</v>
      </c>
      <c r="U2687" s="12"/>
    </row>
    <row r="2688" ht="13.5" customHeight="1">
      <c r="A2688" s="1" t="s">
        <v>4061</v>
      </c>
      <c r="B2688" s="2">
        <v>45882.0</v>
      </c>
      <c r="C2688" s="9" t="s">
        <v>3994</v>
      </c>
      <c r="D2688" s="1" t="s">
        <v>4062</v>
      </c>
      <c r="E2688" s="4">
        <v>6375.0</v>
      </c>
      <c r="F2688" s="4"/>
      <c r="G2688" s="4"/>
      <c r="H2688" s="4">
        <f>'data on outstanding creditors'!$E2688-'data on outstanding creditors'!$F2688-'data on outstanding creditors'!$G2688</f>
        <v>6375</v>
      </c>
      <c r="I2688" s="2"/>
      <c r="J2688" s="1"/>
      <c r="K2688" s="2"/>
      <c r="L2688" s="5"/>
      <c r="M2688" s="9" t="s">
        <v>339</v>
      </c>
      <c r="N2688" s="9" t="s">
        <v>49</v>
      </c>
      <c r="O2688" s="10">
        <f>'data on outstanding creditors'!$E2688*100/107</f>
        <v>5957.943925</v>
      </c>
      <c r="P2688" s="10">
        <f>'data on outstanding creditors'!$E2688-'data on outstanding creditors'!$O2688</f>
        <v>417.0560748</v>
      </c>
      <c r="Q2688" s="7">
        <f>DAY('data on outstanding creditors'!$B2688)</f>
        <v>13</v>
      </c>
      <c r="R2688" s="7">
        <f>MONTH('data on outstanding creditors'!$B2688)</f>
        <v>8</v>
      </c>
      <c r="S2688" s="7">
        <f>YEAR('data on outstanding creditors'!$B2688)</f>
        <v>2025</v>
      </c>
      <c r="T2688" s="11" t="str">
        <f>'data on outstanding creditors'!$C2688&amp;" "&amp;'data on outstanding creditors'!$D2688&amp;" "&amp;TEXT('data on outstanding creditors'!$E2688,"#,##0.00")</f>
        <v>บ.แล็บมาสเตอร์ แอ๊ดวานซ์ IV6808-0200 6,375.00</v>
      </c>
      <c r="U2688" s="12"/>
    </row>
    <row r="2689" ht="13.5" customHeight="1">
      <c r="A2689" s="1" t="s">
        <v>4063</v>
      </c>
      <c r="B2689" s="2">
        <v>45884.0</v>
      </c>
      <c r="C2689" s="9" t="s">
        <v>3894</v>
      </c>
      <c r="D2689" s="1" t="s">
        <v>4064</v>
      </c>
      <c r="E2689" s="4">
        <v>491040.0</v>
      </c>
      <c r="F2689" s="4"/>
      <c r="G2689" s="4"/>
      <c r="H2689" s="4">
        <f>'data on outstanding creditors'!$E2689-'data on outstanding creditors'!$F2689-'data on outstanding creditors'!$G2689</f>
        <v>491040</v>
      </c>
      <c r="I2689" s="2"/>
      <c r="J2689" s="1"/>
      <c r="K2689" s="2"/>
      <c r="L2689" s="5"/>
      <c r="M2689" s="9" t="s">
        <v>339</v>
      </c>
      <c r="N2689" s="9" t="s">
        <v>49</v>
      </c>
      <c r="O2689" s="10">
        <f>'data on outstanding creditors'!$E2689*100/107</f>
        <v>458915.8879</v>
      </c>
      <c r="P2689" s="10">
        <f>'data on outstanding creditors'!$E2689-'data on outstanding creditors'!$O2689</f>
        <v>32124.11215</v>
      </c>
      <c r="Q2689" s="7">
        <f>DAY('data on outstanding creditors'!$B2689)</f>
        <v>15</v>
      </c>
      <c r="R2689" s="7">
        <f>MONTH('data on outstanding creditors'!$B2689)</f>
        <v>8</v>
      </c>
      <c r="S2689" s="7">
        <f>YEAR('data on outstanding creditors'!$B2689)</f>
        <v>2025</v>
      </c>
      <c r="T2689" s="11" t="str">
        <f>'data on outstanding creditors'!$C2689&amp;" "&amp;'data on outstanding creditors'!$D2689&amp;" "&amp;TEXT('data on outstanding creditors'!$E2689,"#,##0.00")</f>
        <v>บ.ไทย ไดแอ็กนอสติก 6808133 491,040.00</v>
      </c>
      <c r="U2689" s="12"/>
    </row>
    <row r="2690" ht="13.5" customHeight="1">
      <c r="A2690" s="1" t="s">
        <v>4065</v>
      </c>
      <c r="B2690" s="2">
        <v>45887.0</v>
      </c>
      <c r="C2690" s="9" t="s">
        <v>3922</v>
      </c>
      <c r="D2690" s="1" t="s">
        <v>4066</v>
      </c>
      <c r="E2690" s="4">
        <v>40425.0</v>
      </c>
      <c r="F2690" s="4"/>
      <c r="G2690" s="4"/>
      <c r="H2690" s="4">
        <f>'data on outstanding creditors'!$E2690-'data on outstanding creditors'!$F2690-'data on outstanding creditors'!$G2690</f>
        <v>40425</v>
      </c>
      <c r="I2690" s="2"/>
      <c r="J2690" s="1"/>
      <c r="K2690" s="2"/>
      <c r="L2690" s="5"/>
      <c r="M2690" s="9" t="s">
        <v>339</v>
      </c>
      <c r="N2690" s="9" t="s">
        <v>49</v>
      </c>
      <c r="O2690" s="10">
        <f>'data on outstanding creditors'!$E2690*100/107</f>
        <v>37780.37383</v>
      </c>
      <c r="P2690" s="10">
        <f>'data on outstanding creditors'!$E2690-'data on outstanding creditors'!$O2690</f>
        <v>2644.626168</v>
      </c>
      <c r="Q2690" s="7">
        <f>DAY('data on outstanding creditors'!$B2690)</f>
        <v>18</v>
      </c>
      <c r="R2690" s="7">
        <f>MONTH('data on outstanding creditors'!$B2690)</f>
        <v>8</v>
      </c>
      <c r="S2690" s="7">
        <f>YEAR('data on outstanding creditors'!$B2690)</f>
        <v>2025</v>
      </c>
      <c r="T2690" s="11" t="str">
        <f>'data on outstanding creditors'!$C2690&amp;" "&amp;'data on outstanding creditors'!$D2690&amp;" "&amp;TEXT('data on outstanding creditors'!$E2690,"#,##0.00")</f>
        <v>บ.ซี เมดิค IVZ6808-0525 40,425.00</v>
      </c>
      <c r="U2690" s="12"/>
    </row>
    <row r="2691" ht="13.5" customHeight="1">
      <c r="A2691" s="1" t="s">
        <v>4067</v>
      </c>
      <c r="B2691" s="2">
        <v>45887.0</v>
      </c>
      <c r="C2691" s="9" t="s">
        <v>3882</v>
      </c>
      <c r="D2691" s="1" t="s">
        <v>4068</v>
      </c>
      <c r="E2691" s="4">
        <v>42500.0</v>
      </c>
      <c r="F2691" s="4"/>
      <c r="G2691" s="4"/>
      <c r="H2691" s="4">
        <f>'data on outstanding creditors'!$E2691-'data on outstanding creditors'!$F2691-'data on outstanding creditors'!$G2691</f>
        <v>42500</v>
      </c>
      <c r="I2691" s="2"/>
      <c r="J2691" s="1"/>
      <c r="K2691" s="2"/>
      <c r="L2691" s="5"/>
      <c r="M2691" s="9" t="s">
        <v>339</v>
      </c>
      <c r="N2691" s="9" t="s">
        <v>49</v>
      </c>
      <c r="O2691" s="10">
        <f>'data on outstanding creditors'!$E2691*100/107</f>
        <v>39719.62617</v>
      </c>
      <c r="P2691" s="10">
        <f>'data on outstanding creditors'!$E2691-'data on outstanding creditors'!$O2691</f>
        <v>2780.373832</v>
      </c>
      <c r="Q2691" s="7">
        <f>DAY('data on outstanding creditors'!$B2691)</f>
        <v>18</v>
      </c>
      <c r="R2691" s="7">
        <f>MONTH('data on outstanding creditors'!$B2691)</f>
        <v>8</v>
      </c>
      <c r="S2691" s="7">
        <f>YEAR('data on outstanding creditors'!$B2691)</f>
        <v>2025</v>
      </c>
      <c r="T2691" s="11" t="str">
        <f>'data on outstanding creditors'!$C2691&amp;" "&amp;'data on outstanding creditors'!$D2691&amp;" "&amp;TEXT('data on outstanding creditors'!$E2691,"#,##0.00")</f>
        <v>บ.ทัซแล็บ 2013 INV6808-016 42,500.00</v>
      </c>
      <c r="U2691" s="12"/>
    </row>
    <row r="2692" ht="13.5" customHeight="1">
      <c r="A2692" s="1" t="s">
        <v>4069</v>
      </c>
      <c r="B2692" s="2">
        <v>45888.0</v>
      </c>
      <c r="C2692" s="9" t="s">
        <v>413</v>
      </c>
      <c r="D2692" s="1" t="s">
        <v>4070</v>
      </c>
      <c r="E2692" s="4">
        <v>16400.0</v>
      </c>
      <c r="F2692" s="4"/>
      <c r="G2692" s="4"/>
      <c r="H2692" s="4">
        <f>'data on outstanding creditors'!$E2692-'data on outstanding creditors'!$F2692-'data on outstanding creditors'!$G2692</f>
        <v>16400</v>
      </c>
      <c r="I2692" s="2"/>
      <c r="J2692" s="1"/>
      <c r="K2692" s="2"/>
      <c r="L2692" s="5"/>
      <c r="M2692" s="9" t="s">
        <v>339</v>
      </c>
      <c r="N2692" s="9" t="s">
        <v>49</v>
      </c>
      <c r="O2692" s="10">
        <f>'data on outstanding creditors'!$E2692*100/107</f>
        <v>15327.1028</v>
      </c>
      <c r="P2692" s="10">
        <f>'data on outstanding creditors'!$E2692-'data on outstanding creditors'!$O2692</f>
        <v>1072.897196</v>
      </c>
      <c r="Q2692" s="7">
        <f>DAY('data on outstanding creditors'!$B2692)</f>
        <v>19</v>
      </c>
      <c r="R2692" s="7">
        <f>MONTH('data on outstanding creditors'!$B2692)</f>
        <v>8</v>
      </c>
      <c r="S2692" s="7">
        <f>YEAR('data on outstanding creditors'!$B2692)</f>
        <v>2025</v>
      </c>
      <c r="T2692" s="11" t="str">
        <f>'data on outstanding creditors'!$C2692&amp;" "&amp;'data on outstanding creditors'!$D2692&amp;" "&amp;TEXT('data on outstanding creditors'!$E2692,"#,##0.00")</f>
        <v>ศูนย์บริการโลหิตแห่งชาติ สภากาชาดไทย 682087/00018 16,400.00</v>
      </c>
      <c r="U2692" s="12"/>
    </row>
    <row r="2693" ht="13.5" customHeight="1">
      <c r="A2693" s="1" t="s">
        <v>4071</v>
      </c>
      <c r="B2693" s="2">
        <v>45888.0</v>
      </c>
      <c r="C2693" s="9" t="s">
        <v>413</v>
      </c>
      <c r="D2693" s="1" t="s">
        <v>4072</v>
      </c>
      <c r="E2693" s="4">
        <v>2420.0</v>
      </c>
      <c r="F2693" s="4"/>
      <c r="G2693" s="4"/>
      <c r="H2693" s="4">
        <f>'data on outstanding creditors'!$E2693-'data on outstanding creditors'!$F2693-'data on outstanding creditors'!$G2693</f>
        <v>2420</v>
      </c>
      <c r="I2693" s="2"/>
      <c r="J2693" s="1"/>
      <c r="K2693" s="2"/>
      <c r="L2693" s="5"/>
      <c r="M2693" s="9" t="s">
        <v>339</v>
      </c>
      <c r="N2693" s="9" t="s">
        <v>49</v>
      </c>
      <c r="O2693" s="10">
        <f>'data on outstanding creditors'!$E2693*100/107</f>
        <v>2261.682243</v>
      </c>
      <c r="P2693" s="10">
        <f>'data on outstanding creditors'!$E2693-'data on outstanding creditors'!$O2693</f>
        <v>158.317757</v>
      </c>
      <c r="Q2693" s="7">
        <f>DAY('data on outstanding creditors'!$B2693)</f>
        <v>19</v>
      </c>
      <c r="R2693" s="7">
        <f>MONTH('data on outstanding creditors'!$B2693)</f>
        <v>8</v>
      </c>
      <c r="S2693" s="7">
        <f>YEAR('data on outstanding creditors'!$B2693)</f>
        <v>2025</v>
      </c>
      <c r="T2693" s="11" t="str">
        <f>'data on outstanding creditors'!$C2693&amp;" "&amp;'data on outstanding creditors'!$D2693&amp;" "&amp;TEXT('data on outstanding creditors'!$E2693,"#,##0.00")</f>
        <v>ศูนย์บริการโลหิตแห่งชาติ สภากาชาดไทย 682084/00041 2,420.00</v>
      </c>
      <c r="U2693" s="12"/>
    </row>
    <row r="2694" ht="13.5" customHeight="1">
      <c r="A2694" s="1" t="s">
        <v>4073</v>
      </c>
      <c r="B2694" s="2">
        <v>45889.0</v>
      </c>
      <c r="C2694" s="9" t="s">
        <v>413</v>
      </c>
      <c r="D2694" s="1" t="s">
        <v>4074</v>
      </c>
      <c r="E2694" s="4">
        <v>251320.0</v>
      </c>
      <c r="F2694" s="4"/>
      <c r="G2694" s="4"/>
      <c r="H2694" s="4">
        <f>'data on outstanding creditors'!$E2694-'data on outstanding creditors'!$F2694-'data on outstanding creditors'!$G2694</f>
        <v>251320</v>
      </c>
      <c r="I2694" s="2"/>
      <c r="J2694" s="1"/>
      <c r="K2694" s="2"/>
      <c r="L2694" s="5"/>
      <c r="M2694" s="9" t="s">
        <v>339</v>
      </c>
      <c r="N2694" s="9" t="s">
        <v>49</v>
      </c>
      <c r="O2694" s="10">
        <f>'data on outstanding creditors'!$E2694*100/107</f>
        <v>234878.5047</v>
      </c>
      <c r="P2694" s="10">
        <f>'data on outstanding creditors'!$E2694-'data on outstanding creditors'!$O2694</f>
        <v>16441.49533</v>
      </c>
      <c r="Q2694" s="7">
        <f>DAY('data on outstanding creditors'!$B2694)</f>
        <v>20</v>
      </c>
      <c r="R2694" s="7">
        <f>MONTH('data on outstanding creditors'!$B2694)</f>
        <v>8</v>
      </c>
      <c r="S2694" s="7">
        <f>YEAR('data on outstanding creditors'!$B2694)</f>
        <v>2025</v>
      </c>
      <c r="T2694" s="11" t="str">
        <f>'data on outstanding creditors'!$C2694&amp;" "&amp;'data on outstanding creditors'!$D2694&amp;" "&amp;TEXT('data on outstanding creditors'!$E2694,"#,##0.00")</f>
        <v>ศูนย์บริการโลหิตแห่งชาติ สภากาชาดไทย 682096/00007 251,320.00</v>
      </c>
      <c r="U2694" s="12"/>
    </row>
    <row r="2695" ht="13.5" customHeight="1">
      <c r="A2695" s="1" t="s">
        <v>4075</v>
      </c>
      <c r="B2695" s="2">
        <v>45890.0</v>
      </c>
      <c r="C2695" s="9" t="s">
        <v>1495</v>
      </c>
      <c r="D2695" s="1" t="s">
        <v>4076</v>
      </c>
      <c r="E2695" s="4">
        <v>24000.0</v>
      </c>
      <c r="F2695" s="4"/>
      <c r="G2695" s="4"/>
      <c r="H2695" s="4">
        <f>'data on outstanding creditors'!$E2695-'data on outstanding creditors'!$F2695-'data on outstanding creditors'!$G2695</f>
        <v>24000</v>
      </c>
      <c r="I2695" s="2"/>
      <c r="J2695" s="1"/>
      <c r="K2695" s="2"/>
      <c r="L2695" s="5"/>
      <c r="M2695" s="9" t="s">
        <v>339</v>
      </c>
      <c r="N2695" s="9" t="s">
        <v>49</v>
      </c>
      <c r="O2695" s="10">
        <f>'data on outstanding creditors'!$E2695*100/107</f>
        <v>22429.90654</v>
      </c>
      <c r="P2695" s="10">
        <f>'data on outstanding creditors'!$E2695-'data on outstanding creditors'!$O2695</f>
        <v>1570.093458</v>
      </c>
      <c r="Q2695" s="7">
        <f>DAY('data on outstanding creditors'!$B2695)</f>
        <v>21</v>
      </c>
      <c r="R2695" s="7">
        <f>MONTH('data on outstanding creditors'!$B2695)</f>
        <v>8</v>
      </c>
      <c r="S2695" s="7">
        <f>YEAR('data on outstanding creditors'!$B2695)</f>
        <v>2025</v>
      </c>
      <c r="T2695" s="11" t="str">
        <f>'data on outstanding creditors'!$C2695&amp;" "&amp;'data on outstanding creditors'!$D2695&amp;" "&amp;TEXT('data on outstanding creditors'!$E2695,"#,##0.00")</f>
        <v>บ.อาร์เอ็กซ์ IV25-08103009 24,000.00</v>
      </c>
      <c r="U2695" s="12"/>
    </row>
    <row r="2696" ht="13.5" customHeight="1">
      <c r="A2696" s="1" t="s">
        <v>4077</v>
      </c>
      <c r="B2696" s="2">
        <v>45891.0</v>
      </c>
      <c r="C2696" s="9" t="s">
        <v>3915</v>
      </c>
      <c r="D2696" s="1" t="s">
        <v>4078</v>
      </c>
      <c r="E2696" s="4">
        <v>160150.0</v>
      </c>
      <c r="F2696" s="4"/>
      <c r="G2696" s="4"/>
      <c r="H2696" s="4">
        <f>'data on outstanding creditors'!$E2696-'data on outstanding creditors'!$F2696-'data on outstanding creditors'!$G2696</f>
        <v>160150</v>
      </c>
      <c r="I2696" s="2"/>
      <c r="J2696" s="1"/>
      <c r="K2696" s="2"/>
      <c r="L2696" s="5"/>
      <c r="M2696" s="9" t="s">
        <v>339</v>
      </c>
      <c r="N2696" s="9" t="s">
        <v>49</v>
      </c>
      <c r="O2696" s="10">
        <f>'data on outstanding creditors'!$E2696*100/107</f>
        <v>149672.8972</v>
      </c>
      <c r="P2696" s="10">
        <f>'data on outstanding creditors'!$E2696-'data on outstanding creditors'!$O2696</f>
        <v>10477.1028</v>
      </c>
      <c r="Q2696" s="7">
        <f>DAY('data on outstanding creditors'!$B2696)</f>
        <v>22</v>
      </c>
      <c r="R2696" s="7">
        <f>MONTH('data on outstanding creditors'!$B2696)</f>
        <v>8</v>
      </c>
      <c r="S2696" s="7">
        <f>YEAR('data on outstanding creditors'!$B2696)</f>
        <v>2025</v>
      </c>
      <c r="T2696" s="11" t="str">
        <f>'data on outstanding creditors'!$C2696&amp;" "&amp;'data on outstanding creditors'!$D2696&amp;" "&amp;TEXT('data on outstanding creditors'!$E2696,"#,##0.00")</f>
        <v>บ.ควอลิฟาย เมด โซลูชันส์ IV0203181 160,150.00</v>
      </c>
      <c r="U2696" s="12"/>
    </row>
    <row r="2697" ht="13.5" customHeight="1">
      <c r="A2697" s="1" t="s">
        <v>4079</v>
      </c>
      <c r="B2697" s="2">
        <v>45891.0</v>
      </c>
      <c r="C2697" s="9" t="s">
        <v>2330</v>
      </c>
      <c r="D2697" s="1" t="s">
        <v>4080</v>
      </c>
      <c r="E2697" s="4">
        <v>60000.0</v>
      </c>
      <c r="F2697" s="4"/>
      <c r="G2697" s="4"/>
      <c r="H2697" s="4">
        <f>'data on outstanding creditors'!$E2697-'data on outstanding creditors'!$F2697-'data on outstanding creditors'!$G2697</f>
        <v>60000</v>
      </c>
      <c r="I2697" s="2"/>
      <c r="J2697" s="1"/>
      <c r="K2697" s="2"/>
      <c r="L2697" s="5"/>
      <c r="M2697" s="9" t="s">
        <v>339</v>
      </c>
      <c r="N2697" s="9" t="s">
        <v>49</v>
      </c>
      <c r="O2697" s="10">
        <f>'data on outstanding creditors'!$E2697*100/107</f>
        <v>56074.76636</v>
      </c>
      <c r="P2697" s="10">
        <f>'data on outstanding creditors'!$E2697-'data on outstanding creditors'!$O2697</f>
        <v>3925.233645</v>
      </c>
      <c r="Q2697" s="7">
        <f>DAY('data on outstanding creditors'!$B2697)</f>
        <v>22</v>
      </c>
      <c r="R2697" s="7">
        <f>MONTH('data on outstanding creditors'!$B2697)</f>
        <v>8</v>
      </c>
      <c r="S2697" s="7">
        <f>YEAR('data on outstanding creditors'!$B2697)</f>
        <v>2025</v>
      </c>
      <c r="T2697" s="11" t="str">
        <f>'data on outstanding creditors'!$C2697&amp;" "&amp;'data on outstanding creditors'!$D2697&amp;" "&amp;TEXT('data on outstanding creditors'!$E2697,"#,##0.00")</f>
        <v>บ.อี ฟอร์ แอล เอม M6808-0592 60,000.00</v>
      </c>
      <c r="U2697" s="12"/>
    </row>
    <row r="2698" ht="13.5" customHeight="1">
      <c r="A2698" s="1" t="s">
        <v>4081</v>
      </c>
      <c r="B2698" s="2">
        <v>45891.0</v>
      </c>
      <c r="C2698" s="9" t="s">
        <v>520</v>
      </c>
      <c r="D2698" s="1" t="s">
        <v>4082</v>
      </c>
      <c r="E2698" s="4">
        <v>266430.0</v>
      </c>
      <c r="F2698" s="4"/>
      <c r="G2698" s="4"/>
      <c r="H2698" s="4">
        <f>'data on outstanding creditors'!$E2698-'data on outstanding creditors'!$F2698-'data on outstanding creditors'!$G2698</f>
        <v>266430</v>
      </c>
      <c r="I2698" s="2"/>
      <c r="J2698" s="1"/>
      <c r="K2698" s="2"/>
      <c r="L2698" s="5"/>
      <c r="M2698" s="9" t="s">
        <v>339</v>
      </c>
      <c r="N2698" s="9" t="s">
        <v>49</v>
      </c>
      <c r="O2698" s="10">
        <f>'data on outstanding creditors'!$E2698*100/107</f>
        <v>249000</v>
      </c>
      <c r="P2698" s="10">
        <f>'data on outstanding creditors'!$E2698-'data on outstanding creditors'!$O2698</f>
        <v>17430</v>
      </c>
      <c r="Q2698" s="7">
        <f>DAY('data on outstanding creditors'!$B2698)</f>
        <v>22</v>
      </c>
      <c r="R2698" s="7">
        <f>MONTH('data on outstanding creditors'!$B2698)</f>
        <v>8</v>
      </c>
      <c r="S2698" s="7">
        <f>YEAR('data on outstanding creditors'!$B2698)</f>
        <v>2025</v>
      </c>
      <c r="T2698" s="11" t="str">
        <f>'data on outstanding creditors'!$C2698&amp;" "&amp;'data on outstanding creditors'!$D2698&amp;" "&amp;TEXT('data on outstanding creditors'!$E2698,"#,##0.00")</f>
        <v>บ.ซิลลิคฟาร์มา 1317972769 266,430.00</v>
      </c>
      <c r="U2698" s="12"/>
    </row>
    <row r="2699" ht="13.5" customHeight="1">
      <c r="A2699" s="1" t="s">
        <v>4083</v>
      </c>
      <c r="B2699" s="2">
        <v>45896.0</v>
      </c>
      <c r="C2699" s="9" t="s">
        <v>3948</v>
      </c>
      <c r="D2699" s="1" t="s">
        <v>4084</v>
      </c>
      <c r="E2699" s="4">
        <v>19500.0</v>
      </c>
      <c r="F2699" s="4"/>
      <c r="G2699" s="4"/>
      <c r="H2699" s="4">
        <f>'data on outstanding creditors'!$E2699-'data on outstanding creditors'!$F2699-'data on outstanding creditors'!$G2699</f>
        <v>19500</v>
      </c>
      <c r="I2699" s="2"/>
      <c r="J2699" s="1"/>
      <c r="K2699" s="2"/>
      <c r="L2699" s="5"/>
      <c r="M2699" s="9" t="s">
        <v>339</v>
      </c>
      <c r="N2699" s="9" t="s">
        <v>49</v>
      </c>
      <c r="O2699" s="10">
        <f>'data on outstanding creditors'!$E2699*100/107</f>
        <v>18224.29907</v>
      </c>
      <c r="P2699" s="10">
        <f>'data on outstanding creditors'!$E2699-'data on outstanding creditors'!$O2699</f>
        <v>1275.700935</v>
      </c>
      <c r="Q2699" s="7">
        <f>DAY('data on outstanding creditors'!$B2699)</f>
        <v>27</v>
      </c>
      <c r="R2699" s="7">
        <f>MONTH('data on outstanding creditors'!$B2699)</f>
        <v>8</v>
      </c>
      <c r="S2699" s="7">
        <f>YEAR('data on outstanding creditors'!$B2699)</f>
        <v>2025</v>
      </c>
      <c r="T2699" s="11" t="str">
        <f>'data on outstanding creditors'!$C2699&amp;" "&amp;'data on outstanding creditors'!$D2699&amp;" "&amp;TEXT('data on outstanding creditors'!$E2699,"#,##0.00")</f>
        <v>บ.เอ็มพี เมดกรุ๊ป INT-MOM-680800417 19,500.00</v>
      </c>
      <c r="U2699" s="12"/>
    </row>
    <row r="2700" ht="13.5" customHeight="1">
      <c r="A2700" s="1" t="s">
        <v>4085</v>
      </c>
      <c r="B2700" s="2">
        <v>45896.0</v>
      </c>
      <c r="C2700" s="9" t="s">
        <v>3927</v>
      </c>
      <c r="D2700" s="1" t="s">
        <v>4086</v>
      </c>
      <c r="E2700" s="4">
        <v>150000.0</v>
      </c>
      <c r="F2700" s="4"/>
      <c r="G2700" s="4"/>
      <c r="H2700" s="4">
        <f>'data on outstanding creditors'!$E2700-'data on outstanding creditors'!$F2700-'data on outstanding creditors'!$G2700</f>
        <v>150000</v>
      </c>
      <c r="I2700" s="2"/>
      <c r="J2700" s="1"/>
      <c r="K2700" s="2"/>
      <c r="L2700" s="5"/>
      <c r="M2700" s="9" t="s">
        <v>339</v>
      </c>
      <c r="N2700" s="9" t="s">
        <v>49</v>
      </c>
      <c r="O2700" s="10">
        <f>'data on outstanding creditors'!$E2700*100/107</f>
        <v>140186.9159</v>
      </c>
      <c r="P2700" s="10">
        <f>'data on outstanding creditors'!$E2700-'data on outstanding creditors'!$O2700</f>
        <v>9813.084112</v>
      </c>
      <c r="Q2700" s="7">
        <f>DAY('data on outstanding creditors'!$B2700)</f>
        <v>27</v>
      </c>
      <c r="R2700" s="7">
        <f>MONTH('data on outstanding creditors'!$B2700)</f>
        <v>8</v>
      </c>
      <c r="S2700" s="7">
        <f>YEAR('data on outstanding creditors'!$B2700)</f>
        <v>2025</v>
      </c>
      <c r="T2700" s="11" t="str">
        <f>'data on outstanding creditors'!$C2700&amp;" "&amp;'data on outstanding creditors'!$D2700&amp;" "&amp;TEXT('data on outstanding creditors'!$E2700,"#,##0.00")</f>
        <v>บ.โปรเฟสชั่นแนล เมดิคอล ซายน์ INT-PMS-680800216 150,000.00</v>
      </c>
      <c r="U2700" s="12"/>
    </row>
    <row r="2701" ht="13.5" customHeight="1">
      <c r="A2701" s="1" t="s">
        <v>4087</v>
      </c>
      <c r="B2701" s="2">
        <v>45897.0</v>
      </c>
      <c r="C2701" s="9" t="s">
        <v>3994</v>
      </c>
      <c r="D2701" s="1" t="s">
        <v>4088</v>
      </c>
      <c r="E2701" s="4">
        <v>174200.0</v>
      </c>
      <c r="F2701" s="4"/>
      <c r="G2701" s="4"/>
      <c r="H2701" s="4">
        <f>'data on outstanding creditors'!$E2701-'data on outstanding creditors'!$F2701-'data on outstanding creditors'!$G2701</f>
        <v>174200</v>
      </c>
      <c r="I2701" s="2"/>
      <c r="J2701" s="1"/>
      <c r="K2701" s="2"/>
      <c r="L2701" s="5"/>
      <c r="M2701" s="9" t="s">
        <v>339</v>
      </c>
      <c r="N2701" s="9" t="s">
        <v>49</v>
      </c>
      <c r="O2701" s="10">
        <f>'data on outstanding creditors'!$E2701*100/107</f>
        <v>162803.7383</v>
      </c>
      <c r="P2701" s="10">
        <f>'data on outstanding creditors'!$E2701-'data on outstanding creditors'!$O2701</f>
        <v>11396.26168</v>
      </c>
      <c r="Q2701" s="7">
        <f>DAY('data on outstanding creditors'!$B2701)</f>
        <v>28</v>
      </c>
      <c r="R2701" s="7">
        <f>MONTH('data on outstanding creditors'!$B2701)</f>
        <v>8</v>
      </c>
      <c r="S2701" s="7">
        <f>YEAR('data on outstanding creditors'!$B2701)</f>
        <v>2025</v>
      </c>
      <c r="T2701" s="11" t="str">
        <f>'data on outstanding creditors'!$C2701&amp;" "&amp;'data on outstanding creditors'!$D2701&amp;" "&amp;TEXT('data on outstanding creditors'!$E2701,"#,##0.00")</f>
        <v>บ.แล็บมาสเตอร์ แอ๊ดวานซ์ IV6808-1273 174,200.00</v>
      </c>
      <c r="U2701" s="12"/>
    </row>
    <row r="2702" ht="13.5" customHeight="1">
      <c r="A2702" s="1" t="s">
        <v>4089</v>
      </c>
      <c r="B2702" s="2">
        <v>45898.0</v>
      </c>
      <c r="C2702" s="9" t="s">
        <v>3882</v>
      </c>
      <c r="D2702" s="1" t="s">
        <v>4090</v>
      </c>
      <c r="E2702" s="4">
        <v>196550.0</v>
      </c>
      <c r="F2702" s="4"/>
      <c r="G2702" s="4"/>
      <c r="H2702" s="4">
        <f>'data on outstanding creditors'!$E2702-'data on outstanding creditors'!$F2702-'data on outstanding creditors'!$G2702</f>
        <v>196550</v>
      </c>
      <c r="I2702" s="2"/>
      <c r="J2702" s="1"/>
      <c r="K2702" s="2"/>
      <c r="L2702" s="5"/>
      <c r="M2702" s="9" t="s">
        <v>339</v>
      </c>
      <c r="N2702" s="9" t="s">
        <v>49</v>
      </c>
      <c r="O2702" s="10">
        <f>'data on outstanding creditors'!$E2702*100/107</f>
        <v>183691.5888</v>
      </c>
      <c r="P2702" s="10">
        <f>'data on outstanding creditors'!$E2702-'data on outstanding creditors'!$O2702</f>
        <v>12858.41121</v>
      </c>
      <c r="Q2702" s="7">
        <f>DAY('data on outstanding creditors'!$B2702)</f>
        <v>29</v>
      </c>
      <c r="R2702" s="7">
        <f>MONTH('data on outstanding creditors'!$B2702)</f>
        <v>8</v>
      </c>
      <c r="S2702" s="7">
        <f>YEAR('data on outstanding creditors'!$B2702)</f>
        <v>2025</v>
      </c>
      <c r="T2702" s="11" t="str">
        <f>'data on outstanding creditors'!$C2702&amp;" "&amp;'data on outstanding creditors'!$D2702&amp;" "&amp;TEXT('data on outstanding creditors'!$E2702,"#,##0.00")</f>
        <v>บ.ทัซแล็บ 2013 INV6808-047 196,550.00</v>
      </c>
      <c r="U2702" s="12"/>
    </row>
    <row r="2703" ht="13.5" customHeight="1">
      <c r="A2703" s="1" t="s">
        <v>4091</v>
      </c>
      <c r="B2703" s="2">
        <v>45898.0</v>
      </c>
      <c r="C2703" s="9" t="s">
        <v>3877</v>
      </c>
      <c r="D2703" s="1" t="s">
        <v>4092</v>
      </c>
      <c r="E2703" s="4">
        <v>10000.0</v>
      </c>
      <c r="F2703" s="4"/>
      <c r="G2703" s="4"/>
      <c r="H2703" s="4">
        <f>'data on outstanding creditors'!$E2703-'data on outstanding creditors'!$F2703-'data on outstanding creditors'!$G2703</f>
        <v>10000</v>
      </c>
      <c r="I2703" s="2"/>
      <c r="J2703" s="1"/>
      <c r="K2703" s="2"/>
      <c r="L2703" s="5"/>
      <c r="M2703" s="9" t="s">
        <v>339</v>
      </c>
      <c r="N2703" s="9" t="s">
        <v>49</v>
      </c>
      <c r="O2703" s="10">
        <f>'data on outstanding creditors'!$E2703*100/107</f>
        <v>9345.794393</v>
      </c>
      <c r="P2703" s="10">
        <f>'data on outstanding creditors'!$E2703-'data on outstanding creditors'!$O2703</f>
        <v>654.2056075</v>
      </c>
      <c r="Q2703" s="7">
        <f>DAY('data on outstanding creditors'!$B2703)</f>
        <v>29</v>
      </c>
      <c r="R2703" s="7">
        <f>MONTH('data on outstanding creditors'!$B2703)</f>
        <v>8</v>
      </c>
      <c r="S2703" s="7">
        <f>YEAR('data on outstanding creditors'!$B2703)</f>
        <v>2025</v>
      </c>
      <c r="T2703" s="11" t="str">
        <f>'data on outstanding creditors'!$C2703&amp;" "&amp;'data on outstanding creditors'!$D2703&amp;" "&amp;TEXT('data on outstanding creditors'!$E2703,"#,##0.00")</f>
        <v>บ.เกรทส์ เมดเทคส์ 68/0182 10,000.00</v>
      </c>
      <c r="U2703" s="12"/>
    </row>
    <row r="2704" ht="13.5" customHeight="1">
      <c r="A2704" s="1" t="s">
        <v>4093</v>
      </c>
      <c r="B2704" s="2">
        <v>45901.0</v>
      </c>
      <c r="C2704" s="9" t="s">
        <v>1422</v>
      </c>
      <c r="D2704" s="1" t="s">
        <v>4094</v>
      </c>
      <c r="E2704" s="4">
        <v>160272.0</v>
      </c>
      <c r="F2704" s="4"/>
      <c r="G2704" s="4"/>
      <c r="H2704" s="4">
        <f>'data on outstanding creditors'!$E2704-'data on outstanding creditors'!$F2704-'data on outstanding creditors'!$G2704</f>
        <v>160272</v>
      </c>
      <c r="I2704" s="2"/>
      <c r="J2704" s="1"/>
      <c r="K2704" s="2"/>
      <c r="L2704" s="5"/>
      <c r="M2704" s="9" t="s">
        <v>339</v>
      </c>
      <c r="N2704" s="9" t="s">
        <v>49</v>
      </c>
      <c r="O2704" s="10">
        <f>'data on outstanding creditors'!$E2704*100/107</f>
        <v>149786.9159</v>
      </c>
      <c r="P2704" s="10">
        <f>'data on outstanding creditors'!$E2704-'data on outstanding creditors'!$O2704</f>
        <v>10485.08411</v>
      </c>
      <c r="Q2704" s="7">
        <f>DAY('data on outstanding creditors'!$B2704)</f>
        <v>1</v>
      </c>
      <c r="R2704" s="7">
        <f>MONTH('data on outstanding creditors'!$B2704)</f>
        <v>9</v>
      </c>
      <c r="S2704" s="7">
        <f>YEAR('data on outstanding creditors'!$B2704)</f>
        <v>2025</v>
      </c>
      <c r="T2704" s="11" t="str">
        <f>'data on outstanding creditors'!$C2704&amp;" "&amp;'data on outstanding creditors'!$D2704&amp;" "&amp;TEXT('data on outstanding creditors'!$E2704,"#,##0.00")</f>
        <v>บ.ดีซีเอช ออดิกา (ปรเทศไทย) UG94673927 160,272.00</v>
      </c>
      <c r="U2704" s="12"/>
    </row>
    <row r="2705" ht="13.5" customHeight="1">
      <c r="A2705" s="1" t="s">
        <v>4095</v>
      </c>
      <c r="B2705" s="2">
        <v>45901.0</v>
      </c>
      <c r="C2705" s="9" t="s">
        <v>3888</v>
      </c>
      <c r="D2705" s="1" t="s">
        <v>4096</v>
      </c>
      <c r="E2705" s="4">
        <v>263941.4</v>
      </c>
      <c r="F2705" s="4"/>
      <c r="G2705" s="4"/>
      <c r="H2705" s="4">
        <f>'data on outstanding creditors'!$E2705-'data on outstanding creditors'!$F2705-'data on outstanding creditors'!$G2705</f>
        <v>263941.4</v>
      </c>
      <c r="I2705" s="2"/>
      <c r="J2705" s="1"/>
      <c r="K2705" s="2"/>
      <c r="L2705" s="5"/>
      <c r="M2705" s="9" t="s">
        <v>339</v>
      </c>
      <c r="N2705" s="9" t="s">
        <v>49</v>
      </c>
      <c r="O2705" s="10">
        <f>'data on outstanding creditors'!$E2705*100/107</f>
        <v>246674.2056</v>
      </c>
      <c r="P2705" s="10">
        <f>'data on outstanding creditors'!$E2705-'data on outstanding creditors'!$O2705</f>
        <v>17267.19439</v>
      </c>
      <c r="Q2705" s="7">
        <f>DAY('data on outstanding creditors'!$B2705)</f>
        <v>1</v>
      </c>
      <c r="R2705" s="7">
        <f>MONTH('data on outstanding creditors'!$B2705)</f>
        <v>9</v>
      </c>
      <c r="S2705" s="7">
        <f>YEAR('data on outstanding creditors'!$B2705)</f>
        <v>2025</v>
      </c>
      <c r="T2705" s="11" t="str">
        <f>'data on outstanding creditors'!$C2705&amp;" "&amp;'data on outstanding creditors'!$D2705&amp;" "&amp;TEXT('data on outstanding creditors'!$E2705,"#,##0.00")</f>
        <v>บ.พี ซี แอล โฮลดิ้ง PCI25-09-0178 263,941.40</v>
      </c>
      <c r="U2705" s="12"/>
    </row>
    <row r="2706" ht="13.5" customHeight="1">
      <c r="A2706" s="1" t="s">
        <v>4097</v>
      </c>
      <c r="B2706" s="2">
        <v>45901.0</v>
      </c>
      <c r="C2706" s="9" t="s">
        <v>3888</v>
      </c>
      <c r="D2706" s="1" t="s">
        <v>4098</v>
      </c>
      <c r="E2706" s="4">
        <v>276880.1</v>
      </c>
      <c r="F2706" s="4"/>
      <c r="G2706" s="4"/>
      <c r="H2706" s="4">
        <f>'data on outstanding creditors'!$E2706-'data on outstanding creditors'!$F2706-'data on outstanding creditors'!$G2706</f>
        <v>276880.1</v>
      </c>
      <c r="I2706" s="2"/>
      <c r="J2706" s="1"/>
      <c r="K2706" s="2"/>
      <c r="L2706" s="5"/>
      <c r="M2706" s="9" t="s">
        <v>339</v>
      </c>
      <c r="N2706" s="9" t="s">
        <v>49</v>
      </c>
      <c r="O2706" s="10">
        <f>'data on outstanding creditors'!$E2706*100/107</f>
        <v>258766.4486</v>
      </c>
      <c r="P2706" s="10">
        <f>'data on outstanding creditors'!$E2706-'data on outstanding creditors'!$O2706</f>
        <v>18113.6514</v>
      </c>
      <c r="Q2706" s="7">
        <f>DAY('data on outstanding creditors'!$B2706)</f>
        <v>1</v>
      </c>
      <c r="R2706" s="7">
        <f>MONTH('data on outstanding creditors'!$B2706)</f>
        <v>9</v>
      </c>
      <c r="S2706" s="7">
        <f>YEAR('data on outstanding creditors'!$B2706)</f>
        <v>2025</v>
      </c>
      <c r="T2706" s="11" t="str">
        <f>'data on outstanding creditors'!$C2706&amp;" "&amp;'data on outstanding creditors'!$D2706&amp;" "&amp;TEXT('data on outstanding creditors'!$E2706,"#,##0.00")</f>
        <v>บ.พี ซี แอล โฮลดิ้ง PCI25-09-0181 276,880.10</v>
      </c>
      <c r="U2706" s="12"/>
    </row>
    <row r="2707" ht="13.5" customHeight="1">
      <c r="A2707" s="1" t="s">
        <v>4099</v>
      </c>
      <c r="B2707" s="2">
        <v>45903.0</v>
      </c>
      <c r="C2707" s="9" t="s">
        <v>4027</v>
      </c>
      <c r="D2707" s="1" t="s">
        <v>4100</v>
      </c>
      <c r="E2707" s="4">
        <v>102000.0</v>
      </c>
      <c r="F2707" s="4"/>
      <c r="G2707" s="4"/>
      <c r="H2707" s="4">
        <f>'data on outstanding creditors'!$E2707-'data on outstanding creditors'!$F2707-'data on outstanding creditors'!$G2707</f>
        <v>102000</v>
      </c>
      <c r="I2707" s="2"/>
      <c r="J2707" s="1"/>
      <c r="K2707" s="2"/>
      <c r="L2707" s="5"/>
      <c r="M2707" s="9" t="s">
        <v>339</v>
      </c>
      <c r="N2707" s="9" t="s">
        <v>49</v>
      </c>
      <c r="O2707" s="10">
        <f>'data on outstanding creditors'!$E2707*100/107</f>
        <v>95327.1028</v>
      </c>
      <c r="P2707" s="10">
        <f>'data on outstanding creditors'!$E2707-'data on outstanding creditors'!$O2707</f>
        <v>6672.897196</v>
      </c>
      <c r="Q2707" s="7">
        <f>DAY('data on outstanding creditors'!$B2707)</f>
        <v>3</v>
      </c>
      <c r="R2707" s="7">
        <f>MONTH('data on outstanding creditors'!$B2707)</f>
        <v>9</v>
      </c>
      <c r="S2707" s="7">
        <f>YEAR('data on outstanding creditors'!$B2707)</f>
        <v>2025</v>
      </c>
      <c r="T2707" s="11" t="str">
        <f>'data on outstanding creditors'!$C2707&amp;" "&amp;'data on outstanding creditors'!$D2707&amp;" "&amp;TEXT('data on outstanding creditors'!$E2707,"#,##0.00")</f>
        <v>บ.พลูก้าเทค P2508-090 102,000.00</v>
      </c>
      <c r="U2707" s="12"/>
    </row>
    <row r="2708" ht="13.5" customHeight="1">
      <c r="A2708" s="1" t="s">
        <v>4101</v>
      </c>
      <c r="B2708" s="2">
        <v>45903.0</v>
      </c>
      <c r="C2708" s="9" t="s">
        <v>3888</v>
      </c>
      <c r="D2708" s="1" t="s">
        <v>4102</v>
      </c>
      <c r="E2708" s="4">
        <v>120000.0</v>
      </c>
      <c r="F2708" s="4"/>
      <c r="G2708" s="4"/>
      <c r="H2708" s="4">
        <f>'data on outstanding creditors'!$E2708-'data on outstanding creditors'!$F2708-'data on outstanding creditors'!$G2708</f>
        <v>120000</v>
      </c>
      <c r="I2708" s="2"/>
      <c r="J2708" s="1"/>
      <c r="K2708" s="2"/>
      <c r="L2708" s="5"/>
      <c r="M2708" s="9" t="s">
        <v>339</v>
      </c>
      <c r="N2708" s="9" t="s">
        <v>49</v>
      </c>
      <c r="O2708" s="10">
        <f>'data on outstanding creditors'!$E2708*100/107</f>
        <v>112149.5327</v>
      </c>
      <c r="P2708" s="10">
        <f>'data on outstanding creditors'!$E2708-'data on outstanding creditors'!$O2708</f>
        <v>7850.46729</v>
      </c>
      <c r="Q2708" s="7">
        <f>DAY('data on outstanding creditors'!$B2708)</f>
        <v>3</v>
      </c>
      <c r="R2708" s="7">
        <f>MONTH('data on outstanding creditors'!$B2708)</f>
        <v>9</v>
      </c>
      <c r="S2708" s="7">
        <f>YEAR('data on outstanding creditors'!$B2708)</f>
        <v>2025</v>
      </c>
      <c r="T2708" s="11" t="str">
        <f>'data on outstanding creditors'!$C2708&amp;" "&amp;'data on outstanding creditors'!$D2708&amp;" "&amp;TEXT('data on outstanding creditors'!$E2708,"#,##0.00")</f>
        <v>บ.พี ซี แอล โฮลดิ้ง PI25-08-0483 120,000.00</v>
      </c>
      <c r="U2708" s="12"/>
    </row>
    <row r="2709" ht="13.5" customHeight="1">
      <c r="A2709" s="1" t="s">
        <v>4103</v>
      </c>
      <c r="B2709" s="2">
        <v>45909.0</v>
      </c>
      <c r="C2709" s="9" t="s">
        <v>3874</v>
      </c>
      <c r="D2709" s="1" t="s">
        <v>4104</v>
      </c>
      <c r="E2709" s="4">
        <v>52750.0</v>
      </c>
      <c r="F2709" s="4"/>
      <c r="G2709" s="4"/>
      <c r="H2709" s="4">
        <f>'data on outstanding creditors'!$E2709-'data on outstanding creditors'!$F2709-'data on outstanding creditors'!$G2709</f>
        <v>52750</v>
      </c>
      <c r="I2709" s="2"/>
      <c r="J2709" s="1"/>
      <c r="K2709" s="2"/>
      <c r="L2709" s="5"/>
      <c r="M2709" s="9" t="s">
        <v>339</v>
      </c>
      <c r="N2709" s="9" t="s">
        <v>49</v>
      </c>
      <c r="O2709" s="10">
        <f>'data on outstanding creditors'!$E2709*100/107</f>
        <v>49299.06542</v>
      </c>
      <c r="P2709" s="10">
        <f>'data on outstanding creditors'!$E2709-'data on outstanding creditors'!$O2709</f>
        <v>3450.934579</v>
      </c>
      <c r="Q2709" s="7">
        <f>DAY('data on outstanding creditors'!$B2709)</f>
        <v>9</v>
      </c>
      <c r="R2709" s="7">
        <f>MONTH('data on outstanding creditors'!$B2709)</f>
        <v>9</v>
      </c>
      <c r="S2709" s="7">
        <f>YEAR('data on outstanding creditors'!$B2709)</f>
        <v>2025</v>
      </c>
      <c r="T2709" s="11" t="str">
        <f>'data on outstanding creditors'!$C2709&amp;" "&amp;'data on outstanding creditors'!$D2709&amp;" "&amp;TEXT('data on outstanding creditors'!$E2709,"#,##0.00")</f>
        <v>บ.เคม-ซายม์ IV6809007 52,750.00</v>
      </c>
      <c r="U2709" s="12"/>
    </row>
    <row r="2710" ht="13.5" customHeight="1">
      <c r="A2710" s="1" t="s">
        <v>4105</v>
      </c>
      <c r="B2710" s="2">
        <v>45910.0</v>
      </c>
      <c r="C2710" s="9" t="s">
        <v>2330</v>
      </c>
      <c r="D2710" s="1" t="s">
        <v>4106</v>
      </c>
      <c r="E2710" s="4">
        <v>60000.0</v>
      </c>
      <c r="F2710" s="4"/>
      <c r="G2710" s="4"/>
      <c r="H2710" s="4">
        <f>'data on outstanding creditors'!$E2710-'data on outstanding creditors'!$F2710-'data on outstanding creditors'!$G2710</f>
        <v>60000</v>
      </c>
      <c r="I2710" s="2"/>
      <c r="J2710" s="1"/>
      <c r="K2710" s="2"/>
      <c r="L2710" s="5"/>
      <c r="M2710" s="9" t="s">
        <v>339</v>
      </c>
      <c r="N2710" s="9" t="s">
        <v>49</v>
      </c>
      <c r="O2710" s="10">
        <f>'data on outstanding creditors'!$E2710*100/107</f>
        <v>56074.76636</v>
      </c>
      <c r="P2710" s="10">
        <f>'data on outstanding creditors'!$E2710-'data on outstanding creditors'!$O2710</f>
        <v>3925.233645</v>
      </c>
      <c r="Q2710" s="7">
        <f>DAY('data on outstanding creditors'!$B2710)</f>
        <v>10</v>
      </c>
      <c r="R2710" s="7">
        <f>MONTH('data on outstanding creditors'!$B2710)</f>
        <v>9</v>
      </c>
      <c r="S2710" s="7">
        <f>YEAR('data on outstanding creditors'!$B2710)</f>
        <v>2025</v>
      </c>
      <c r="T2710" s="11" t="str">
        <f>'data on outstanding creditors'!$C2710&amp;" "&amp;'data on outstanding creditors'!$D2710&amp;" "&amp;TEXT('data on outstanding creditors'!$E2710,"#,##0.00")</f>
        <v>บ.อี ฟอร์ แอล เอม M6809-0287 60,000.00</v>
      </c>
      <c r="U2710" s="12"/>
    </row>
    <row r="2711" ht="13.5" customHeight="1">
      <c r="A2711" s="1" t="s">
        <v>4107</v>
      </c>
      <c r="B2711" s="2">
        <v>45910.0</v>
      </c>
      <c r="C2711" s="9" t="s">
        <v>337</v>
      </c>
      <c r="D2711" s="1" t="s">
        <v>4108</v>
      </c>
      <c r="E2711" s="4">
        <v>89735.0</v>
      </c>
      <c r="F2711" s="4"/>
      <c r="G2711" s="4"/>
      <c r="H2711" s="4">
        <f>'data on outstanding creditors'!$E2711-'data on outstanding creditors'!$F2711-'data on outstanding creditors'!$G2711</f>
        <v>89735</v>
      </c>
      <c r="I2711" s="2"/>
      <c r="J2711" s="1"/>
      <c r="K2711" s="2"/>
      <c r="L2711" s="5"/>
      <c r="M2711" s="9" t="s">
        <v>339</v>
      </c>
      <c r="N2711" s="9" t="s">
        <v>49</v>
      </c>
      <c r="O2711" s="10">
        <f>'data on outstanding creditors'!$E2711*100/107</f>
        <v>83864.48598</v>
      </c>
      <c r="P2711" s="10">
        <f>'data on outstanding creditors'!$E2711-'data on outstanding creditors'!$O2711</f>
        <v>5870.514019</v>
      </c>
      <c r="Q2711" s="7">
        <f>DAY('data on outstanding creditors'!$B2711)</f>
        <v>10</v>
      </c>
      <c r="R2711" s="7">
        <f>MONTH('data on outstanding creditors'!$B2711)</f>
        <v>9</v>
      </c>
      <c r="S2711" s="7">
        <f>YEAR('data on outstanding creditors'!$B2711)</f>
        <v>2025</v>
      </c>
      <c r="T2711" s="11" t="str">
        <f>'data on outstanding creditors'!$C2711&amp;" "&amp;'data on outstanding creditors'!$D2711&amp;" "&amp;TEXT('data on outstanding creditors'!$E2711,"#,##0.00")</f>
        <v>บ.เมด-วัน I25080623 89,735.00</v>
      </c>
      <c r="U2711" s="12"/>
    </row>
    <row r="2712" ht="13.5" customHeight="1">
      <c r="A2712" s="1" t="s">
        <v>4109</v>
      </c>
      <c r="B2712" s="2">
        <v>45915.0</v>
      </c>
      <c r="C2712" s="9" t="s">
        <v>3994</v>
      </c>
      <c r="D2712" s="1" t="s">
        <v>4110</v>
      </c>
      <c r="E2712" s="4">
        <v>14000.0</v>
      </c>
      <c r="F2712" s="4"/>
      <c r="G2712" s="4"/>
      <c r="H2712" s="4">
        <f>'data on outstanding creditors'!$E2712-'data on outstanding creditors'!$F2712-'data on outstanding creditors'!$G2712</f>
        <v>14000</v>
      </c>
      <c r="I2712" s="2"/>
      <c r="J2712" s="1"/>
      <c r="K2712" s="2"/>
      <c r="L2712" s="5"/>
      <c r="M2712" s="9" t="s">
        <v>339</v>
      </c>
      <c r="N2712" s="9" t="s">
        <v>49</v>
      </c>
      <c r="O2712" s="10">
        <f>'data on outstanding creditors'!$E2712*100/107</f>
        <v>13084.11215</v>
      </c>
      <c r="P2712" s="10">
        <f>'data on outstanding creditors'!$E2712-'data on outstanding creditors'!$O2712</f>
        <v>915.8878505</v>
      </c>
      <c r="Q2712" s="7">
        <f>DAY('data on outstanding creditors'!$B2712)</f>
        <v>15</v>
      </c>
      <c r="R2712" s="7">
        <f>MONTH('data on outstanding creditors'!$B2712)</f>
        <v>9</v>
      </c>
      <c r="S2712" s="7">
        <f>YEAR('data on outstanding creditors'!$B2712)</f>
        <v>2025</v>
      </c>
      <c r="T2712" s="11" t="str">
        <f>'data on outstanding creditors'!$C2712&amp;" "&amp;'data on outstanding creditors'!$D2712&amp;" "&amp;TEXT('data on outstanding creditors'!$E2712,"#,##0.00")</f>
        <v>บ.แล็บมาสเตอร์ แอ๊ดวานซ์ IV6809-0525 14,000.00</v>
      </c>
      <c r="U2712" s="12"/>
    </row>
    <row r="2713" ht="13.5" customHeight="1">
      <c r="A2713" s="1" t="s">
        <v>4111</v>
      </c>
      <c r="B2713" s="2">
        <v>45916.0</v>
      </c>
      <c r="C2713" s="9" t="s">
        <v>3994</v>
      </c>
      <c r="D2713" s="1" t="s">
        <v>4112</v>
      </c>
      <c r="E2713" s="4">
        <v>5000.0</v>
      </c>
      <c r="F2713" s="4"/>
      <c r="G2713" s="4"/>
      <c r="H2713" s="4">
        <f>'data on outstanding creditors'!$E2713-'data on outstanding creditors'!$F2713-'data on outstanding creditors'!$G2713</f>
        <v>5000</v>
      </c>
      <c r="I2713" s="2"/>
      <c r="J2713" s="1"/>
      <c r="K2713" s="2"/>
      <c r="L2713" s="5"/>
      <c r="M2713" s="9" t="s">
        <v>339</v>
      </c>
      <c r="N2713" s="9" t="s">
        <v>49</v>
      </c>
      <c r="O2713" s="10">
        <f>'data on outstanding creditors'!$E2713*100/107</f>
        <v>4672.897196</v>
      </c>
      <c r="P2713" s="10">
        <f>'data on outstanding creditors'!$E2713-'data on outstanding creditors'!$O2713</f>
        <v>327.1028037</v>
      </c>
      <c r="Q2713" s="7">
        <f>DAY('data on outstanding creditors'!$B2713)</f>
        <v>16</v>
      </c>
      <c r="R2713" s="7">
        <f>MONTH('data on outstanding creditors'!$B2713)</f>
        <v>9</v>
      </c>
      <c r="S2713" s="7">
        <f>YEAR('data on outstanding creditors'!$B2713)</f>
        <v>2025</v>
      </c>
      <c r="T2713" s="11" t="str">
        <f>'data on outstanding creditors'!$C2713&amp;" "&amp;'data on outstanding creditors'!$D2713&amp;" "&amp;TEXT('data on outstanding creditors'!$E2713,"#,##0.00")</f>
        <v>บ.แล็บมาสเตอร์ แอ๊ดวานซ์ IV6809-0873 5,000.00</v>
      </c>
      <c r="U2713" s="12"/>
    </row>
    <row r="2714" ht="13.5" customHeight="1">
      <c r="A2714" s="1" t="s">
        <v>4113</v>
      </c>
      <c r="B2714" s="2">
        <v>45917.0</v>
      </c>
      <c r="C2714" s="9" t="s">
        <v>413</v>
      </c>
      <c r="D2714" s="1" t="s">
        <v>4114</v>
      </c>
      <c r="E2714" s="4">
        <v>296530.0</v>
      </c>
      <c r="F2714" s="4"/>
      <c r="G2714" s="4"/>
      <c r="H2714" s="4">
        <f>'data on outstanding creditors'!$E2714-'data on outstanding creditors'!$F2714-'data on outstanding creditors'!$G2714</f>
        <v>296530</v>
      </c>
      <c r="I2714" s="2"/>
      <c r="J2714" s="1"/>
      <c r="K2714" s="2"/>
      <c r="L2714" s="5"/>
      <c r="M2714" s="9" t="s">
        <v>339</v>
      </c>
      <c r="N2714" s="9" t="s">
        <v>49</v>
      </c>
      <c r="O2714" s="10">
        <f>'data on outstanding creditors'!$E2714*100/107</f>
        <v>277130.8411</v>
      </c>
      <c r="P2714" s="10">
        <f>'data on outstanding creditors'!$E2714-'data on outstanding creditors'!$O2714</f>
        <v>19399.15888</v>
      </c>
      <c r="Q2714" s="7">
        <f>DAY('data on outstanding creditors'!$B2714)</f>
        <v>17</v>
      </c>
      <c r="R2714" s="7">
        <f>MONTH('data on outstanding creditors'!$B2714)</f>
        <v>9</v>
      </c>
      <c r="S2714" s="7">
        <f>YEAR('data on outstanding creditors'!$B2714)</f>
        <v>2025</v>
      </c>
      <c r="T2714" s="11" t="str">
        <f>'data on outstanding creditors'!$C2714&amp;" "&amp;'data on outstanding creditors'!$D2714&amp;" "&amp;TEXT('data on outstanding creditors'!$E2714,"#,##0.00")</f>
        <v>ศูนย์บริการโลหิตแห่งชาติ สภากาชาดไทย 682118/00066 296,530.00</v>
      </c>
      <c r="U2714" s="12"/>
    </row>
    <row r="2715" ht="13.5" customHeight="1">
      <c r="A2715" s="1" t="s">
        <v>4115</v>
      </c>
      <c r="B2715" s="2">
        <v>45917.0</v>
      </c>
      <c r="C2715" s="9" t="s">
        <v>413</v>
      </c>
      <c r="D2715" s="1" t="s">
        <v>4116</v>
      </c>
      <c r="E2715" s="4">
        <v>1600.0</v>
      </c>
      <c r="F2715" s="4"/>
      <c r="G2715" s="4"/>
      <c r="H2715" s="4">
        <f>'data on outstanding creditors'!$E2715-'data on outstanding creditors'!$F2715-'data on outstanding creditors'!$G2715</f>
        <v>1600</v>
      </c>
      <c r="I2715" s="2"/>
      <c r="J2715" s="1"/>
      <c r="K2715" s="2"/>
      <c r="L2715" s="5"/>
      <c r="M2715" s="9" t="s">
        <v>339</v>
      </c>
      <c r="N2715" s="9" t="s">
        <v>49</v>
      </c>
      <c r="O2715" s="10">
        <f>'data on outstanding creditors'!$E2715*100/107</f>
        <v>1495.327103</v>
      </c>
      <c r="P2715" s="10">
        <f>'data on outstanding creditors'!$E2715-'data on outstanding creditors'!$O2715</f>
        <v>104.6728972</v>
      </c>
      <c r="Q2715" s="7">
        <f>DAY('data on outstanding creditors'!$B2715)</f>
        <v>17</v>
      </c>
      <c r="R2715" s="7">
        <f>MONTH('data on outstanding creditors'!$B2715)</f>
        <v>9</v>
      </c>
      <c r="S2715" s="7">
        <f>YEAR('data on outstanding creditors'!$B2715)</f>
        <v>2025</v>
      </c>
      <c r="T2715" s="11" t="str">
        <f>'data on outstanding creditors'!$C2715&amp;" "&amp;'data on outstanding creditors'!$D2715&amp;" "&amp;TEXT('data on outstanding creditors'!$E2715,"#,##0.00")</f>
        <v>ศูนย์บริการโลหิตแห่งชาติ สภากาชาดไทย 682126/00081 1,600.00</v>
      </c>
      <c r="U2715" s="12"/>
    </row>
    <row r="2716" ht="13.5" customHeight="1">
      <c r="A2716" s="1" t="s">
        <v>4117</v>
      </c>
      <c r="B2716" s="2">
        <v>45917.0</v>
      </c>
      <c r="C2716" s="9" t="s">
        <v>413</v>
      </c>
      <c r="D2716" s="1" t="s">
        <v>4118</v>
      </c>
      <c r="E2716" s="4">
        <v>2420.0</v>
      </c>
      <c r="F2716" s="4"/>
      <c r="G2716" s="4"/>
      <c r="H2716" s="4">
        <f>'data on outstanding creditors'!$E2716-'data on outstanding creditors'!$F2716-'data on outstanding creditors'!$G2716</f>
        <v>2420</v>
      </c>
      <c r="I2716" s="2"/>
      <c r="J2716" s="1"/>
      <c r="K2716" s="2"/>
      <c r="L2716" s="5"/>
      <c r="M2716" s="9" t="s">
        <v>339</v>
      </c>
      <c r="N2716" s="9" t="s">
        <v>49</v>
      </c>
      <c r="O2716" s="10">
        <f>'data on outstanding creditors'!$E2716*100/107</f>
        <v>2261.682243</v>
      </c>
      <c r="P2716" s="10">
        <f>'data on outstanding creditors'!$E2716-'data on outstanding creditors'!$O2716</f>
        <v>158.317757</v>
      </c>
      <c r="Q2716" s="7">
        <f>DAY('data on outstanding creditors'!$B2716)</f>
        <v>17</v>
      </c>
      <c r="R2716" s="7">
        <f>MONTH('data on outstanding creditors'!$B2716)</f>
        <v>9</v>
      </c>
      <c r="S2716" s="7">
        <f>YEAR('data on outstanding creditors'!$B2716)</f>
        <v>2025</v>
      </c>
      <c r="T2716" s="11" t="str">
        <f>'data on outstanding creditors'!$C2716&amp;" "&amp;'data on outstanding creditors'!$D2716&amp;" "&amp;TEXT('data on outstanding creditors'!$E2716,"#,##0.00")</f>
        <v>ศูนย์บริการโลหิตแห่งชาติ สภากาชาดไทย 682109/00049 2,420.00</v>
      </c>
      <c r="U2716" s="12"/>
    </row>
    <row r="2717" ht="13.5" customHeight="1">
      <c r="A2717" s="1" t="s">
        <v>4119</v>
      </c>
      <c r="B2717" s="2">
        <v>45918.0</v>
      </c>
      <c r="C2717" s="9" t="s">
        <v>337</v>
      </c>
      <c r="D2717" s="1" t="s">
        <v>4120</v>
      </c>
      <c r="E2717" s="4">
        <v>38000.0</v>
      </c>
      <c r="F2717" s="4"/>
      <c r="G2717" s="4"/>
      <c r="H2717" s="4">
        <f>'data on outstanding creditors'!$E2717-'data on outstanding creditors'!$F2717-'data on outstanding creditors'!$G2717</f>
        <v>38000</v>
      </c>
      <c r="I2717" s="2"/>
      <c r="J2717" s="1"/>
      <c r="K2717" s="2"/>
      <c r="L2717" s="5"/>
      <c r="M2717" s="9" t="s">
        <v>339</v>
      </c>
      <c r="N2717" s="9" t="s">
        <v>49</v>
      </c>
      <c r="O2717" s="10">
        <f>'data on outstanding creditors'!$E2717*100/107</f>
        <v>35514.01869</v>
      </c>
      <c r="P2717" s="10">
        <f>'data on outstanding creditors'!$E2717-'data on outstanding creditors'!$O2717</f>
        <v>2485.981308</v>
      </c>
      <c r="Q2717" s="7">
        <f>DAY('data on outstanding creditors'!$B2717)</f>
        <v>18</v>
      </c>
      <c r="R2717" s="7">
        <f>MONTH('data on outstanding creditors'!$B2717)</f>
        <v>9</v>
      </c>
      <c r="S2717" s="7">
        <f>YEAR('data on outstanding creditors'!$B2717)</f>
        <v>2025</v>
      </c>
      <c r="T2717" s="11" t="str">
        <f>'data on outstanding creditors'!$C2717&amp;" "&amp;'data on outstanding creditors'!$D2717&amp;" "&amp;TEXT('data on outstanding creditors'!$E2717,"#,##0.00")</f>
        <v>บ.เมด-วัน I25090358 38,000.00</v>
      </c>
      <c r="U2717" s="12"/>
    </row>
    <row r="2718" ht="13.5" customHeight="1">
      <c r="A2718" s="1" t="s">
        <v>4121</v>
      </c>
      <c r="B2718" s="2">
        <v>45918.0</v>
      </c>
      <c r="C2718" s="9" t="s">
        <v>3922</v>
      </c>
      <c r="D2718" s="1" t="s">
        <v>4122</v>
      </c>
      <c r="E2718" s="4">
        <v>63250.0</v>
      </c>
      <c r="F2718" s="4"/>
      <c r="G2718" s="4"/>
      <c r="H2718" s="4">
        <f>'data on outstanding creditors'!$E2718-'data on outstanding creditors'!$F2718-'data on outstanding creditors'!$G2718</f>
        <v>63250</v>
      </c>
      <c r="I2718" s="2"/>
      <c r="J2718" s="1"/>
      <c r="K2718" s="2"/>
      <c r="L2718" s="5"/>
      <c r="M2718" s="9" t="s">
        <v>339</v>
      </c>
      <c r="N2718" s="9" t="s">
        <v>49</v>
      </c>
      <c r="O2718" s="10">
        <f>'data on outstanding creditors'!$E2718*100/107</f>
        <v>59112.14953</v>
      </c>
      <c r="P2718" s="10">
        <f>'data on outstanding creditors'!$E2718-'data on outstanding creditors'!$O2718</f>
        <v>4137.850467</v>
      </c>
      <c r="Q2718" s="7">
        <f>DAY('data on outstanding creditors'!$B2718)</f>
        <v>18</v>
      </c>
      <c r="R2718" s="7">
        <f>MONTH('data on outstanding creditors'!$B2718)</f>
        <v>9</v>
      </c>
      <c r="S2718" s="7">
        <f>YEAR('data on outstanding creditors'!$B2718)</f>
        <v>2025</v>
      </c>
      <c r="T2718" s="11" t="str">
        <f>'data on outstanding creditors'!$C2718&amp;" "&amp;'data on outstanding creditors'!$D2718&amp;" "&amp;TEXT('data on outstanding creditors'!$E2718,"#,##0.00")</f>
        <v>บ.ซี เมดิค IVZ6809-0605 63,250.00</v>
      </c>
      <c r="U2718" s="12"/>
    </row>
    <row r="2719" ht="13.5" customHeight="1">
      <c r="A2719" s="1" t="s">
        <v>4123</v>
      </c>
      <c r="B2719" s="2">
        <v>45929.0</v>
      </c>
      <c r="C2719" s="9" t="s">
        <v>3927</v>
      </c>
      <c r="D2719" s="1" t="s">
        <v>4124</v>
      </c>
      <c r="E2719" s="4">
        <v>150000.0</v>
      </c>
      <c r="F2719" s="4"/>
      <c r="G2719" s="4"/>
      <c r="H2719" s="4">
        <f>'data on outstanding creditors'!$E2719-'data on outstanding creditors'!$F2719-'data on outstanding creditors'!$G2719</f>
        <v>150000</v>
      </c>
      <c r="I2719" s="2"/>
      <c r="J2719" s="1"/>
      <c r="K2719" s="2"/>
      <c r="L2719" s="5"/>
      <c r="M2719" s="9" t="s">
        <v>339</v>
      </c>
      <c r="N2719" s="9" t="s">
        <v>49</v>
      </c>
      <c r="O2719" s="10">
        <f>'data on outstanding creditors'!$E2719*100/107</f>
        <v>140186.9159</v>
      </c>
      <c r="P2719" s="10">
        <f>'data on outstanding creditors'!$E2719-'data on outstanding creditors'!$O2719</f>
        <v>9813.084112</v>
      </c>
      <c r="Q2719" s="7">
        <f>DAY('data on outstanding creditors'!$B2719)</f>
        <v>29</v>
      </c>
      <c r="R2719" s="7">
        <f>MONTH('data on outstanding creditors'!$B2719)</f>
        <v>9</v>
      </c>
      <c r="S2719" s="7">
        <f>YEAR('data on outstanding creditors'!$B2719)</f>
        <v>2025</v>
      </c>
      <c r="T2719" s="11" t="str">
        <f>'data on outstanding creditors'!$C2719&amp;" "&amp;'data on outstanding creditors'!$D2719&amp;" "&amp;TEXT('data on outstanding creditors'!$E2719,"#,##0.00")</f>
        <v>บ.โปรเฟสชั่นแนล เมดิคอล ซายน์ INT-PMS-680900290 150,000.00</v>
      </c>
      <c r="U2719" s="12"/>
    </row>
    <row r="2720" ht="13.5" customHeight="1">
      <c r="A2720" s="1" t="s">
        <v>4125</v>
      </c>
      <c r="B2720" s="2">
        <v>45929.0</v>
      </c>
      <c r="C2720" s="9" t="s">
        <v>1422</v>
      </c>
      <c r="D2720" s="1" t="s">
        <v>4126</v>
      </c>
      <c r="E2720" s="4">
        <v>164136.0</v>
      </c>
      <c r="F2720" s="4"/>
      <c r="G2720" s="4"/>
      <c r="H2720" s="4">
        <f>'data on outstanding creditors'!$E2720-'data on outstanding creditors'!$F2720-'data on outstanding creditors'!$G2720</f>
        <v>164136</v>
      </c>
      <c r="I2720" s="2"/>
      <c r="J2720" s="1"/>
      <c r="K2720" s="2"/>
      <c r="L2720" s="5"/>
      <c r="M2720" s="9" t="s">
        <v>339</v>
      </c>
      <c r="N2720" s="9" t="s">
        <v>49</v>
      </c>
      <c r="O2720" s="10">
        <f>'data on outstanding creditors'!$E2720*100/107</f>
        <v>153398.1308</v>
      </c>
      <c r="P2720" s="10">
        <f>'data on outstanding creditors'!$E2720-'data on outstanding creditors'!$O2720</f>
        <v>10737.86916</v>
      </c>
      <c r="Q2720" s="7">
        <f>DAY('data on outstanding creditors'!$B2720)</f>
        <v>29</v>
      </c>
      <c r="R2720" s="7">
        <f>MONTH('data on outstanding creditors'!$B2720)</f>
        <v>9</v>
      </c>
      <c r="S2720" s="7">
        <f>YEAR('data on outstanding creditors'!$B2720)</f>
        <v>2025</v>
      </c>
      <c r="T2720" s="11" t="str">
        <f>'data on outstanding creditors'!$C2720&amp;" "&amp;'data on outstanding creditors'!$D2720&amp;" "&amp;TEXT('data on outstanding creditors'!$E2720,"#,##0.00")</f>
        <v>บ.ดีซีเอช ออดิกา (ปรเทศไทย) UG094056787 164,136.00</v>
      </c>
      <c r="U2720" s="12"/>
    </row>
    <row r="2721" ht="13.5" customHeight="1">
      <c r="A2721" s="1" t="s">
        <v>4127</v>
      </c>
      <c r="B2721" s="2">
        <v>45931.0</v>
      </c>
      <c r="C2721" s="9" t="s">
        <v>1422</v>
      </c>
      <c r="D2721" s="1" t="s">
        <v>4128</v>
      </c>
      <c r="E2721" s="4">
        <v>163436.0</v>
      </c>
      <c r="F2721" s="4"/>
      <c r="G2721" s="4"/>
      <c r="H2721" s="4">
        <f>'data on outstanding creditors'!$E2721-'data on outstanding creditors'!$F2721-'data on outstanding creditors'!$G2721</f>
        <v>163436</v>
      </c>
      <c r="I2721" s="2"/>
      <c r="J2721" s="1"/>
      <c r="K2721" s="2"/>
      <c r="L2721" s="5"/>
      <c r="M2721" s="9" t="s">
        <v>339</v>
      </c>
      <c r="N2721" s="9" t="s">
        <v>49</v>
      </c>
      <c r="O2721" s="10">
        <f>'data on outstanding creditors'!$E2721*100/107</f>
        <v>152743.9252</v>
      </c>
      <c r="P2721" s="10">
        <f>'data on outstanding creditors'!$E2721-'data on outstanding creditors'!$O2721</f>
        <v>10692.07477</v>
      </c>
      <c r="Q2721" s="7">
        <f>DAY('data on outstanding creditors'!$B2721)</f>
        <v>1</v>
      </c>
      <c r="R2721" s="7">
        <f>MONTH('data on outstanding creditors'!$B2721)</f>
        <v>10</v>
      </c>
      <c r="S2721" s="7">
        <f>YEAR('data on outstanding creditors'!$B2721)</f>
        <v>2025</v>
      </c>
      <c r="T2721" s="11" t="str">
        <f>'data on outstanding creditors'!$C2721&amp;" "&amp;'data on outstanding creditors'!$D2721&amp;" "&amp;TEXT('data on outstanding creditors'!$E2721,"#,##0.00")</f>
        <v>บ.ดีซีเอช ออดิกา (ปรเทศไทย) UO94057478 163,436.00</v>
      </c>
      <c r="U2721" s="12"/>
    </row>
    <row r="2722" ht="13.5" customHeight="1">
      <c r="A2722" s="1" t="s">
        <v>4129</v>
      </c>
      <c r="B2722" s="2">
        <v>45931.0</v>
      </c>
      <c r="C2722" s="9" t="s">
        <v>3888</v>
      </c>
      <c r="D2722" s="1" t="s">
        <v>4130</v>
      </c>
      <c r="E2722" s="4">
        <v>271110.85</v>
      </c>
      <c r="F2722" s="4"/>
      <c r="G2722" s="4"/>
      <c r="H2722" s="4">
        <f>'data on outstanding creditors'!$E2722-'data on outstanding creditors'!$F2722-'data on outstanding creditors'!$G2722</f>
        <v>271110.85</v>
      </c>
      <c r="I2722" s="2"/>
      <c r="J2722" s="1"/>
      <c r="K2722" s="2"/>
      <c r="L2722" s="5"/>
      <c r="M2722" s="9" t="s">
        <v>339</v>
      </c>
      <c r="N2722" s="9" t="s">
        <v>49</v>
      </c>
      <c r="O2722" s="10">
        <f>'data on outstanding creditors'!$E2722*100/107</f>
        <v>253374.6262</v>
      </c>
      <c r="P2722" s="10">
        <f>'data on outstanding creditors'!$E2722-'data on outstanding creditors'!$O2722</f>
        <v>17736.22383</v>
      </c>
      <c r="Q2722" s="7">
        <f>DAY('data on outstanding creditors'!$B2722)</f>
        <v>1</v>
      </c>
      <c r="R2722" s="7">
        <f>MONTH('data on outstanding creditors'!$B2722)</f>
        <v>10</v>
      </c>
      <c r="S2722" s="7">
        <f>YEAR('data on outstanding creditors'!$B2722)</f>
        <v>2025</v>
      </c>
      <c r="T2722" s="11" t="str">
        <f>'data on outstanding creditors'!$C2722&amp;" "&amp;'data on outstanding creditors'!$D2722&amp;" "&amp;TEXT('data on outstanding creditors'!$E2722,"#,##0.00")</f>
        <v>บ.พี ซี แอล โฮลดิ้ง PCI25-09-0377 271,110.85</v>
      </c>
      <c r="U2722" s="12"/>
    </row>
    <row r="2723" ht="13.5" customHeight="1">
      <c r="A2723" s="1" t="s">
        <v>4131</v>
      </c>
      <c r="B2723" s="2">
        <v>45931.0</v>
      </c>
      <c r="C2723" s="9" t="s">
        <v>3888</v>
      </c>
      <c r="D2723" s="1" t="s">
        <v>4132</v>
      </c>
      <c r="E2723" s="4">
        <v>247482.05</v>
      </c>
      <c r="F2723" s="4"/>
      <c r="G2723" s="4"/>
      <c r="H2723" s="4">
        <f>'data on outstanding creditors'!$E2723-'data on outstanding creditors'!$F2723-'data on outstanding creditors'!$G2723</f>
        <v>247482.05</v>
      </c>
      <c r="I2723" s="2"/>
      <c r="J2723" s="1"/>
      <c r="K2723" s="2"/>
      <c r="L2723" s="5"/>
      <c r="M2723" s="9" t="s">
        <v>339</v>
      </c>
      <c r="N2723" s="9" t="s">
        <v>49</v>
      </c>
      <c r="O2723" s="10">
        <f>'data on outstanding creditors'!$E2723*100/107</f>
        <v>231291.6355</v>
      </c>
      <c r="P2723" s="10">
        <f>'data on outstanding creditors'!$E2723-'data on outstanding creditors'!$O2723</f>
        <v>16190.41449</v>
      </c>
      <c r="Q2723" s="7">
        <f>DAY('data on outstanding creditors'!$B2723)</f>
        <v>1</v>
      </c>
      <c r="R2723" s="7">
        <f>MONTH('data on outstanding creditors'!$B2723)</f>
        <v>10</v>
      </c>
      <c r="S2723" s="7">
        <f>YEAR('data on outstanding creditors'!$B2723)</f>
        <v>2025</v>
      </c>
      <c r="T2723" s="11" t="str">
        <f>'data on outstanding creditors'!$C2723&amp;" "&amp;'data on outstanding creditors'!$D2723&amp;" "&amp;TEXT('data on outstanding creditors'!$E2723,"#,##0.00")</f>
        <v>บ.พี ซี แอล โฮลดิ้ง PCI25-09-0386 247,482.05</v>
      </c>
      <c r="U2723" s="12"/>
    </row>
    <row r="2724" ht="13.5" customHeight="1">
      <c r="A2724" s="1" t="s">
        <v>4133</v>
      </c>
      <c r="B2724" s="2">
        <v>45931.0</v>
      </c>
      <c r="C2724" s="9" t="s">
        <v>413</v>
      </c>
      <c r="D2724" s="1" t="s">
        <v>4134</v>
      </c>
      <c r="E2724" s="4">
        <v>1900.0</v>
      </c>
      <c r="F2724" s="4"/>
      <c r="G2724" s="4"/>
      <c r="H2724" s="4">
        <f>'data on outstanding creditors'!$E2724-'data on outstanding creditors'!$F2724-'data on outstanding creditors'!$G2724</f>
        <v>1900</v>
      </c>
      <c r="I2724" s="2"/>
      <c r="J2724" s="1"/>
      <c r="K2724" s="2"/>
      <c r="L2724" s="5"/>
      <c r="M2724" s="9" t="s">
        <v>339</v>
      </c>
      <c r="N2724" s="9" t="s">
        <v>49</v>
      </c>
      <c r="O2724" s="10">
        <f>'data on outstanding creditors'!$E2724*100/107</f>
        <v>1775.700935</v>
      </c>
      <c r="P2724" s="10">
        <f>'data on outstanding creditors'!$E2724-'data on outstanding creditors'!$O2724</f>
        <v>124.2990654</v>
      </c>
      <c r="Q2724" s="7">
        <f>DAY('data on outstanding creditors'!$B2724)</f>
        <v>1</v>
      </c>
      <c r="R2724" s="7">
        <f>MONTH('data on outstanding creditors'!$B2724)</f>
        <v>10</v>
      </c>
      <c r="S2724" s="7">
        <f>YEAR('data on outstanding creditors'!$B2724)</f>
        <v>2025</v>
      </c>
      <c r="T2724" s="11" t="str">
        <f>'data on outstanding creditors'!$C2724&amp;" "&amp;'data on outstanding creditors'!$D2724&amp;" "&amp;TEXT('data on outstanding creditors'!$E2724,"#,##0.00")</f>
        <v>ศูนย์บริการโลหิตแห่งชาติ สภากาชาดไทย I6810-0101-02573 1,900.00</v>
      </c>
      <c r="U2724" s="12"/>
    </row>
    <row r="2725" ht="13.5" customHeight="1">
      <c r="A2725" s="1" t="s">
        <v>4135</v>
      </c>
      <c r="B2725" s="2">
        <v>45933.0</v>
      </c>
      <c r="C2725" s="9" t="s">
        <v>413</v>
      </c>
      <c r="D2725" s="1" t="s">
        <v>4136</v>
      </c>
      <c r="E2725" s="4">
        <v>8400.0</v>
      </c>
      <c r="F2725" s="4"/>
      <c r="G2725" s="4"/>
      <c r="H2725" s="4">
        <f>'data on outstanding creditors'!$E2725-'data on outstanding creditors'!$F2725-'data on outstanding creditors'!$G2725</f>
        <v>8400</v>
      </c>
      <c r="I2725" s="2"/>
      <c r="J2725" s="1"/>
      <c r="K2725" s="2"/>
      <c r="L2725" s="5"/>
      <c r="M2725" s="9" t="s">
        <v>339</v>
      </c>
      <c r="N2725" s="9" t="s">
        <v>49</v>
      </c>
      <c r="O2725" s="10">
        <f>'data on outstanding creditors'!$E2725*100/107</f>
        <v>7850.46729</v>
      </c>
      <c r="P2725" s="10">
        <f>'data on outstanding creditors'!$E2725-'data on outstanding creditors'!$O2725</f>
        <v>549.5327103</v>
      </c>
      <c r="Q2725" s="7">
        <f>DAY('data on outstanding creditors'!$B2725)</f>
        <v>3</v>
      </c>
      <c r="R2725" s="7">
        <f>MONTH('data on outstanding creditors'!$B2725)</f>
        <v>10</v>
      </c>
      <c r="S2725" s="7">
        <f>YEAR('data on outstanding creditors'!$B2725)</f>
        <v>2025</v>
      </c>
      <c r="T2725" s="11" t="str">
        <f>'data on outstanding creditors'!$C2725&amp;" "&amp;'data on outstanding creditors'!$D2725&amp;" "&amp;TEXT('data on outstanding creditors'!$E2725,"#,##0.00")</f>
        <v>ศูนย์บริการโลหิตแห่งชาติ สภากาชาดไทย I6810-0101-00869 8,400.00</v>
      </c>
      <c r="U2725" s="12"/>
    </row>
    <row r="2726" ht="13.5" customHeight="1">
      <c r="A2726" s="1" t="s">
        <v>4137</v>
      </c>
      <c r="B2726" s="2">
        <v>45933.0</v>
      </c>
      <c r="C2726" s="9" t="s">
        <v>413</v>
      </c>
      <c r="D2726" s="1" t="s">
        <v>4138</v>
      </c>
      <c r="E2726" s="4">
        <v>1100.0</v>
      </c>
      <c r="F2726" s="4"/>
      <c r="G2726" s="4"/>
      <c r="H2726" s="4">
        <f>'data on outstanding creditors'!$E2726-'data on outstanding creditors'!$F2726-'data on outstanding creditors'!$G2726</f>
        <v>1100</v>
      </c>
      <c r="I2726" s="2"/>
      <c r="J2726" s="1"/>
      <c r="K2726" s="2"/>
      <c r="L2726" s="5"/>
      <c r="M2726" s="9" t="s">
        <v>339</v>
      </c>
      <c r="N2726" s="9" t="s">
        <v>49</v>
      </c>
      <c r="O2726" s="10">
        <f>'data on outstanding creditors'!$E2726*100/107</f>
        <v>1028.037383</v>
      </c>
      <c r="P2726" s="10">
        <f>'data on outstanding creditors'!$E2726-'data on outstanding creditors'!$O2726</f>
        <v>71.96261682</v>
      </c>
      <c r="Q2726" s="7">
        <f>DAY('data on outstanding creditors'!$B2726)</f>
        <v>3</v>
      </c>
      <c r="R2726" s="7">
        <f>MONTH('data on outstanding creditors'!$B2726)</f>
        <v>10</v>
      </c>
      <c r="S2726" s="7">
        <f>YEAR('data on outstanding creditors'!$B2726)</f>
        <v>2025</v>
      </c>
      <c r="T2726" s="11" t="str">
        <f>'data on outstanding creditors'!$C2726&amp;" "&amp;'data on outstanding creditors'!$D2726&amp;" "&amp;TEXT('data on outstanding creditors'!$E2726,"#,##0.00")</f>
        <v>ศูนย์บริการโลหิตแห่งชาติ สภากาชาดไทย I6810-0105-00410 1,100.00</v>
      </c>
      <c r="U2726" s="12"/>
    </row>
    <row r="2727" ht="13.5" customHeight="1">
      <c r="A2727" s="1" t="s">
        <v>4139</v>
      </c>
      <c r="B2727" s="2">
        <v>45933.0</v>
      </c>
      <c r="C2727" s="9" t="s">
        <v>413</v>
      </c>
      <c r="D2727" s="1" t="s">
        <v>4140</v>
      </c>
      <c r="E2727" s="4">
        <v>26840.0</v>
      </c>
      <c r="F2727" s="4"/>
      <c r="G2727" s="4"/>
      <c r="H2727" s="4">
        <f>'data on outstanding creditors'!$E2727-'data on outstanding creditors'!$F2727-'data on outstanding creditors'!$G2727</f>
        <v>26840</v>
      </c>
      <c r="I2727" s="2"/>
      <c r="J2727" s="1"/>
      <c r="K2727" s="2"/>
      <c r="L2727" s="5"/>
      <c r="M2727" s="9" t="s">
        <v>339</v>
      </c>
      <c r="N2727" s="9" t="s">
        <v>49</v>
      </c>
      <c r="O2727" s="10">
        <f>'data on outstanding creditors'!$E2727*100/107</f>
        <v>25084.11215</v>
      </c>
      <c r="P2727" s="10">
        <f>'data on outstanding creditors'!$E2727-'data on outstanding creditors'!$O2727</f>
        <v>1755.88785</v>
      </c>
      <c r="Q2727" s="7">
        <f>DAY('data on outstanding creditors'!$B2727)</f>
        <v>3</v>
      </c>
      <c r="R2727" s="7">
        <f>MONTH('data on outstanding creditors'!$B2727)</f>
        <v>10</v>
      </c>
      <c r="S2727" s="7">
        <f>YEAR('data on outstanding creditors'!$B2727)</f>
        <v>2025</v>
      </c>
      <c r="T2727" s="11" t="str">
        <f>'data on outstanding creditors'!$C2727&amp;" "&amp;'data on outstanding creditors'!$D2727&amp;" "&amp;TEXT('data on outstanding creditors'!$E2727,"#,##0.00")</f>
        <v>ศูนย์บริการโลหิตแห่งชาติ สภากาชาดไทย I6810-0101-00753 26,840.00</v>
      </c>
      <c r="U2727" s="12"/>
    </row>
    <row r="2728" ht="13.5" customHeight="1">
      <c r="A2728" s="1" t="s">
        <v>4141</v>
      </c>
      <c r="B2728" s="2">
        <v>45933.0</v>
      </c>
      <c r="C2728" s="9" t="s">
        <v>413</v>
      </c>
      <c r="D2728" s="1" t="s">
        <v>4142</v>
      </c>
      <c r="E2728" s="4">
        <v>17600.0</v>
      </c>
      <c r="F2728" s="4"/>
      <c r="G2728" s="4"/>
      <c r="H2728" s="4">
        <f>'data on outstanding creditors'!$E2728-'data on outstanding creditors'!$F2728-'data on outstanding creditors'!$G2728</f>
        <v>17600</v>
      </c>
      <c r="I2728" s="2"/>
      <c r="J2728" s="1"/>
      <c r="K2728" s="2"/>
      <c r="L2728" s="5"/>
      <c r="M2728" s="9" t="s">
        <v>339</v>
      </c>
      <c r="N2728" s="9" t="s">
        <v>49</v>
      </c>
      <c r="O2728" s="10">
        <f>'data on outstanding creditors'!$E2728*100/107</f>
        <v>16448.59813</v>
      </c>
      <c r="P2728" s="10">
        <f>'data on outstanding creditors'!$E2728-'data on outstanding creditors'!$O2728</f>
        <v>1151.401869</v>
      </c>
      <c r="Q2728" s="7">
        <f>DAY('data on outstanding creditors'!$B2728)</f>
        <v>3</v>
      </c>
      <c r="R2728" s="7">
        <f>MONTH('data on outstanding creditors'!$B2728)</f>
        <v>10</v>
      </c>
      <c r="S2728" s="7">
        <f>YEAR('data on outstanding creditors'!$B2728)</f>
        <v>2025</v>
      </c>
      <c r="T2728" s="11" t="str">
        <f>'data on outstanding creditors'!$C2728&amp;" "&amp;'data on outstanding creditors'!$D2728&amp;" "&amp;TEXT('data on outstanding creditors'!$E2728,"#,##0.00")</f>
        <v>ศูนย์บริการโลหิตแห่งชาติ สภากาชาดไทย I6810-0101-00644 17,600.00</v>
      </c>
      <c r="U2728" s="12"/>
    </row>
    <row r="2729" ht="13.5" customHeight="1">
      <c r="A2729" s="1" t="s">
        <v>4143</v>
      </c>
      <c r="B2729" s="2">
        <v>45934.0</v>
      </c>
      <c r="C2729" s="9" t="s">
        <v>413</v>
      </c>
      <c r="D2729" s="1" t="s">
        <v>4144</v>
      </c>
      <c r="E2729" s="4">
        <v>11180.0</v>
      </c>
      <c r="F2729" s="4"/>
      <c r="G2729" s="4"/>
      <c r="H2729" s="4">
        <f>'data on outstanding creditors'!$E2729-'data on outstanding creditors'!$F2729-'data on outstanding creditors'!$G2729</f>
        <v>11180</v>
      </c>
      <c r="I2729" s="2"/>
      <c r="J2729" s="1"/>
      <c r="K2729" s="2"/>
      <c r="L2729" s="5"/>
      <c r="M2729" s="9" t="s">
        <v>339</v>
      </c>
      <c r="N2729" s="9" t="s">
        <v>49</v>
      </c>
      <c r="O2729" s="10">
        <f>'data on outstanding creditors'!$E2729*100/107</f>
        <v>10448.59813</v>
      </c>
      <c r="P2729" s="10">
        <f>'data on outstanding creditors'!$E2729-'data on outstanding creditors'!$O2729</f>
        <v>731.4018692</v>
      </c>
      <c r="Q2729" s="7">
        <f>DAY('data on outstanding creditors'!$B2729)</f>
        <v>4</v>
      </c>
      <c r="R2729" s="7">
        <f>MONTH('data on outstanding creditors'!$B2729)</f>
        <v>10</v>
      </c>
      <c r="S2729" s="7">
        <f>YEAR('data on outstanding creditors'!$B2729)</f>
        <v>2025</v>
      </c>
      <c r="T2729" s="11" t="str">
        <f>'data on outstanding creditors'!$C2729&amp;" "&amp;'data on outstanding creditors'!$D2729&amp;" "&amp;TEXT('data on outstanding creditors'!$E2729,"#,##0.00")</f>
        <v>ศูนย์บริการโลหิตแห่งชาติ สภากาชาดไทย I6810-0101-00942 11,180.00</v>
      </c>
      <c r="U2729" s="12"/>
    </row>
    <row r="2730" ht="13.5" customHeight="1">
      <c r="A2730" s="1" t="s">
        <v>4145</v>
      </c>
      <c r="B2730" s="2">
        <v>45934.0</v>
      </c>
      <c r="C2730" s="9" t="s">
        <v>413</v>
      </c>
      <c r="D2730" s="1" t="s">
        <v>4146</v>
      </c>
      <c r="E2730" s="4">
        <v>6300.0</v>
      </c>
      <c r="F2730" s="4"/>
      <c r="G2730" s="4"/>
      <c r="H2730" s="4">
        <f>'data on outstanding creditors'!$E2730-'data on outstanding creditors'!$F2730-'data on outstanding creditors'!$G2730</f>
        <v>6300</v>
      </c>
      <c r="I2730" s="2"/>
      <c r="J2730" s="1"/>
      <c r="K2730" s="2"/>
      <c r="L2730" s="5"/>
      <c r="M2730" s="9" t="s">
        <v>339</v>
      </c>
      <c r="N2730" s="9" t="s">
        <v>49</v>
      </c>
      <c r="O2730" s="10">
        <f>'data on outstanding creditors'!$E2730*100/107</f>
        <v>5887.850467</v>
      </c>
      <c r="P2730" s="10">
        <f>'data on outstanding creditors'!$E2730-'data on outstanding creditors'!$O2730</f>
        <v>412.1495327</v>
      </c>
      <c r="Q2730" s="7">
        <f>DAY('data on outstanding creditors'!$B2730)</f>
        <v>4</v>
      </c>
      <c r="R2730" s="7">
        <f>MONTH('data on outstanding creditors'!$B2730)</f>
        <v>10</v>
      </c>
      <c r="S2730" s="7">
        <f>YEAR('data on outstanding creditors'!$B2730)</f>
        <v>2025</v>
      </c>
      <c r="T2730" s="11" t="str">
        <f>'data on outstanding creditors'!$C2730&amp;" "&amp;'data on outstanding creditors'!$D2730&amp;" "&amp;TEXT('data on outstanding creditors'!$E2730,"#,##0.00")</f>
        <v>ศูนย์บริการโลหิตแห่งชาติ สภากาชาดไทย I6810-0101-01092 6,300.00</v>
      </c>
      <c r="U2730" s="12"/>
    </row>
    <row r="2731" ht="13.5" customHeight="1">
      <c r="A2731" s="1" t="s">
        <v>4147</v>
      </c>
      <c r="B2731" s="2">
        <v>45935.0</v>
      </c>
      <c r="C2731" s="9" t="s">
        <v>413</v>
      </c>
      <c r="D2731" s="1" t="s">
        <v>4148</v>
      </c>
      <c r="E2731" s="4">
        <v>4200.0</v>
      </c>
      <c r="F2731" s="4"/>
      <c r="G2731" s="4"/>
      <c r="H2731" s="4">
        <f>'data on outstanding creditors'!$E2731-'data on outstanding creditors'!$F2731-'data on outstanding creditors'!$G2731</f>
        <v>4200</v>
      </c>
      <c r="I2731" s="2"/>
      <c r="J2731" s="1"/>
      <c r="K2731" s="2"/>
      <c r="L2731" s="5"/>
      <c r="M2731" s="9" t="s">
        <v>339</v>
      </c>
      <c r="N2731" s="9" t="s">
        <v>49</v>
      </c>
      <c r="O2731" s="10">
        <f>'data on outstanding creditors'!$E2731*100/107</f>
        <v>3925.233645</v>
      </c>
      <c r="P2731" s="10">
        <f>'data on outstanding creditors'!$E2731-'data on outstanding creditors'!$O2731</f>
        <v>274.7663551</v>
      </c>
      <c r="Q2731" s="7">
        <f>DAY('data on outstanding creditors'!$B2731)</f>
        <v>5</v>
      </c>
      <c r="R2731" s="7">
        <f>MONTH('data on outstanding creditors'!$B2731)</f>
        <v>10</v>
      </c>
      <c r="S2731" s="7">
        <f>YEAR('data on outstanding creditors'!$B2731)</f>
        <v>2025</v>
      </c>
      <c r="T2731" s="11" t="str">
        <f>'data on outstanding creditors'!$C2731&amp;" "&amp;'data on outstanding creditors'!$D2731&amp;" "&amp;TEXT('data on outstanding creditors'!$E2731,"#,##0.00")</f>
        <v>ศูนย์บริการโลหิตแห่งชาติ สภากาชาดไทย I6810-0101-01352 4,200.00</v>
      </c>
      <c r="U2731" s="12"/>
    </row>
    <row r="2732" ht="13.5" customHeight="1">
      <c r="A2732" s="1" t="s">
        <v>4149</v>
      </c>
      <c r="B2732" s="2">
        <v>45936.0</v>
      </c>
      <c r="C2732" s="9" t="s">
        <v>413</v>
      </c>
      <c r="D2732" s="1" t="s">
        <v>4150</v>
      </c>
      <c r="E2732" s="4">
        <v>1100.0</v>
      </c>
      <c r="F2732" s="4"/>
      <c r="G2732" s="4"/>
      <c r="H2732" s="4">
        <f>'data on outstanding creditors'!$E2732-'data on outstanding creditors'!$F2732-'data on outstanding creditors'!$G2732</f>
        <v>1100</v>
      </c>
      <c r="I2732" s="2"/>
      <c r="J2732" s="1"/>
      <c r="K2732" s="2"/>
      <c r="L2732" s="5"/>
      <c r="M2732" s="9" t="s">
        <v>339</v>
      </c>
      <c r="N2732" s="9" t="s">
        <v>49</v>
      </c>
      <c r="O2732" s="10">
        <f>'data on outstanding creditors'!$E2732*100/107</f>
        <v>1028.037383</v>
      </c>
      <c r="P2732" s="10">
        <f>'data on outstanding creditors'!$E2732-'data on outstanding creditors'!$O2732</f>
        <v>71.96261682</v>
      </c>
      <c r="Q2732" s="7">
        <f>DAY('data on outstanding creditors'!$B2732)</f>
        <v>6</v>
      </c>
      <c r="R2732" s="7">
        <f>MONTH('data on outstanding creditors'!$B2732)</f>
        <v>10</v>
      </c>
      <c r="S2732" s="7">
        <f>YEAR('data on outstanding creditors'!$B2732)</f>
        <v>2025</v>
      </c>
      <c r="T2732" s="11" t="str">
        <f>'data on outstanding creditors'!$C2732&amp;" "&amp;'data on outstanding creditors'!$D2732&amp;" "&amp;TEXT('data on outstanding creditors'!$E2732,"#,##0.00")</f>
        <v>ศูนย์บริการโลหิตแห่งชาติ สภากาชาดไทย I6810-0105-00774 1,100.00</v>
      </c>
      <c r="U2732" s="12"/>
    </row>
    <row r="2733" ht="13.5" customHeight="1">
      <c r="A2733" s="1" t="s">
        <v>4151</v>
      </c>
      <c r="B2733" s="2">
        <v>45936.0</v>
      </c>
      <c r="C2733" s="9" t="s">
        <v>413</v>
      </c>
      <c r="D2733" s="1" t="s">
        <v>4152</v>
      </c>
      <c r="E2733" s="4">
        <v>7600.0</v>
      </c>
      <c r="F2733" s="4"/>
      <c r="G2733" s="4"/>
      <c r="H2733" s="4">
        <f>'data on outstanding creditors'!$E2733-'data on outstanding creditors'!$F2733-'data on outstanding creditors'!$G2733</f>
        <v>7600</v>
      </c>
      <c r="I2733" s="2"/>
      <c r="J2733" s="1"/>
      <c r="K2733" s="2"/>
      <c r="L2733" s="5"/>
      <c r="M2733" s="9" t="s">
        <v>339</v>
      </c>
      <c r="N2733" s="9" t="s">
        <v>49</v>
      </c>
      <c r="O2733" s="10">
        <f>'data on outstanding creditors'!$E2733*100/107</f>
        <v>7102.803738</v>
      </c>
      <c r="P2733" s="10">
        <f>'data on outstanding creditors'!$E2733-'data on outstanding creditors'!$O2733</f>
        <v>497.1962617</v>
      </c>
      <c r="Q2733" s="7">
        <f>DAY('data on outstanding creditors'!$B2733)</f>
        <v>6</v>
      </c>
      <c r="R2733" s="7">
        <f>MONTH('data on outstanding creditors'!$B2733)</f>
        <v>10</v>
      </c>
      <c r="S2733" s="7">
        <f>YEAR('data on outstanding creditors'!$B2733)</f>
        <v>2025</v>
      </c>
      <c r="T2733" s="11" t="str">
        <f>'data on outstanding creditors'!$C2733&amp;" "&amp;'data on outstanding creditors'!$D2733&amp;" "&amp;TEXT('data on outstanding creditors'!$E2733,"#,##0.00")</f>
        <v>ศูนย์บริการโลหิตแห่งชาติ สภากาชาดไทย I6810-0101-01563 7,600.00</v>
      </c>
      <c r="U2733" s="12"/>
    </row>
    <row r="2734" ht="13.5" customHeight="1">
      <c r="A2734" s="1" t="s">
        <v>4153</v>
      </c>
      <c r="B2734" s="2">
        <v>45936.0</v>
      </c>
      <c r="C2734" s="9" t="s">
        <v>413</v>
      </c>
      <c r="D2734" s="1" t="s">
        <v>4154</v>
      </c>
      <c r="E2734" s="4">
        <v>3300.0</v>
      </c>
      <c r="F2734" s="4"/>
      <c r="G2734" s="4"/>
      <c r="H2734" s="4">
        <f>'data on outstanding creditors'!$E2734-'data on outstanding creditors'!$F2734-'data on outstanding creditors'!$G2734</f>
        <v>3300</v>
      </c>
      <c r="I2734" s="2"/>
      <c r="J2734" s="1"/>
      <c r="K2734" s="2"/>
      <c r="L2734" s="5"/>
      <c r="M2734" s="9" t="s">
        <v>339</v>
      </c>
      <c r="N2734" s="9" t="s">
        <v>49</v>
      </c>
      <c r="O2734" s="10">
        <f>'data on outstanding creditors'!$E2734*100/107</f>
        <v>3084.11215</v>
      </c>
      <c r="P2734" s="10">
        <f>'data on outstanding creditors'!$E2734-'data on outstanding creditors'!$O2734</f>
        <v>215.8878505</v>
      </c>
      <c r="Q2734" s="7">
        <f>DAY('data on outstanding creditors'!$B2734)</f>
        <v>6</v>
      </c>
      <c r="R2734" s="7">
        <f>MONTH('data on outstanding creditors'!$B2734)</f>
        <v>10</v>
      </c>
      <c r="S2734" s="7">
        <f>YEAR('data on outstanding creditors'!$B2734)</f>
        <v>2025</v>
      </c>
      <c r="T2734" s="11" t="str">
        <f>'data on outstanding creditors'!$C2734&amp;" "&amp;'data on outstanding creditors'!$D2734&amp;" "&amp;TEXT('data on outstanding creditors'!$E2734,"#,##0.00")</f>
        <v>ศูนย์บริการโลหิตแห่งชาติ สภากาชาดไทย I6810-0101-01491 3,300.00</v>
      </c>
      <c r="U2734" s="12"/>
    </row>
    <row r="2735" ht="13.5" customHeight="1">
      <c r="A2735" s="1" t="s">
        <v>4155</v>
      </c>
      <c r="B2735" s="2">
        <v>45936.0</v>
      </c>
      <c r="C2735" s="9" t="s">
        <v>413</v>
      </c>
      <c r="D2735" s="1" t="s">
        <v>4156</v>
      </c>
      <c r="E2735" s="4">
        <v>6300.0</v>
      </c>
      <c r="F2735" s="4"/>
      <c r="G2735" s="4"/>
      <c r="H2735" s="4">
        <f>'data on outstanding creditors'!$E2735-'data on outstanding creditors'!$F2735-'data on outstanding creditors'!$G2735</f>
        <v>6300</v>
      </c>
      <c r="I2735" s="2"/>
      <c r="J2735" s="1"/>
      <c r="K2735" s="2"/>
      <c r="L2735" s="5"/>
      <c r="M2735" s="9" t="s">
        <v>339</v>
      </c>
      <c r="N2735" s="9" t="s">
        <v>49</v>
      </c>
      <c r="O2735" s="10">
        <f>'data on outstanding creditors'!$E2735*100/107</f>
        <v>5887.850467</v>
      </c>
      <c r="P2735" s="10">
        <f>'data on outstanding creditors'!$E2735-'data on outstanding creditors'!$O2735</f>
        <v>412.1495327</v>
      </c>
      <c r="Q2735" s="7">
        <f>DAY('data on outstanding creditors'!$B2735)</f>
        <v>6</v>
      </c>
      <c r="R2735" s="7">
        <f>MONTH('data on outstanding creditors'!$B2735)</f>
        <v>10</v>
      </c>
      <c r="S2735" s="7">
        <f>YEAR('data on outstanding creditors'!$B2735)</f>
        <v>2025</v>
      </c>
      <c r="T2735" s="11" t="str">
        <f>'data on outstanding creditors'!$C2735&amp;" "&amp;'data on outstanding creditors'!$D2735&amp;" "&amp;TEXT('data on outstanding creditors'!$E2735,"#,##0.00")</f>
        <v>ศูนย์บริการโลหิตแห่งชาติ สภากาชาดไทย I6810-0101-01658 6,300.00</v>
      </c>
      <c r="U2735" s="12"/>
    </row>
    <row r="2736" ht="13.5" customHeight="1">
      <c r="A2736" s="1" t="s">
        <v>4157</v>
      </c>
      <c r="B2736" s="2">
        <v>45937.0</v>
      </c>
      <c r="C2736" s="9" t="s">
        <v>337</v>
      </c>
      <c r="D2736" s="1" t="s">
        <v>4158</v>
      </c>
      <c r="E2736" s="4">
        <v>83683.0</v>
      </c>
      <c r="F2736" s="4"/>
      <c r="G2736" s="4"/>
      <c r="H2736" s="4">
        <f>'data on outstanding creditors'!$E2736-'data on outstanding creditors'!$F2736-'data on outstanding creditors'!$G2736</f>
        <v>83683</v>
      </c>
      <c r="I2736" s="2"/>
      <c r="J2736" s="1"/>
      <c r="K2736" s="2"/>
      <c r="L2736" s="5"/>
      <c r="M2736" s="9" t="s">
        <v>339</v>
      </c>
      <c r="N2736" s="9" t="s">
        <v>49</v>
      </c>
      <c r="O2736" s="10">
        <f>'data on outstanding creditors'!$E2736*100/107</f>
        <v>78208.41121</v>
      </c>
      <c r="P2736" s="10">
        <f>'data on outstanding creditors'!$E2736-'data on outstanding creditors'!$O2736</f>
        <v>5474.588785</v>
      </c>
      <c r="Q2736" s="7">
        <f>DAY('data on outstanding creditors'!$B2736)</f>
        <v>7</v>
      </c>
      <c r="R2736" s="7">
        <f>MONTH('data on outstanding creditors'!$B2736)</f>
        <v>10</v>
      </c>
      <c r="S2736" s="7">
        <f>YEAR('data on outstanding creditors'!$B2736)</f>
        <v>2025</v>
      </c>
      <c r="T2736" s="11" t="str">
        <f>'data on outstanding creditors'!$C2736&amp;" "&amp;'data on outstanding creditors'!$D2736&amp;" "&amp;TEXT('data on outstanding creditors'!$E2736,"#,##0.00")</f>
        <v>บ.เมด-วัน I25090760 83,683.00</v>
      </c>
      <c r="U2736" s="12"/>
    </row>
    <row r="2737" ht="13.5" customHeight="1">
      <c r="A2737" s="1" t="s">
        <v>4159</v>
      </c>
      <c r="B2737" s="2">
        <v>45937.0</v>
      </c>
      <c r="C2737" s="9" t="s">
        <v>3882</v>
      </c>
      <c r="D2737" s="1" t="s">
        <v>4160</v>
      </c>
      <c r="E2737" s="4">
        <v>20000.0</v>
      </c>
      <c r="F2737" s="4"/>
      <c r="G2737" s="4"/>
      <c r="H2737" s="4">
        <f>'data on outstanding creditors'!$E2737-'data on outstanding creditors'!$F2737-'data on outstanding creditors'!$G2737</f>
        <v>20000</v>
      </c>
      <c r="I2737" s="2"/>
      <c r="J2737" s="1"/>
      <c r="K2737" s="2"/>
      <c r="L2737" s="5"/>
      <c r="M2737" s="9" t="s">
        <v>339</v>
      </c>
      <c r="N2737" s="9" t="s">
        <v>49</v>
      </c>
      <c r="O2737" s="10">
        <f>'data on outstanding creditors'!$E2737*100/107</f>
        <v>18691.58879</v>
      </c>
      <c r="P2737" s="10">
        <f>'data on outstanding creditors'!$E2737-'data on outstanding creditors'!$O2737</f>
        <v>1308.411215</v>
      </c>
      <c r="Q2737" s="7">
        <f>DAY('data on outstanding creditors'!$B2737)</f>
        <v>7</v>
      </c>
      <c r="R2737" s="7">
        <f>MONTH('data on outstanding creditors'!$B2737)</f>
        <v>10</v>
      </c>
      <c r="S2737" s="7">
        <f>YEAR('data on outstanding creditors'!$B2737)</f>
        <v>2025</v>
      </c>
      <c r="T2737" s="11" t="str">
        <f>'data on outstanding creditors'!$C2737&amp;" "&amp;'data on outstanding creditors'!$D2737&amp;" "&amp;TEXT('data on outstanding creditors'!$E2737,"#,##0.00")</f>
        <v>บ.ทัซแล็บ 2013 INV6809-024 20,000.00</v>
      </c>
      <c r="U2737" s="12"/>
    </row>
    <row r="2738" ht="13.5" customHeight="1">
      <c r="A2738" s="1" t="s">
        <v>4161</v>
      </c>
      <c r="B2738" s="2">
        <v>45940.0</v>
      </c>
      <c r="C2738" s="9" t="s">
        <v>413</v>
      </c>
      <c r="D2738" s="1" t="s">
        <v>4162</v>
      </c>
      <c r="E2738" s="4">
        <v>2420.0</v>
      </c>
      <c r="F2738" s="4"/>
      <c r="G2738" s="4"/>
      <c r="H2738" s="4">
        <f>'data on outstanding creditors'!$E2738-'data on outstanding creditors'!$F2738-'data on outstanding creditors'!$G2738</f>
        <v>2420</v>
      </c>
      <c r="I2738" s="2"/>
      <c r="J2738" s="1"/>
      <c r="K2738" s="2"/>
      <c r="L2738" s="5"/>
      <c r="M2738" s="9" t="s">
        <v>339</v>
      </c>
      <c r="N2738" s="9" t="s">
        <v>49</v>
      </c>
      <c r="O2738" s="10">
        <f>'data on outstanding creditors'!$E2738*100/107</f>
        <v>2261.682243</v>
      </c>
      <c r="P2738" s="10">
        <f>'data on outstanding creditors'!$E2738-'data on outstanding creditors'!$O2738</f>
        <v>158.317757</v>
      </c>
      <c r="Q2738" s="7">
        <f>DAY('data on outstanding creditors'!$B2738)</f>
        <v>10</v>
      </c>
      <c r="R2738" s="7">
        <f>MONTH('data on outstanding creditors'!$B2738)</f>
        <v>10</v>
      </c>
      <c r="S2738" s="7">
        <f>YEAR('data on outstanding creditors'!$B2738)</f>
        <v>2025</v>
      </c>
      <c r="T2738" s="11" t="str">
        <f>'data on outstanding creditors'!$C2738&amp;" "&amp;'data on outstanding creditors'!$D2738&amp;" "&amp;TEXT('data on outstanding creditors'!$E2738,"#,##0.00")</f>
        <v>ศูนย์บริการโลหิตแห่งชาติ สภากาชาดไทย 682133-00087 2,420.00</v>
      </c>
      <c r="U2738" s="12"/>
    </row>
    <row r="2739" ht="13.5" customHeight="1">
      <c r="A2739" s="1" t="s">
        <v>4163</v>
      </c>
      <c r="B2739" s="2">
        <v>45947.0</v>
      </c>
      <c r="C2739" s="9" t="s">
        <v>413</v>
      </c>
      <c r="D2739" s="1" t="s">
        <v>4164</v>
      </c>
      <c r="E2739" s="4">
        <v>339230.0</v>
      </c>
      <c r="F2739" s="4"/>
      <c r="G2739" s="4"/>
      <c r="H2739" s="4">
        <f>'data on outstanding creditors'!$E2739-'data on outstanding creditors'!$F2739-'data on outstanding creditors'!$G2739</f>
        <v>339230</v>
      </c>
      <c r="I2739" s="2"/>
      <c r="J2739" s="1"/>
      <c r="K2739" s="2"/>
      <c r="L2739" s="5"/>
      <c r="M2739" s="9" t="s">
        <v>339</v>
      </c>
      <c r="N2739" s="9" t="s">
        <v>49</v>
      </c>
      <c r="O2739" s="10">
        <f>'data on outstanding creditors'!$E2739*100/107</f>
        <v>317037.3832</v>
      </c>
      <c r="P2739" s="10">
        <f>'data on outstanding creditors'!$E2739-'data on outstanding creditors'!$O2739</f>
        <v>22192.61682</v>
      </c>
      <c r="Q2739" s="7">
        <f>DAY('data on outstanding creditors'!$B2739)</f>
        <v>17</v>
      </c>
      <c r="R2739" s="7">
        <f>MONTH('data on outstanding creditors'!$B2739)</f>
        <v>10</v>
      </c>
      <c r="S2739" s="7">
        <f>YEAR('data on outstanding creditors'!$B2739)</f>
        <v>2025</v>
      </c>
      <c r="T2739" s="11" t="str">
        <f>'data on outstanding creditors'!$C2739&amp;" "&amp;'data on outstanding creditors'!$D2739&amp;" "&amp;TEXT('data on outstanding creditors'!$E2739,"#,##0.00")</f>
        <v>ศูนย์บริการโลหิตแห่งชาติ สภากาชาดไทย 682142/00004 339,230.00</v>
      </c>
      <c r="U2739" s="12"/>
    </row>
    <row r="2740" ht="13.5" customHeight="1">
      <c r="A2740" s="1" t="s">
        <v>4165</v>
      </c>
      <c r="B2740" s="2">
        <v>45817.0</v>
      </c>
      <c r="C2740" s="9" t="s">
        <v>440</v>
      </c>
      <c r="D2740" s="1" t="s">
        <v>4166</v>
      </c>
      <c r="E2740" s="4">
        <v>87000.0</v>
      </c>
      <c r="F2740" s="4"/>
      <c r="G2740" s="4"/>
      <c r="H2740" s="4">
        <f>'data on outstanding creditors'!$E2740-'data on outstanding creditors'!$F2740-'data on outstanding creditors'!$G2740</f>
        <v>87000</v>
      </c>
      <c r="I2740" s="2"/>
      <c r="J2740" s="1" t="s">
        <v>646</v>
      </c>
      <c r="K2740" s="2">
        <v>45906.0</v>
      </c>
      <c r="L2740" s="5"/>
      <c r="M2740" s="9" t="s">
        <v>94</v>
      </c>
      <c r="N2740" s="9" t="s">
        <v>49</v>
      </c>
      <c r="O2740" s="10">
        <f>'data on outstanding creditors'!$E2740*100/107</f>
        <v>81308.41121</v>
      </c>
      <c r="P2740" s="10">
        <f>'data on outstanding creditors'!$E2740-'data on outstanding creditors'!$O2740</f>
        <v>5691.588785</v>
      </c>
      <c r="Q2740" s="7">
        <f>DAY('data on outstanding creditors'!$B2740)</f>
        <v>9</v>
      </c>
      <c r="R2740" s="7">
        <f>MONTH('data on outstanding creditors'!$B2740)</f>
        <v>6</v>
      </c>
      <c r="S2740" s="7">
        <f>YEAR('data on outstanding creditors'!$B2740)</f>
        <v>2025</v>
      </c>
      <c r="T2740" s="11" t="str">
        <f>'data on outstanding creditors'!$C2740&amp;" "&amp;'data on outstanding creditors'!$D2740&amp;" "&amp;TEXT('data on outstanding creditors'!$E2740,"#,##0.00")</f>
        <v>บ.อินเตอร์ คอมพิวเตอร์ เซอร์วิส แอนด์ เทคโนโลยี IV-20250600025 87,000.00</v>
      </c>
      <c r="U2740" s="12"/>
    </row>
    <row r="2741" ht="13.5" customHeight="1">
      <c r="A2741" s="1" t="s">
        <v>4167</v>
      </c>
      <c r="B2741" s="2">
        <v>45862.0</v>
      </c>
      <c r="C2741" s="9" t="s">
        <v>440</v>
      </c>
      <c r="D2741" s="1" t="s">
        <v>4168</v>
      </c>
      <c r="E2741" s="4">
        <v>90400.0</v>
      </c>
      <c r="F2741" s="4"/>
      <c r="G2741" s="4"/>
      <c r="H2741" s="4">
        <f>'data on outstanding creditors'!$E2741-'data on outstanding creditors'!$F2741-'data on outstanding creditors'!$G2741</f>
        <v>90400</v>
      </c>
      <c r="I2741" s="2"/>
      <c r="J2741" s="1" t="s">
        <v>646</v>
      </c>
      <c r="K2741" s="2">
        <v>45952.0</v>
      </c>
      <c r="L2741" s="5"/>
      <c r="M2741" s="9" t="s">
        <v>94</v>
      </c>
      <c r="N2741" s="9" t="s">
        <v>49</v>
      </c>
      <c r="O2741" s="10">
        <f>'data on outstanding creditors'!$E2741*100/107</f>
        <v>84485.98131</v>
      </c>
      <c r="P2741" s="10">
        <f>'data on outstanding creditors'!$E2741-'data on outstanding creditors'!$O2741</f>
        <v>5914.018692</v>
      </c>
      <c r="Q2741" s="7">
        <f>DAY('data on outstanding creditors'!$B2741)</f>
        <v>24</v>
      </c>
      <c r="R2741" s="7">
        <f>MONTH('data on outstanding creditors'!$B2741)</f>
        <v>7</v>
      </c>
      <c r="S2741" s="7">
        <f>YEAR('data on outstanding creditors'!$B2741)</f>
        <v>2025</v>
      </c>
      <c r="T2741" s="11" t="str">
        <f>'data on outstanding creditors'!$C2741&amp;" "&amp;'data on outstanding creditors'!$D2741&amp;" "&amp;TEXT('data on outstanding creditors'!$E2741,"#,##0.00")</f>
        <v>บ.อินเตอร์ คอมพิวเตอร์ เซอร์วิส แอนด์ เทคโนโลยี IV-20250700246 90,400.00</v>
      </c>
      <c r="U2741" s="12"/>
    </row>
    <row r="2742" ht="13.5" customHeight="1">
      <c r="A2742" s="1" t="s">
        <v>4169</v>
      </c>
      <c r="B2742" s="2">
        <v>45875.0</v>
      </c>
      <c r="C2742" s="9" t="s">
        <v>440</v>
      </c>
      <c r="D2742" s="1" t="s">
        <v>4170</v>
      </c>
      <c r="E2742" s="4">
        <v>29150.0</v>
      </c>
      <c r="F2742" s="4"/>
      <c r="G2742" s="4"/>
      <c r="H2742" s="4">
        <f>'data on outstanding creditors'!$E2742-'data on outstanding creditors'!$F2742-'data on outstanding creditors'!$G2742</f>
        <v>29150</v>
      </c>
      <c r="I2742" s="2"/>
      <c r="J2742" s="1"/>
      <c r="K2742" s="2"/>
      <c r="L2742" s="5"/>
      <c r="M2742" s="9" t="s">
        <v>94</v>
      </c>
      <c r="N2742" s="9" t="s">
        <v>49</v>
      </c>
      <c r="O2742" s="10">
        <f>'data on outstanding creditors'!$E2742*100/107</f>
        <v>27242.99065</v>
      </c>
      <c r="P2742" s="10">
        <f>'data on outstanding creditors'!$E2742-'data on outstanding creditors'!$O2742</f>
        <v>1907.009346</v>
      </c>
      <c r="Q2742" s="7">
        <f>DAY('data on outstanding creditors'!$B2742)</f>
        <v>6</v>
      </c>
      <c r="R2742" s="7">
        <f>MONTH('data on outstanding creditors'!$B2742)</f>
        <v>8</v>
      </c>
      <c r="S2742" s="7">
        <f>YEAR('data on outstanding creditors'!$B2742)</f>
        <v>2025</v>
      </c>
      <c r="T2742" s="11" t="str">
        <f>'data on outstanding creditors'!$C2742&amp;" "&amp;'data on outstanding creditors'!$D2742&amp;" "&amp;TEXT('data on outstanding creditors'!$E2742,"#,##0.00")</f>
        <v>บ.อินเตอร์ คอมพิวเตอร์ เซอร์วิส แอนด์ เทคโนโลยี IV-20250800021 29,150.00</v>
      </c>
      <c r="U2742" s="12"/>
    </row>
    <row r="2743" ht="13.5" customHeight="1">
      <c r="A2743" s="1" t="s">
        <v>4171</v>
      </c>
      <c r="B2743" s="2">
        <v>45895.0</v>
      </c>
      <c r="C2743" s="9" t="s">
        <v>440</v>
      </c>
      <c r="D2743" s="1" t="s">
        <v>4172</v>
      </c>
      <c r="E2743" s="4">
        <v>34250.0</v>
      </c>
      <c r="F2743" s="4"/>
      <c r="G2743" s="4"/>
      <c r="H2743" s="4">
        <f>'data on outstanding creditors'!$E2743-'data on outstanding creditors'!$F2743-'data on outstanding creditors'!$G2743</f>
        <v>34250</v>
      </c>
      <c r="I2743" s="2"/>
      <c r="J2743" s="1"/>
      <c r="K2743" s="2"/>
      <c r="L2743" s="5"/>
      <c r="M2743" s="9" t="s">
        <v>94</v>
      </c>
      <c r="N2743" s="9" t="s">
        <v>49</v>
      </c>
      <c r="O2743" s="10">
        <f>'data on outstanding creditors'!$E2743*100/107</f>
        <v>32009.34579</v>
      </c>
      <c r="P2743" s="10">
        <f>'data on outstanding creditors'!$E2743-'data on outstanding creditors'!$O2743</f>
        <v>2240.654206</v>
      </c>
      <c r="Q2743" s="7">
        <f>DAY('data on outstanding creditors'!$B2743)</f>
        <v>26</v>
      </c>
      <c r="R2743" s="7">
        <f>MONTH('data on outstanding creditors'!$B2743)</f>
        <v>8</v>
      </c>
      <c r="S2743" s="7">
        <f>YEAR('data on outstanding creditors'!$B2743)</f>
        <v>2025</v>
      </c>
      <c r="T2743" s="11" t="str">
        <f>'data on outstanding creditors'!$C2743&amp;" "&amp;'data on outstanding creditors'!$D2743&amp;" "&amp;TEXT('data on outstanding creditors'!$E2743,"#,##0.00")</f>
        <v>บ.อินเตอร์ คอมพิวเตอร์ เซอร์วิส แอนด์ เทคโนโลยี IV-20250800227 34,250.00</v>
      </c>
      <c r="U2743" s="12"/>
    </row>
    <row r="2744" ht="13.5" customHeight="1">
      <c r="A2744" s="1" t="s">
        <v>4173</v>
      </c>
      <c r="B2744" s="2">
        <v>45905.0</v>
      </c>
      <c r="C2744" s="9" t="s">
        <v>92</v>
      </c>
      <c r="D2744" s="1" t="s">
        <v>4174</v>
      </c>
      <c r="E2744" s="4">
        <v>3200.0</v>
      </c>
      <c r="F2744" s="4"/>
      <c r="G2744" s="4"/>
      <c r="H2744" s="4">
        <f>'data on outstanding creditors'!$E2744-'data on outstanding creditors'!$F2744-'data on outstanding creditors'!$G2744</f>
        <v>3200</v>
      </c>
      <c r="I2744" s="2"/>
      <c r="J2744" s="1" t="s">
        <v>646</v>
      </c>
      <c r="K2744" s="2">
        <v>45951.0</v>
      </c>
      <c r="L2744" s="5"/>
      <c r="M2744" s="9" t="s">
        <v>94</v>
      </c>
      <c r="N2744" s="9" t="s">
        <v>49</v>
      </c>
      <c r="O2744" s="10">
        <f>'data on outstanding creditors'!$E2744*100/107</f>
        <v>2990.654206</v>
      </c>
      <c r="P2744" s="10">
        <f>'data on outstanding creditors'!$E2744-'data on outstanding creditors'!$O2744</f>
        <v>209.3457944</v>
      </c>
      <c r="Q2744" s="7">
        <f>DAY('data on outstanding creditors'!$B2744)</f>
        <v>5</v>
      </c>
      <c r="R2744" s="7">
        <f>MONTH('data on outstanding creditors'!$B2744)</f>
        <v>9</v>
      </c>
      <c r="S2744" s="7">
        <f>YEAR('data on outstanding creditors'!$B2744)</f>
        <v>2025</v>
      </c>
      <c r="T2744" s="11" t="str">
        <f>'data on outstanding creditors'!$C2744&amp;" "&amp;'data on outstanding creditors'!$D2744&amp;" "&amp;TEXT('data on outstanding creditors'!$E2744,"#,##0.00")</f>
        <v>หจก.นางรองคอมพิวเตอร์ เซ็นเตอร์ IV2509-066193 3,200.00</v>
      </c>
      <c r="U2744" s="12"/>
    </row>
    <row r="2745" ht="13.5" customHeight="1">
      <c r="A2745" s="1" t="s">
        <v>4175</v>
      </c>
      <c r="B2745" s="2">
        <v>45918.0</v>
      </c>
      <c r="C2745" s="9" t="s">
        <v>440</v>
      </c>
      <c r="D2745" s="1" t="s">
        <v>4176</v>
      </c>
      <c r="E2745" s="4">
        <v>87000.0</v>
      </c>
      <c r="F2745" s="4"/>
      <c r="G2745" s="4"/>
      <c r="H2745" s="4">
        <f>'data on outstanding creditors'!$E2745-'data on outstanding creditors'!$F2745-'data on outstanding creditors'!$G2745</f>
        <v>87000</v>
      </c>
      <c r="I2745" s="2"/>
      <c r="J2745" s="1"/>
      <c r="K2745" s="2"/>
      <c r="L2745" s="5"/>
      <c r="M2745" s="9" t="s">
        <v>94</v>
      </c>
      <c r="N2745" s="9" t="s">
        <v>49</v>
      </c>
      <c r="O2745" s="10">
        <f>'data on outstanding creditors'!$E2745*100/107</f>
        <v>81308.41121</v>
      </c>
      <c r="P2745" s="10">
        <f>'data on outstanding creditors'!$E2745-'data on outstanding creditors'!$O2745</f>
        <v>5691.588785</v>
      </c>
      <c r="Q2745" s="7">
        <f>DAY('data on outstanding creditors'!$B2745)</f>
        <v>18</v>
      </c>
      <c r="R2745" s="7">
        <f>MONTH('data on outstanding creditors'!$B2745)</f>
        <v>9</v>
      </c>
      <c r="S2745" s="7">
        <f>YEAR('data on outstanding creditors'!$B2745)</f>
        <v>2025</v>
      </c>
      <c r="T2745" s="11" t="str">
        <f>'data on outstanding creditors'!$C2745&amp;" "&amp;'data on outstanding creditors'!$D2745&amp;" "&amp;TEXT('data on outstanding creditors'!$E2745,"#,##0.00")</f>
        <v>บ.อินเตอร์ คอมพิวเตอร์ เซอร์วิส แอนด์ เทคโนโลยี IV-20250900196 87,000.00</v>
      </c>
      <c r="U2745" s="12"/>
    </row>
    <row r="2746" ht="13.5" customHeight="1">
      <c r="A2746" s="1" t="s">
        <v>4177</v>
      </c>
      <c r="B2746" s="2">
        <v>45944.0</v>
      </c>
      <c r="C2746" s="9" t="s">
        <v>92</v>
      </c>
      <c r="D2746" s="1" t="s">
        <v>4178</v>
      </c>
      <c r="E2746" s="4">
        <v>5800.0</v>
      </c>
      <c r="F2746" s="4"/>
      <c r="G2746" s="4"/>
      <c r="H2746" s="4">
        <f>'data on outstanding creditors'!$E2746-'data on outstanding creditors'!$F2746-'data on outstanding creditors'!$G2746</f>
        <v>5800</v>
      </c>
      <c r="I2746" s="2"/>
      <c r="J2746" s="1"/>
      <c r="K2746" s="2"/>
      <c r="L2746" s="5"/>
      <c r="M2746" s="9" t="s">
        <v>94</v>
      </c>
      <c r="N2746" s="9" t="s">
        <v>49</v>
      </c>
      <c r="O2746" s="10">
        <f>'data on outstanding creditors'!$E2746*100/107</f>
        <v>5420.560748</v>
      </c>
      <c r="P2746" s="10">
        <f>'data on outstanding creditors'!$E2746-'data on outstanding creditors'!$O2746</f>
        <v>379.4392523</v>
      </c>
      <c r="Q2746" s="7">
        <f>DAY('data on outstanding creditors'!$B2746)</f>
        <v>14</v>
      </c>
      <c r="R2746" s="7">
        <f>MONTH('data on outstanding creditors'!$B2746)</f>
        <v>10</v>
      </c>
      <c r="S2746" s="7">
        <f>YEAR('data on outstanding creditors'!$B2746)</f>
        <v>2025</v>
      </c>
      <c r="T2746" s="11" t="str">
        <f>'data on outstanding creditors'!$C2746&amp;" "&amp;'data on outstanding creditors'!$D2746&amp;" "&amp;TEXT('data on outstanding creditors'!$E2746,"#,##0.00")</f>
        <v>หจก.นางรองคอมพิวเตอร์ เซ็นเตอร์ IV2510-067298 5,800.00</v>
      </c>
      <c r="U2746" s="12"/>
    </row>
    <row r="2747" ht="13.5" customHeight="1">
      <c r="A2747" s="1" t="s">
        <v>4179</v>
      </c>
      <c r="B2747" s="2">
        <v>45954.0</v>
      </c>
      <c r="C2747" s="9" t="s">
        <v>440</v>
      </c>
      <c r="D2747" s="1" t="s">
        <v>4180</v>
      </c>
      <c r="E2747" s="4">
        <v>79000.0</v>
      </c>
      <c r="F2747" s="4"/>
      <c r="G2747" s="4"/>
      <c r="H2747" s="4">
        <f>'data on outstanding creditors'!$E2747-'data on outstanding creditors'!$F2747-'data on outstanding creditors'!$G2747</f>
        <v>79000</v>
      </c>
      <c r="I2747" s="2"/>
      <c r="J2747" s="1"/>
      <c r="K2747" s="2"/>
      <c r="L2747" s="5"/>
      <c r="M2747" s="9" t="s">
        <v>94</v>
      </c>
      <c r="N2747" s="9" t="s">
        <v>49</v>
      </c>
      <c r="O2747" s="10">
        <f>'data on outstanding creditors'!$E2747*100/107</f>
        <v>73831.7757</v>
      </c>
      <c r="P2747" s="10">
        <f>'data on outstanding creditors'!$E2747-'data on outstanding creditors'!$O2747</f>
        <v>5168.224299</v>
      </c>
      <c r="Q2747" s="7">
        <f>DAY('data on outstanding creditors'!$B2747)</f>
        <v>24</v>
      </c>
      <c r="R2747" s="7">
        <f>MONTH('data on outstanding creditors'!$B2747)</f>
        <v>10</v>
      </c>
      <c r="S2747" s="7">
        <f>YEAR('data on outstanding creditors'!$B2747)</f>
        <v>2025</v>
      </c>
      <c r="T2747" s="11" t="str">
        <f>'data on outstanding creditors'!$C2747&amp;" "&amp;'data on outstanding creditors'!$D2747&amp;" "&amp;TEXT('data on outstanding creditors'!$E2747,"#,##0.00")</f>
        <v>บ.อินเตอร์ คอมพิวเตอร์ เซอร์วิส แอนด์ เทคโนโลยี IV-20251000173 79,000.00</v>
      </c>
      <c r="U2747" s="12"/>
    </row>
    <row r="2748" ht="13.5" customHeight="1">
      <c r="A2748" s="1" t="s">
        <v>4181</v>
      </c>
      <c r="B2748" s="2">
        <v>45768.0</v>
      </c>
      <c r="C2748" s="9" t="s">
        <v>1059</v>
      </c>
      <c r="D2748" s="1" t="s">
        <v>4182</v>
      </c>
      <c r="E2748" s="4">
        <v>48000.0</v>
      </c>
      <c r="F2748" s="4"/>
      <c r="G2748" s="4"/>
      <c r="H2748" s="4">
        <f>'data on outstanding creditors'!$E2748-'data on outstanding creditors'!$F2748-'data on outstanding creditors'!$G2748</f>
        <v>48000</v>
      </c>
      <c r="I2748" s="2"/>
      <c r="J2748" s="1" t="s">
        <v>646</v>
      </c>
      <c r="K2748" s="2">
        <v>45906.0</v>
      </c>
      <c r="L2748" s="5"/>
      <c r="M2748" s="9" t="s">
        <v>105</v>
      </c>
      <c r="N2748" s="9" t="s">
        <v>49</v>
      </c>
      <c r="O2748" s="10">
        <f>'data on outstanding creditors'!$E2748*100/107</f>
        <v>44859.81308</v>
      </c>
      <c r="P2748" s="10">
        <f>'data on outstanding creditors'!$E2748-'data on outstanding creditors'!$O2748</f>
        <v>3140.186916</v>
      </c>
      <c r="Q2748" s="7">
        <f>DAY('data on outstanding creditors'!$B2748)</f>
        <v>21</v>
      </c>
      <c r="R2748" s="7">
        <f>MONTH('data on outstanding creditors'!$B2748)</f>
        <v>4</v>
      </c>
      <c r="S2748" s="7">
        <f>YEAR('data on outstanding creditors'!$B2748)</f>
        <v>2025</v>
      </c>
      <c r="T2748" s="11" t="str">
        <f>'data on outstanding creditors'!$C2748&amp;" "&amp;'data on outstanding creditors'!$D2748&amp;" "&amp;TEXT('data on outstanding creditors'!$E2748,"#,##0.00")</f>
        <v>หจก.ภาสิน 61721 48,000.00</v>
      </c>
      <c r="U2748" s="12"/>
    </row>
    <row r="2749" ht="13.5" customHeight="1">
      <c r="A2749" s="1" t="s">
        <v>4183</v>
      </c>
      <c r="B2749" s="2">
        <v>45785.0</v>
      </c>
      <c r="C2749" s="9" t="s">
        <v>1065</v>
      </c>
      <c r="D2749" s="1" t="s">
        <v>4184</v>
      </c>
      <c r="E2749" s="4">
        <v>11000.0</v>
      </c>
      <c r="F2749" s="4"/>
      <c r="G2749" s="4"/>
      <c r="H2749" s="4">
        <f>'data on outstanding creditors'!$E2749-'data on outstanding creditors'!$F2749-'data on outstanding creditors'!$G2749</f>
        <v>11000</v>
      </c>
      <c r="I2749" s="2"/>
      <c r="J2749" s="1" t="s">
        <v>646</v>
      </c>
      <c r="K2749" s="2">
        <v>45944.0</v>
      </c>
      <c r="L2749" s="5"/>
      <c r="M2749" s="9" t="s">
        <v>105</v>
      </c>
      <c r="N2749" s="9" t="s">
        <v>49</v>
      </c>
      <c r="O2749" s="10">
        <f>'data on outstanding creditors'!$E2749*100/107</f>
        <v>10280.37383</v>
      </c>
      <c r="P2749" s="10">
        <f>'data on outstanding creditors'!$E2749-'data on outstanding creditors'!$O2749</f>
        <v>719.6261682</v>
      </c>
      <c r="Q2749" s="7">
        <f>DAY('data on outstanding creditors'!$B2749)</f>
        <v>8</v>
      </c>
      <c r="R2749" s="7">
        <f>MONTH('data on outstanding creditors'!$B2749)</f>
        <v>5</v>
      </c>
      <c r="S2749" s="7">
        <f>YEAR('data on outstanding creditors'!$B2749)</f>
        <v>2025</v>
      </c>
      <c r="T2749" s="11" t="str">
        <f>'data on outstanding creditors'!$C2749&amp;" "&amp;'data on outstanding creditors'!$D2749&amp;" "&amp;TEXT('data on outstanding creditors'!$E2749,"#,##0.00")</f>
        <v>หจก.กิจเจริญ เลเบล แอนด์พริ้น TI0425378 11,000.00</v>
      </c>
      <c r="U2749" s="12"/>
    </row>
    <row r="2750" ht="13.5" customHeight="1">
      <c r="A2750" s="1" t="s">
        <v>4185</v>
      </c>
      <c r="B2750" s="2">
        <v>45805.0</v>
      </c>
      <c r="C2750" s="9" t="s">
        <v>1101</v>
      </c>
      <c r="D2750" s="1" t="s">
        <v>4186</v>
      </c>
      <c r="E2750" s="4">
        <v>1360.0</v>
      </c>
      <c r="F2750" s="4"/>
      <c r="G2750" s="4"/>
      <c r="H2750" s="4">
        <f>'data on outstanding creditors'!$E2750-'data on outstanding creditors'!$F2750-'data on outstanding creditors'!$G2750</f>
        <v>1360</v>
      </c>
      <c r="I2750" s="2"/>
      <c r="J2750" s="1" t="s">
        <v>646</v>
      </c>
      <c r="K2750" s="2">
        <v>45932.0</v>
      </c>
      <c r="L2750" s="5"/>
      <c r="M2750" s="9" t="s">
        <v>105</v>
      </c>
      <c r="N2750" s="9" t="s">
        <v>49</v>
      </c>
      <c r="O2750" s="10">
        <f>'data on outstanding creditors'!$E2750*100/107</f>
        <v>1271.028037</v>
      </c>
      <c r="P2750" s="10">
        <f>'data on outstanding creditors'!$E2750-'data on outstanding creditors'!$O2750</f>
        <v>88.97196262</v>
      </c>
      <c r="Q2750" s="7">
        <f>DAY('data on outstanding creditors'!$B2750)</f>
        <v>28</v>
      </c>
      <c r="R2750" s="7">
        <f>MONTH('data on outstanding creditors'!$B2750)</f>
        <v>5</v>
      </c>
      <c r="S2750" s="7">
        <f>YEAR('data on outstanding creditors'!$B2750)</f>
        <v>2025</v>
      </c>
      <c r="T2750" s="11" t="str">
        <f>'data on outstanding creditors'!$C2750&amp;" "&amp;'data on outstanding creditors'!$D2750&amp;" "&amp;TEXT('data on outstanding creditors'!$E2750,"#,##0.00")</f>
        <v>ร้าน ชัยพัฒนา โดย นายทรงชัย ธีระศักดิ์วิชยา 073/3619 1,360.00</v>
      </c>
      <c r="U2750" s="12"/>
    </row>
    <row r="2751" ht="13.5" customHeight="1">
      <c r="A2751" s="1" t="s">
        <v>4187</v>
      </c>
      <c r="B2751" s="2">
        <v>45807.0</v>
      </c>
      <c r="C2751" s="9" t="s">
        <v>1101</v>
      </c>
      <c r="D2751" s="1" t="s">
        <v>4188</v>
      </c>
      <c r="E2751" s="4">
        <v>4400.0</v>
      </c>
      <c r="F2751" s="4"/>
      <c r="G2751" s="4"/>
      <c r="H2751" s="4">
        <f>'data on outstanding creditors'!$E2751-'data on outstanding creditors'!$F2751-'data on outstanding creditors'!$G2751</f>
        <v>4400</v>
      </c>
      <c r="I2751" s="2"/>
      <c r="J2751" s="1" t="s">
        <v>646</v>
      </c>
      <c r="K2751" s="2">
        <v>45951.0</v>
      </c>
      <c r="L2751" s="5"/>
      <c r="M2751" s="9" t="s">
        <v>105</v>
      </c>
      <c r="N2751" s="9" t="s">
        <v>49</v>
      </c>
      <c r="O2751" s="10">
        <f>'data on outstanding creditors'!$E2751*100/107</f>
        <v>4112.149533</v>
      </c>
      <c r="P2751" s="10">
        <f>'data on outstanding creditors'!$E2751-'data on outstanding creditors'!$O2751</f>
        <v>287.8504673</v>
      </c>
      <c r="Q2751" s="7">
        <f>DAY('data on outstanding creditors'!$B2751)</f>
        <v>30</v>
      </c>
      <c r="R2751" s="7">
        <f>MONTH('data on outstanding creditors'!$B2751)</f>
        <v>5</v>
      </c>
      <c r="S2751" s="7">
        <f>YEAR('data on outstanding creditors'!$B2751)</f>
        <v>2025</v>
      </c>
      <c r="T2751" s="11" t="str">
        <f>'data on outstanding creditors'!$C2751&amp;" "&amp;'data on outstanding creditors'!$D2751&amp;" "&amp;TEXT('data on outstanding creditors'!$E2751,"#,##0.00")</f>
        <v>ร้าน ชัยพัฒนา โดย นายทรงชัย ธีระศักดิ์วิชยา 073/3620 4,400.00</v>
      </c>
      <c r="U2751" s="12"/>
    </row>
    <row r="2752" ht="13.5" customHeight="1">
      <c r="A2752" s="1" t="s">
        <v>4189</v>
      </c>
      <c r="B2752" s="2">
        <v>45813.0</v>
      </c>
      <c r="C2752" s="9" t="s">
        <v>4190</v>
      </c>
      <c r="D2752" s="1" t="s">
        <v>4191</v>
      </c>
      <c r="E2752" s="4">
        <v>1280.0</v>
      </c>
      <c r="F2752" s="4"/>
      <c r="G2752" s="4"/>
      <c r="H2752" s="4">
        <f>'data on outstanding creditors'!$E2752-'data on outstanding creditors'!$F2752-'data on outstanding creditors'!$G2752</f>
        <v>1280</v>
      </c>
      <c r="I2752" s="2"/>
      <c r="J2752" s="1" t="s">
        <v>646</v>
      </c>
      <c r="K2752" s="2">
        <v>45932.0</v>
      </c>
      <c r="L2752" s="5"/>
      <c r="M2752" s="9" t="s">
        <v>105</v>
      </c>
      <c r="N2752" s="9" t="s">
        <v>49</v>
      </c>
      <c r="O2752" s="10">
        <f>'data on outstanding creditors'!$E2752*100/107</f>
        <v>1196.261682</v>
      </c>
      <c r="P2752" s="10">
        <f>'data on outstanding creditors'!$E2752-'data on outstanding creditors'!$O2752</f>
        <v>83.73831776</v>
      </c>
      <c r="Q2752" s="7">
        <f>DAY('data on outstanding creditors'!$B2752)</f>
        <v>5</v>
      </c>
      <c r="R2752" s="7">
        <f>MONTH('data on outstanding creditors'!$B2752)</f>
        <v>6</v>
      </c>
      <c r="S2752" s="7">
        <f>YEAR('data on outstanding creditors'!$B2752)</f>
        <v>2025</v>
      </c>
      <c r="T2752" s="11" t="str">
        <f>'data on outstanding creditors'!$C2752&amp;" "&amp;'data on outstanding creditors'!$D2752&amp;" "&amp;TEXT('data on outstanding creditors'!$E2752,"#,##0.00")</f>
        <v>บ.ทีเอสพลัส สเตชั่นเนอรี่ ORVC6806050002 1,280.00</v>
      </c>
      <c r="U2752" s="12"/>
    </row>
    <row r="2753" ht="13.5" customHeight="1">
      <c r="A2753" s="1" t="s">
        <v>4192</v>
      </c>
      <c r="B2753" s="2">
        <v>45817.0</v>
      </c>
      <c r="C2753" s="9" t="s">
        <v>1059</v>
      </c>
      <c r="D2753" s="1" t="s">
        <v>4193</v>
      </c>
      <c r="E2753" s="4">
        <v>7500.0</v>
      </c>
      <c r="F2753" s="4"/>
      <c r="G2753" s="4"/>
      <c r="H2753" s="4">
        <f>'data on outstanding creditors'!$E2753-'data on outstanding creditors'!$F2753-'data on outstanding creditors'!$G2753</f>
        <v>7500</v>
      </c>
      <c r="I2753" s="2"/>
      <c r="J2753" s="1" t="s">
        <v>646</v>
      </c>
      <c r="K2753" s="2">
        <v>45866.0</v>
      </c>
      <c r="L2753" s="5"/>
      <c r="M2753" s="9" t="s">
        <v>105</v>
      </c>
      <c r="N2753" s="9" t="s">
        <v>49</v>
      </c>
      <c r="O2753" s="10">
        <f>'data on outstanding creditors'!$E2753*100/107</f>
        <v>7009.345794</v>
      </c>
      <c r="P2753" s="10">
        <f>'data on outstanding creditors'!$E2753-'data on outstanding creditors'!$O2753</f>
        <v>490.6542056</v>
      </c>
      <c r="Q2753" s="7">
        <f>DAY('data on outstanding creditors'!$B2753)</f>
        <v>9</v>
      </c>
      <c r="R2753" s="7">
        <f>MONTH('data on outstanding creditors'!$B2753)</f>
        <v>6</v>
      </c>
      <c r="S2753" s="7">
        <f>YEAR('data on outstanding creditors'!$B2753)</f>
        <v>2025</v>
      </c>
      <c r="T2753" s="11" t="str">
        <f>'data on outstanding creditors'!$C2753&amp;" "&amp;'data on outstanding creditors'!$D2753&amp;" "&amp;TEXT('data on outstanding creditors'!$E2753,"#,##0.00")</f>
        <v>หจก.ภาสิน 62084 7,500.00</v>
      </c>
      <c r="U2753" s="12"/>
    </row>
    <row r="2754" ht="13.5" customHeight="1">
      <c r="A2754" s="1" t="s">
        <v>4194</v>
      </c>
      <c r="B2754" s="2">
        <v>45828.0</v>
      </c>
      <c r="C2754" s="9" t="s">
        <v>4190</v>
      </c>
      <c r="D2754" s="1" t="s">
        <v>4195</v>
      </c>
      <c r="E2754" s="4">
        <v>800.0</v>
      </c>
      <c r="F2754" s="4"/>
      <c r="G2754" s="4"/>
      <c r="H2754" s="4">
        <f>'data on outstanding creditors'!$E2754-'data on outstanding creditors'!$F2754-'data on outstanding creditors'!$G2754</f>
        <v>800</v>
      </c>
      <c r="I2754" s="2"/>
      <c r="J2754" s="1" t="s">
        <v>646</v>
      </c>
      <c r="K2754" s="2">
        <v>45951.0</v>
      </c>
      <c r="L2754" s="5"/>
      <c r="M2754" s="9" t="s">
        <v>105</v>
      </c>
      <c r="N2754" s="9" t="s">
        <v>49</v>
      </c>
      <c r="O2754" s="10">
        <f>'data on outstanding creditors'!$E2754*100/107</f>
        <v>747.6635514</v>
      </c>
      <c r="P2754" s="10">
        <f>'data on outstanding creditors'!$E2754-'data on outstanding creditors'!$O2754</f>
        <v>52.3364486</v>
      </c>
      <c r="Q2754" s="7">
        <f>DAY('data on outstanding creditors'!$B2754)</f>
        <v>20</v>
      </c>
      <c r="R2754" s="7">
        <f>MONTH('data on outstanding creditors'!$B2754)</f>
        <v>6</v>
      </c>
      <c r="S2754" s="7">
        <f>YEAR('data on outstanding creditors'!$B2754)</f>
        <v>2025</v>
      </c>
      <c r="T2754" s="11" t="str">
        <f>'data on outstanding creditors'!$C2754&amp;" "&amp;'data on outstanding creditors'!$D2754&amp;" "&amp;TEXT('data on outstanding creditors'!$E2754,"#,##0.00")</f>
        <v>บ.ทีเอสพลัส สเตชั่นเนอรี่ ORVC6806200008 800.00</v>
      </c>
      <c r="U2754" s="12"/>
    </row>
    <row r="2755" ht="13.5" customHeight="1">
      <c r="A2755" s="1" t="s">
        <v>4196</v>
      </c>
      <c r="B2755" s="2">
        <v>45847.0</v>
      </c>
      <c r="C2755" s="9" t="s">
        <v>4197</v>
      </c>
      <c r="D2755" s="1" t="s">
        <v>4198</v>
      </c>
      <c r="E2755" s="4">
        <v>4950.0</v>
      </c>
      <c r="F2755" s="4"/>
      <c r="G2755" s="4"/>
      <c r="H2755" s="4">
        <f>'data on outstanding creditors'!$E2755-'data on outstanding creditors'!$F2755-'data on outstanding creditors'!$G2755</f>
        <v>4950</v>
      </c>
      <c r="I2755" s="2"/>
      <c r="J2755" s="1"/>
      <c r="K2755" s="2"/>
      <c r="L2755" s="5"/>
      <c r="M2755" s="9" t="s">
        <v>105</v>
      </c>
      <c r="N2755" s="9" t="s">
        <v>49</v>
      </c>
      <c r="O2755" s="10">
        <f>'data on outstanding creditors'!$E2755*100/107</f>
        <v>4626.168224</v>
      </c>
      <c r="P2755" s="10">
        <f>'data on outstanding creditors'!$E2755-'data on outstanding creditors'!$O2755</f>
        <v>323.8317757</v>
      </c>
      <c r="Q2755" s="7">
        <f>DAY('data on outstanding creditors'!$B2755)</f>
        <v>9</v>
      </c>
      <c r="R2755" s="7">
        <f>MONTH('data on outstanding creditors'!$B2755)</f>
        <v>7</v>
      </c>
      <c r="S2755" s="7">
        <f>YEAR('data on outstanding creditors'!$B2755)</f>
        <v>2025</v>
      </c>
      <c r="T2755" s="11" t="str">
        <f>'data on outstanding creditors'!$C2755&amp;" "&amp;'data on outstanding creditors'!$D2755&amp;" "&amp;TEXT('data on outstanding creditors'!$E2755,"#,##0.00")</f>
        <v>ร้าน อิมเมจมีเดีย 01/495 4,950.00</v>
      </c>
      <c r="U2755" s="12"/>
    </row>
    <row r="2756" ht="13.5" customHeight="1">
      <c r="A2756" s="1" t="s">
        <v>4199</v>
      </c>
      <c r="B2756" s="2">
        <v>45847.0</v>
      </c>
      <c r="C2756" s="9" t="s">
        <v>4190</v>
      </c>
      <c r="D2756" s="1" t="s">
        <v>4200</v>
      </c>
      <c r="E2756" s="4">
        <v>3400.0</v>
      </c>
      <c r="F2756" s="4"/>
      <c r="G2756" s="4"/>
      <c r="H2756" s="4">
        <f>'data on outstanding creditors'!$E2756-'data on outstanding creditors'!$F2756-'data on outstanding creditors'!$G2756</f>
        <v>3400</v>
      </c>
      <c r="I2756" s="2"/>
      <c r="J2756" s="1"/>
      <c r="K2756" s="2"/>
      <c r="L2756" s="5"/>
      <c r="M2756" s="9" t="s">
        <v>105</v>
      </c>
      <c r="N2756" s="9" t="s">
        <v>49</v>
      </c>
      <c r="O2756" s="10">
        <f>'data on outstanding creditors'!$E2756*100/107</f>
        <v>3177.570093</v>
      </c>
      <c r="P2756" s="10">
        <f>'data on outstanding creditors'!$E2756-'data on outstanding creditors'!$O2756</f>
        <v>222.4299065</v>
      </c>
      <c r="Q2756" s="7">
        <f>DAY('data on outstanding creditors'!$B2756)</f>
        <v>9</v>
      </c>
      <c r="R2756" s="7">
        <f>MONTH('data on outstanding creditors'!$B2756)</f>
        <v>7</v>
      </c>
      <c r="S2756" s="7">
        <f>YEAR('data on outstanding creditors'!$B2756)</f>
        <v>2025</v>
      </c>
      <c r="T2756" s="11" t="str">
        <f>'data on outstanding creditors'!$C2756&amp;" "&amp;'data on outstanding creditors'!$D2756&amp;" "&amp;TEXT('data on outstanding creditors'!$E2756,"#,##0.00")</f>
        <v>บ.ทีเอสพลัส สเตชั่นเนอรี่ ORVC6807090001 3,400.00</v>
      </c>
      <c r="U2756" s="12"/>
    </row>
    <row r="2757" ht="13.5" customHeight="1">
      <c r="A2757" s="1" t="s">
        <v>4201</v>
      </c>
      <c r="B2757" s="2">
        <v>45852.0</v>
      </c>
      <c r="C2757" s="9" t="s">
        <v>1065</v>
      </c>
      <c r="D2757" s="1" t="s">
        <v>4202</v>
      </c>
      <c r="E2757" s="4">
        <v>5000.0</v>
      </c>
      <c r="F2757" s="4"/>
      <c r="G2757" s="4"/>
      <c r="H2757" s="4">
        <f>'data on outstanding creditors'!$E2757-'data on outstanding creditors'!$F2757-'data on outstanding creditors'!$G2757</f>
        <v>5000</v>
      </c>
      <c r="I2757" s="2"/>
      <c r="J2757" s="1" t="s">
        <v>646</v>
      </c>
      <c r="K2757" s="2">
        <v>45944.0</v>
      </c>
      <c r="L2757" s="5"/>
      <c r="M2757" s="9" t="s">
        <v>105</v>
      </c>
      <c r="N2757" s="9" t="s">
        <v>49</v>
      </c>
      <c r="O2757" s="10">
        <f>'data on outstanding creditors'!$E2757*100/107</f>
        <v>4672.897196</v>
      </c>
      <c r="P2757" s="10">
        <f>'data on outstanding creditors'!$E2757-'data on outstanding creditors'!$O2757</f>
        <v>327.1028037</v>
      </c>
      <c r="Q2757" s="7">
        <f>DAY('data on outstanding creditors'!$B2757)</f>
        <v>14</v>
      </c>
      <c r="R2757" s="7">
        <f>MONTH('data on outstanding creditors'!$B2757)</f>
        <v>7</v>
      </c>
      <c r="S2757" s="7">
        <f>YEAR('data on outstanding creditors'!$B2757)</f>
        <v>2025</v>
      </c>
      <c r="T2757" s="11" t="str">
        <f>'data on outstanding creditors'!$C2757&amp;" "&amp;'data on outstanding creditors'!$D2757&amp;" "&amp;TEXT('data on outstanding creditors'!$E2757,"#,##0.00")</f>
        <v>หจก.กิจเจริญ เลเบล แอนด์พริ้น TI0725587 5,000.00</v>
      </c>
      <c r="U2757" s="12"/>
    </row>
    <row r="2758" ht="13.5" customHeight="1">
      <c r="A2758" s="1" t="s">
        <v>4203</v>
      </c>
      <c r="B2758" s="2">
        <v>45856.0</v>
      </c>
      <c r="C2758" s="9" t="s">
        <v>4190</v>
      </c>
      <c r="D2758" s="1" t="s">
        <v>4204</v>
      </c>
      <c r="E2758" s="4">
        <v>4000.0</v>
      </c>
      <c r="F2758" s="4"/>
      <c r="G2758" s="4"/>
      <c r="H2758" s="4">
        <f>'data on outstanding creditors'!$E2758-'data on outstanding creditors'!$F2758-'data on outstanding creditors'!$G2758</f>
        <v>4000</v>
      </c>
      <c r="I2758" s="2"/>
      <c r="J2758" s="1"/>
      <c r="K2758" s="2"/>
      <c r="L2758" s="5"/>
      <c r="M2758" s="9" t="s">
        <v>105</v>
      </c>
      <c r="N2758" s="9" t="s">
        <v>49</v>
      </c>
      <c r="O2758" s="10">
        <f>'data on outstanding creditors'!$E2758*100/107</f>
        <v>3738.317757</v>
      </c>
      <c r="P2758" s="10">
        <f>'data on outstanding creditors'!$E2758-'data on outstanding creditors'!$O2758</f>
        <v>261.682243</v>
      </c>
      <c r="Q2758" s="7">
        <f>DAY('data on outstanding creditors'!$B2758)</f>
        <v>18</v>
      </c>
      <c r="R2758" s="7">
        <f>MONTH('data on outstanding creditors'!$B2758)</f>
        <v>7</v>
      </c>
      <c r="S2758" s="7">
        <f>YEAR('data on outstanding creditors'!$B2758)</f>
        <v>2025</v>
      </c>
      <c r="T2758" s="11" t="str">
        <f>'data on outstanding creditors'!$C2758&amp;" "&amp;'data on outstanding creditors'!$D2758&amp;" "&amp;TEXT('data on outstanding creditors'!$E2758,"#,##0.00")</f>
        <v>บ.ทีเอสพลัส สเตชั่นเนอรี่ ORVC6807180004 4,000.00</v>
      </c>
      <c r="U2758" s="12"/>
    </row>
    <row r="2759" ht="13.5" customHeight="1">
      <c r="A2759" s="1" t="s">
        <v>4205</v>
      </c>
      <c r="B2759" s="2">
        <v>45856.0</v>
      </c>
      <c r="C2759" s="9" t="s">
        <v>4190</v>
      </c>
      <c r="D2759" s="1" t="s">
        <v>4206</v>
      </c>
      <c r="E2759" s="4">
        <v>380.0</v>
      </c>
      <c r="F2759" s="4"/>
      <c r="G2759" s="4"/>
      <c r="H2759" s="4">
        <f>'data on outstanding creditors'!$E2759-'data on outstanding creditors'!$F2759-'data on outstanding creditors'!$G2759</f>
        <v>380</v>
      </c>
      <c r="I2759" s="2"/>
      <c r="J2759" s="1"/>
      <c r="K2759" s="2"/>
      <c r="L2759" s="5"/>
      <c r="M2759" s="9" t="s">
        <v>105</v>
      </c>
      <c r="N2759" s="9" t="s">
        <v>49</v>
      </c>
      <c r="O2759" s="10">
        <f>'data on outstanding creditors'!$E2759*100/107</f>
        <v>355.1401869</v>
      </c>
      <c r="P2759" s="10">
        <f>'data on outstanding creditors'!$E2759-'data on outstanding creditors'!$O2759</f>
        <v>24.85981308</v>
      </c>
      <c r="Q2759" s="7">
        <f>DAY('data on outstanding creditors'!$B2759)</f>
        <v>18</v>
      </c>
      <c r="R2759" s="7">
        <f>MONTH('data on outstanding creditors'!$B2759)</f>
        <v>7</v>
      </c>
      <c r="S2759" s="7">
        <f>YEAR('data on outstanding creditors'!$B2759)</f>
        <v>2025</v>
      </c>
      <c r="T2759" s="11" t="str">
        <f>'data on outstanding creditors'!$C2759&amp;" "&amp;'data on outstanding creditors'!$D2759&amp;" "&amp;TEXT('data on outstanding creditors'!$E2759,"#,##0.00")</f>
        <v>บ.ทีเอสพลัส สเตชั่นเนอรี่ ORVC6807180003 380.00</v>
      </c>
      <c r="U2759" s="12"/>
    </row>
    <row r="2760" ht="13.5" customHeight="1">
      <c r="A2760" s="1" t="s">
        <v>4207</v>
      </c>
      <c r="B2760" s="2">
        <v>45860.0</v>
      </c>
      <c r="C2760" s="9" t="s">
        <v>1059</v>
      </c>
      <c r="D2760" s="1" t="s">
        <v>4208</v>
      </c>
      <c r="E2760" s="4">
        <v>48000.0</v>
      </c>
      <c r="F2760" s="4"/>
      <c r="G2760" s="4"/>
      <c r="H2760" s="4">
        <f>'data on outstanding creditors'!$E2760-'data on outstanding creditors'!$F2760-'data on outstanding creditors'!$G2760</f>
        <v>48000</v>
      </c>
      <c r="I2760" s="2"/>
      <c r="J2760" s="1" t="s">
        <v>646</v>
      </c>
      <c r="K2760" s="2">
        <v>45906.0</v>
      </c>
      <c r="L2760" s="5"/>
      <c r="M2760" s="9" t="s">
        <v>105</v>
      </c>
      <c r="N2760" s="9" t="s">
        <v>49</v>
      </c>
      <c r="O2760" s="10">
        <f>'data on outstanding creditors'!$E2760*100/107</f>
        <v>44859.81308</v>
      </c>
      <c r="P2760" s="10">
        <f>'data on outstanding creditors'!$E2760-'data on outstanding creditors'!$O2760</f>
        <v>3140.186916</v>
      </c>
      <c r="Q2760" s="7">
        <f>DAY('data on outstanding creditors'!$B2760)</f>
        <v>22</v>
      </c>
      <c r="R2760" s="7">
        <f>MONTH('data on outstanding creditors'!$B2760)</f>
        <v>7</v>
      </c>
      <c r="S2760" s="7">
        <f>YEAR('data on outstanding creditors'!$B2760)</f>
        <v>2025</v>
      </c>
      <c r="T2760" s="11" t="str">
        <f>'data on outstanding creditors'!$C2760&amp;" "&amp;'data on outstanding creditors'!$D2760&amp;" "&amp;TEXT('data on outstanding creditors'!$E2760,"#,##0.00")</f>
        <v>หจก.ภาสิน 62938 48,000.00</v>
      </c>
      <c r="U2760" s="12"/>
    </row>
    <row r="2761" ht="13.5" customHeight="1">
      <c r="A2761" s="1" t="s">
        <v>4209</v>
      </c>
      <c r="B2761" s="2">
        <v>45861.0</v>
      </c>
      <c r="C2761" s="9" t="s">
        <v>1065</v>
      </c>
      <c r="D2761" s="1" t="s">
        <v>4210</v>
      </c>
      <c r="E2761" s="4">
        <v>23000.0</v>
      </c>
      <c r="F2761" s="4"/>
      <c r="G2761" s="4"/>
      <c r="H2761" s="4">
        <f>'data on outstanding creditors'!$E2761-'data on outstanding creditors'!$F2761-'data on outstanding creditors'!$G2761</f>
        <v>23000</v>
      </c>
      <c r="I2761" s="2"/>
      <c r="J2761" s="1" t="s">
        <v>646</v>
      </c>
      <c r="K2761" s="2">
        <v>45944.0</v>
      </c>
      <c r="L2761" s="5"/>
      <c r="M2761" s="9" t="s">
        <v>105</v>
      </c>
      <c r="N2761" s="9" t="s">
        <v>49</v>
      </c>
      <c r="O2761" s="10">
        <f>'data on outstanding creditors'!$E2761*100/107</f>
        <v>21495.3271</v>
      </c>
      <c r="P2761" s="10">
        <f>'data on outstanding creditors'!$E2761-'data on outstanding creditors'!$O2761</f>
        <v>1504.672897</v>
      </c>
      <c r="Q2761" s="7">
        <f>DAY('data on outstanding creditors'!$B2761)</f>
        <v>23</v>
      </c>
      <c r="R2761" s="7">
        <f>MONTH('data on outstanding creditors'!$B2761)</f>
        <v>7</v>
      </c>
      <c r="S2761" s="7">
        <f>YEAR('data on outstanding creditors'!$B2761)</f>
        <v>2025</v>
      </c>
      <c r="T2761" s="11" t="str">
        <f>'data on outstanding creditors'!$C2761&amp;" "&amp;'data on outstanding creditors'!$D2761&amp;" "&amp;TEXT('data on outstanding creditors'!$E2761,"#,##0.00")</f>
        <v>หจก.กิจเจริญ เลเบล แอนด์พริ้น TI0725647 23,000.00</v>
      </c>
      <c r="U2761" s="12"/>
    </row>
    <row r="2762" ht="13.5" customHeight="1">
      <c r="A2762" s="1" t="s">
        <v>4211</v>
      </c>
      <c r="B2762" s="2">
        <v>45863.0</v>
      </c>
      <c r="C2762" s="9" t="s">
        <v>1114</v>
      </c>
      <c r="D2762" s="1" t="s">
        <v>4212</v>
      </c>
      <c r="E2762" s="4">
        <v>980.0</v>
      </c>
      <c r="F2762" s="4"/>
      <c r="G2762" s="4"/>
      <c r="H2762" s="4">
        <f>'data on outstanding creditors'!$E2762-'data on outstanding creditors'!$F2762-'data on outstanding creditors'!$G2762</f>
        <v>980</v>
      </c>
      <c r="I2762" s="2"/>
      <c r="J2762" s="1" t="s">
        <v>646</v>
      </c>
      <c r="K2762" s="2">
        <v>45894.0</v>
      </c>
      <c r="L2762" s="5"/>
      <c r="M2762" s="9" t="s">
        <v>105</v>
      </c>
      <c r="N2762" s="9" t="s">
        <v>49</v>
      </c>
      <c r="O2762" s="10">
        <f>'data on outstanding creditors'!$E2762*100/107</f>
        <v>915.8878505</v>
      </c>
      <c r="P2762" s="10">
        <f>'data on outstanding creditors'!$E2762-'data on outstanding creditors'!$O2762</f>
        <v>64.11214953</v>
      </c>
      <c r="Q2762" s="7">
        <f>DAY('data on outstanding creditors'!$B2762)</f>
        <v>25</v>
      </c>
      <c r="R2762" s="7">
        <f>MONTH('data on outstanding creditors'!$B2762)</f>
        <v>7</v>
      </c>
      <c r="S2762" s="7">
        <f>YEAR('data on outstanding creditors'!$B2762)</f>
        <v>2025</v>
      </c>
      <c r="T2762" s="11" t="str">
        <f>'data on outstanding creditors'!$C2762&amp;" "&amp;'data on outstanding creditors'!$D2762&amp;" "&amp;TEXT('data on outstanding creditors'!$E2762,"#,##0.00")</f>
        <v>หจก.อิเลฟเว่น พลัซ EL680726226 980.00</v>
      </c>
      <c r="U2762" s="12"/>
    </row>
    <row r="2763" ht="13.5" customHeight="1">
      <c r="A2763" s="1" t="s">
        <v>4213</v>
      </c>
      <c r="B2763" s="2">
        <v>45867.0</v>
      </c>
      <c r="C2763" s="9" t="s">
        <v>4190</v>
      </c>
      <c r="D2763" s="1" t="s">
        <v>4214</v>
      </c>
      <c r="E2763" s="4">
        <v>3380.0</v>
      </c>
      <c r="F2763" s="4"/>
      <c r="G2763" s="4"/>
      <c r="H2763" s="4">
        <f>'data on outstanding creditors'!$E2763-'data on outstanding creditors'!$F2763-'data on outstanding creditors'!$G2763</f>
        <v>3380</v>
      </c>
      <c r="I2763" s="2"/>
      <c r="J2763" s="1"/>
      <c r="K2763" s="2"/>
      <c r="L2763" s="5"/>
      <c r="M2763" s="9" t="s">
        <v>105</v>
      </c>
      <c r="N2763" s="9" t="s">
        <v>49</v>
      </c>
      <c r="O2763" s="10">
        <f>'data on outstanding creditors'!$E2763*100/107</f>
        <v>3158.878505</v>
      </c>
      <c r="P2763" s="10">
        <f>'data on outstanding creditors'!$E2763-'data on outstanding creditors'!$O2763</f>
        <v>221.1214953</v>
      </c>
      <c r="Q2763" s="7">
        <f>DAY('data on outstanding creditors'!$B2763)</f>
        <v>29</v>
      </c>
      <c r="R2763" s="7">
        <f>MONTH('data on outstanding creditors'!$B2763)</f>
        <v>7</v>
      </c>
      <c r="S2763" s="7">
        <f>YEAR('data on outstanding creditors'!$B2763)</f>
        <v>2025</v>
      </c>
      <c r="T2763" s="11" t="str">
        <f>'data on outstanding creditors'!$C2763&amp;" "&amp;'data on outstanding creditors'!$D2763&amp;" "&amp;TEXT('data on outstanding creditors'!$E2763,"#,##0.00")</f>
        <v>บ.ทีเอสพลัส สเตชั่นเนอรี่ ORVC6807290002 3,380.00</v>
      </c>
      <c r="U2763" s="12"/>
    </row>
    <row r="2764" ht="13.5" customHeight="1">
      <c r="A2764" s="1" t="s">
        <v>4215</v>
      </c>
      <c r="B2764" s="2">
        <v>45867.0</v>
      </c>
      <c r="C2764" s="9" t="s">
        <v>4190</v>
      </c>
      <c r="D2764" s="1" t="s">
        <v>4216</v>
      </c>
      <c r="E2764" s="4">
        <v>4700.0</v>
      </c>
      <c r="F2764" s="4"/>
      <c r="G2764" s="4"/>
      <c r="H2764" s="4">
        <f>'data on outstanding creditors'!$E2764-'data on outstanding creditors'!$F2764-'data on outstanding creditors'!$G2764</f>
        <v>4700</v>
      </c>
      <c r="I2764" s="2"/>
      <c r="J2764" s="1"/>
      <c r="K2764" s="2"/>
      <c r="L2764" s="5"/>
      <c r="M2764" s="9" t="s">
        <v>105</v>
      </c>
      <c r="N2764" s="9" t="s">
        <v>49</v>
      </c>
      <c r="O2764" s="10">
        <f>'data on outstanding creditors'!$E2764*100/107</f>
        <v>4392.523364</v>
      </c>
      <c r="P2764" s="10">
        <f>'data on outstanding creditors'!$E2764-'data on outstanding creditors'!$O2764</f>
        <v>307.4766355</v>
      </c>
      <c r="Q2764" s="7">
        <f>DAY('data on outstanding creditors'!$B2764)</f>
        <v>29</v>
      </c>
      <c r="R2764" s="7">
        <f>MONTH('data on outstanding creditors'!$B2764)</f>
        <v>7</v>
      </c>
      <c r="S2764" s="7">
        <f>YEAR('data on outstanding creditors'!$B2764)</f>
        <v>2025</v>
      </c>
      <c r="T2764" s="11" t="str">
        <f>'data on outstanding creditors'!$C2764&amp;" "&amp;'data on outstanding creditors'!$D2764&amp;" "&amp;TEXT('data on outstanding creditors'!$E2764,"#,##0.00")</f>
        <v>บ.ทีเอสพลัส สเตชั่นเนอรี่ ORVC6807290003 4,700.00</v>
      </c>
      <c r="U2764" s="12"/>
    </row>
    <row r="2765" ht="13.5" customHeight="1">
      <c r="A2765" s="1" t="s">
        <v>4217</v>
      </c>
      <c r="B2765" s="2">
        <v>45870.0</v>
      </c>
      <c r="C2765" s="9" t="s">
        <v>1065</v>
      </c>
      <c r="D2765" s="1" t="s">
        <v>4218</v>
      </c>
      <c r="E2765" s="4">
        <v>5500.0</v>
      </c>
      <c r="F2765" s="4"/>
      <c r="G2765" s="4"/>
      <c r="H2765" s="4">
        <f>'data on outstanding creditors'!$E2765-'data on outstanding creditors'!$F2765-'data on outstanding creditors'!$G2765</f>
        <v>5500</v>
      </c>
      <c r="I2765" s="2"/>
      <c r="J2765" s="1" t="s">
        <v>646</v>
      </c>
      <c r="K2765" s="2">
        <v>45944.0</v>
      </c>
      <c r="L2765" s="5"/>
      <c r="M2765" s="9" t="s">
        <v>105</v>
      </c>
      <c r="N2765" s="9" t="s">
        <v>49</v>
      </c>
      <c r="O2765" s="10">
        <f>'data on outstanding creditors'!$E2765*100/107</f>
        <v>5140.186916</v>
      </c>
      <c r="P2765" s="10">
        <f>'data on outstanding creditors'!$E2765-'data on outstanding creditors'!$O2765</f>
        <v>359.8130841</v>
      </c>
      <c r="Q2765" s="7">
        <f>DAY('data on outstanding creditors'!$B2765)</f>
        <v>1</v>
      </c>
      <c r="R2765" s="7">
        <f>MONTH('data on outstanding creditors'!$B2765)</f>
        <v>8</v>
      </c>
      <c r="S2765" s="7">
        <f>YEAR('data on outstanding creditors'!$B2765)</f>
        <v>2025</v>
      </c>
      <c r="T2765" s="11" t="str">
        <f>'data on outstanding creditors'!$C2765&amp;" "&amp;'data on outstanding creditors'!$D2765&amp;" "&amp;TEXT('data on outstanding creditors'!$E2765,"#,##0.00")</f>
        <v>หจก.กิจเจริญ เลเบล แอนด์พริ้น TI0725682 5,500.00</v>
      </c>
      <c r="U2765" s="12"/>
    </row>
    <row r="2766" ht="13.5" customHeight="1">
      <c r="A2766" s="1" t="s">
        <v>4219</v>
      </c>
      <c r="B2766" s="2">
        <v>45873.0</v>
      </c>
      <c r="C2766" s="9" t="s">
        <v>1101</v>
      </c>
      <c r="D2766" s="1" t="s">
        <v>4220</v>
      </c>
      <c r="E2766" s="4">
        <v>4000.0</v>
      </c>
      <c r="F2766" s="4"/>
      <c r="G2766" s="4"/>
      <c r="H2766" s="4">
        <f>'data on outstanding creditors'!$E2766-'data on outstanding creditors'!$F2766-'data on outstanding creditors'!$G2766</f>
        <v>4000</v>
      </c>
      <c r="I2766" s="2"/>
      <c r="J2766" s="1"/>
      <c r="K2766" s="2"/>
      <c r="L2766" s="5"/>
      <c r="M2766" s="9" t="s">
        <v>105</v>
      </c>
      <c r="N2766" s="9" t="s">
        <v>49</v>
      </c>
      <c r="O2766" s="10">
        <f>'data on outstanding creditors'!$E2766*100/107</f>
        <v>3738.317757</v>
      </c>
      <c r="P2766" s="10">
        <f>'data on outstanding creditors'!$E2766-'data on outstanding creditors'!$O2766</f>
        <v>261.682243</v>
      </c>
      <c r="Q2766" s="7">
        <f>DAY('data on outstanding creditors'!$B2766)</f>
        <v>4</v>
      </c>
      <c r="R2766" s="7">
        <f>MONTH('data on outstanding creditors'!$B2766)</f>
        <v>8</v>
      </c>
      <c r="S2766" s="7">
        <f>YEAR('data on outstanding creditors'!$B2766)</f>
        <v>2025</v>
      </c>
      <c r="T2766" s="11" t="str">
        <f>'data on outstanding creditors'!$C2766&amp;" "&amp;'data on outstanding creditors'!$D2766&amp;" "&amp;TEXT('data on outstanding creditors'!$E2766,"#,##0.00")</f>
        <v>ร้าน ชัยพัฒนา โดย นายทรงชัย ธีระศักดิ์วิชยา 074/3658 4,000.00</v>
      </c>
      <c r="U2766" s="12"/>
    </row>
    <row r="2767" ht="13.5" customHeight="1">
      <c r="A2767" s="1" t="s">
        <v>4221</v>
      </c>
      <c r="B2767" s="2">
        <v>45873.0</v>
      </c>
      <c r="C2767" s="9" t="s">
        <v>1101</v>
      </c>
      <c r="D2767" s="1" t="s">
        <v>4222</v>
      </c>
      <c r="E2767" s="4">
        <v>37400.0</v>
      </c>
      <c r="F2767" s="4"/>
      <c r="G2767" s="4"/>
      <c r="H2767" s="4">
        <f>'data on outstanding creditors'!$E2767-'data on outstanding creditors'!$F2767-'data on outstanding creditors'!$G2767</f>
        <v>37400</v>
      </c>
      <c r="I2767" s="2"/>
      <c r="J2767" s="1" t="s">
        <v>757</v>
      </c>
      <c r="K2767" s="2">
        <v>45961.0</v>
      </c>
      <c r="L2767" s="5"/>
      <c r="M2767" s="9" t="s">
        <v>105</v>
      </c>
      <c r="N2767" s="9" t="s">
        <v>49</v>
      </c>
      <c r="O2767" s="10">
        <f>'data on outstanding creditors'!$E2767*100/107</f>
        <v>34953.27103</v>
      </c>
      <c r="P2767" s="10">
        <f>'data on outstanding creditors'!$E2767-'data on outstanding creditors'!$O2767</f>
        <v>2446.728972</v>
      </c>
      <c r="Q2767" s="7">
        <f>DAY('data on outstanding creditors'!$B2767)</f>
        <v>4</v>
      </c>
      <c r="R2767" s="7">
        <f>MONTH('data on outstanding creditors'!$B2767)</f>
        <v>8</v>
      </c>
      <c r="S2767" s="7">
        <f>YEAR('data on outstanding creditors'!$B2767)</f>
        <v>2025</v>
      </c>
      <c r="T2767" s="11" t="str">
        <f>'data on outstanding creditors'!$C2767&amp;" "&amp;'data on outstanding creditors'!$D2767&amp;" "&amp;TEXT('data on outstanding creditors'!$E2767,"#,##0.00")</f>
        <v>ร้าน ชัยพัฒนา โดย นายทรงชัย ธีระศักดิ์วิชยา 074/3665-3666 37,400.00</v>
      </c>
      <c r="U2767" s="12"/>
    </row>
    <row r="2768" ht="13.5" customHeight="1">
      <c r="A2768" s="1" t="s">
        <v>4223</v>
      </c>
      <c r="B2768" s="2">
        <v>45873.0</v>
      </c>
      <c r="C2768" s="9" t="s">
        <v>4224</v>
      </c>
      <c r="D2768" s="1" t="s">
        <v>4225</v>
      </c>
      <c r="E2768" s="4">
        <v>29530.0</v>
      </c>
      <c r="F2768" s="4"/>
      <c r="G2768" s="4"/>
      <c r="H2768" s="4">
        <f>'data on outstanding creditors'!$E2768-'data on outstanding creditors'!$F2768-'data on outstanding creditors'!$G2768</f>
        <v>29530</v>
      </c>
      <c r="I2768" s="2"/>
      <c r="J2768" s="1" t="s">
        <v>757</v>
      </c>
      <c r="K2768" s="2">
        <v>45961.0</v>
      </c>
      <c r="L2768" s="5"/>
      <c r="M2768" s="9" t="s">
        <v>105</v>
      </c>
      <c r="N2768" s="9" t="s">
        <v>49</v>
      </c>
      <c r="O2768" s="10">
        <f>'data on outstanding creditors'!$E2768*100/107</f>
        <v>27598.13084</v>
      </c>
      <c r="P2768" s="10">
        <f>'data on outstanding creditors'!$E2768-'data on outstanding creditors'!$O2768</f>
        <v>1931.869159</v>
      </c>
      <c r="Q2768" s="7">
        <f>DAY('data on outstanding creditors'!$B2768)</f>
        <v>4</v>
      </c>
      <c r="R2768" s="7">
        <f>MONTH('data on outstanding creditors'!$B2768)</f>
        <v>8</v>
      </c>
      <c r="S2768" s="7">
        <f>YEAR('data on outstanding creditors'!$B2768)</f>
        <v>2025</v>
      </c>
      <c r="T2768" s="11" t="str">
        <f>'data on outstanding creditors'!$C2768&amp;" "&amp;'data on outstanding creditors'!$D2768&amp;" "&amp;TEXT('data on outstanding creditors'!$E2768,"#,##0.00")</f>
        <v>ร้าน เบบี้โฮม 054/2673 29,530.00</v>
      </c>
      <c r="U2768" s="12"/>
    </row>
    <row r="2769" ht="13.5" customHeight="1">
      <c r="A2769" s="1" t="s">
        <v>4226</v>
      </c>
      <c r="B2769" s="2">
        <v>45875.0</v>
      </c>
      <c r="C2769" s="9" t="s">
        <v>4227</v>
      </c>
      <c r="D2769" s="1" t="s">
        <v>4228</v>
      </c>
      <c r="E2769" s="4">
        <v>10000.0</v>
      </c>
      <c r="F2769" s="4"/>
      <c r="G2769" s="4"/>
      <c r="H2769" s="4">
        <f>'data on outstanding creditors'!$E2769-'data on outstanding creditors'!$F2769-'data on outstanding creditors'!$G2769</f>
        <v>10000</v>
      </c>
      <c r="I2769" s="2"/>
      <c r="J2769" s="1"/>
      <c r="K2769" s="2"/>
      <c r="L2769" s="5"/>
      <c r="M2769" s="9" t="s">
        <v>105</v>
      </c>
      <c r="N2769" s="9" t="s">
        <v>49</v>
      </c>
      <c r="O2769" s="10">
        <f>'data on outstanding creditors'!$E2769*100/107</f>
        <v>9345.794393</v>
      </c>
      <c r="P2769" s="10">
        <f>'data on outstanding creditors'!$E2769-'data on outstanding creditors'!$O2769</f>
        <v>654.2056075</v>
      </c>
      <c r="Q2769" s="7">
        <f>DAY('data on outstanding creditors'!$B2769)</f>
        <v>6</v>
      </c>
      <c r="R2769" s="7">
        <f>MONTH('data on outstanding creditors'!$B2769)</f>
        <v>8</v>
      </c>
      <c r="S2769" s="7">
        <f>YEAR('data on outstanding creditors'!$B2769)</f>
        <v>2025</v>
      </c>
      <c r="T2769" s="11" t="str">
        <f>'data on outstanding creditors'!$C2769&amp;" "&amp;'data on outstanding creditors'!$D2769&amp;" "&amp;TEXT('data on outstanding creditors'!$E2769,"#,##0.00")</f>
        <v>บ.โมเดอร์น พริ้นเทค แอนด์ เลเบิ้ล 68572 10,000.00</v>
      </c>
      <c r="U2769" s="12"/>
    </row>
    <row r="2770" ht="13.5" customHeight="1">
      <c r="A2770" s="1" t="s">
        <v>4229</v>
      </c>
      <c r="B2770" s="2">
        <v>45877.0</v>
      </c>
      <c r="C2770" s="9" t="s">
        <v>1101</v>
      </c>
      <c r="D2770" s="1" t="s">
        <v>4230</v>
      </c>
      <c r="E2770" s="4">
        <v>3500.0</v>
      </c>
      <c r="F2770" s="4"/>
      <c r="G2770" s="4"/>
      <c r="H2770" s="4">
        <f>'data on outstanding creditors'!$E2770-'data on outstanding creditors'!$F2770-'data on outstanding creditors'!$G2770</f>
        <v>3500</v>
      </c>
      <c r="I2770" s="2"/>
      <c r="J2770" s="1"/>
      <c r="K2770" s="2"/>
      <c r="L2770" s="5"/>
      <c r="M2770" s="9" t="s">
        <v>105</v>
      </c>
      <c r="N2770" s="9" t="s">
        <v>49</v>
      </c>
      <c r="O2770" s="10">
        <f>'data on outstanding creditors'!$E2770*100/107</f>
        <v>3271.028037</v>
      </c>
      <c r="P2770" s="10">
        <f>'data on outstanding creditors'!$E2770-'data on outstanding creditors'!$O2770</f>
        <v>228.9719626</v>
      </c>
      <c r="Q2770" s="7">
        <f>DAY('data on outstanding creditors'!$B2770)</f>
        <v>8</v>
      </c>
      <c r="R2770" s="7">
        <f>MONTH('data on outstanding creditors'!$B2770)</f>
        <v>8</v>
      </c>
      <c r="S2770" s="7">
        <f>YEAR('data on outstanding creditors'!$B2770)</f>
        <v>2025</v>
      </c>
      <c r="T2770" s="11" t="str">
        <f>'data on outstanding creditors'!$C2770&amp;" "&amp;'data on outstanding creditors'!$D2770&amp;" "&amp;TEXT('data on outstanding creditors'!$E2770,"#,##0.00")</f>
        <v>ร้าน ชัยพัฒนา โดย นายทรงชัย ธีระศักดิ์วิชยา 074/3689 3,500.00</v>
      </c>
      <c r="U2770" s="12"/>
    </row>
    <row r="2771" ht="13.5" customHeight="1">
      <c r="A2771" s="1" t="s">
        <v>4231</v>
      </c>
      <c r="B2771" s="2">
        <v>45882.0</v>
      </c>
      <c r="C2771" s="9" t="s">
        <v>4190</v>
      </c>
      <c r="D2771" s="1" t="s">
        <v>4232</v>
      </c>
      <c r="E2771" s="4">
        <v>850.0</v>
      </c>
      <c r="F2771" s="4"/>
      <c r="G2771" s="4"/>
      <c r="H2771" s="4">
        <f>'data on outstanding creditors'!$E2771-'data on outstanding creditors'!$F2771-'data on outstanding creditors'!$G2771</f>
        <v>850</v>
      </c>
      <c r="I2771" s="2"/>
      <c r="J2771" s="1"/>
      <c r="K2771" s="2"/>
      <c r="L2771" s="5"/>
      <c r="M2771" s="9" t="s">
        <v>105</v>
      </c>
      <c r="N2771" s="9" t="s">
        <v>49</v>
      </c>
      <c r="O2771" s="10">
        <f>'data on outstanding creditors'!$E2771*100/107</f>
        <v>794.3925234</v>
      </c>
      <c r="P2771" s="10">
        <f>'data on outstanding creditors'!$E2771-'data on outstanding creditors'!$O2771</f>
        <v>55.60747664</v>
      </c>
      <c r="Q2771" s="7">
        <f>DAY('data on outstanding creditors'!$B2771)</f>
        <v>13</v>
      </c>
      <c r="R2771" s="7">
        <f>MONTH('data on outstanding creditors'!$B2771)</f>
        <v>8</v>
      </c>
      <c r="S2771" s="7">
        <f>YEAR('data on outstanding creditors'!$B2771)</f>
        <v>2025</v>
      </c>
      <c r="T2771" s="11" t="str">
        <f>'data on outstanding creditors'!$C2771&amp;" "&amp;'data on outstanding creditors'!$D2771&amp;" "&amp;TEXT('data on outstanding creditors'!$E2771,"#,##0.00")</f>
        <v>บ.ทีเอสพลัส สเตชั่นเนอรี่ ORVC6808130008 850.00</v>
      </c>
      <c r="U2771" s="12"/>
    </row>
    <row r="2772" ht="13.5" customHeight="1">
      <c r="A2772" s="1" t="s">
        <v>4233</v>
      </c>
      <c r="B2772" s="2">
        <v>45884.0</v>
      </c>
      <c r="C2772" s="9" t="s">
        <v>1065</v>
      </c>
      <c r="D2772" s="1" t="s">
        <v>4234</v>
      </c>
      <c r="E2772" s="4">
        <v>3600.0</v>
      </c>
      <c r="F2772" s="4"/>
      <c r="G2772" s="4"/>
      <c r="H2772" s="4">
        <f>'data on outstanding creditors'!$E2772-'data on outstanding creditors'!$F2772-'data on outstanding creditors'!$G2772</f>
        <v>3600</v>
      </c>
      <c r="I2772" s="2"/>
      <c r="J2772" s="1" t="s">
        <v>646</v>
      </c>
      <c r="K2772" s="2">
        <v>45944.0</v>
      </c>
      <c r="L2772" s="5"/>
      <c r="M2772" s="9" t="s">
        <v>105</v>
      </c>
      <c r="N2772" s="9" t="s">
        <v>49</v>
      </c>
      <c r="O2772" s="10">
        <f>'data on outstanding creditors'!$E2772*100/107</f>
        <v>3364.485981</v>
      </c>
      <c r="P2772" s="10">
        <f>'data on outstanding creditors'!$E2772-'data on outstanding creditors'!$O2772</f>
        <v>235.5140187</v>
      </c>
      <c r="Q2772" s="7">
        <f>DAY('data on outstanding creditors'!$B2772)</f>
        <v>15</v>
      </c>
      <c r="R2772" s="7">
        <f>MONTH('data on outstanding creditors'!$B2772)</f>
        <v>8</v>
      </c>
      <c r="S2772" s="7">
        <f>YEAR('data on outstanding creditors'!$B2772)</f>
        <v>2025</v>
      </c>
      <c r="T2772" s="11" t="str">
        <f>'data on outstanding creditors'!$C2772&amp;" "&amp;'data on outstanding creditors'!$D2772&amp;" "&amp;TEXT('data on outstanding creditors'!$E2772,"#,##0.00")</f>
        <v>หจก.กิจเจริญ เลเบล แอนด์พริ้น TI0825738 3,600.00</v>
      </c>
      <c r="U2772" s="12"/>
    </row>
    <row r="2773" ht="13.5" customHeight="1">
      <c r="A2773" s="1" t="s">
        <v>4235</v>
      </c>
      <c r="B2773" s="2">
        <v>45884.0</v>
      </c>
      <c r="C2773" s="9" t="s">
        <v>4190</v>
      </c>
      <c r="D2773" s="1" t="s">
        <v>4236</v>
      </c>
      <c r="E2773" s="4">
        <v>900.0</v>
      </c>
      <c r="F2773" s="4"/>
      <c r="G2773" s="4"/>
      <c r="H2773" s="4">
        <f>'data on outstanding creditors'!$E2773-'data on outstanding creditors'!$F2773-'data on outstanding creditors'!$G2773</f>
        <v>900</v>
      </c>
      <c r="I2773" s="2"/>
      <c r="J2773" s="1"/>
      <c r="K2773" s="2"/>
      <c r="L2773" s="5"/>
      <c r="M2773" s="9" t="s">
        <v>105</v>
      </c>
      <c r="N2773" s="9" t="s">
        <v>49</v>
      </c>
      <c r="O2773" s="10">
        <f>'data on outstanding creditors'!$E2773*100/107</f>
        <v>841.1214953</v>
      </c>
      <c r="P2773" s="10">
        <f>'data on outstanding creditors'!$E2773-'data on outstanding creditors'!$O2773</f>
        <v>58.87850467</v>
      </c>
      <c r="Q2773" s="7">
        <f>DAY('data on outstanding creditors'!$B2773)</f>
        <v>15</v>
      </c>
      <c r="R2773" s="7">
        <f>MONTH('data on outstanding creditors'!$B2773)</f>
        <v>8</v>
      </c>
      <c r="S2773" s="7">
        <f>YEAR('data on outstanding creditors'!$B2773)</f>
        <v>2025</v>
      </c>
      <c r="T2773" s="11" t="str">
        <f>'data on outstanding creditors'!$C2773&amp;" "&amp;'data on outstanding creditors'!$D2773&amp;" "&amp;TEXT('data on outstanding creditors'!$E2773,"#,##0.00")</f>
        <v>บ.ทีเอสพลัส สเตชั่นเนอรี่ ORVC6808150006 900.00</v>
      </c>
      <c r="U2773" s="12"/>
    </row>
    <row r="2774" ht="13.5" customHeight="1">
      <c r="A2774" s="1" t="s">
        <v>4237</v>
      </c>
      <c r="B2774" s="2">
        <v>45884.0</v>
      </c>
      <c r="C2774" s="9" t="s">
        <v>152</v>
      </c>
      <c r="D2774" s="1" t="s">
        <v>4238</v>
      </c>
      <c r="E2774" s="4">
        <v>1750.0</v>
      </c>
      <c r="F2774" s="4"/>
      <c r="G2774" s="4"/>
      <c r="H2774" s="4">
        <f>'data on outstanding creditors'!$E2774-'data on outstanding creditors'!$F2774-'data on outstanding creditors'!$G2774</f>
        <v>1750</v>
      </c>
      <c r="I2774" s="2"/>
      <c r="J2774" s="1"/>
      <c r="K2774" s="2"/>
      <c r="L2774" s="5"/>
      <c r="M2774" s="9" t="s">
        <v>105</v>
      </c>
      <c r="N2774" s="9" t="s">
        <v>49</v>
      </c>
      <c r="O2774" s="10">
        <f>'data on outstanding creditors'!$E2774*100/107</f>
        <v>1635.514019</v>
      </c>
      <c r="P2774" s="10">
        <f>'data on outstanding creditors'!$E2774-'data on outstanding creditors'!$O2774</f>
        <v>114.4859813</v>
      </c>
      <c r="Q2774" s="7">
        <f>DAY('data on outstanding creditors'!$B2774)</f>
        <v>15</v>
      </c>
      <c r="R2774" s="7">
        <f>MONTH('data on outstanding creditors'!$B2774)</f>
        <v>8</v>
      </c>
      <c r="S2774" s="7">
        <f>YEAR('data on outstanding creditors'!$B2774)</f>
        <v>2025</v>
      </c>
      <c r="T2774" s="11" t="str">
        <f>'data on outstanding creditors'!$C2774&amp;" "&amp;'data on outstanding creditors'!$D2774&amp;" "&amp;TEXT('data on outstanding creditors'!$E2774,"#,##0.00")</f>
        <v>บ.มาเจริญ โฮม เฟอร์นิเจอร์ 185/9220 1,750.00</v>
      </c>
      <c r="U2774" s="12"/>
    </row>
    <row r="2775" ht="13.5" customHeight="1">
      <c r="A2775" s="1" t="s">
        <v>4239</v>
      </c>
      <c r="B2775" s="2">
        <v>45895.0</v>
      </c>
      <c r="C2775" s="9" t="s">
        <v>1101</v>
      </c>
      <c r="D2775" s="1" t="s">
        <v>4240</v>
      </c>
      <c r="E2775" s="4">
        <v>19300.0</v>
      </c>
      <c r="F2775" s="4"/>
      <c r="G2775" s="4"/>
      <c r="H2775" s="4">
        <f>'data on outstanding creditors'!$E2775-'data on outstanding creditors'!$F2775-'data on outstanding creditors'!$G2775</f>
        <v>19300</v>
      </c>
      <c r="I2775" s="2"/>
      <c r="J2775" s="1" t="s">
        <v>757</v>
      </c>
      <c r="K2775" s="2">
        <v>45961.0</v>
      </c>
      <c r="L2775" s="5"/>
      <c r="M2775" s="9" t="s">
        <v>105</v>
      </c>
      <c r="N2775" s="9" t="s">
        <v>49</v>
      </c>
      <c r="O2775" s="10">
        <f>'data on outstanding creditors'!$E2775*100/107</f>
        <v>18037.38318</v>
      </c>
      <c r="P2775" s="10">
        <f>'data on outstanding creditors'!$E2775-'data on outstanding creditors'!$O2775</f>
        <v>1262.616822</v>
      </c>
      <c r="Q2775" s="7">
        <f>DAY('data on outstanding creditors'!$B2775)</f>
        <v>26</v>
      </c>
      <c r="R2775" s="7">
        <f>MONTH('data on outstanding creditors'!$B2775)</f>
        <v>8</v>
      </c>
      <c r="S2775" s="7">
        <f>YEAR('data on outstanding creditors'!$B2775)</f>
        <v>2025</v>
      </c>
      <c r="T2775" s="11" t="str">
        <f>'data on outstanding creditors'!$C2775&amp;" "&amp;'data on outstanding creditors'!$D2775&amp;" "&amp;TEXT('data on outstanding creditors'!$E2775,"#,##0.00")</f>
        <v>ร้าน ชัยพัฒนา โดย นายทรงชัย ธีระศักดิ์วิชยา 074/3681 19,300.00</v>
      </c>
      <c r="U2775" s="12"/>
    </row>
    <row r="2776" ht="13.5" customHeight="1">
      <c r="A2776" s="1" t="s">
        <v>4241</v>
      </c>
      <c r="B2776" s="2">
        <v>45895.0</v>
      </c>
      <c r="C2776" s="9" t="s">
        <v>4224</v>
      </c>
      <c r="D2776" s="1" t="s">
        <v>4242</v>
      </c>
      <c r="E2776" s="4">
        <v>15750.0</v>
      </c>
      <c r="F2776" s="4"/>
      <c r="G2776" s="4"/>
      <c r="H2776" s="4">
        <f>'data on outstanding creditors'!$E2776-'data on outstanding creditors'!$F2776-'data on outstanding creditors'!$G2776</f>
        <v>15750</v>
      </c>
      <c r="I2776" s="2"/>
      <c r="J2776" s="1" t="s">
        <v>757</v>
      </c>
      <c r="K2776" s="2">
        <v>45961.0</v>
      </c>
      <c r="L2776" s="5"/>
      <c r="M2776" s="9" t="s">
        <v>105</v>
      </c>
      <c r="N2776" s="9" t="s">
        <v>49</v>
      </c>
      <c r="O2776" s="10">
        <f>'data on outstanding creditors'!$E2776*100/107</f>
        <v>14719.62617</v>
      </c>
      <c r="P2776" s="10">
        <f>'data on outstanding creditors'!$E2776-'data on outstanding creditors'!$O2776</f>
        <v>1030.373832</v>
      </c>
      <c r="Q2776" s="7">
        <f>DAY('data on outstanding creditors'!$B2776)</f>
        <v>26</v>
      </c>
      <c r="R2776" s="7">
        <f>MONTH('data on outstanding creditors'!$B2776)</f>
        <v>8</v>
      </c>
      <c r="S2776" s="7">
        <f>YEAR('data on outstanding creditors'!$B2776)</f>
        <v>2025</v>
      </c>
      <c r="T2776" s="11" t="str">
        <f>'data on outstanding creditors'!$C2776&amp;" "&amp;'data on outstanding creditors'!$D2776&amp;" "&amp;TEXT('data on outstanding creditors'!$E2776,"#,##0.00")</f>
        <v>ร้าน เบบี้โฮม 054/2674 15,750.00</v>
      </c>
      <c r="U2776" s="12"/>
    </row>
    <row r="2777" ht="13.5" customHeight="1">
      <c r="A2777" s="1" t="s">
        <v>4243</v>
      </c>
      <c r="B2777" s="2">
        <v>45901.0</v>
      </c>
      <c r="C2777" s="9" t="s">
        <v>4244</v>
      </c>
      <c r="D2777" s="1" t="s">
        <v>4245</v>
      </c>
      <c r="E2777" s="4">
        <v>17140.0</v>
      </c>
      <c r="F2777" s="4"/>
      <c r="G2777" s="4"/>
      <c r="H2777" s="4">
        <f>'data on outstanding creditors'!$E2777-'data on outstanding creditors'!$F2777-'data on outstanding creditors'!$G2777</f>
        <v>17140</v>
      </c>
      <c r="I2777" s="2"/>
      <c r="J2777" s="1"/>
      <c r="K2777" s="2"/>
      <c r="L2777" s="5"/>
      <c r="M2777" s="9" t="s">
        <v>105</v>
      </c>
      <c r="N2777" s="9" t="s">
        <v>49</v>
      </c>
      <c r="O2777" s="10">
        <f>'data on outstanding creditors'!$E2777*100/107</f>
        <v>16018.69159</v>
      </c>
      <c r="P2777" s="10">
        <f>'data on outstanding creditors'!$E2777-'data on outstanding creditors'!$O2777</f>
        <v>1121.308411</v>
      </c>
      <c r="Q2777" s="7">
        <f>DAY('data on outstanding creditors'!$B2777)</f>
        <v>1</v>
      </c>
      <c r="R2777" s="7">
        <f>MONTH('data on outstanding creditors'!$B2777)</f>
        <v>9</v>
      </c>
      <c r="S2777" s="7">
        <f>YEAR('data on outstanding creditors'!$B2777)</f>
        <v>2025</v>
      </c>
      <c r="T2777" s="11" t="str">
        <f>'data on outstanding creditors'!$C2777&amp;" "&amp;'data on outstanding creditors'!$D2777&amp;" "&amp;TEXT('data on outstanding creditors'!$E2777,"#,##0.00")</f>
        <v>บ.โอเอ 2024 UINN25090001 17,140.00</v>
      </c>
      <c r="U2777" s="12"/>
    </row>
    <row r="2778" ht="13.5" customHeight="1">
      <c r="A2778" s="1" t="s">
        <v>4246</v>
      </c>
      <c r="B2778" s="2">
        <v>45903.0</v>
      </c>
      <c r="C2778" s="9" t="s">
        <v>4247</v>
      </c>
      <c r="D2778" s="1" t="s">
        <v>4248</v>
      </c>
      <c r="E2778" s="4">
        <v>67520.0</v>
      </c>
      <c r="F2778" s="4"/>
      <c r="G2778" s="4"/>
      <c r="H2778" s="4">
        <f>'data on outstanding creditors'!$E2778-'data on outstanding creditors'!$F2778-'data on outstanding creditors'!$G2778</f>
        <v>67520</v>
      </c>
      <c r="I2778" s="2"/>
      <c r="J2778" s="1" t="s">
        <v>757</v>
      </c>
      <c r="K2778" s="2">
        <v>45961.0</v>
      </c>
      <c r="L2778" s="5"/>
      <c r="M2778" s="9" t="s">
        <v>105</v>
      </c>
      <c r="N2778" s="9" t="s">
        <v>49</v>
      </c>
      <c r="O2778" s="10">
        <f>'data on outstanding creditors'!$E2778*100/107</f>
        <v>63102.80374</v>
      </c>
      <c r="P2778" s="10">
        <f>'data on outstanding creditors'!$E2778-'data on outstanding creditors'!$O2778</f>
        <v>4417.196262</v>
      </c>
      <c r="Q2778" s="7">
        <f>DAY('data on outstanding creditors'!$B2778)</f>
        <v>3</v>
      </c>
      <c r="R2778" s="7">
        <f>MONTH('data on outstanding creditors'!$B2778)</f>
        <v>9</v>
      </c>
      <c r="S2778" s="7">
        <f>YEAR('data on outstanding creditors'!$B2778)</f>
        <v>2025</v>
      </c>
      <c r="T2778" s="11" t="str">
        <f>'data on outstanding creditors'!$C2778&amp;" "&amp;'data on outstanding creditors'!$D2778&amp;" "&amp;TEXT('data on outstanding creditors'!$E2778,"#,##0.00")</f>
        <v>บ.ออฟฟิศเมท(ไทย) SI2509005269 67,520.00</v>
      </c>
      <c r="U2778" s="12"/>
    </row>
    <row r="2779" ht="13.5" customHeight="1">
      <c r="A2779" s="1" t="s">
        <v>4249</v>
      </c>
      <c r="B2779" s="2">
        <v>45904.0</v>
      </c>
      <c r="C2779" s="9" t="s">
        <v>4250</v>
      </c>
      <c r="D2779" s="1" t="s">
        <v>4251</v>
      </c>
      <c r="E2779" s="4">
        <v>13500.0</v>
      </c>
      <c r="F2779" s="4"/>
      <c r="G2779" s="4"/>
      <c r="H2779" s="4">
        <f>'data on outstanding creditors'!$E2779-'data on outstanding creditors'!$F2779-'data on outstanding creditors'!$G2779</f>
        <v>13500</v>
      </c>
      <c r="I2779" s="2"/>
      <c r="J2779" s="1"/>
      <c r="K2779" s="2"/>
      <c r="L2779" s="5"/>
      <c r="M2779" s="9" t="s">
        <v>105</v>
      </c>
      <c r="N2779" s="9" t="s">
        <v>49</v>
      </c>
      <c r="O2779" s="10">
        <f>'data on outstanding creditors'!$E2779*100/107</f>
        <v>12616.82243</v>
      </c>
      <c r="P2779" s="10">
        <f>'data on outstanding creditors'!$E2779-'data on outstanding creditors'!$O2779</f>
        <v>883.1775701</v>
      </c>
      <c r="Q2779" s="7">
        <f>DAY('data on outstanding creditors'!$B2779)</f>
        <v>4</v>
      </c>
      <c r="R2779" s="7">
        <f>MONTH('data on outstanding creditors'!$B2779)</f>
        <v>9</v>
      </c>
      <c r="S2779" s="7">
        <f>YEAR('data on outstanding creditors'!$B2779)</f>
        <v>2025</v>
      </c>
      <c r="T2779" s="11" t="str">
        <f>'data on outstanding creditors'!$C2779&amp;" "&amp;'data on outstanding creditors'!$D2779&amp;" "&amp;TEXT('data on outstanding creditors'!$E2779,"#,##0.00")</f>
        <v>หสม.สหประชาพาณิชย์ IN6809001 13,500.00</v>
      </c>
      <c r="U2779" s="12"/>
    </row>
    <row r="2780" ht="13.5" customHeight="1">
      <c r="A2780" s="1" t="s">
        <v>4252</v>
      </c>
      <c r="B2780" s="2">
        <v>45905.0</v>
      </c>
      <c r="C2780" s="9" t="s">
        <v>4253</v>
      </c>
      <c r="D2780" s="1" t="s">
        <v>4254</v>
      </c>
      <c r="E2780" s="4">
        <v>94600.0</v>
      </c>
      <c r="F2780" s="4"/>
      <c r="G2780" s="4"/>
      <c r="H2780" s="4">
        <f>'data on outstanding creditors'!$E2780-'data on outstanding creditors'!$F2780-'data on outstanding creditors'!$G2780</f>
        <v>94600</v>
      </c>
      <c r="I2780" s="2"/>
      <c r="J2780" s="1" t="s">
        <v>757</v>
      </c>
      <c r="K2780" s="2">
        <v>45935.0</v>
      </c>
      <c r="L2780" s="5"/>
      <c r="M2780" s="9" t="s">
        <v>105</v>
      </c>
      <c r="N2780" s="9" t="s">
        <v>49</v>
      </c>
      <c r="O2780" s="10">
        <f>'data on outstanding creditors'!$E2780*100/107</f>
        <v>88411.21495</v>
      </c>
      <c r="P2780" s="10">
        <f>'data on outstanding creditors'!$E2780-'data on outstanding creditors'!$O2780</f>
        <v>6188.785047</v>
      </c>
      <c r="Q2780" s="7">
        <f>DAY('data on outstanding creditors'!$B2780)</f>
        <v>5</v>
      </c>
      <c r="R2780" s="7">
        <f>MONTH('data on outstanding creditors'!$B2780)</f>
        <v>9</v>
      </c>
      <c r="S2780" s="7">
        <f>YEAR('data on outstanding creditors'!$B2780)</f>
        <v>2025</v>
      </c>
      <c r="T2780" s="11" t="str">
        <f>'data on outstanding creditors'!$C2780&amp;" "&amp;'data on outstanding creditors'!$D2780&amp;" "&amp;TEXT('data on outstanding creditors'!$E2780,"#,##0.00")</f>
        <v>หจก.เอ็มวีซี ไอที BL000021 94,600.00</v>
      </c>
      <c r="U2780" s="12"/>
    </row>
    <row r="2781" ht="13.5" customHeight="1">
      <c r="A2781" s="1" t="s">
        <v>4255</v>
      </c>
      <c r="B2781" s="2">
        <v>45910.0</v>
      </c>
      <c r="C2781" s="9" t="s">
        <v>2956</v>
      </c>
      <c r="D2781" s="1" t="s">
        <v>4256</v>
      </c>
      <c r="E2781" s="4">
        <v>400.0</v>
      </c>
      <c r="F2781" s="4"/>
      <c r="G2781" s="4"/>
      <c r="H2781" s="4">
        <f>'data on outstanding creditors'!$E2781-'data on outstanding creditors'!$F2781-'data on outstanding creditors'!$G2781</f>
        <v>400</v>
      </c>
      <c r="I2781" s="2"/>
      <c r="J2781" s="1" t="s">
        <v>757</v>
      </c>
      <c r="K2781" s="2">
        <v>45935.0</v>
      </c>
      <c r="L2781" s="5"/>
      <c r="M2781" s="9" t="s">
        <v>105</v>
      </c>
      <c r="N2781" s="9" t="s">
        <v>49</v>
      </c>
      <c r="O2781" s="10">
        <f>'data on outstanding creditors'!$E2781*100/107</f>
        <v>373.8317757</v>
      </c>
      <c r="P2781" s="10">
        <f>'data on outstanding creditors'!$E2781-'data on outstanding creditors'!$O2781</f>
        <v>26.1682243</v>
      </c>
      <c r="Q2781" s="7">
        <f>DAY('data on outstanding creditors'!$B2781)</f>
        <v>10</v>
      </c>
      <c r="R2781" s="7">
        <f>MONTH('data on outstanding creditors'!$B2781)</f>
        <v>9</v>
      </c>
      <c r="S2781" s="7">
        <f>YEAR('data on outstanding creditors'!$B2781)</f>
        <v>2025</v>
      </c>
      <c r="T2781" s="11" t="str">
        <f>'data on outstanding creditors'!$C2781&amp;" "&amp;'data on outstanding creditors'!$D2781&amp;" "&amp;TEXT('data on outstanding creditors'!$E2781,"#,##0.00")</f>
        <v>บ.แอม เบส พลัส AM6809/081 400.00</v>
      </c>
      <c r="U2781" s="12"/>
    </row>
    <row r="2782" ht="13.5" customHeight="1">
      <c r="A2782" s="1" t="s">
        <v>4257</v>
      </c>
      <c r="B2782" s="2">
        <v>45915.0</v>
      </c>
      <c r="C2782" s="9" t="s">
        <v>1101</v>
      </c>
      <c r="D2782" s="1" t="s">
        <v>4258</v>
      </c>
      <c r="E2782" s="4">
        <v>22570.0</v>
      </c>
      <c r="F2782" s="4"/>
      <c r="G2782" s="4"/>
      <c r="H2782" s="4">
        <f>'data on outstanding creditors'!$E2782-'data on outstanding creditors'!$F2782-'data on outstanding creditors'!$G2782</f>
        <v>22570</v>
      </c>
      <c r="I2782" s="2"/>
      <c r="J2782" s="1"/>
      <c r="K2782" s="2"/>
      <c r="L2782" s="5"/>
      <c r="M2782" s="9" t="s">
        <v>105</v>
      </c>
      <c r="N2782" s="9" t="s">
        <v>49</v>
      </c>
      <c r="O2782" s="10">
        <f>'data on outstanding creditors'!$E2782*100/107</f>
        <v>21093.45794</v>
      </c>
      <c r="P2782" s="10">
        <f>'data on outstanding creditors'!$E2782-'data on outstanding creditors'!$O2782</f>
        <v>1476.542056</v>
      </c>
      <c r="Q2782" s="7">
        <f>DAY('data on outstanding creditors'!$B2782)</f>
        <v>15</v>
      </c>
      <c r="R2782" s="7">
        <f>MONTH('data on outstanding creditors'!$B2782)</f>
        <v>9</v>
      </c>
      <c r="S2782" s="7">
        <f>YEAR('data on outstanding creditors'!$B2782)</f>
        <v>2025</v>
      </c>
      <c r="T2782" s="11" t="str">
        <f>'data on outstanding creditors'!$C2782&amp;" "&amp;'data on outstanding creditors'!$D2782&amp;" "&amp;TEXT('data on outstanding creditors'!$E2782,"#,##0.00")</f>
        <v>ร้าน ชัยพัฒนา โดย นายทรงชัย ธีระศักดิ์วิชยา 074/3695 22,570.00</v>
      </c>
      <c r="U2782" s="12"/>
    </row>
    <row r="2783" ht="13.5" customHeight="1">
      <c r="A2783" s="1" t="s">
        <v>4259</v>
      </c>
      <c r="B2783" s="2">
        <v>45915.0</v>
      </c>
      <c r="C2783" s="9" t="s">
        <v>4224</v>
      </c>
      <c r="D2783" s="1" t="s">
        <v>4260</v>
      </c>
      <c r="E2783" s="4">
        <v>17220.0</v>
      </c>
      <c r="F2783" s="4"/>
      <c r="G2783" s="4"/>
      <c r="H2783" s="4">
        <f>'data on outstanding creditors'!$E2783-'data on outstanding creditors'!$F2783-'data on outstanding creditors'!$G2783</f>
        <v>17220</v>
      </c>
      <c r="I2783" s="2"/>
      <c r="J2783" s="1"/>
      <c r="K2783" s="2"/>
      <c r="L2783" s="5"/>
      <c r="M2783" s="9" t="s">
        <v>105</v>
      </c>
      <c r="N2783" s="9" t="s">
        <v>49</v>
      </c>
      <c r="O2783" s="10">
        <f>'data on outstanding creditors'!$E2783*100/107</f>
        <v>16093.45794</v>
      </c>
      <c r="P2783" s="10">
        <f>'data on outstanding creditors'!$E2783-'data on outstanding creditors'!$O2783</f>
        <v>1126.542056</v>
      </c>
      <c r="Q2783" s="7">
        <f>DAY('data on outstanding creditors'!$B2783)</f>
        <v>15</v>
      </c>
      <c r="R2783" s="7">
        <f>MONTH('data on outstanding creditors'!$B2783)</f>
        <v>9</v>
      </c>
      <c r="S2783" s="7">
        <f>YEAR('data on outstanding creditors'!$B2783)</f>
        <v>2025</v>
      </c>
      <c r="T2783" s="11" t="str">
        <f>'data on outstanding creditors'!$C2783&amp;" "&amp;'data on outstanding creditors'!$D2783&amp;" "&amp;TEXT('data on outstanding creditors'!$E2783,"#,##0.00")</f>
        <v>ร้าน เบบี้โฮม 054/2681 17,220.00</v>
      </c>
      <c r="U2783" s="12"/>
    </row>
    <row r="2784" ht="13.5" customHeight="1">
      <c r="A2784" s="1" t="s">
        <v>4261</v>
      </c>
      <c r="B2784" s="2">
        <v>45916.0</v>
      </c>
      <c r="C2784" s="9" t="s">
        <v>4262</v>
      </c>
      <c r="D2784" s="1" t="s">
        <v>4263</v>
      </c>
      <c r="E2784" s="4">
        <v>38000.0</v>
      </c>
      <c r="F2784" s="4"/>
      <c r="G2784" s="4"/>
      <c r="H2784" s="4">
        <f>'data on outstanding creditors'!$E2784-'data on outstanding creditors'!$F2784-'data on outstanding creditors'!$G2784</f>
        <v>38000</v>
      </c>
      <c r="I2784" s="2"/>
      <c r="J2784" s="1" t="s">
        <v>757</v>
      </c>
      <c r="K2784" s="2">
        <v>45961.0</v>
      </c>
      <c r="L2784" s="5"/>
      <c r="M2784" s="9" t="s">
        <v>105</v>
      </c>
      <c r="N2784" s="9" t="s">
        <v>49</v>
      </c>
      <c r="O2784" s="10">
        <f>'data on outstanding creditors'!$E2784*100/107</f>
        <v>35514.01869</v>
      </c>
      <c r="P2784" s="10">
        <f>'data on outstanding creditors'!$E2784-'data on outstanding creditors'!$O2784</f>
        <v>2485.981308</v>
      </c>
      <c r="Q2784" s="7">
        <f>DAY('data on outstanding creditors'!$B2784)</f>
        <v>16</v>
      </c>
      <c r="R2784" s="7">
        <f>MONTH('data on outstanding creditors'!$B2784)</f>
        <v>9</v>
      </c>
      <c r="S2784" s="7">
        <f>YEAR('data on outstanding creditors'!$B2784)</f>
        <v>2025</v>
      </c>
      <c r="T2784" s="11" t="str">
        <f>'data on outstanding creditors'!$C2784&amp;" "&amp;'data on outstanding creditors'!$D2784&amp;" "&amp;TEXT('data on outstanding creditors'!$E2784,"#,##0.00")</f>
        <v>หจก.ธงชัย โอเอ เซลส์แอนด์เซอร์วิส IV8090272 38,000.00</v>
      </c>
      <c r="U2784" s="12"/>
    </row>
    <row r="2785" ht="13.5" customHeight="1">
      <c r="A2785" s="1" t="s">
        <v>4264</v>
      </c>
      <c r="B2785" s="2">
        <v>45917.0</v>
      </c>
      <c r="C2785" s="9" t="s">
        <v>4247</v>
      </c>
      <c r="D2785" s="1" t="s">
        <v>4265</v>
      </c>
      <c r="E2785" s="4">
        <v>101280.0</v>
      </c>
      <c r="F2785" s="4"/>
      <c r="G2785" s="4"/>
      <c r="H2785" s="4">
        <f>'data on outstanding creditors'!$E2785-'data on outstanding creditors'!$F2785-'data on outstanding creditors'!$G2785</f>
        <v>101280</v>
      </c>
      <c r="I2785" s="2"/>
      <c r="J2785" s="1" t="s">
        <v>757</v>
      </c>
      <c r="K2785" s="2">
        <v>45961.0</v>
      </c>
      <c r="L2785" s="5"/>
      <c r="M2785" s="9" t="s">
        <v>105</v>
      </c>
      <c r="N2785" s="9" t="s">
        <v>49</v>
      </c>
      <c r="O2785" s="10">
        <f>'data on outstanding creditors'!$E2785*100/107</f>
        <v>94654.20561</v>
      </c>
      <c r="P2785" s="10">
        <f>'data on outstanding creditors'!$E2785-'data on outstanding creditors'!$O2785</f>
        <v>6625.794393</v>
      </c>
      <c r="Q2785" s="7">
        <f>DAY('data on outstanding creditors'!$B2785)</f>
        <v>17</v>
      </c>
      <c r="R2785" s="7">
        <f>MONTH('data on outstanding creditors'!$B2785)</f>
        <v>9</v>
      </c>
      <c r="S2785" s="7">
        <f>YEAR('data on outstanding creditors'!$B2785)</f>
        <v>2025</v>
      </c>
      <c r="T2785" s="11" t="str">
        <f>'data on outstanding creditors'!$C2785&amp;" "&amp;'data on outstanding creditors'!$D2785&amp;" "&amp;TEXT('data on outstanding creditors'!$E2785,"#,##0.00")</f>
        <v>บ.ออฟฟิศเมท(ไทย) SI2509058990 101,280.00</v>
      </c>
      <c r="U2785" s="12"/>
    </row>
    <row r="2786" ht="13.5" customHeight="1">
      <c r="A2786" s="1" t="s">
        <v>4266</v>
      </c>
      <c r="B2786" s="2">
        <v>45919.0</v>
      </c>
      <c r="C2786" s="9" t="s">
        <v>1059</v>
      </c>
      <c r="D2786" s="1" t="s">
        <v>4267</v>
      </c>
      <c r="E2786" s="4">
        <v>48000.0</v>
      </c>
      <c r="F2786" s="4"/>
      <c r="G2786" s="4"/>
      <c r="H2786" s="4">
        <f>'data on outstanding creditors'!$E2786-'data on outstanding creditors'!$F2786-'data on outstanding creditors'!$G2786</f>
        <v>48000</v>
      </c>
      <c r="I2786" s="2"/>
      <c r="J2786" s="1"/>
      <c r="K2786" s="2"/>
      <c r="L2786" s="5"/>
      <c r="M2786" s="9" t="s">
        <v>105</v>
      </c>
      <c r="N2786" s="9" t="s">
        <v>49</v>
      </c>
      <c r="O2786" s="10">
        <f>'data on outstanding creditors'!$E2786*100/107</f>
        <v>44859.81308</v>
      </c>
      <c r="P2786" s="10">
        <f>'data on outstanding creditors'!$E2786-'data on outstanding creditors'!$O2786</f>
        <v>3140.186916</v>
      </c>
      <c r="Q2786" s="7">
        <f>DAY('data on outstanding creditors'!$B2786)</f>
        <v>19</v>
      </c>
      <c r="R2786" s="7">
        <f>MONTH('data on outstanding creditors'!$B2786)</f>
        <v>9</v>
      </c>
      <c r="S2786" s="7">
        <f>YEAR('data on outstanding creditors'!$B2786)</f>
        <v>2025</v>
      </c>
      <c r="T2786" s="11" t="str">
        <f>'data on outstanding creditors'!$C2786&amp;" "&amp;'data on outstanding creditors'!$D2786&amp;" "&amp;TEXT('data on outstanding creditors'!$E2786,"#,##0.00")</f>
        <v>หจก.ภาสิน 63714 48,000.00</v>
      </c>
      <c r="U2786" s="12"/>
    </row>
    <row r="2787" ht="13.5" customHeight="1">
      <c r="A2787" s="1"/>
      <c r="B2787" s="2">
        <v>45922.0</v>
      </c>
      <c r="C2787" s="9" t="s">
        <v>152</v>
      </c>
      <c r="D2787" s="1"/>
      <c r="E2787" s="4">
        <v>1400.0</v>
      </c>
      <c r="F2787" s="4"/>
      <c r="G2787" s="4"/>
      <c r="H2787" s="4">
        <f>'data on outstanding creditors'!$E2787-'data on outstanding creditors'!$F2787-'data on outstanding creditors'!$G2787</f>
        <v>1400</v>
      </c>
      <c r="I2787" s="2"/>
      <c r="J2787" s="1"/>
      <c r="K2787" s="2"/>
      <c r="L2787" s="5"/>
      <c r="M2787" s="9" t="s">
        <v>105</v>
      </c>
      <c r="N2787" s="9" t="s">
        <v>49</v>
      </c>
      <c r="O2787" s="10">
        <f>'data on outstanding creditors'!$E2787*100/107</f>
        <v>1308.411215</v>
      </c>
      <c r="P2787" s="10">
        <f>'data on outstanding creditors'!$E2787-'data on outstanding creditors'!$O2787</f>
        <v>91.58878505</v>
      </c>
      <c r="Q2787" s="7">
        <f>DAY('data on outstanding creditors'!$B2787)</f>
        <v>22</v>
      </c>
      <c r="R2787" s="7">
        <f>MONTH('data on outstanding creditors'!$B2787)</f>
        <v>9</v>
      </c>
      <c r="S2787" s="7">
        <f>YEAR('data on outstanding creditors'!$B2787)</f>
        <v>2025</v>
      </c>
      <c r="T2787" s="11" t="str">
        <f>'data on outstanding creditors'!$C2787&amp;" "&amp;'data on outstanding creditors'!$D2787&amp;" "&amp;TEXT('data on outstanding creditors'!$E2787,"#,##0.00")</f>
        <v>บ.มาเจริญ โฮม เฟอร์นิเจอร์  1,400.00</v>
      </c>
      <c r="U2787" s="12"/>
    </row>
    <row r="2788" ht="13.5" customHeight="1">
      <c r="A2788" s="1" t="s">
        <v>4268</v>
      </c>
      <c r="B2788" s="2">
        <v>45926.0</v>
      </c>
      <c r="C2788" s="9" t="s">
        <v>4269</v>
      </c>
      <c r="D2788" s="1" t="s">
        <v>4270</v>
      </c>
      <c r="E2788" s="4">
        <v>1400.0</v>
      </c>
      <c r="F2788" s="4"/>
      <c r="G2788" s="4"/>
      <c r="H2788" s="4">
        <f>'data on outstanding creditors'!$E2788-'data on outstanding creditors'!$F2788-'data on outstanding creditors'!$G2788</f>
        <v>1400</v>
      </c>
      <c r="I2788" s="2"/>
      <c r="J2788" s="1"/>
      <c r="K2788" s="2"/>
      <c r="L2788" s="5"/>
      <c r="M2788" s="9" t="s">
        <v>105</v>
      </c>
      <c r="N2788" s="9" t="s">
        <v>49</v>
      </c>
      <c r="O2788" s="10">
        <f>'data on outstanding creditors'!$E2788*100/107</f>
        <v>1308.411215</v>
      </c>
      <c r="P2788" s="10">
        <f>'data on outstanding creditors'!$E2788-'data on outstanding creditors'!$O2788</f>
        <v>91.58878505</v>
      </c>
      <c r="Q2788" s="7">
        <f>DAY('data on outstanding creditors'!$B2788)</f>
        <v>26</v>
      </c>
      <c r="R2788" s="7">
        <f>MONTH('data on outstanding creditors'!$B2788)</f>
        <v>9</v>
      </c>
      <c r="S2788" s="7">
        <f>YEAR('data on outstanding creditors'!$B2788)</f>
        <v>2025</v>
      </c>
      <c r="T2788" s="11" t="str">
        <f>'data on outstanding creditors'!$C2788&amp;" "&amp;'data on outstanding creditors'!$D2788&amp;" "&amp;TEXT('data on outstanding creditors'!$E2788,"#,##0.00")</f>
        <v>ร้าน นางรองป้ายอิงค์เจ็ท 13/06 1,400.00</v>
      </c>
      <c r="U2788" s="12"/>
    </row>
    <row r="2789" ht="13.5" customHeight="1">
      <c r="A2789" s="1" t="s">
        <v>4271</v>
      </c>
      <c r="B2789" s="2">
        <v>45929.0</v>
      </c>
      <c r="C2789" s="9" t="s">
        <v>2956</v>
      </c>
      <c r="D2789" s="1" t="s">
        <v>4272</v>
      </c>
      <c r="E2789" s="4">
        <v>2200.0</v>
      </c>
      <c r="F2789" s="4"/>
      <c r="G2789" s="4"/>
      <c r="H2789" s="4">
        <f>'data on outstanding creditors'!$E2789-'data on outstanding creditors'!$F2789-'data on outstanding creditors'!$G2789</f>
        <v>2200</v>
      </c>
      <c r="I2789" s="2"/>
      <c r="J2789" s="1" t="s">
        <v>757</v>
      </c>
      <c r="K2789" s="2">
        <v>45961.0</v>
      </c>
      <c r="L2789" s="5"/>
      <c r="M2789" s="9" t="s">
        <v>105</v>
      </c>
      <c r="N2789" s="9" t="s">
        <v>49</v>
      </c>
      <c r="O2789" s="10">
        <f>'data on outstanding creditors'!$E2789*100/107</f>
        <v>2056.074766</v>
      </c>
      <c r="P2789" s="10">
        <f>'data on outstanding creditors'!$E2789-'data on outstanding creditors'!$O2789</f>
        <v>143.9252336</v>
      </c>
      <c r="Q2789" s="7">
        <f>DAY('data on outstanding creditors'!$B2789)</f>
        <v>29</v>
      </c>
      <c r="R2789" s="7">
        <f>MONTH('data on outstanding creditors'!$B2789)</f>
        <v>9</v>
      </c>
      <c r="S2789" s="7">
        <f>YEAR('data on outstanding creditors'!$B2789)</f>
        <v>2025</v>
      </c>
      <c r="T2789" s="11" t="str">
        <f>'data on outstanding creditors'!$C2789&amp;" "&amp;'data on outstanding creditors'!$D2789&amp;" "&amp;TEXT('data on outstanding creditors'!$E2789,"#,##0.00")</f>
        <v>บ.แอม เบส พลัส AM6809/230 2,200.00</v>
      </c>
      <c r="U2789" s="12"/>
    </row>
    <row r="2790" ht="13.5" customHeight="1">
      <c r="A2790" s="2" t="s">
        <v>4273</v>
      </c>
      <c r="B2790" s="2">
        <v>45938.0</v>
      </c>
      <c r="C2790" s="9" t="s">
        <v>421</v>
      </c>
      <c r="D2790" s="1" t="s">
        <v>4274</v>
      </c>
      <c r="E2790" s="4">
        <v>321.0</v>
      </c>
      <c r="F2790" s="4"/>
      <c r="G2790" s="4"/>
      <c r="H2790" s="4">
        <f>'data on outstanding creditors'!$E2790-'data on outstanding creditors'!$F2790-'data on outstanding creditors'!$G2790</f>
        <v>321</v>
      </c>
      <c r="I2790" s="2"/>
      <c r="J2790" s="1"/>
      <c r="K2790" s="2"/>
      <c r="L2790" s="5"/>
      <c r="M2790" s="9" t="s">
        <v>105</v>
      </c>
      <c r="N2790" s="9" t="s">
        <v>49</v>
      </c>
      <c r="O2790" s="10">
        <f>'data on outstanding creditors'!$E2790*100/107</f>
        <v>300</v>
      </c>
      <c r="P2790" s="10">
        <f>'data on outstanding creditors'!$E2790-'data on outstanding creditors'!$O2790</f>
        <v>21</v>
      </c>
      <c r="Q2790" s="7">
        <f>DAY('data on outstanding creditors'!$B2790)</f>
        <v>8</v>
      </c>
      <c r="R2790" s="7">
        <f>MONTH('data on outstanding creditors'!$B2790)</f>
        <v>10</v>
      </c>
      <c r="S2790" s="7">
        <f>YEAR('data on outstanding creditors'!$B2790)</f>
        <v>2025</v>
      </c>
      <c r="T2790" s="11" t="str">
        <f>'data on outstanding creditors'!$C2790&amp;" "&amp;'data on outstanding creditors'!$D2790&amp;" "&amp;TEXT('data on outstanding creditors'!$E2790,"#,##0.00")</f>
        <v>บ.นางรองเคหะภัณฑ์ IV681008-023 321.00</v>
      </c>
      <c r="U2790" s="12"/>
    </row>
    <row r="2791" ht="13.5" customHeight="1">
      <c r="A2791" s="1" t="s">
        <v>4275</v>
      </c>
      <c r="B2791" s="2">
        <v>45950.0</v>
      </c>
      <c r="C2791" s="9" t="s">
        <v>1101</v>
      </c>
      <c r="D2791" s="1" t="s">
        <v>4276</v>
      </c>
      <c r="E2791" s="4">
        <v>6300.0</v>
      </c>
      <c r="F2791" s="4"/>
      <c r="G2791" s="4"/>
      <c r="H2791" s="4">
        <f>'data on outstanding creditors'!$E2791-'data on outstanding creditors'!$F2791-'data on outstanding creditors'!$G2791</f>
        <v>6300</v>
      </c>
      <c r="I2791" s="2"/>
      <c r="J2791" s="1"/>
      <c r="K2791" s="2"/>
      <c r="L2791" s="5"/>
      <c r="M2791" s="9" t="s">
        <v>105</v>
      </c>
      <c r="N2791" s="9" t="s">
        <v>49</v>
      </c>
      <c r="O2791" s="10">
        <f>'data on outstanding creditors'!$E2791*100/107</f>
        <v>5887.850467</v>
      </c>
      <c r="P2791" s="10">
        <f>'data on outstanding creditors'!$E2791-'data on outstanding creditors'!$O2791</f>
        <v>412.1495327</v>
      </c>
      <c r="Q2791" s="7">
        <f>DAY('data on outstanding creditors'!$B2791)</f>
        <v>20</v>
      </c>
      <c r="R2791" s="7">
        <f>MONTH('data on outstanding creditors'!$B2791)</f>
        <v>10</v>
      </c>
      <c r="S2791" s="7">
        <f>YEAR('data on outstanding creditors'!$B2791)</f>
        <v>2025</v>
      </c>
      <c r="T2791" s="11" t="str">
        <f>'data on outstanding creditors'!$C2791&amp;" "&amp;'data on outstanding creditors'!$D2791&amp;" "&amp;TEXT('data on outstanding creditors'!$E2791,"#,##0.00")</f>
        <v>ร้าน ชัยพัฒนา โดย นายทรงชัย ธีระศักดิ์วิชยา 075/3726 6,300.00</v>
      </c>
      <c r="U2791" s="12"/>
    </row>
    <row r="2792" ht="13.5" customHeight="1">
      <c r="A2792" s="1" t="s">
        <v>4277</v>
      </c>
      <c r="B2792" s="2">
        <v>45950.0</v>
      </c>
      <c r="C2792" s="9" t="s">
        <v>4278</v>
      </c>
      <c r="D2792" s="1" t="s">
        <v>4279</v>
      </c>
      <c r="E2792" s="4">
        <v>21165.0</v>
      </c>
      <c r="F2792" s="4"/>
      <c r="G2792" s="4"/>
      <c r="H2792" s="4">
        <f>'data on outstanding creditors'!$E2792-'data on outstanding creditors'!$F2792-'data on outstanding creditors'!$G2792</f>
        <v>21165</v>
      </c>
      <c r="I2792" s="2"/>
      <c r="J2792" s="1"/>
      <c r="K2792" s="2"/>
      <c r="L2792" s="5"/>
      <c r="M2792" s="9" t="s">
        <v>105</v>
      </c>
      <c r="N2792" s="9" t="s">
        <v>49</v>
      </c>
      <c r="O2792" s="10">
        <f>'data on outstanding creditors'!$E2792*100/107</f>
        <v>19780.37383</v>
      </c>
      <c r="P2792" s="10">
        <f>'data on outstanding creditors'!$E2792-'data on outstanding creditors'!$O2792</f>
        <v>1384.626168</v>
      </c>
      <c r="Q2792" s="7">
        <f>DAY('data on outstanding creditors'!$B2792)</f>
        <v>20</v>
      </c>
      <c r="R2792" s="7">
        <f>MONTH('data on outstanding creditors'!$B2792)</f>
        <v>10</v>
      </c>
      <c r="S2792" s="7">
        <f>YEAR('data on outstanding creditors'!$B2792)</f>
        <v>2025</v>
      </c>
      <c r="T2792" s="11" t="str">
        <f>'data on outstanding creditors'!$C2792&amp;" "&amp;'data on outstanding creditors'!$D2792&amp;" "&amp;TEXT('data on outstanding creditors'!$E2792,"#,##0.00")</f>
        <v>ร้าน พอเพียง 3/67/07-08 21,165.00</v>
      </c>
      <c r="U2792" s="12"/>
    </row>
    <row r="2793" ht="13.5" customHeight="1">
      <c r="A2793" s="1" t="s">
        <v>4280</v>
      </c>
      <c r="B2793" s="2">
        <v>45960.0</v>
      </c>
      <c r="C2793" s="9" t="s">
        <v>1059</v>
      </c>
      <c r="D2793" s="1" t="s">
        <v>4281</v>
      </c>
      <c r="E2793" s="4">
        <v>6800.0</v>
      </c>
      <c r="F2793" s="4"/>
      <c r="G2793" s="4"/>
      <c r="H2793" s="4">
        <f>'data on outstanding creditors'!$E2793-'data on outstanding creditors'!$F2793-'data on outstanding creditors'!$G2793</f>
        <v>6800</v>
      </c>
      <c r="I2793" s="2"/>
      <c r="J2793" s="1"/>
      <c r="K2793" s="2"/>
      <c r="L2793" s="5"/>
      <c r="M2793" s="9" t="s">
        <v>105</v>
      </c>
      <c r="N2793" s="9" t="s">
        <v>49</v>
      </c>
      <c r="O2793" s="10">
        <f>'data on outstanding creditors'!$E2793*100/107</f>
        <v>6355.140187</v>
      </c>
      <c r="P2793" s="10">
        <f>'data on outstanding creditors'!$E2793-'data on outstanding creditors'!$O2793</f>
        <v>444.8598131</v>
      </c>
      <c r="Q2793" s="7">
        <f>DAY('data on outstanding creditors'!$B2793)</f>
        <v>30</v>
      </c>
      <c r="R2793" s="7">
        <f>MONTH('data on outstanding creditors'!$B2793)</f>
        <v>10</v>
      </c>
      <c r="S2793" s="7">
        <f>YEAR('data on outstanding creditors'!$B2793)</f>
        <v>2025</v>
      </c>
      <c r="T2793" s="11" t="str">
        <f>'data on outstanding creditors'!$C2793&amp;" "&amp;'data on outstanding creditors'!$D2793&amp;" "&amp;TEXT('data on outstanding creditors'!$E2793,"#,##0.00")</f>
        <v>หจก.ภาสิน 63859 6,800.00</v>
      </c>
      <c r="U2793" s="12"/>
    </row>
    <row r="2794" ht="13.5" customHeight="1">
      <c r="A2794" s="1" t="s">
        <v>4282</v>
      </c>
      <c r="B2794" s="2">
        <v>45960.0</v>
      </c>
      <c r="C2794" s="9" t="s">
        <v>92</v>
      </c>
      <c r="D2794" s="1" t="s">
        <v>4283</v>
      </c>
      <c r="E2794" s="4">
        <v>5500.0</v>
      </c>
      <c r="F2794" s="4"/>
      <c r="G2794" s="4"/>
      <c r="H2794" s="4">
        <f>'data on outstanding creditors'!$E2794-'data on outstanding creditors'!$F2794-'data on outstanding creditors'!$G2794</f>
        <v>5500</v>
      </c>
      <c r="I2794" s="2"/>
      <c r="J2794" s="1"/>
      <c r="K2794" s="2"/>
      <c r="L2794" s="5"/>
      <c r="M2794" s="9" t="s">
        <v>105</v>
      </c>
      <c r="N2794" s="9" t="s">
        <v>49</v>
      </c>
      <c r="O2794" s="10">
        <f>'data on outstanding creditors'!$E2794*100/107</f>
        <v>5140.186916</v>
      </c>
      <c r="P2794" s="10">
        <f>'data on outstanding creditors'!$E2794-'data on outstanding creditors'!$O2794</f>
        <v>359.8130841</v>
      </c>
      <c r="Q2794" s="7">
        <f>DAY('data on outstanding creditors'!$B2794)</f>
        <v>30</v>
      </c>
      <c r="R2794" s="7">
        <f>MONTH('data on outstanding creditors'!$B2794)</f>
        <v>10</v>
      </c>
      <c r="S2794" s="7">
        <f>YEAR('data on outstanding creditors'!$B2794)</f>
        <v>2025</v>
      </c>
      <c r="T2794" s="11" t="str">
        <f>'data on outstanding creditors'!$C2794&amp;" "&amp;'data on outstanding creditors'!$D2794&amp;" "&amp;TEXT('data on outstanding creditors'!$E2794,"#,##0.00")</f>
        <v>หจก.นางรองคอมพิวเตอร์ เซ็นเตอร์ IV2510-067628 5,500.00</v>
      </c>
      <c r="U2794" s="12"/>
    </row>
    <row r="2795" ht="13.5" customHeight="1">
      <c r="A2795" s="1" t="s">
        <v>4284</v>
      </c>
      <c r="B2795" s="2">
        <v>45961.0</v>
      </c>
      <c r="C2795" s="9" t="s">
        <v>4285</v>
      </c>
      <c r="D2795" s="1" t="s">
        <v>4286</v>
      </c>
      <c r="E2795" s="4">
        <v>11200.0</v>
      </c>
      <c r="F2795" s="4"/>
      <c r="G2795" s="4"/>
      <c r="H2795" s="4">
        <f>'data on outstanding creditors'!$E2795-'data on outstanding creditors'!$F2795-'data on outstanding creditors'!$G2795</f>
        <v>11200</v>
      </c>
      <c r="I2795" s="2"/>
      <c r="J2795" s="1"/>
      <c r="K2795" s="2"/>
      <c r="L2795" s="5"/>
      <c r="M2795" s="9" t="s">
        <v>105</v>
      </c>
      <c r="N2795" s="9" t="s">
        <v>49</v>
      </c>
      <c r="O2795" s="10">
        <f>'data on outstanding creditors'!$E2795*100/107</f>
        <v>10467.28972</v>
      </c>
      <c r="P2795" s="10">
        <f>'data on outstanding creditors'!$E2795-'data on outstanding creditors'!$O2795</f>
        <v>732.7102804</v>
      </c>
      <c r="Q2795" s="7">
        <f>DAY('data on outstanding creditors'!$B2795)</f>
        <v>31</v>
      </c>
      <c r="R2795" s="7">
        <f>MONTH('data on outstanding creditors'!$B2795)</f>
        <v>10</v>
      </c>
      <c r="S2795" s="7">
        <f>YEAR('data on outstanding creditors'!$B2795)</f>
        <v>2025</v>
      </c>
      <c r="T2795" s="11" t="str">
        <f>'data on outstanding creditors'!$C2795&amp;" "&amp;'data on outstanding creditors'!$D2795&amp;" "&amp;TEXT('data on outstanding creditors'!$E2795,"#,##0.00")</f>
        <v>ร้าน อาร์ตซ็อป โดย นายเอกวัฒน์ หัดกล้า INV202510280001 11,200.00</v>
      </c>
      <c r="U2795" s="12"/>
    </row>
    <row r="2796" ht="13.5" customHeight="1">
      <c r="A2796" s="1"/>
      <c r="B2796" s="2">
        <v>45709.0</v>
      </c>
      <c r="C2796" s="9" t="s">
        <v>1320</v>
      </c>
      <c r="D2796" s="1" t="s">
        <v>4287</v>
      </c>
      <c r="E2796" s="4">
        <v>3338.4</v>
      </c>
      <c r="F2796" s="4"/>
      <c r="G2796" s="4"/>
      <c r="H2796" s="4">
        <f>'data on outstanding creditors'!$E2796-'data on outstanding creditors'!$F2796-'data on outstanding creditors'!$G2796</f>
        <v>3338.4</v>
      </c>
      <c r="I2796" s="2"/>
      <c r="J2796" s="1" t="s">
        <v>646</v>
      </c>
      <c r="K2796" s="2">
        <v>45866.0</v>
      </c>
      <c r="L2796" s="5"/>
      <c r="M2796" s="9" t="s">
        <v>117</v>
      </c>
      <c r="N2796" s="9" t="s">
        <v>23</v>
      </c>
      <c r="O2796" s="10">
        <f>'data on outstanding creditors'!$E2796*100/107</f>
        <v>3120</v>
      </c>
      <c r="P2796" s="10">
        <f>'data on outstanding creditors'!$E2796-'data on outstanding creditors'!$O2796</f>
        <v>218.4</v>
      </c>
      <c r="Q2796" s="7">
        <f>DAY('data on outstanding creditors'!$B2796)</f>
        <v>21</v>
      </c>
      <c r="R2796" s="7">
        <f>MONTH('data on outstanding creditors'!$B2796)</f>
        <v>2</v>
      </c>
      <c r="S2796" s="7">
        <f>YEAR('data on outstanding creditors'!$B2796)</f>
        <v>2025</v>
      </c>
      <c r="T2796" s="11" t="str">
        <f>'data on outstanding creditors'!$C2796&amp;" "&amp;'data on outstanding creditors'!$D2796&amp;" "&amp;TEXT('data on outstanding creditors'!$E2796,"#,##0.00")</f>
        <v>บ.บี.เอ็ล.ฮั้ว 68006706 3,338.40</v>
      </c>
      <c r="U2796" s="12"/>
    </row>
    <row r="2797" ht="13.5" customHeight="1">
      <c r="A2797" s="1" t="s">
        <v>4288</v>
      </c>
      <c r="B2797" s="2">
        <v>45731.0</v>
      </c>
      <c r="C2797" s="9" t="s">
        <v>706</v>
      </c>
      <c r="D2797" s="1" t="s">
        <v>4289</v>
      </c>
      <c r="E2797" s="4">
        <v>10129.0</v>
      </c>
      <c r="F2797" s="4"/>
      <c r="G2797" s="4"/>
      <c r="H2797" s="4">
        <f>'data on outstanding creditors'!$E2797-'data on outstanding creditors'!$F2797-'data on outstanding creditors'!$G2797</f>
        <v>10129</v>
      </c>
      <c r="I2797" s="2"/>
      <c r="J2797" s="1"/>
      <c r="K2797" s="2"/>
      <c r="L2797" s="5"/>
      <c r="M2797" s="9" t="s">
        <v>117</v>
      </c>
      <c r="N2797" s="9" t="s">
        <v>49</v>
      </c>
      <c r="O2797" s="10">
        <f>'data on outstanding creditors'!$E2797*100/107</f>
        <v>9466.35514</v>
      </c>
      <c r="P2797" s="10">
        <f>'data on outstanding creditors'!$E2797-'data on outstanding creditors'!$O2797</f>
        <v>662.6448598</v>
      </c>
      <c r="Q2797" s="7">
        <f>DAY('data on outstanding creditors'!$B2797)</f>
        <v>15</v>
      </c>
      <c r="R2797" s="7">
        <f>MONTH('data on outstanding creditors'!$B2797)</f>
        <v>3</v>
      </c>
      <c r="S2797" s="7">
        <f>YEAR('data on outstanding creditors'!$B2797)</f>
        <v>2025</v>
      </c>
      <c r="T2797" s="11" t="str">
        <f>'data on outstanding creditors'!$C2797&amp;" "&amp;'data on outstanding creditors'!$D2797&amp;" "&amp;TEXT('data on outstanding creditors'!$E2797,"#,##0.00")</f>
        <v>บ.ซีพี แอ็กซ์ตร้า 0320659595011503 10,129.00</v>
      </c>
      <c r="U2797" s="12"/>
    </row>
    <row r="2798" ht="13.5" customHeight="1">
      <c r="A2798" s="1" t="s">
        <v>4290</v>
      </c>
      <c r="B2798" s="2">
        <v>45747.0</v>
      </c>
      <c r="C2798" s="9" t="s">
        <v>706</v>
      </c>
      <c r="D2798" s="1" t="s">
        <v>4291</v>
      </c>
      <c r="E2798" s="4">
        <v>9577.0</v>
      </c>
      <c r="F2798" s="4"/>
      <c r="G2798" s="4"/>
      <c r="H2798" s="4">
        <f>'data on outstanding creditors'!$E2798-'data on outstanding creditors'!$F2798-'data on outstanding creditors'!$G2798</f>
        <v>9577</v>
      </c>
      <c r="I2798" s="2"/>
      <c r="J2798" s="1"/>
      <c r="K2798" s="2"/>
      <c r="L2798" s="5"/>
      <c r="M2798" s="9" t="s">
        <v>117</v>
      </c>
      <c r="N2798" s="9" t="s">
        <v>49</v>
      </c>
      <c r="O2798" s="10">
        <f>'data on outstanding creditors'!$E2798*100/107</f>
        <v>8950.46729</v>
      </c>
      <c r="P2798" s="10">
        <f>'data on outstanding creditors'!$E2798-'data on outstanding creditors'!$O2798</f>
        <v>626.5327103</v>
      </c>
      <c r="Q2798" s="7">
        <f>DAY('data on outstanding creditors'!$B2798)</f>
        <v>31</v>
      </c>
      <c r="R2798" s="7">
        <f>MONTH('data on outstanding creditors'!$B2798)</f>
        <v>3</v>
      </c>
      <c r="S2798" s="7">
        <f>YEAR('data on outstanding creditors'!$B2798)</f>
        <v>2025</v>
      </c>
      <c r="T2798" s="11" t="str">
        <f>'data on outstanding creditors'!$C2798&amp;" "&amp;'data on outstanding creditors'!$D2798&amp;" "&amp;TEXT('data on outstanding creditors'!$E2798,"#,##0.00")</f>
        <v>บ.ซีพี แอ็กซ์ตร้า 0320659595013103 9,577.00</v>
      </c>
      <c r="U2798" s="12"/>
    </row>
    <row r="2799" ht="13.5" customHeight="1">
      <c r="A2799" s="1" t="s">
        <v>4292</v>
      </c>
      <c r="B2799" s="2">
        <v>45861.0</v>
      </c>
      <c r="C2799" s="9" t="s">
        <v>115</v>
      </c>
      <c r="D2799" s="1" t="s">
        <v>4293</v>
      </c>
      <c r="E2799" s="4">
        <v>54700.0</v>
      </c>
      <c r="F2799" s="4"/>
      <c r="G2799" s="4"/>
      <c r="H2799" s="4">
        <f>'data on outstanding creditors'!$E2799-'data on outstanding creditors'!$F2799-'data on outstanding creditors'!$G2799</f>
        <v>54700</v>
      </c>
      <c r="I2799" s="2"/>
      <c r="J2799" s="1" t="s">
        <v>646</v>
      </c>
      <c r="K2799" s="2">
        <v>45960.0</v>
      </c>
      <c r="L2799" s="5"/>
      <c r="M2799" s="9" t="s">
        <v>117</v>
      </c>
      <c r="N2799" s="9" t="s">
        <v>49</v>
      </c>
      <c r="O2799" s="10">
        <f>'data on outstanding creditors'!$E2799*100/107</f>
        <v>51121.49533</v>
      </c>
      <c r="P2799" s="10">
        <f>'data on outstanding creditors'!$E2799-'data on outstanding creditors'!$O2799</f>
        <v>3578.504673</v>
      </c>
      <c r="Q2799" s="7">
        <f>DAY('data on outstanding creditors'!$B2799)</f>
        <v>23</v>
      </c>
      <c r="R2799" s="7">
        <f>MONTH('data on outstanding creditors'!$B2799)</f>
        <v>7</v>
      </c>
      <c r="S2799" s="7">
        <f>YEAR('data on outstanding creditors'!$B2799)</f>
        <v>2025</v>
      </c>
      <c r="T2799" s="11" t="str">
        <f>'data on outstanding creditors'!$C2799&amp;" "&amp;'data on outstanding creditors'!$D2799&amp;" "&amp;TEXT('data on outstanding creditors'!$E2799,"#,##0.00")</f>
        <v>สหกรการเกษตรเพื่อการตลาดลูกค้า 436/1 54,700.00</v>
      </c>
      <c r="U2799" s="12"/>
    </row>
    <row r="2800" ht="13.5" customHeight="1">
      <c r="A2800" s="1" t="s">
        <v>4294</v>
      </c>
      <c r="B2800" s="2">
        <v>45873.0</v>
      </c>
      <c r="C2800" s="9" t="s">
        <v>706</v>
      </c>
      <c r="D2800" s="1" t="s">
        <v>4295</v>
      </c>
      <c r="E2800" s="4">
        <v>3471.06</v>
      </c>
      <c r="F2800" s="4"/>
      <c r="G2800" s="4"/>
      <c r="H2800" s="4">
        <f>'data on outstanding creditors'!$E2800-'data on outstanding creditors'!$F2800-'data on outstanding creditors'!$G2800</f>
        <v>3471.06</v>
      </c>
      <c r="I2800" s="2"/>
      <c r="J2800" s="1" t="s">
        <v>646</v>
      </c>
      <c r="K2800" s="2">
        <v>45960.0</v>
      </c>
      <c r="L2800" s="5"/>
      <c r="M2800" s="9" t="s">
        <v>117</v>
      </c>
      <c r="N2800" s="9" t="s">
        <v>49</v>
      </c>
      <c r="O2800" s="10">
        <f>'data on outstanding creditors'!$E2800*100/107</f>
        <v>3243.981308</v>
      </c>
      <c r="P2800" s="10">
        <f>'data on outstanding creditors'!$E2800-'data on outstanding creditors'!$O2800</f>
        <v>227.0786916</v>
      </c>
      <c r="Q2800" s="7">
        <f>DAY('data on outstanding creditors'!$B2800)</f>
        <v>4</v>
      </c>
      <c r="R2800" s="7">
        <f>MONTH('data on outstanding creditors'!$B2800)</f>
        <v>8</v>
      </c>
      <c r="S2800" s="7">
        <f>YEAR('data on outstanding creditors'!$B2800)</f>
        <v>2025</v>
      </c>
      <c r="T2800" s="11" t="str">
        <f>'data on outstanding creditors'!$C2800&amp;" "&amp;'data on outstanding creditors'!$D2800&amp;" "&amp;TEXT('data on outstanding creditors'!$E2800,"#,##0.00")</f>
        <v>บ.ซีพี แอ็กซ์ตร้า 032871001837 3,471.06</v>
      </c>
      <c r="U2800" s="12"/>
    </row>
    <row r="2801" ht="13.5" customHeight="1">
      <c r="A2801" s="1" t="s">
        <v>4296</v>
      </c>
      <c r="B2801" s="2">
        <v>45894.0</v>
      </c>
      <c r="C2801" s="9" t="s">
        <v>115</v>
      </c>
      <c r="D2801" s="1" t="s">
        <v>4297</v>
      </c>
      <c r="E2801" s="4">
        <v>52000.0</v>
      </c>
      <c r="F2801" s="4"/>
      <c r="G2801" s="4"/>
      <c r="H2801" s="4">
        <f>'data on outstanding creditors'!$E2801-'data on outstanding creditors'!$F2801-'data on outstanding creditors'!$G2801</f>
        <v>52000</v>
      </c>
      <c r="I2801" s="2"/>
      <c r="J2801" s="1"/>
      <c r="K2801" s="2"/>
      <c r="L2801" s="5"/>
      <c r="M2801" s="9" t="s">
        <v>117</v>
      </c>
      <c r="N2801" s="9" t="s">
        <v>49</v>
      </c>
      <c r="O2801" s="10">
        <f>'data on outstanding creditors'!$E2801*100/107</f>
        <v>48598.13084</v>
      </c>
      <c r="P2801" s="10">
        <f>'data on outstanding creditors'!$E2801-'data on outstanding creditors'!$O2801</f>
        <v>3401.869159</v>
      </c>
      <c r="Q2801" s="7">
        <f>DAY('data on outstanding creditors'!$B2801)</f>
        <v>25</v>
      </c>
      <c r="R2801" s="7">
        <f>MONTH('data on outstanding creditors'!$B2801)</f>
        <v>8</v>
      </c>
      <c r="S2801" s="7">
        <f>YEAR('data on outstanding creditors'!$B2801)</f>
        <v>2025</v>
      </c>
      <c r="T2801" s="11" t="str">
        <f>'data on outstanding creditors'!$C2801&amp;" "&amp;'data on outstanding creditors'!$D2801&amp;" "&amp;TEXT('data on outstanding creditors'!$E2801,"#,##0.00")</f>
        <v>สหกรการเกษตรเพื่อการตลาดลูกค้า 459/41 52,000.00</v>
      </c>
      <c r="U2801" s="12"/>
    </row>
    <row r="2802" ht="13.5" customHeight="1">
      <c r="A2802" s="1" t="s">
        <v>4298</v>
      </c>
      <c r="B2802" s="2">
        <v>45896.0</v>
      </c>
      <c r="C2802" s="9" t="s">
        <v>520</v>
      </c>
      <c r="D2802" s="1" t="s">
        <v>4299</v>
      </c>
      <c r="E2802" s="4">
        <v>3595.2</v>
      </c>
      <c r="F2802" s="4"/>
      <c r="G2802" s="4"/>
      <c r="H2802" s="4">
        <f>'data on outstanding creditors'!$E2802-'data on outstanding creditors'!$F2802-'data on outstanding creditors'!$G2802</f>
        <v>3595.2</v>
      </c>
      <c r="I2802" s="2"/>
      <c r="J2802" s="1" t="s">
        <v>757</v>
      </c>
      <c r="K2802" s="2">
        <v>45959.0</v>
      </c>
      <c r="L2802" s="5"/>
      <c r="M2802" s="9" t="s">
        <v>117</v>
      </c>
      <c r="N2802" s="9" t="s">
        <v>49</v>
      </c>
      <c r="O2802" s="10">
        <f>'data on outstanding creditors'!$E2802*100/107</f>
        <v>3360</v>
      </c>
      <c r="P2802" s="10">
        <f>'data on outstanding creditors'!$E2802-'data on outstanding creditors'!$O2802</f>
        <v>235.2</v>
      </c>
      <c r="Q2802" s="7">
        <f>DAY('data on outstanding creditors'!$B2802)</f>
        <v>27</v>
      </c>
      <c r="R2802" s="7">
        <f>MONTH('data on outstanding creditors'!$B2802)</f>
        <v>8</v>
      </c>
      <c r="S2802" s="7">
        <f>YEAR('data on outstanding creditors'!$B2802)</f>
        <v>2025</v>
      </c>
      <c r="T2802" s="11" t="str">
        <f>'data on outstanding creditors'!$C2802&amp;" "&amp;'data on outstanding creditors'!$D2802&amp;" "&amp;TEXT('data on outstanding creditors'!$E2802,"#,##0.00")</f>
        <v>บ.ซิลลิคฟาร์มา 1317985479 3,595.20</v>
      </c>
      <c r="U2802" s="12"/>
    </row>
    <row r="2803" ht="13.5" customHeight="1">
      <c r="A2803" s="1" t="s">
        <v>4300</v>
      </c>
      <c r="B2803" s="2">
        <v>45896.0</v>
      </c>
      <c r="C2803" s="9" t="s">
        <v>706</v>
      </c>
      <c r="D2803" s="1" t="s">
        <v>4301</v>
      </c>
      <c r="E2803" s="4">
        <v>1157.7</v>
      </c>
      <c r="F2803" s="4"/>
      <c r="G2803" s="4"/>
      <c r="H2803" s="4">
        <f>'data on outstanding creditors'!$E2803-'data on outstanding creditors'!$F2803-'data on outstanding creditors'!$G2803</f>
        <v>1157.7</v>
      </c>
      <c r="I2803" s="2"/>
      <c r="J2803" s="1" t="s">
        <v>646</v>
      </c>
      <c r="K2803" s="2">
        <v>45960.0</v>
      </c>
      <c r="L2803" s="5"/>
      <c r="M2803" s="9" t="s">
        <v>117</v>
      </c>
      <c r="N2803" s="9" t="s">
        <v>49</v>
      </c>
      <c r="O2803" s="10">
        <f>'data on outstanding creditors'!$E2803*100/107</f>
        <v>1081.962617</v>
      </c>
      <c r="P2803" s="10">
        <f>'data on outstanding creditors'!$E2803-'data on outstanding creditors'!$O2803</f>
        <v>75.73738318</v>
      </c>
      <c r="Q2803" s="7">
        <f>DAY('data on outstanding creditors'!$B2803)</f>
        <v>27</v>
      </c>
      <c r="R2803" s="7">
        <f>MONTH('data on outstanding creditors'!$B2803)</f>
        <v>8</v>
      </c>
      <c r="S2803" s="7">
        <f>YEAR('data on outstanding creditors'!$B2803)</f>
        <v>2025</v>
      </c>
      <c r="T2803" s="11" t="str">
        <f>'data on outstanding creditors'!$C2803&amp;" "&amp;'data on outstanding creditors'!$D2803&amp;" "&amp;TEXT('data on outstanding creditors'!$E2803,"#,##0.00")</f>
        <v>บ.ซีพี แอ็กซ์ตร้า 032871001970 1,157.70</v>
      </c>
      <c r="U2803" s="12"/>
    </row>
    <row r="2804" ht="13.5" customHeight="1">
      <c r="A2804" s="1" t="s">
        <v>4302</v>
      </c>
      <c r="B2804" s="2">
        <v>45896.0</v>
      </c>
      <c r="C2804" s="9" t="s">
        <v>4303</v>
      </c>
      <c r="D2804" s="1" t="s">
        <v>4304</v>
      </c>
      <c r="E2804" s="4">
        <v>23250.0</v>
      </c>
      <c r="F2804" s="4"/>
      <c r="G2804" s="4"/>
      <c r="H2804" s="4">
        <f>'data on outstanding creditors'!$E2804-'data on outstanding creditors'!$F2804-'data on outstanding creditors'!$G2804</f>
        <v>23250</v>
      </c>
      <c r="I2804" s="2"/>
      <c r="J2804" s="1"/>
      <c r="K2804" s="2"/>
      <c r="L2804" s="5"/>
      <c r="M2804" s="9" t="s">
        <v>117</v>
      </c>
      <c r="N2804" s="9" t="s">
        <v>49</v>
      </c>
      <c r="O2804" s="10">
        <f>'data on outstanding creditors'!$E2804*100/107</f>
        <v>21728.97196</v>
      </c>
      <c r="P2804" s="10">
        <f>'data on outstanding creditors'!$E2804-'data on outstanding creditors'!$O2804</f>
        <v>1521.028037</v>
      </c>
      <c r="Q2804" s="7">
        <f>DAY('data on outstanding creditors'!$B2804)</f>
        <v>27</v>
      </c>
      <c r="R2804" s="7">
        <f>MONTH('data on outstanding creditors'!$B2804)</f>
        <v>8</v>
      </c>
      <c r="S2804" s="7">
        <f>YEAR('data on outstanding creditors'!$B2804)</f>
        <v>2025</v>
      </c>
      <c r="T2804" s="11" t="str">
        <f>'data on outstanding creditors'!$C2804&amp;" "&amp;'data on outstanding creditors'!$D2804&amp;" "&amp;TEXT('data on outstanding creditors'!$E2804,"#,##0.00")</f>
        <v>บ.อินแพคฟาร์มา IV68079105 23,250.00</v>
      </c>
      <c r="U2804" s="12"/>
    </row>
    <row r="2805" ht="13.5" customHeight="1">
      <c r="A2805" s="1" t="s">
        <v>4305</v>
      </c>
      <c r="B2805" s="2">
        <v>45905.0</v>
      </c>
      <c r="C2805" s="9" t="s">
        <v>706</v>
      </c>
      <c r="D2805" s="1" t="s">
        <v>4306</v>
      </c>
      <c r="E2805" s="4">
        <v>7650.0</v>
      </c>
      <c r="F2805" s="4"/>
      <c r="G2805" s="4"/>
      <c r="H2805" s="4">
        <f>'data on outstanding creditors'!$E2805-'data on outstanding creditors'!$F2805-'data on outstanding creditors'!$G2805</f>
        <v>7650</v>
      </c>
      <c r="I2805" s="2"/>
      <c r="J2805" s="1"/>
      <c r="K2805" s="2"/>
      <c r="L2805" s="5"/>
      <c r="M2805" s="9" t="s">
        <v>117</v>
      </c>
      <c r="N2805" s="9" t="s">
        <v>49</v>
      </c>
      <c r="O2805" s="10">
        <f>'data on outstanding creditors'!$E2805*100/107</f>
        <v>7149.53271</v>
      </c>
      <c r="P2805" s="10">
        <f>'data on outstanding creditors'!$E2805-'data on outstanding creditors'!$O2805</f>
        <v>500.4672897</v>
      </c>
      <c r="Q2805" s="7">
        <f>DAY('data on outstanding creditors'!$B2805)</f>
        <v>5</v>
      </c>
      <c r="R2805" s="7">
        <f>MONTH('data on outstanding creditors'!$B2805)</f>
        <v>9</v>
      </c>
      <c r="S2805" s="7">
        <f>YEAR('data on outstanding creditors'!$B2805)</f>
        <v>2025</v>
      </c>
      <c r="T2805" s="11" t="str">
        <f>'data on outstanding creditors'!$C2805&amp;" "&amp;'data on outstanding creditors'!$D2805&amp;" "&amp;TEXT('data on outstanding creditors'!$E2805,"#,##0.00")</f>
        <v>บ.ซีพี แอ็กซ์ตร้า 032871002035 7,650.00</v>
      </c>
      <c r="U2805" s="12"/>
    </row>
    <row r="2806" ht="13.5" customHeight="1">
      <c r="A2806" s="1" t="s">
        <v>4307</v>
      </c>
      <c r="B2806" s="2">
        <v>45910.0</v>
      </c>
      <c r="C2806" s="9" t="s">
        <v>520</v>
      </c>
      <c r="D2806" s="1" t="s">
        <v>4308</v>
      </c>
      <c r="E2806" s="4">
        <v>59706.0</v>
      </c>
      <c r="F2806" s="4"/>
      <c r="G2806" s="4"/>
      <c r="H2806" s="4">
        <f>'data on outstanding creditors'!$E2806-'data on outstanding creditors'!$F2806-'data on outstanding creditors'!$G2806</f>
        <v>59706</v>
      </c>
      <c r="I2806" s="2"/>
      <c r="J2806" s="1"/>
      <c r="K2806" s="2"/>
      <c r="L2806" s="5"/>
      <c r="M2806" s="9" t="s">
        <v>117</v>
      </c>
      <c r="N2806" s="9" t="s">
        <v>49</v>
      </c>
      <c r="O2806" s="10">
        <f>'data on outstanding creditors'!$E2806*100/107</f>
        <v>55800</v>
      </c>
      <c r="P2806" s="10">
        <f>'data on outstanding creditors'!$E2806-'data on outstanding creditors'!$O2806</f>
        <v>3906</v>
      </c>
      <c r="Q2806" s="7">
        <f>DAY('data on outstanding creditors'!$B2806)</f>
        <v>10</v>
      </c>
      <c r="R2806" s="7">
        <f>MONTH('data on outstanding creditors'!$B2806)</f>
        <v>9</v>
      </c>
      <c r="S2806" s="7">
        <f>YEAR('data on outstanding creditors'!$B2806)</f>
        <v>2025</v>
      </c>
      <c r="T2806" s="11" t="str">
        <f>'data on outstanding creditors'!$C2806&amp;" "&amp;'data on outstanding creditors'!$D2806&amp;" "&amp;TEXT('data on outstanding creditors'!$E2806,"#,##0.00")</f>
        <v>บ.ซิลลิคฟาร์มา 1318155557 59,706.00</v>
      </c>
      <c r="U2806" s="12"/>
    </row>
    <row r="2807" ht="13.5" customHeight="1">
      <c r="A2807" s="1" t="s">
        <v>4309</v>
      </c>
      <c r="B2807" s="2">
        <v>45916.0</v>
      </c>
      <c r="C2807" s="9" t="s">
        <v>520</v>
      </c>
      <c r="D2807" s="1" t="s">
        <v>4310</v>
      </c>
      <c r="E2807" s="4">
        <v>8474.4</v>
      </c>
      <c r="F2807" s="4"/>
      <c r="G2807" s="4"/>
      <c r="H2807" s="4">
        <f>'data on outstanding creditors'!$E2807-'data on outstanding creditors'!$F2807-'data on outstanding creditors'!$G2807</f>
        <v>8474.4</v>
      </c>
      <c r="I2807" s="2"/>
      <c r="J2807" s="1"/>
      <c r="K2807" s="2"/>
      <c r="L2807" s="5"/>
      <c r="M2807" s="9" t="s">
        <v>117</v>
      </c>
      <c r="N2807" s="9" t="s">
        <v>49</v>
      </c>
      <c r="O2807" s="10">
        <f>'data on outstanding creditors'!$E2807*100/107</f>
        <v>7920</v>
      </c>
      <c r="P2807" s="10">
        <f>'data on outstanding creditors'!$E2807-'data on outstanding creditors'!$O2807</f>
        <v>554.4</v>
      </c>
      <c r="Q2807" s="7">
        <f>DAY('data on outstanding creditors'!$B2807)</f>
        <v>16</v>
      </c>
      <c r="R2807" s="7">
        <f>MONTH('data on outstanding creditors'!$B2807)</f>
        <v>9</v>
      </c>
      <c r="S2807" s="7">
        <f>YEAR('data on outstanding creditors'!$B2807)</f>
        <v>2025</v>
      </c>
      <c r="T2807" s="11" t="str">
        <f>'data on outstanding creditors'!$C2807&amp;" "&amp;'data on outstanding creditors'!$D2807&amp;" "&amp;TEXT('data on outstanding creditors'!$E2807,"#,##0.00")</f>
        <v>บ.ซิลลิคฟาร์มา 1318056473 8,474.40</v>
      </c>
      <c r="U2807" s="12"/>
    </row>
    <row r="2808" ht="13.5" customHeight="1">
      <c r="A2808" s="1" t="s">
        <v>4311</v>
      </c>
      <c r="B2808" s="2">
        <v>45916.0</v>
      </c>
      <c r="C2808" s="9" t="s">
        <v>520</v>
      </c>
      <c r="D2808" s="1" t="s">
        <v>4312</v>
      </c>
      <c r="E2808" s="4">
        <v>35952.0</v>
      </c>
      <c r="F2808" s="4"/>
      <c r="G2808" s="4"/>
      <c r="H2808" s="4">
        <f>'data on outstanding creditors'!$E2808-'data on outstanding creditors'!$F2808-'data on outstanding creditors'!$G2808</f>
        <v>35952</v>
      </c>
      <c r="I2808" s="2"/>
      <c r="J2808" s="1"/>
      <c r="K2808" s="2"/>
      <c r="L2808" s="5"/>
      <c r="M2808" s="9" t="s">
        <v>117</v>
      </c>
      <c r="N2808" s="9" t="s">
        <v>49</v>
      </c>
      <c r="O2808" s="10">
        <f>'data on outstanding creditors'!$E2808*100/107</f>
        <v>33600</v>
      </c>
      <c r="P2808" s="10">
        <f>'data on outstanding creditors'!$E2808-'data on outstanding creditors'!$O2808</f>
        <v>2352</v>
      </c>
      <c r="Q2808" s="7">
        <f>DAY('data on outstanding creditors'!$B2808)</f>
        <v>16</v>
      </c>
      <c r="R2808" s="7">
        <f>MONTH('data on outstanding creditors'!$B2808)</f>
        <v>9</v>
      </c>
      <c r="S2808" s="7">
        <f>YEAR('data on outstanding creditors'!$B2808)</f>
        <v>2025</v>
      </c>
      <c r="T2808" s="11" t="str">
        <f>'data on outstanding creditors'!$C2808&amp;" "&amp;'data on outstanding creditors'!$D2808&amp;" "&amp;TEXT('data on outstanding creditors'!$E2808,"#,##0.00")</f>
        <v>บ.ซิลลิคฟาร์มา 1318155101 35,952.00</v>
      </c>
      <c r="U2808" s="12"/>
    </row>
    <row r="2809" ht="13.5" customHeight="1">
      <c r="A2809" s="1" t="s">
        <v>4313</v>
      </c>
      <c r="B2809" s="2">
        <v>45916.0</v>
      </c>
      <c r="C2809" s="9" t="s">
        <v>399</v>
      </c>
      <c r="D2809" s="1" t="s">
        <v>4314</v>
      </c>
      <c r="E2809" s="4">
        <v>10920.0</v>
      </c>
      <c r="F2809" s="4"/>
      <c r="G2809" s="4"/>
      <c r="H2809" s="4">
        <f>'data on outstanding creditors'!$E2809-'data on outstanding creditors'!$F2809-'data on outstanding creditors'!$G2809</f>
        <v>10920</v>
      </c>
      <c r="I2809" s="2"/>
      <c r="J2809" s="1"/>
      <c r="K2809" s="2"/>
      <c r="L2809" s="5"/>
      <c r="M2809" s="9" t="s">
        <v>117</v>
      </c>
      <c r="N2809" s="9" t="s">
        <v>49</v>
      </c>
      <c r="O2809" s="10">
        <f>'data on outstanding creditors'!$E2809*100/107</f>
        <v>10205.60748</v>
      </c>
      <c r="P2809" s="10">
        <f>'data on outstanding creditors'!$E2809-'data on outstanding creditors'!$O2809</f>
        <v>714.3925234</v>
      </c>
      <c r="Q2809" s="7">
        <f>DAY('data on outstanding creditors'!$B2809)</f>
        <v>16</v>
      </c>
      <c r="R2809" s="7">
        <f>MONTH('data on outstanding creditors'!$B2809)</f>
        <v>9</v>
      </c>
      <c r="S2809" s="7">
        <f>YEAR('data on outstanding creditors'!$B2809)</f>
        <v>2025</v>
      </c>
      <c r="T2809" s="11" t="str">
        <f>'data on outstanding creditors'!$C2809&amp;" "&amp;'data on outstanding creditors'!$D2809&amp;" "&amp;TEXT('data on outstanding creditors'!$E2809,"#,##0.00")</f>
        <v>บ.ดีเคเอสเอช(ประเทศไทย) 5344361051 10,920.00</v>
      </c>
      <c r="U2809" s="12"/>
    </row>
    <row r="2810" ht="13.5" customHeight="1">
      <c r="A2810" s="1" t="s">
        <v>4315</v>
      </c>
      <c r="B2810" s="2">
        <v>45922.0</v>
      </c>
      <c r="C2810" s="9" t="s">
        <v>115</v>
      </c>
      <c r="D2810" s="1" t="s">
        <v>4316</v>
      </c>
      <c r="E2810" s="4">
        <v>54700.0</v>
      </c>
      <c r="F2810" s="4"/>
      <c r="G2810" s="4"/>
      <c r="H2810" s="4">
        <f>'data on outstanding creditors'!$E2810-'data on outstanding creditors'!$F2810-'data on outstanding creditors'!$G2810</f>
        <v>54700</v>
      </c>
      <c r="I2810" s="2"/>
      <c r="J2810" s="1"/>
      <c r="K2810" s="2"/>
      <c r="L2810" s="5"/>
      <c r="M2810" s="9" t="s">
        <v>117</v>
      </c>
      <c r="N2810" s="9" t="s">
        <v>49</v>
      </c>
      <c r="O2810" s="10">
        <f>'data on outstanding creditors'!$E2810*100/107</f>
        <v>51121.49533</v>
      </c>
      <c r="P2810" s="10">
        <f>'data on outstanding creditors'!$E2810-'data on outstanding creditors'!$O2810</f>
        <v>3578.504673</v>
      </c>
      <c r="Q2810" s="7">
        <f>DAY('data on outstanding creditors'!$B2810)</f>
        <v>22</v>
      </c>
      <c r="R2810" s="7">
        <f>MONTH('data on outstanding creditors'!$B2810)</f>
        <v>9</v>
      </c>
      <c r="S2810" s="7">
        <f>YEAR('data on outstanding creditors'!$B2810)</f>
        <v>2025</v>
      </c>
      <c r="T2810" s="11" t="str">
        <f>'data on outstanding creditors'!$C2810&amp;" "&amp;'data on outstanding creditors'!$D2810&amp;" "&amp;TEXT('data on outstanding creditors'!$E2810,"#,##0.00")</f>
        <v>สหกรการเกษตรเพื่อการตลาดลูกค้า 497/3 54,700.00</v>
      </c>
      <c r="U2810" s="12"/>
    </row>
    <row r="2811" ht="13.5" customHeight="1">
      <c r="A2811" s="1" t="s">
        <v>4317</v>
      </c>
      <c r="B2811" s="2">
        <v>45925.0</v>
      </c>
      <c r="C2811" s="9" t="s">
        <v>706</v>
      </c>
      <c r="D2811" s="1" t="s">
        <v>4318</v>
      </c>
      <c r="E2811" s="4">
        <v>8335.44</v>
      </c>
      <c r="F2811" s="4"/>
      <c r="G2811" s="4"/>
      <c r="H2811" s="4">
        <f>'data on outstanding creditors'!$E2811-'data on outstanding creditors'!$F2811-'data on outstanding creditors'!$G2811</f>
        <v>8335.44</v>
      </c>
      <c r="I2811" s="2"/>
      <c r="J2811" s="1" t="s">
        <v>646</v>
      </c>
      <c r="K2811" s="2">
        <v>45960.0</v>
      </c>
      <c r="L2811" s="5"/>
      <c r="M2811" s="9" t="s">
        <v>117</v>
      </c>
      <c r="N2811" s="9" t="s">
        <v>49</v>
      </c>
      <c r="O2811" s="10">
        <f>'data on outstanding creditors'!$E2811*100/107</f>
        <v>7790.130841</v>
      </c>
      <c r="P2811" s="10">
        <f>'data on outstanding creditors'!$E2811-'data on outstanding creditors'!$O2811</f>
        <v>545.3091589</v>
      </c>
      <c r="Q2811" s="7">
        <f>DAY('data on outstanding creditors'!$B2811)</f>
        <v>25</v>
      </c>
      <c r="R2811" s="7">
        <f>MONTH('data on outstanding creditors'!$B2811)</f>
        <v>9</v>
      </c>
      <c r="S2811" s="7">
        <f>YEAR('data on outstanding creditors'!$B2811)</f>
        <v>2025</v>
      </c>
      <c r="T2811" s="11" t="str">
        <f>'data on outstanding creditors'!$C2811&amp;" "&amp;'data on outstanding creditors'!$D2811&amp;" "&amp;TEXT('data on outstanding creditors'!$E2811,"#,##0.00")</f>
        <v>บ.ซีพี แอ็กซ์ตร้า 032871002183 8,335.44</v>
      </c>
      <c r="U2811" s="12"/>
    </row>
    <row r="2812" ht="13.5" customHeight="1">
      <c r="A2812" s="1" t="s">
        <v>4319</v>
      </c>
      <c r="B2812" s="2">
        <v>45930.0</v>
      </c>
      <c r="C2812" s="9" t="s">
        <v>119</v>
      </c>
      <c r="D2812" s="1" t="s">
        <v>4320</v>
      </c>
      <c r="E2812" s="4">
        <v>19908.0</v>
      </c>
      <c r="F2812" s="4"/>
      <c r="G2812" s="4"/>
      <c r="H2812" s="4">
        <f>'data on outstanding creditors'!$E2812-'data on outstanding creditors'!$F2812-'data on outstanding creditors'!$G2812</f>
        <v>19908</v>
      </c>
      <c r="I2812" s="2"/>
      <c r="J2812" s="1" t="s">
        <v>757</v>
      </c>
      <c r="K2812" s="2">
        <v>45961.0</v>
      </c>
      <c r="L2812" s="5"/>
      <c r="M2812" s="9" t="s">
        <v>117</v>
      </c>
      <c r="N2812" s="9" t="s">
        <v>49</v>
      </c>
      <c r="O2812" s="10">
        <f>'data on outstanding creditors'!$E2812*100/107</f>
        <v>18605.60748</v>
      </c>
      <c r="P2812" s="10">
        <f>'data on outstanding creditors'!$E2812-'data on outstanding creditors'!$O2812</f>
        <v>1302.392523</v>
      </c>
      <c r="Q2812" s="7">
        <f>DAY('data on outstanding creditors'!$B2812)</f>
        <v>30</v>
      </c>
      <c r="R2812" s="7">
        <f>MONTH('data on outstanding creditors'!$B2812)</f>
        <v>9</v>
      </c>
      <c r="S2812" s="7">
        <f>YEAR('data on outstanding creditors'!$B2812)</f>
        <v>2025</v>
      </c>
      <c r="T2812" s="11" t="str">
        <f>'data on outstanding creditors'!$C2812&amp;" "&amp;'data on outstanding creditors'!$D2812&amp;" "&amp;TEXT('data on outstanding creditors'!$E2812,"#,##0.00")</f>
        <v>ร้าน น้ำดื่มเพชราวอเธอร์ 1/24 19,908.00</v>
      </c>
      <c r="U2812" s="12"/>
    </row>
    <row r="2813" ht="13.5" customHeight="1">
      <c r="A2813" s="1" t="s">
        <v>4321</v>
      </c>
      <c r="B2813" s="2">
        <v>45930.0</v>
      </c>
      <c r="C2813" s="9" t="s">
        <v>703</v>
      </c>
      <c r="D2813" s="1" t="s">
        <v>4322</v>
      </c>
      <c r="E2813" s="4">
        <v>10800.0</v>
      </c>
      <c r="F2813" s="4"/>
      <c r="G2813" s="4"/>
      <c r="H2813" s="4">
        <f>'data on outstanding creditors'!$E2813-'data on outstanding creditors'!$F2813-'data on outstanding creditors'!$G2813</f>
        <v>10800</v>
      </c>
      <c r="I2813" s="2"/>
      <c r="J2813" s="1" t="s">
        <v>646</v>
      </c>
      <c r="K2813" s="2">
        <v>45960.0</v>
      </c>
      <c r="L2813" s="5"/>
      <c r="M2813" s="9" t="s">
        <v>117</v>
      </c>
      <c r="N2813" s="9" t="s">
        <v>49</v>
      </c>
      <c r="O2813" s="10">
        <f>'data on outstanding creditors'!$E2813*100/107</f>
        <v>10093.45794</v>
      </c>
      <c r="P2813" s="10">
        <f>'data on outstanding creditors'!$E2813-'data on outstanding creditors'!$O2813</f>
        <v>706.5420561</v>
      </c>
      <c r="Q2813" s="7">
        <f>DAY('data on outstanding creditors'!$B2813)</f>
        <v>30</v>
      </c>
      <c r="R2813" s="7">
        <f>MONTH('data on outstanding creditors'!$B2813)</f>
        <v>9</v>
      </c>
      <c r="S2813" s="7">
        <f>YEAR('data on outstanding creditors'!$B2813)</f>
        <v>2025</v>
      </c>
      <c r="T2813" s="11" t="str">
        <f>'data on outstanding creditors'!$C2813&amp;" "&amp;'data on outstanding creditors'!$D2813&amp;" "&amp;TEXT('data on outstanding creditors'!$E2813,"#,##0.00")</f>
        <v>บ.ไร่เพื่อนคุณ 49/68/32 10,800.00</v>
      </c>
      <c r="U2813" s="12"/>
    </row>
    <row r="2814" ht="13.5" customHeight="1">
      <c r="A2814" s="1" t="s">
        <v>4323</v>
      </c>
      <c r="B2814" s="2">
        <v>45930.0</v>
      </c>
      <c r="C2814" s="9" t="s">
        <v>700</v>
      </c>
      <c r="D2814" s="1" t="s">
        <v>4324</v>
      </c>
      <c r="E2814" s="4">
        <v>5600.0</v>
      </c>
      <c r="F2814" s="4"/>
      <c r="G2814" s="4"/>
      <c r="H2814" s="4">
        <f>'data on outstanding creditors'!$E2814-'data on outstanding creditors'!$F2814-'data on outstanding creditors'!$G2814</f>
        <v>5600</v>
      </c>
      <c r="I2814" s="2"/>
      <c r="J2814" s="1" t="s">
        <v>646</v>
      </c>
      <c r="K2814" s="2">
        <v>45960.0</v>
      </c>
      <c r="L2814" s="5"/>
      <c r="M2814" s="9" t="s">
        <v>117</v>
      </c>
      <c r="N2814" s="9" t="s">
        <v>49</v>
      </c>
      <c r="O2814" s="10">
        <f>'data on outstanding creditors'!$E2814*100/107</f>
        <v>5233.64486</v>
      </c>
      <c r="P2814" s="10">
        <f>'data on outstanding creditors'!$E2814-'data on outstanding creditors'!$O2814</f>
        <v>366.3551402</v>
      </c>
      <c r="Q2814" s="7">
        <f>DAY('data on outstanding creditors'!$B2814)</f>
        <v>30</v>
      </c>
      <c r="R2814" s="7">
        <f>MONTH('data on outstanding creditors'!$B2814)</f>
        <v>9</v>
      </c>
      <c r="S2814" s="7">
        <f>YEAR('data on outstanding creditors'!$B2814)</f>
        <v>2025</v>
      </c>
      <c r="T2814" s="11" t="str">
        <f>'data on outstanding creditors'!$C2814&amp;" "&amp;'data on outstanding creditors'!$D2814&amp;" "&amp;TEXT('data on outstanding creditors'!$E2814,"#,##0.00")</f>
        <v>นาง เบ็ญจมาพร แจ้งกลาง 4/35 5,600.00</v>
      </c>
      <c r="U2814" s="12"/>
    </row>
    <row r="2815" ht="13.5" customHeight="1">
      <c r="A2815" s="1" t="s">
        <v>4325</v>
      </c>
      <c r="B2815" s="2">
        <v>45930.0</v>
      </c>
      <c r="C2815" s="9" t="s">
        <v>722</v>
      </c>
      <c r="D2815" s="1" t="s">
        <v>4326</v>
      </c>
      <c r="E2815" s="4">
        <v>34845.0</v>
      </c>
      <c r="F2815" s="4"/>
      <c r="G2815" s="4"/>
      <c r="H2815" s="4">
        <f>'data on outstanding creditors'!$E2815-'data on outstanding creditors'!$F2815-'data on outstanding creditors'!$G2815</f>
        <v>34845</v>
      </c>
      <c r="I2815" s="2"/>
      <c r="J2815" s="1" t="s">
        <v>646</v>
      </c>
      <c r="K2815" s="2">
        <v>45960.0</v>
      </c>
      <c r="L2815" s="5"/>
      <c r="M2815" s="9" t="s">
        <v>117</v>
      </c>
      <c r="N2815" s="9" t="s">
        <v>49</v>
      </c>
      <c r="O2815" s="10">
        <f>'data on outstanding creditors'!$E2815*100/107</f>
        <v>32565.42056</v>
      </c>
      <c r="P2815" s="10">
        <f>'data on outstanding creditors'!$E2815-'data on outstanding creditors'!$O2815</f>
        <v>2279.579439</v>
      </c>
      <c r="Q2815" s="7">
        <f>DAY('data on outstanding creditors'!$B2815)</f>
        <v>30</v>
      </c>
      <c r="R2815" s="7">
        <f>MONTH('data on outstanding creditors'!$B2815)</f>
        <v>9</v>
      </c>
      <c r="S2815" s="7">
        <f>YEAR('data on outstanding creditors'!$B2815)</f>
        <v>2025</v>
      </c>
      <c r="T2815" s="11" t="str">
        <f>'data on outstanding creditors'!$C2815&amp;" "&amp;'data on outstanding creditors'!$D2815&amp;" "&amp;TEXT('data on outstanding creditors'!$E2815,"#,##0.00")</f>
        <v>นาย ดนัยนันท์ นามตะคุ 6/16 34,845.00</v>
      </c>
      <c r="U2815" s="12"/>
    </row>
    <row r="2816" ht="13.5" customHeight="1">
      <c r="A2816" s="1" t="s">
        <v>4327</v>
      </c>
      <c r="B2816" s="2">
        <v>45930.0</v>
      </c>
      <c r="C2816" s="9" t="s">
        <v>706</v>
      </c>
      <c r="D2816" s="1" t="s">
        <v>4328</v>
      </c>
      <c r="E2816" s="4">
        <v>17628.66</v>
      </c>
      <c r="F2816" s="4"/>
      <c r="G2816" s="4"/>
      <c r="H2816" s="4">
        <f>'data on outstanding creditors'!$E2816-'data on outstanding creditors'!$F2816-'data on outstanding creditors'!$G2816</f>
        <v>17628.66</v>
      </c>
      <c r="I2816" s="2"/>
      <c r="J2816" s="1" t="s">
        <v>646</v>
      </c>
      <c r="K2816" s="2">
        <v>45960.0</v>
      </c>
      <c r="L2816" s="5"/>
      <c r="M2816" s="9" t="s">
        <v>117</v>
      </c>
      <c r="N2816" s="9" t="s">
        <v>49</v>
      </c>
      <c r="O2816" s="10">
        <f>'data on outstanding creditors'!$E2816*100/107</f>
        <v>16475.38318</v>
      </c>
      <c r="P2816" s="10">
        <f>'data on outstanding creditors'!$E2816-'data on outstanding creditors'!$O2816</f>
        <v>1153.276822</v>
      </c>
      <c r="Q2816" s="7">
        <f>DAY('data on outstanding creditors'!$B2816)</f>
        <v>30</v>
      </c>
      <c r="R2816" s="7">
        <f>MONTH('data on outstanding creditors'!$B2816)</f>
        <v>9</v>
      </c>
      <c r="S2816" s="7">
        <f>YEAR('data on outstanding creditors'!$B2816)</f>
        <v>2025</v>
      </c>
      <c r="T2816" s="11" t="str">
        <f>'data on outstanding creditors'!$C2816&amp;" "&amp;'data on outstanding creditors'!$D2816&amp;" "&amp;TEXT('data on outstanding creditors'!$E2816,"#,##0.00")</f>
        <v>บ.ซีพี แอ็กซ์ตร้า 0320BC680000193 17,628.66</v>
      </c>
      <c r="U2816" s="12"/>
    </row>
    <row r="2817" ht="13.5" customHeight="1">
      <c r="A2817" s="1" t="s">
        <v>4329</v>
      </c>
      <c r="B2817" s="2">
        <v>45930.0</v>
      </c>
      <c r="C2817" s="9" t="s">
        <v>706</v>
      </c>
      <c r="D2817" s="1" t="s">
        <v>4330</v>
      </c>
      <c r="E2817" s="4">
        <v>17911.2</v>
      </c>
      <c r="F2817" s="4"/>
      <c r="G2817" s="4"/>
      <c r="H2817" s="4">
        <f>'data on outstanding creditors'!$E2817-'data on outstanding creditors'!$F2817-'data on outstanding creditors'!$G2817</f>
        <v>17911.2</v>
      </c>
      <c r="I2817" s="2"/>
      <c r="J2817" s="1" t="s">
        <v>646</v>
      </c>
      <c r="K2817" s="2">
        <v>45960.0</v>
      </c>
      <c r="L2817" s="5"/>
      <c r="M2817" s="9" t="s">
        <v>117</v>
      </c>
      <c r="N2817" s="9" t="s">
        <v>49</v>
      </c>
      <c r="O2817" s="10">
        <f>'data on outstanding creditors'!$E2817*100/107</f>
        <v>16739.43925</v>
      </c>
      <c r="P2817" s="10">
        <f>'data on outstanding creditors'!$E2817-'data on outstanding creditors'!$O2817</f>
        <v>1171.760748</v>
      </c>
      <c r="Q2817" s="7">
        <f>DAY('data on outstanding creditors'!$B2817)</f>
        <v>30</v>
      </c>
      <c r="R2817" s="7">
        <f>MONTH('data on outstanding creditors'!$B2817)</f>
        <v>9</v>
      </c>
      <c r="S2817" s="7">
        <f>YEAR('data on outstanding creditors'!$B2817)</f>
        <v>2025</v>
      </c>
      <c r="T2817" s="11" t="str">
        <f>'data on outstanding creditors'!$C2817&amp;" "&amp;'data on outstanding creditors'!$D2817&amp;" "&amp;TEXT('data on outstanding creditors'!$E2817,"#,##0.00")</f>
        <v>บ.ซีพี แอ็กซ์ตร้า 0320BC680000194 17,911.20</v>
      </c>
      <c r="U2817" s="12"/>
    </row>
    <row r="2818" ht="13.5" customHeight="1">
      <c r="A2818" s="1" t="s">
        <v>4331</v>
      </c>
      <c r="B2818" s="2">
        <v>45930.0</v>
      </c>
      <c r="C2818" s="9" t="s">
        <v>725</v>
      </c>
      <c r="D2818" s="1" t="s">
        <v>4332</v>
      </c>
      <c r="E2818" s="4">
        <v>81650.0</v>
      </c>
      <c r="F2818" s="4"/>
      <c r="G2818" s="4"/>
      <c r="H2818" s="4">
        <f>'data on outstanding creditors'!$E2818-'data on outstanding creditors'!$F2818-'data on outstanding creditors'!$G2818</f>
        <v>81650</v>
      </c>
      <c r="I2818" s="2"/>
      <c r="J2818" s="1" t="s">
        <v>646</v>
      </c>
      <c r="K2818" s="2">
        <v>45960.0</v>
      </c>
      <c r="L2818" s="5"/>
      <c r="M2818" s="9" t="s">
        <v>117</v>
      </c>
      <c r="N2818" s="9" t="s">
        <v>49</v>
      </c>
      <c r="O2818" s="10">
        <f>'data on outstanding creditors'!$E2818*100/107</f>
        <v>76308.41121</v>
      </c>
      <c r="P2818" s="10">
        <f>'data on outstanding creditors'!$E2818-'data on outstanding creditors'!$O2818</f>
        <v>5341.588785</v>
      </c>
      <c r="Q2818" s="7">
        <f>DAY('data on outstanding creditors'!$B2818)</f>
        <v>30</v>
      </c>
      <c r="R2818" s="7">
        <f>MONTH('data on outstanding creditors'!$B2818)</f>
        <v>9</v>
      </c>
      <c r="S2818" s="7">
        <f>YEAR('data on outstanding creditors'!$B2818)</f>
        <v>2025</v>
      </c>
      <c r="T2818" s="11" t="str">
        <f>'data on outstanding creditors'!$C2818&amp;" "&amp;'data on outstanding creditors'!$D2818&amp;" "&amp;TEXT('data on outstanding creditors'!$E2818,"#,##0.00")</f>
        <v>บ.เบทาโกรเกษตรอุตสาหกรรม 121250923307 81,650.00</v>
      </c>
      <c r="U2818" s="12"/>
    </row>
    <row r="2819" ht="13.5" customHeight="1">
      <c r="A2819" s="1" t="s">
        <v>4333</v>
      </c>
      <c r="B2819" s="2">
        <v>45930.0</v>
      </c>
      <c r="C2819" s="9" t="s">
        <v>725</v>
      </c>
      <c r="D2819" s="1" t="s">
        <v>4334</v>
      </c>
      <c r="E2819" s="4">
        <v>34870.0</v>
      </c>
      <c r="F2819" s="4"/>
      <c r="G2819" s="4"/>
      <c r="H2819" s="4">
        <f>'data on outstanding creditors'!$E2819-'data on outstanding creditors'!$F2819-'data on outstanding creditors'!$G2819</f>
        <v>34870</v>
      </c>
      <c r="I2819" s="2"/>
      <c r="J2819" s="1" t="s">
        <v>646</v>
      </c>
      <c r="K2819" s="2">
        <v>45960.0</v>
      </c>
      <c r="L2819" s="5"/>
      <c r="M2819" s="9" t="s">
        <v>117</v>
      </c>
      <c r="N2819" s="9" t="s">
        <v>49</v>
      </c>
      <c r="O2819" s="10">
        <f>'data on outstanding creditors'!$E2819*100/107</f>
        <v>32588.78505</v>
      </c>
      <c r="P2819" s="10">
        <f>'data on outstanding creditors'!$E2819-'data on outstanding creditors'!$O2819</f>
        <v>2281.214953</v>
      </c>
      <c r="Q2819" s="7">
        <f>DAY('data on outstanding creditors'!$B2819)</f>
        <v>30</v>
      </c>
      <c r="R2819" s="7">
        <f>MONTH('data on outstanding creditors'!$B2819)</f>
        <v>9</v>
      </c>
      <c r="S2819" s="7">
        <f>YEAR('data on outstanding creditors'!$B2819)</f>
        <v>2025</v>
      </c>
      <c r="T2819" s="11" t="str">
        <f>'data on outstanding creditors'!$C2819&amp;" "&amp;'data on outstanding creditors'!$D2819&amp;" "&amp;TEXT('data on outstanding creditors'!$E2819,"#,##0.00")</f>
        <v>บ.เบทาโกรเกษตรอุตสาหกรรม 121250923306 34,870.00</v>
      </c>
      <c r="U2819" s="12"/>
    </row>
    <row r="2820" ht="13.5" customHeight="1">
      <c r="A2820" s="1" t="s">
        <v>4335</v>
      </c>
      <c r="B2820" s="2">
        <v>45930.0</v>
      </c>
      <c r="C2820" s="9" t="s">
        <v>711</v>
      </c>
      <c r="D2820" s="1" t="s">
        <v>4336</v>
      </c>
      <c r="E2820" s="4">
        <v>24140.0</v>
      </c>
      <c r="F2820" s="4"/>
      <c r="G2820" s="4"/>
      <c r="H2820" s="4">
        <f>'data on outstanding creditors'!$E2820-'data on outstanding creditors'!$F2820-'data on outstanding creditors'!$G2820</f>
        <v>24140</v>
      </c>
      <c r="I2820" s="2"/>
      <c r="J2820" s="1" t="s">
        <v>646</v>
      </c>
      <c r="K2820" s="2">
        <v>45960.0</v>
      </c>
      <c r="L2820" s="5"/>
      <c r="M2820" s="9" t="s">
        <v>117</v>
      </c>
      <c r="N2820" s="9" t="s">
        <v>49</v>
      </c>
      <c r="O2820" s="10">
        <f>'data on outstanding creditors'!$E2820*100/107</f>
        <v>22560.74766</v>
      </c>
      <c r="P2820" s="10">
        <f>'data on outstanding creditors'!$E2820-'data on outstanding creditors'!$O2820</f>
        <v>1579.252336</v>
      </c>
      <c r="Q2820" s="7">
        <f>DAY('data on outstanding creditors'!$B2820)</f>
        <v>30</v>
      </c>
      <c r="R2820" s="7">
        <f>MONTH('data on outstanding creditors'!$B2820)</f>
        <v>9</v>
      </c>
      <c r="S2820" s="7">
        <f>YEAR('data on outstanding creditors'!$B2820)</f>
        <v>2025</v>
      </c>
      <c r="T2820" s="11" t="str">
        <f>'data on outstanding creditors'!$C2820&amp;" "&amp;'data on outstanding creditors'!$D2820&amp;" "&amp;TEXT('data on outstanding creditors'!$E2820,"#,##0.00")</f>
        <v>นาย สมปราชญ์ นังตะลา 8/32-33 24,140.00</v>
      </c>
      <c r="U2820" s="12"/>
    </row>
    <row r="2821" ht="13.5" customHeight="1">
      <c r="A2821" s="1" t="s">
        <v>4337</v>
      </c>
      <c r="B2821" s="2">
        <v>45930.0</v>
      </c>
      <c r="C2821" s="9" t="s">
        <v>717</v>
      </c>
      <c r="D2821" s="1" t="s">
        <v>4338</v>
      </c>
      <c r="E2821" s="4">
        <v>31560.0</v>
      </c>
      <c r="F2821" s="4"/>
      <c r="G2821" s="4"/>
      <c r="H2821" s="4">
        <f>'data on outstanding creditors'!$E2821-'data on outstanding creditors'!$F2821-'data on outstanding creditors'!$G2821</f>
        <v>31560</v>
      </c>
      <c r="I2821" s="2"/>
      <c r="J2821" s="1" t="s">
        <v>646</v>
      </c>
      <c r="K2821" s="2">
        <v>45960.0</v>
      </c>
      <c r="L2821" s="5"/>
      <c r="M2821" s="9" t="s">
        <v>117</v>
      </c>
      <c r="N2821" s="9" t="s">
        <v>49</v>
      </c>
      <c r="O2821" s="10">
        <f>'data on outstanding creditors'!$E2821*100/107</f>
        <v>29495.3271</v>
      </c>
      <c r="P2821" s="10">
        <f>'data on outstanding creditors'!$E2821-'data on outstanding creditors'!$O2821</f>
        <v>2064.672897</v>
      </c>
      <c r="Q2821" s="7">
        <f>DAY('data on outstanding creditors'!$B2821)</f>
        <v>30</v>
      </c>
      <c r="R2821" s="7">
        <f>MONTH('data on outstanding creditors'!$B2821)</f>
        <v>9</v>
      </c>
      <c r="S2821" s="7">
        <f>YEAR('data on outstanding creditors'!$B2821)</f>
        <v>2025</v>
      </c>
      <c r="T2821" s="11" t="str">
        <f>'data on outstanding creditors'!$C2821&amp;" "&amp;'data on outstanding creditors'!$D2821&amp;" "&amp;TEXT('data on outstanding creditors'!$E2821,"#,##0.00")</f>
        <v>นาง ยุพิน  แพร่งสุวรรณ์ 10/33-34 31,560.00</v>
      </c>
      <c r="U2821" s="12"/>
    </row>
    <row r="2822" ht="13.5" customHeight="1">
      <c r="A2822" s="1" t="s">
        <v>4339</v>
      </c>
      <c r="B2822" s="2">
        <v>45930.0</v>
      </c>
      <c r="C2822" s="9" t="s">
        <v>714</v>
      </c>
      <c r="D2822" s="1" t="s">
        <v>4340</v>
      </c>
      <c r="E2822" s="4">
        <v>25050.0</v>
      </c>
      <c r="F2822" s="4"/>
      <c r="G2822" s="4"/>
      <c r="H2822" s="4">
        <f>'data on outstanding creditors'!$E2822-'data on outstanding creditors'!$F2822-'data on outstanding creditors'!$G2822</f>
        <v>25050</v>
      </c>
      <c r="I2822" s="2"/>
      <c r="J2822" s="1" t="s">
        <v>646</v>
      </c>
      <c r="K2822" s="2">
        <v>45960.0</v>
      </c>
      <c r="L2822" s="5"/>
      <c r="M2822" s="9" t="s">
        <v>117</v>
      </c>
      <c r="N2822" s="9" t="s">
        <v>49</v>
      </c>
      <c r="O2822" s="10">
        <f>'data on outstanding creditors'!$E2822*100/107</f>
        <v>23411.21495</v>
      </c>
      <c r="P2822" s="10">
        <f>'data on outstanding creditors'!$E2822-'data on outstanding creditors'!$O2822</f>
        <v>1638.785047</v>
      </c>
      <c r="Q2822" s="7">
        <f>DAY('data on outstanding creditors'!$B2822)</f>
        <v>30</v>
      </c>
      <c r="R2822" s="7">
        <f>MONTH('data on outstanding creditors'!$B2822)</f>
        <v>9</v>
      </c>
      <c r="S2822" s="7">
        <f>YEAR('data on outstanding creditors'!$B2822)</f>
        <v>2025</v>
      </c>
      <c r="T2822" s="11" t="str">
        <f>'data on outstanding creditors'!$C2822&amp;" "&amp;'data on outstanding creditors'!$D2822&amp;" "&amp;TEXT('data on outstanding creditors'!$E2822,"#,##0.00")</f>
        <v>นาง อารดา อินทร์รุกขา 9/33-34 25,050.00</v>
      </c>
      <c r="U2822" s="12"/>
    </row>
    <row r="2823" ht="13.5" customHeight="1">
      <c r="A2823" s="1" t="s">
        <v>4341</v>
      </c>
      <c r="B2823" s="2">
        <v>45930.0</v>
      </c>
      <c r="C2823" s="9" t="s">
        <v>720</v>
      </c>
      <c r="D2823" s="1" t="s">
        <v>4340</v>
      </c>
      <c r="E2823" s="4">
        <v>50221.0</v>
      </c>
      <c r="F2823" s="4"/>
      <c r="G2823" s="4"/>
      <c r="H2823" s="4">
        <f>'data on outstanding creditors'!$E2823-'data on outstanding creditors'!$F2823-'data on outstanding creditors'!$G2823</f>
        <v>50221</v>
      </c>
      <c r="I2823" s="2"/>
      <c r="J2823" s="1" t="s">
        <v>646</v>
      </c>
      <c r="K2823" s="2">
        <v>45960.0</v>
      </c>
      <c r="L2823" s="5"/>
      <c r="M2823" s="9" t="s">
        <v>117</v>
      </c>
      <c r="N2823" s="9" t="s">
        <v>49</v>
      </c>
      <c r="O2823" s="10">
        <f>'data on outstanding creditors'!$E2823*100/107</f>
        <v>46935.51402</v>
      </c>
      <c r="P2823" s="10">
        <f>'data on outstanding creditors'!$E2823-'data on outstanding creditors'!$O2823</f>
        <v>3285.485981</v>
      </c>
      <c r="Q2823" s="7">
        <f>DAY('data on outstanding creditors'!$B2823)</f>
        <v>30</v>
      </c>
      <c r="R2823" s="7">
        <f>MONTH('data on outstanding creditors'!$B2823)</f>
        <v>9</v>
      </c>
      <c r="S2823" s="7">
        <f>YEAR('data on outstanding creditors'!$B2823)</f>
        <v>2025</v>
      </c>
      <c r="T2823" s="11" t="str">
        <f>'data on outstanding creditors'!$C2823&amp;" "&amp;'data on outstanding creditors'!$D2823&amp;" "&amp;TEXT('data on outstanding creditors'!$E2823,"#,##0.00")</f>
        <v>นาง สำอางค์  จอดสันเทียะ 9/33-34 50,221.00</v>
      </c>
      <c r="U2823" s="12"/>
    </row>
    <row r="2824" ht="13.5" customHeight="1">
      <c r="A2824" s="1" t="s">
        <v>4342</v>
      </c>
      <c r="B2824" s="2">
        <v>45939.0</v>
      </c>
      <c r="C2824" s="9" t="s">
        <v>706</v>
      </c>
      <c r="D2824" s="1" t="s">
        <v>4343</v>
      </c>
      <c r="E2824" s="4">
        <v>26189.52</v>
      </c>
      <c r="F2824" s="4"/>
      <c r="G2824" s="4"/>
      <c r="H2824" s="4">
        <f>'data on outstanding creditors'!$E2824-'data on outstanding creditors'!$F2824-'data on outstanding creditors'!$G2824</f>
        <v>26189.52</v>
      </c>
      <c r="I2824" s="2"/>
      <c r="J2824" s="1"/>
      <c r="K2824" s="2"/>
      <c r="L2824" s="5"/>
      <c r="M2824" s="9" t="s">
        <v>117</v>
      </c>
      <c r="N2824" s="9" t="s">
        <v>49</v>
      </c>
      <c r="O2824" s="10">
        <f>'data on outstanding creditors'!$E2824*100/107</f>
        <v>24476.18692</v>
      </c>
      <c r="P2824" s="10">
        <f>'data on outstanding creditors'!$E2824-'data on outstanding creditors'!$O2824</f>
        <v>1713.333084</v>
      </c>
      <c r="Q2824" s="7">
        <f>DAY('data on outstanding creditors'!$B2824)</f>
        <v>9</v>
      </c>
      <c r="R2824" s="7">
        <f>MONTH('data on outstanding creditors'!$B2824)</f>
        <v>10</v>
      </c>
      <c r="S2824" s="7">
        <f>YEAR('data on outstanding creditors'!$B2824)</f>
        <v>2025</v>
      </c>
      <c r="T2824" s="11" t="str">
        <f>'data on outstanding creditors'!$C2824&amp;" "&amp;'data on outstanding creditors'!$D2824&amp;" "&amp;TEXT('data on outstanding creditors'!$E2824,"#,##0.00")</f>
        <v>บ.ซีพี แอ็กซ์ตร้า 032871002302 26,189.52</v>
      </c>
      <c r="U2824" s="12"/>
    </row>
    <row r="2825" ht="13.5" customHeight="1">
      <c r="A2825" s="1" t="s">
        <v>4344</v>
      </c>
      <c r="B2825" s="2">
        <v>45945.0</v>
      </c>
      <c r="C2825" s="9" t="s">
        <v>706</v>
      </c>
      <c r="D2825" s="1" t="s">
        <v>4345</v>
      </c>
      <c r="E2825" s="4">
        <v>17452.2</v>
      </c>
      <c r="F2825" s="4"/>
      <c r="G2825" s="4"/>
      <c r="H2825" s="4">
        <f>'data on outstanding creditors'!$E2825-'data on outstanding creditors'!$F2825-'data on outstanding creditors'!$G2825</f>
        <v>17452.2</v>
      </c>
      <c r="I2825" s="2"/>
      <c r="J2825" s="1"/>
      <c r="K2825" s="2"/>
      <c r="L2825" s="5"/>
      <c r="M2825" s="9" t="s">
        <v>117</v>
      </c>
      <c r="N2825" s="9" t="s">
        <v>49</v>
      </c>
      <c r="O2825" s="10">
        <f>'data on outstanding creditors'!$E2825*100/107</f>
        <v>16310.46729</v>
      </c>
      <c r="P2825" s="10">
        <f>'data on outstanding creditors'!$E2825-'data on outstanding creditors'!$O2825</f>
        <v>1141.73271</v>
      </c>
      <c r="Q2825" s="7">
        <f>DAY('data on outstanding creditors'!$B2825)</f>
        <v>15</v>
      </c>
      <c r="R2825" s="7">
        <f>MONTH('data on outstanding creditors'!$B2825)</f>
        <v>10</v>
      </c>
      <c r="S2825" s="7">
        <f>YEAR('data on outstanding creditors'!$B2825)</f>
        <v>2025</v>
      </c>
      <c r="T2825" s="11" t="str">
        <f>'data on outstanding creditors'!$C2825&amp;" "&amp;'data on outstanding creditors'!$D2825&amp;" "&amp;TEXT('data on outstanding creditors'!$E2825,"#,##0.00")</f>
        <v>บ.ซีพี แอ็กซ์ตร้า 0320BC680000207 17,452.20</v>
      </c>
      <c r="U2825" s="12"/>
    </row>
    <row r="2826" ht="13.5" customHeight="1">
      <c r="A2826" s="1" t="s">
        <v>4346</v>
      </c>
      <c r="B2826" s="2">
        <v>45945.0</v>
      </c>
      <c r="C2826" s="9" t="s">
        <v>706</v>
      </c>
      <c r="D2826" s="1" t="s">
        <v>4347</v>
      </c>
      <c r="E2826" s="4">
        <v>19603.38</v>
      </c>
      <c r="F2826" s="4"/>
      <c r="G2826" s="4"/>
      <c r="H2826" s="4">
        <f>'data on outstanding creditors'!$E2826-'data on outstanding creditors'!$F2826-'data on outstanding creditors'!$G2826</f>
        <v>19603.38</v>
      </c>
      <c r="I2826" s="2"/>
      <c r="J2826" s="1"/>
      <c r="K2826" s="2"/>
      <c r="L2826" s="5"/>
      <c r="M2826" s="9" t="s">
        <v>117</v>
      </c>
      <c r="N2826" s="9" t="s">
        <v>49</v>
      </c>
      <c r="O2826" s="10">
        <f>'data on outstanding creditors'!$E2826*100/107</f>
        <v>18320.91589</v>
      </c>
      <c r="P2826" s="10">
        <f>'data on outstanding creditors'!$E2826-'data on outstanding creditors'!$O2826</f>
        <v>1282.464112</v>
      </c>
      <c r="Q2826" s="7">
        <f>DAY('data on outstanding creditors'!$B2826)</f>
        <v>15</v>
      </c>
      <c r="R2826" s="7">
        <f>MONTH('data on outstanding creditors'!$B2826)</f>
        <v>10</v>
      </c>
      <c r="S2826" s="7">
        <f>YEAR('data on outstanding creditors'!$B2826)</f>
        <v>2025</v>
      </c>
      <c r="T2826" s="11" t="str">
        <f>'data on outstanding creditors'!$C2826&amp;" "&amp;'data on outstanding creditors'!$D2826&amp;" "&amp;TEXT('data on outstanding creditors'!$E2826,"#,##0.00")</f>
        <v>บ.ซีพี แอ็กซ์ตร้า 0320BC680000217 19,603.38</v>
      </c>
      <c r="U2826" s="12"/>
    </row>
    <row r="2827" ht="13.5" customHeight="1">
      <c r="A2827" s="1" t="s">
        <v>4348</v>
      </c>
      <c r="B2827" s="2">
        <v>45945.0</v>
      </c>
      <c r="C2827" s="9" t="s">
        <v>703</v>
      </c>
      <c r="D2827" s="1" t="s">
        <v>4349</v>
      </c>
      <c r="E2827" s="4">
        <v>11900.0</v>
      </c>
      <c r="F2827" s="4"/>
      <c r="G2827" s="4"/>
      <c r="H2827" s="4">
        <f>'data on outstanding creditors'!$E2827-'data on outstanding creditors'!$F2827-'data on outstanding creditors'!$G2827</f>
        <v>11900</v>
      </c>
      <c r="I2827" s="2"/>
      <c r="J2827" s="1"/>
      <c r="K2827" s="2"/>
      <c r="L2827" s="5"/>
      <c r="M2827" s="9" t="s">
        <v>117</v>
      </c>
      <c r="N2827" s="9" t="s">
        <v>49</v>
      </c>
      <c r="O2827" s="10">
        <f>'data on outstanding creditors'!$E2827*100/107</f>
        <v>11121.49533</v>
      </c>
      <c r="P2827" s="10">
        <f>'data on outstanding creditors'!$E2827-'data on outstanding creditors'!$O2827</f>
        <v>778.5046729</v>
      </c>
      <c r="Q2827" s="7">
        <f>DAY('data on outstanding creditors'!$B2827)</f>
        <v>15</v>
      </c>
      <c r="R2827" s="7">
        <f>MONTH('data on outstanding creditors'!$B2827)</f>
        <v>10</v>
      </c>
      <c r="S2827" s="7">
        <f>YEAR('data on outstanding creditors'!$B2827)</f>
        <v>2025</v>
      </c>
      <c r="T2827" s="11" t="str">
        <f>'data on outstanding creditors'!$C2827&amp;" "&amp;'data on outstanding creditors'!$D2827&amp;" "&amp;TEXT('data on outstanding creditors'!$E2827,"#,##0.00")</f>
        <v>บ.ไร่เพื่อนคุณ 49/68/38 11,900.00</v>
      </c>
      <c r="U2827" s="12"/>
    </row>
    <row r="2828" ht="13.5" customHeight="1">
      <c r="A2828" s="1" t="s">
        <v>4350</v>
      </c>
      <c r="B2828" s="2">
        <v>45945.0</v>
      </c>
      <c r="C2828" s="9" t="s">
        <v>717</v>
      </c>
      <c r="D2828" s="1" t="s">
        <v>4351</v>
      </c>
      <c r="E2828" s="4">
        <v>12040.0</v>
      </c>
      <c r="F2828" s="4"/>
      <c r="G2828" s="4"/>
      <c r="H2828" s="4">
        <f>'data on outstanding creditors'!$E2828-'data on outstanding creditors'!$F2828-'data on outstanding creditors'!$G2828</f>
        <v>12040</v>
      </c>
      <c r="I2828" s="2"/>
      <c r="J2828" s="1"/>
      <c r="K2828" s="2"/>
      <c r="L2828" s="5"/>
      <c r="M2828" s="9" t="s">
        <v>117</v>
      </c>
      <c r="N2828" s="9" t="s">
        <v>49</v>
      </c>
      <c r="O2828" s="10">
        <f>'data on outstanding creditors'!$E2828*100/107</f>
        <v>11252.33645</v>
      </c>
      <c r="P2828" s="10">
        <f>'data on outstanding creditors'!$E2828-'data on outstanding creditors'!$O2828</f>
        <v>787.6635514</v>
      </c>
      <c r="Q2828" s="7">
        <f>DAY('data on outstanding creditors'!$B2828)</f>
        <v>15</v>
      </c>
      <c r="R2828" s="7">
        <f>MONTH('data on outstanding creditors'!$B2828)</f>
        <v>10</v>
      </c>
      <c r="S2828" s="7">
        <f>YEAR('data on outstanding creditors'!$B2828)</f>
        <v>2025</v>
      </c>
      <c r="T2828" s="11" t="str">
        <f>'data on outstanding creditors'!$C2828&amp;" "&amp;'data on outstanding creditors'!$D2828&amp;" "&amp;TEXT('data on outstanding creditors'!$E2828,"#,##0.00")</f>
        <v>นาง ยุพิน  แพร่งสุวรรณ์ 11/16-17 12,040.00</v>
      </c>
      <c r="U2828" s="12"/>
    </row>
    <row r="2829" ht="13.5" customHeight="1">
      <c r="A2829" s="1" t="s">
        <v>4352</v>
      </c>
      <c r="B2829" s="2">
        <v>45945.0</v>
      </c>
      <c r="C2829" s="9" t="s">
        <v>720</v>
      </c>
      <c r="D2829" s="1" t="s">
        <v>718</v>
      </c>
      <c r="E2829" s="4">
        <v>33047.0</v>
      </c>
      <c r="F2829" s="4"/>
      <c r="G2829" s="4"/>
      <c r="H2829" s="4">
        <f>'data on outstanding creditors'!$E2829-'data on outstanding creditors'!$F2829-'data on outstanding creditors'!$G2829</f>
        <v>33047</v>
      </c>
      <c r="I2829" s="2"/>
      <c r="J2829" s="1"/>
      <c r="K2829" s="2"/>
      <c r="L2829" s="5"/>
      <c r="M2829" s="9" t="s">
        <v>117</v>
      </c>
      <c r="N2829" s="9" t="s">
        <v>49</v>
      </c>
      <c r="O2829" s="10">
        <f>'data on outstanding creditors'!$E2829*100/107</f>
        <v>30885.04673</v>
      </c>
      <c r="P2829" s="10">
        <f>'data on outstanding creditors'!$E2829-'data on outstanding creditors'!$O2829</f>
        <v>2161.953271</v>
      </c>
      <c r="Q2829" s="7">
        <f>DAY('data on outstanding creditors'!$B2829)</f>
        <v>15</v>
      </c>
      <c r="R2829" s="7">
        <f>MONTH('data on outstanding creditors'!$B2829)</f>
        <v>10</v>
      </c>
      <c r="S2829" s="7">
        <f>YEAR('data on outstanding creditors'!$B2829)</f>
        <v>2025</v>
      </c>
      <c r="T2829" s="11" t="str">
        <f>'data on outstanding creditors'!$C2829&amp;" "&amp;'data on outstanding creditors'!$D2829&amp;" "&amp;TEXT('data on outstanding creditors'!$E2829,"#,##0.00")</f>
        <v>นาง สำอางค์  จอดสันเทียะ 10/16-17 33,047.00</v>
      </c>
      <c r="U2829" s="12"/>
    </row>
    <row r="2830" ht="13.5" customHeight="1">
      <c r="A2830" s="1" t="s">
        <v>4353</v>
      </c>
      <c r="B2830" s="2">
        <v>45945.0</v>
      </c>
      <c r="C2830" s="9" t="s">
        <v>714</v>
      </c>
      <c r="D2830" s="1" t="s">
        <v>718</v>
      </c>
      <c r="E2830" s="4">
        <v>21955.0</v>
      </c>
      <c r="F2830" s="4"/>
      <c r="G2830" s="4"/>
      <c r="H2830" s="4">
        <f>'data on outstanding creditors'!$E2830-'data on outstanding creditors'!$F2830-'data on outstanding creditors'!$G2830</f>
        <v>21955</v>
      </c>
      <c r="I2830" s="2"/>
      <c r="J2830" s="1"/>
      <c r="K2830" s="2"/>
      <c r="L2830" s="5"/>
      <c r="M2830" s="9" t="s">
        <v>117</v>
      </c>
      <c r="N2830" s="9" t="s">
        <v>49</v>
      </c>
      <c r="O2830" s="10">
        <f>'data on outstanding creditors'!$E2830*100/107</f>
        <v>20518.69159</v>
      </c>
      <c r="P2830" s="10">
        <f>'data on outstanding creditors'!$E2830-'data on outstanding creditors'!$O2830</f>
        <v>1436.308411</v>
      </c>
      <c r="Q2830" s="7">
        <f>DAY('data on outstanding creditors'!$B2830)</f>
        <v>15</v>
      </c>
      <c r="R2830" s="7">
        <f>MONTH('data on outstanding creditors'!$B2830)</f>
        <v>10</v>
      </c>
      <c r="S2830" s="7">
        <f>YEAR('data on outstanding creditors'!$B2830)</f>
        <v>2025</v>
      </c>
      <c r="T2830" s="11" t="str">
        <f>'data on outstanding creditors'!$C2830&amp;" "&amp;'data on outstanding creditors'!$D2830&amp;" "&amp;TEXT('data on outstanding creditors'!$E2830,"#,##0.00")</f>
        <v>นาง อารดา อินทร์รุกขา 10/16-17 21,955.00</v>
      </c>
      <c r="U2830" s="12"/>
    </row>
    <row r="2831" ht="13.5" customHeight="1">
      <c r="A2831" s="1" t="s">
        <v>4354</v>
      </c>
      <c r="B2831" s="2">
        <v>45945.0</v>
      </c>
      <c r="C2831" s="9" t="s">
        <v>711</v>
      </c>
      <c r="D2831" s="1" t="s">
        <v>715</v>
      </c>
      <c r="E2831" s="4">
        <v>25600.0</v>
      </c>
      <c r="F2831" s="4"/>
      <c r="G2831" s="4"/>
      <c r="H2831" s="4">
        <f>'data on outstanding creditors'!$E2831-'data on outstanding creditors'!$F2831-'data on outstanding creditors'!$G2831</f>
        <v>25600</v>
      </c>
      <c r="I2831" s="2"/>
      <c r="J2831" s="1"/>
      <c r="K2831" s="2"/>
      <c r="L2831" s="5"/>
      <c r="M2831" s="9" t="s">
        <v>117</v>
      </c>
      <c r="N2831" s="9" t="s">
        <v>49</v>
      </c>
      <c r="O2831" s="10">
        <f>'data on outstanding creditors'!$E2831*100/107</f>
        <v>23925.23364</v>
      </c>
      <c r="P2831" s="10">
        <f>'data on outstanding creditors'!$E2831-'data on outstanding creditors'!$O2831</f>
        <v>1674.766355</v>
      </c>
      <c r="Q2831" s="7">
        <f>DAY('data on outstanding creditors'!$B2831)</f>
        <v>15</v>
      </c>
      <c r="R2831" s="7">
        <f>MONTH('data on outstanding creditors'!$B2831)</f>
        <v>10</v>
      </c>
      <c r="S2831" s="7">
        <f>YEAR('data on outstanding creditors'!$B2831)</f>
        <v>2025</v>
      </c>
      <c r="T2831" s="11" t="str">
        <f>'data on outstanding creditors'!$C2831&amp;" "&amp;'data on outstanding creditors'!$D2831&amp;" "&amp;TEXT('data on outstanding creditors'!$E2831,"#,##0.00")</f>
        <v>นาย สมปราชญ์ นังตะลา 9/16-17 25,600.00</v>
      </c>
      <c r="U2831" s="12"/>
    </row>
    <row r="2832" ht="13.5" customHeight="1">
      <c r="A2832" s="1" t="s">
        <v>4355</v>
      </c>
      <c r="B2832" s="2">
        <v>45945.0</v>
      </c>
      <c r="C2832" s="9" t="s">
        <v>722</v>
      </c>
      <c r="D2832" s="1" t="s">
        <v>4356</v>
      </c>
      <c r="E2832" s="4">
        <v>35665.0</v>
      </c>
      <c r="F2832" s="4"/>
      <c r="G2832" s="4"/>
      <c r="H2832" s="4">
        <f>'data on outstanding creditors'!$E2832-'data on outstanding creditors'!$F2832-'data on outstanding creditors'!$G2832</f>
        <v>35665</v>
      </c>
      <c r="I2832" s="2"/>
      <c r="J2832" s="1"/>
      <c r="K2832" s="2"/>
      <c r="L2832" s="5"/>
      <c r="M2832" s="9" t="s">
        <v>117</v>
      </c>
      <c r="N2832" s="9" t="s">
        <v>49</v>
      </c>
      <c r="O2832" s="10">
        <f>'data on outstanding creditors'!$E2832*100/107</f>
        <v>33331.7757</v>
      </c>
      <c r="P2832" s="10">
        <f>'data on outstanding creditors'!$E2832-'data on outstanding creditors'!$O2832</f>
        <v>2333.224299</v>
      </c>
      <c r="Q2832" s="7">
        <f>DAY('data on outstanding creditors'!$B2832)</f>
        <v>15</v>
      </c>
      <c r="R2832" s="7">
        <f>MONTH('data on outstanding creditors'!$B2832)</f>
        <v>10</v>
      </c>
      <c r="S2832" s="7">
        <f>YEAR('data on outstanding creditors'!$B2832)</f>
        <v>2025</v>
      </c>
      <c r="T2832" s="11" t="str">
        <f>'data on outstanding creditors'!$C2832&amp;" "&amp;'data on outstanding creditors'!$D2832&amp;" "&amp;TEXT('data on outstanding creditors'!$E2832,"#,##0.00")</f>
        <v>นาย ดนัยนันท์ นามตะคุ 7/16-17 35,665.00</v>
      </c>
      <c r="U2832" s="12"/>
    </row>
    <row r="2833" ht="13.5" customHeight="1">
      <c r="A2833" s="1" t="s">
        <v>4357</v>
      </c>
      <c r="B2833" s="2">
        <v>45945.0</v>
      </c>
      <c r="C2833" s="9" t="s">
        <v>725</v>
      </c>
      <c r="D2833" s="1" t="s">
        <v>4358</v>
      </c>
      <c r="E2833" s="4">
        <v>62465.0</v>
      </c>
      <c r="F2833" s="4"/>
      <c r="G2833" s="4"/>
      <c r="H2833" s="4">
        <f>'data on outstanding creditors'!$E2833-'data on outstanding creditors'!$F2833-'data on outstanding creditors'!$G2833</f>
        <v>62465</v>
      </c>
      <c r="I2833" s="2"/>
      <c r="J2833" s="1"/>
      <c r="K2833" s="2"/>
      <c r="L2833" s="5"/>
      <c r="M2833" s="9" t="s">
        <v>117</v>
      </c>
      <c r="N2833" s="9" t="s">
        <v>49</v>
      </c>
      <c r="O2833" s="10">
        <f>'data on outstanding creditors'!$E2833*100/107</f>
        <v>58378.50467</v>
      </c>
      <c r="P2833" s="10">
        <f>'data on outstanding creditors'!$E2833-'data on outstanding creditors'!$O2833</f>
        <v>4086.495327</v>
      </c>
      <c r="Q2833" s="7">
        <f>DAY('data on outstanding creditors'!$B2833)</f>
        <v>15</v>
      </c>
      <c r="R2833" s="7">
        <f>MONTH('data on outstanding creditors'!$B2833)</f>
        <v>10</v>
      </c>
      <c r="S2833" s="7">
        <f>YEAR('data on outstanding creditors'!$B2833)</f>
        <v>2025</v>
      </c>
      <c r="T2833" s="11" t="str">
        <f>'data on outstanding creditors'!$C2833&amp;" "&amp;'data on outstanding creditors'!$D2833&amp;" "&amp;TEXT('data on outstanding creditors'!$E2833,"#,##0.00")</f>
        <v>บ.เบทาโกรเกษตรอุตสาหกรรม 121251012610 62,465.00</v>
      </c>
      <c r="U2833" s="12"/>
    </row>
    <row r="2834" ht="13.5" customHeight="1">
      <c r="A2834" s="1" t="s">
        <v>4359</v>
      </c>
      <c r="B2834" s="2">
        <v>45945.0</v>
      </c>
      <c r="C2834" s="9" t="s">
        <v>725</v>
      </c>
      <c r="D2834" s="1" t="s">
        <v>4360</v>
      </c>
      <c r="E2834" s="4">
        <v>36935.0</v>
      </c>
      <c r="F2834" s="4"/>
      <c r="G2834" s="4"/>
      <c r="H2834" s="4">
        <f>'data on outstanding creditors'!$E2834-'data on outstanding creditors'!$F2834-'data on outstanding creditors'!$G2834</f>
        <v>36935</v>
      </c>
      <c r="I2834" s="2"/>
      <c r="J2834" s="1"/>
      <c r="K2834" s="2"/>
      <c r="L2834" s="5"/>
      <c r="M2834" s="9" t="s">
        <v>117</v>
      </c>
      <c r="N2834" s="9" t="s">
        <v>49</v>
      </c>
      <c r="O2834" s="10">
        <f>'data on outstanding creditors'!$E2834*100/107</f>
        <v>34518.69159</v>
      </c>
      <c r="P2834" s="10">
        <f>'data on outstanding creditors'!$E2834-'data on outstanding creditors'!$O2834</f>
        <v>2416.308411</v>
      </c>
      <c r="Q2834" s="7">
        <f>DAY('data on outstanding creditors'!$B2834)</f>
        <v>15</v>
      </c>
      <c r="R2834" s="7">
        <f>MONTH('data on outstanding creditors'!$B2834)</f>
        <v>10</v>
      </c>
      <c r="S2834" s="7">
        <f>YEAR('data on outstanding creditors'!$B2834)</f>
        <v>2025</v>
      </c>
      <c r="T2834" s="11" t="str">
        <f>'data on outstanding creditors'!$C2834&amp;" "&amp;'data on outstanding creditors'!$D2834&amp;" "&amp;TEXT('data on outstanding creditors'!$E2834,"#,##0.00")</f>
        <v>บ.เบทาโกรเกษตรอุตสาหกรรม 121251012142 36,935.00</v>
      </c>
      <c r="U2834" s="12"/>
    </row>
    <row r="2835" ht="13.5" customHeight="1">
      <c r="A2835" s="1" t="s">
        <v>4361</v>
      </c>
      <c r="B2835" s="2">
        <v>45950.0</v>
      </c>
      <c r="C2835" s="9" t="s">
        <v>115</v>
      </c>
      <c r="D2835" s="1" t="s">
        <v>4362</v>
      </c>
      <c r="E2835" s="4">
        <v>52000.0</v>
      </c>
      <c r="F2835" s="4"/>
      <c r="G2835" s="4"/>
      <c r="H2835" s="4">
        <f>'data on outstanding creditors'!$E2835-'data on outstanding creditors'!$F2835-'data on outstanding creditors'!$G2835</f>
        <v>52000</v>
      </c>
      <c r="I2835" s="2"/>
      <c r="J2835" s="1"/>
      <c r="K2835" s="2"/>
      <c r="L2835" s="5"/>
      <c r="M2835" s="9" t="s">
        <v>117</v>
      </c>
      <c r="N2835" s="9" t="s">
        <v>49</v>
      </c>
      <c r="O2835" s="10">
        <f>'data on outstanding creditors'!$E2835*100/107</f>
        <v>48598.13084</v>
      </c>
      <c r="P2835" s="10">
        <f>'data on outstanding creditors'!$E2835-'data on outstanding creditors'!$O2835</f>
        <v>3401.869159</v>
      </c>
      <c r="Q2835" s="7">
        <f>DAY('data on outstanding creditors'!$B2835)</f>
        <v>20</v>
      </c>
      <c r="R2835" s="7">
        <f>MONTH('data on outstanding creditors'!$B2835)</f>
        <v>10</v>
      </c>
      <c r="S2835" s="7">
        <f>YEAR('data on outstanding creditors'!$B2835)</f>
        <v>2025</v>
      </c>
      <c r="T2835" s="11" t="str">
        <f>'data on outstanding creditors'!$C2835&amp;" "&amp;'data on outstanding creditors'!$D2835&amp;" "&amp;TEXT('data on outstanding creditors'!$E2835,"#,##0.00")</f>
        <v>สหกรการเกษตรเพื่อการตลาดลูกค้า 490/40 52,000.00</v>
      </c>
      <c r="U2835" s="12"/>
    </row>
    <row r="2836" ht="13.5" customHeight="1">
      <c r="A2836" s="1"/>
      <c r="B2836" s="2">
        <v>45959.0</v>
      </c>
      <c r="C2836" s="9" t="s">
        <v>399</v>
      </c>
      <c r="D2836" s="1" t="s">
        <v>4363</v>
      </c>
      <c r="E2836" s="4">
        <v>3081.6</v>
      </c>
      <c r="F2836" s="4"/>
      <c r="G2836" s="4"/>
      <c r="H2836" s="4">
        <f>'data on outstanding creditors'!$E2836-'data on outstanding creditors'!$F2836-'data on outstanding creditors'!$G2836</f>
        <v>3081.6</v>
      </c>
      <c r="I2836" s="2"/>
      <c r="J2836" s="1"/>
      <c r="K2836" s="2"/>
      <c r="L2836" s="5"/>
      <c r="M2836" s="9" t="s">
        <v>117</v>
      </c>
      <c r="N2836" s="9" t="s">
        <v>49</v>
      </c>
      <c r="O2836" s="10">
        <f>'data on outstanding creditors'!$E2836*100/107</f>
        <v>2880</v>
      </c>
      <c r="P2836" s="10">
        <f>'data on outstanding creditors'!$E2836-'data on outstanding creditors'!$O2836</f>
        <v>201.6</v>
      </c>
      <c r="Q2836" s="7">
        <f>DAY('data on outstanding creditors'!$B2836)</f>
        <v>29</v>
      </c>
      <c r="R2836" s="7">
        <f>MONTH('data on outstanding creditors'!$B2836)</f>
        <v>10</v>
      </c>
      <c r="S2836" s="7">
        <f>YEAR('data on outstanding creditors'!$B2836)</f>
        <v>2025</v>
      </c>
      <c r="T2836" s="11" t="str">
        <f>'data on outstanding creditors'!$C2836&amp;" "&amp;'data on outstanding creditors'!$D2836&amp;" "&amp;TEXT('data on outstanding creditors'!$E2836,"#,##0.00")</f>
        <v>บ.ดีเคเอสเอช(ประเทศไทย) 5344589025 3,081.60</v>
      </c>
      <c r="U2836" s="12"/>
    </row>
    <row r="2837" ht="13.5" customHeight="1">
      <c r="A2837" s="1" t="s">
        <v>4364</v>
      </c>
      <c r="B2837" s="2">
        <v>45960.0</v>
      </c>
      <c r="C2837" s="9" t="s">
        <v>520</v>
      </c>
      <c r="D2837" s="1" t="s">
        <v>4365</v>
      </c>
      <c r="E2837" s="4">
        <v>26964.0</v>
      </c>
      <c r="F2837" s="4"/>
      <c r="G2837" s="4"/>
      <c r="H2837" s="4">
        <f>'data on outstanding creditors'!$E2837-'data on outstanding creditors'!$F2837-'data on outstanding creditors'!$G2837</f>
        <v>26964</v>
      </c>
      <c r="I2837" s="2"/>
      <c r="J2837" s="1"/>
      <c r="K2837" s="2"/>
      <c r="L2837" s="5"/>
      <c r="M2837" s="9" t="s">
        <v>117</v>
      </c>
      <c r="N2837" s="9" t="s">
        <v>49</v>
      </c>
      <c r="O2837" s="10">
        <f>'data on outstanding creditors'!$E2837*100/107</f>
        <v>25200</v>
      </c>
      <c r="P2837" s="10">
        <f>'data on outstanding creditors'!$E2837-'data on outstanding creditors'!$O2837</f>
        <v>1764</v>
      </c>
      <c r="Q2837" s="7">
        <f>DAY('data on outstanding creditors'!$B2837)</f>
        <v>30</v>
      </c>
      <c r="R2837" s="7">
        <f>MONTH('data on outstanding creditors'!$B2837)</f>
        <v>10</v>
      </c>
      <c r="S2837" s="7">
        <f>YEAR('data on outstanding creditors'!$B2837)</f>
        <v>2025</v>
      </c>
      <c r="T2837" s="11" t="str">
        <f>'data on outstanding creditors'!$C2837&amp;" "&amp;'data on outstanding creditors'!$D2837&amp;" "&amp;TEXT('data on outstanding creditors'!$E2837,"#,##0.00")</f>
        <v>บ.ซิลลิคฟาร์มา 1318412165 26,964.00</v>
      </c>
      <c r="U2837" s="12"/>
    </row>
    <row r="2838" ht="13.5" customHeight="1">
      <c r="A2838" s="1" t="s">
        <v>4366</v>
      </c>
      <c r="B2838" s="2">
        <v>45961.0</v>
      </c>
      <c r="C2838" s="9" t="s">
        <v>706</v>
      </c>
      <c r="D2838" s="1" t="s">
        <v>4367</v>
      </c>
      <c r="E2838" s="4">
        <v>22028.94</v>
      </c>
      <c r="F2838" s="4"/>
      <c r="G2838" s="4"/>
      <c r="H2838" s="4">
        <f>'data on outstanding creditors'!$E2838-'data on outstanding creditors'!$F2838-'data on outstanding creditors'!$G2838</f>
        <v>22028.94</v>
      </c>
      <c r="I2838" s="2"/>
      <c r="J2838" s="1"/>
      <c r="K2838" s="2"/>
      <c r="L2838" s="5"/>
      <c r="M2838" s="9" t="s">
        <v>117</v>
      </c>
      <c r="N2838" s="9" t="s">
        <v>49</v>
      </c>
      <c r="O2838" s="10">
        <f>'data on outstanding creditors'!$E2838*100/107</f>
        <v>20587.79439</v>
      </c>
      <c r="P2838" s="10">
        <f>'data on outstanding creditors'!$E2838-'data on outstanding creditors'!$O2838</f>
        <v>1441.145607</v>
      </c>
      <c r="Q2838" s="7">
        <f>DAY('data on outstanding creditors'!$B2838)</f>
        <v>31</v>
      </c>
      <c r="R2838" s="7">
        <f>MONTH('data on outstanding creditors'!$B2838)</f>
        <v>10</v>
      </c>
      <c r="S2838" s="7">
        <f>YEAR('data on outstanding creditors'!$B2838)</f>
        <v>2025</v>
      </c>
      <c r="T2838" s="11" t="str">
        <f>'data on outstanding creditors'!$C2838&amp;" "&amp;'data on outstanding creditors'!$D2838&amp;" "&amp;TEXT('data on outstanding creditors'!$E2838,"#,##0.00")</f>
        <v>บ.ซีพี แอ็กซ์ตร้า 0320BC680000221 22,028.94</v>
      </c>
      <c r="U2838" s="12"/>
    </row>
    <row r="2839" ht="13.5" customHeight="1">
      <c r="A2839" s="1" t="s">
        <v>4368</v>
      </c>
      <c r="B2839" s="2">
        <v>45961.0</v>
      </c>
      <c r="C2839" s="9" t="s">
        <v>706</v>
      </c>
      <c r="D2839" s="1" t="s">
        <v>4369</v>
      </c>
      <c r="E2839" s="4">
        <v>19441.2</v>
      </c>
      <c r="F2839" s="4"/>
      <c r="G2839" s="4"/>
      <c r="H2839" s="4">
        <f>'data on outstanding creditors'!$E2839-'data on outstanding creditors'!$F2839-'data on outstanding creditors'!$G2839</f>
        <v>19441.2</v>
      </c>
      <c r="I2839" s="2"/>
      <c r="J2839" s="1"/>
      <c r="K2839" s="2"/>
      <c r="L2839" s="5"/>
      <c r="M2839" s="9" t="s">
        <v>117</v>
      </c>
      <c r="N2839" s="9" t="s">
        <v>49</v>
      </c>
      <c r="O2839" s="10">
        <f>'data on outstanding creditors'!$E2839*100/107</f>
        <v>18169.34579</v>
      </c>
      <c r="P2839" s="10">
        <f>'data on outstanding creditors'!$E2839-'data on outstanding creditors'!$O2839</f>
        <v>1271.854206</v>
      </c>
      <c r="Q2839" s="7">
        <f>DAY('data on outstanding creditors'!$B2839)</f>
        <v>31</v>
      </c>
      <c r="R2839" s="7">
        <f>MONTH('data on outstanding creditors'!$B2839)</f>
        <v>10</v>
      </c>
      <c r="S2839" s="7">
        <f>YEAR('data on outstanding creditors'!$B2839)</f>
        <v>2025</v>
      </c>
      <c r="T2839" s="11" t="str">
        <f>'data on outstanding creditors'!$C2839&amp;" "&amp;'data on outstanding creditors'!$D2839&amp;" "&amp;TEXT('data on outstanding creditors'!$E2839,"#,##0.00")</f>
        <v>บ.ซีพี แอ็กซ์ตร้า 0320BC680000222 19,441.20</v>
      </c>
      <c r="U2839" s="12"/>
    </row>
    <row r="2840" ht="13.5" customHeight="1">
      <c r="A2840" s="1" t="s">
        <v>4370</v>
      </c>
      <c r="B2840" s="2">
        <v>45961.0</v>
      </c>
      <c r="C2840" s="9" t="s">
        <v>703</v>
      </c>
      <c r="D2840" s="1" t="s">
        <v>4371</v>
      </c>
      <c r="E2840" s="4">
        <v>10475.0</v>
      </c>
      <c r="F2840" s="4"/>
      <c r="G2840" s="4"/>
      <c r="H2840" s="4">
        <f>'data on outstanding creditors'!$E2840-'data on outstanding creditors'!$F2840-'data on outstanding creditors'!$G2840</f>
        <v>10475</v>
      </c>
      <c r="I2840" s="2"/>
      <c r="J2840" s="1"/>
      <c r="K2840" s="2"/>
      <c r="L2840" s="5"/>
      <c r="M2840" s="9" t="s">
        <v>117</v>
      </c>
      <c r="N2840" s="9" t="s">
        <v>49</v>
      </c>
      <c r="O2840" s="10">
        <f>'data on outstanding creditors'!$E2840*100/107</f>
        <v>9789.719626</v>
      </c>
      <c r="P2840" s="10">
        <f>'data on outstanding creditors'!$E2840-'data on outstanding creditors'!$O2840</f>
        <v>685.2803738</v>
      </c>
      <c r="Q2840" s="7">
        <f>DAY('data on outstanding creditors'!$B2840)</f>
        <v>31</v>
      </c>
      <c r="R2840" s="7">
        <f>MONTH('data on outstanding creditors'!$B2840)</f>
        <v>10</v>
      </c>
      <c r="S2840" s="7">
        <f>YEAR('data on outstanding creditors'!$B2840)</f>
        <v>2025</v>
      </c>
      <c r="T2840" s="11" t="str">
        <f>'data on outstanding creditors'!$C2840&amp;" "&amp;'data on outstanding creditors'!$D2840&amp;" "&amp;TEXT('data on outstanding creditors'!$E2840,"#,##0.00")</f>
        <v>บ.ไร่เพื่อนคุณ 50/68/07 10,475.00</v>
      </c>
      <c r="U2840" s="12"/>
    </row>
    <row r="2841" ht="13.5" customHeight="1">
      <c r="A2841" s="1" t="s">
        <v>4372</v>
      </c>
      <c r="B2841" s="2">
        <v>45961.0</v>
      </c>
      <c r="C2841" s="9" t="s">
        <v>717</v>
      </c>
      <c r="D2841" s="1" t="s">
        <v>4373</v>
      </c>
      <c r="E2841" s="4">
        <v>12880.0</v>
      </c>
      <c r="F2841" s="4"/>
      <c r="G2841" s="4"/>
      <c r="H2841" s="4">
        <f>'data on outstanding creditors'!$E2841-'data on outstanding creditors'!$F2841-'data on outstanding creditors'!$G2841</f>
        <v>12880</v>
      </c>
      <c r="I2841" s="2"/>
      <c r="J2841" s="1"/>
      <c r="K2841" s="2"/>
      <c r="L2841" s="5"/>
      <c r="M2841" s="9" t="s">
        <v>117</v>
      </c>
      <c r="N2841" s="9" t="s">
        <v>49</v>
      </c>
      <c r="O2841" s="10">
        <f>'data on outstanding creditors'!$E2841*100/107</f>
        <v>12037.38318</v>
      </c>
      <c r="P2841" s="10">
        <f>'data on outstanding creditors'!$E2841-'data on outstanding creditors'!$O2841</f>
        <v>842.6168224</v>
      </c>
      <c r="Q2841" s="7">
        <f>DAY('data on outstanding creditors'!$B2841)</f>
        <v>31</v>
      </c>
      <c r="R2841" s="7">
        <f>MONTH('data on outstanding creditors'!$B2841)</f>
        <v>10</v>
      </c>
      <c r="S2841" s="7">
        <f>YEAR('data on outstanding creditors'!$B2841)</f>
        <v>2025</v>
      </c>
      <c r="T2841" s="11" t="str">
        <f>'data on outstanding creditors'!$C2841&amp;" "&amp;'data on outstanding creditors'!$D2841&amp;" "&amp;TEXT('data on outstanding creditors'!$E2841,"#,##0.00")</f>
        <v>นาง ยุพิน  แพร่งสุวรรณ์ 11/34-35 12,880.00</v>
      </c>
      <c r="U2841" s="12"/>
    </row>
    <row r="2842" ht="13.5" customHeight="1">
      <c r="A2842" s="1" t="s">
        <v>4374</v>
      </c>
      <c r="B2842" s="2">
        <v>45961.0</v>
      </c>
      <c r="C2842" s="9" t="s">
        <v>720</v>
      </c>
      <c r="D2842" s="1" t="s">
        <v>4375</v>
      </c>
      <c r="E2842" s="4">
        <v>40668.0</v>
      </c>
      <c r="F2842" s="4"/>
      <c r="G2842" s="4"/>
      <c r="H2842" s="4">
        <f>'data on outstanding creditors'!$E2842-'data on outstanding creditors'!$F2842-'data on outstanding creditors'!$G2842</f>
        <v>40668</v>
      </c>
      <c r="I2842" s="2"/>
      <c r="J2842" s="1"/>
      <c r="K2842" s="2"/>
      <c r="L2842" s="5"/>
      <c r="M2842" s="9" t="s">
        <v>117</v>
      </c>
      <c r="N2842" s="9" t="s">
        <v>49</v>
      </c>
      <c r="O2842" s="10">
        <f>'data on outstanding creditors'!$E2842*100/107</f>
        <v>38007.47664</v>
      </c>
      <c r="P2842" s="10">
        <f>'data on outstanding creditors'!$E2842-'data on outstanding creditors'!$O2842</f>
        <v>2660.523364</v>
      </c>
      <c r="Q2842" s="7">
        <f>DAY('data on outstanding creditors'!$B2842)</f>
        <v>31</v>
      </c>
      <c r="R2842" s="7">
        <f>MONTH('data on outstanding creditors'!$B2842)</f>
        <v>10</v>
      </c>
      <c r="S2842" s="7">
        <f>YEAR('data on outstanding creditors'!$B2842)</f>
        <v>2025</v>
      </c>
      <c r="T2842" s="11" t="str">
        <f>'data on outstanding creditors'!$C2842&amp;" "&amp;'data on outstanding creditors'!$D2842&amp;" "&amp;TEXT('data on outstanding creditors'!$E2842,"#,##0.00")</f>
        <v>นาง สำอางค์  จอดสันเทียะ 10/34-35 40,668.00</v>
      </c>
      <c r="U2842" s="12"/>
    </row>
    <row r="2843" ht="13.5" customHeight="1">
      <c r="A2843" s="1" t="s">
        <v>4376</v>
      </c>
      <c r="B2843" s="2">
        <v>45961.0</v>
      </c>
      <c r="C2843" s="9" t="s">
        <v>714</v>
      </c>
      <c r="D2843" s="1" t="s">
        <v>4375</v>
      </c>
      <c r="E2843" s="4">
        <v>23330.0</v>
      </c>
      <c r="F2843" s="4"/>
      <c r="G2843" s="4"/>
      <c r="H2843" s="4">
        <f>'data on outstanding creditors'!$E2843-'data on outstanding creditors'!$F2843-'data on outstanding creditors'!$G2843</f>
        <v>23330</v>
      </c>
      <c r="I2843" s="2"/>
      <c r="J2843" s="1"/>
      <c r="K2843" s="2"/>
      <c r="L2843" s="5"/>
      <c r="M2843" s="9" t="s">
        <v>117</v>
      </c>
      <c r="N2843" s="9" t="s">
        <v>49</v>
      </c>
      <c r="O2843" s="10">
        <f>'data on outstanding creditors'!$E2843*100/107</f>
        <v>21803.73832</v>
      </c>
      <c r="P2843" s="10">
        <f>'data on outstanding creditors'!$E2843-'data on outstanding creditors'!$O2843</f>
        <v>1526.261682</v>
      </c>
      <c r="Q2843" s="7">
        <f>DAY('data on outstanding creditors'!$B2843)</f>
        <v>31</v>
      </c>
      <c r="R2843" s="7">
        <f>MONTH('data on outstanding creditors'!$B2843)</f>
        <v>10</v>
      </c>
      <c r="S2843" s="7">
        <f>YEAR('data on outstanding creditors'!$B2843)</f>
        <v>2025</v>
      </c>
      <c r="T2843" s="11" t="str">
        <f>'data on outstanding creditors'!$C2843&amp;" "&amp;'data on outstanding creditors'!$D2843&amp;" "&amp;TEXT('data on outstanding creditors'!$E2843,"#,##0.00")</f>
        <v>นาง อารดา อินทร์รุกขา 10/34-35 23,330.00</v>
      </c>
      <c r="U2843" s="12"/>
    </row>
    <row r="2844" ht="13.5" customHeight="1">
      <c r="A2844" s="1" t="s">
        <v>4377</v>
      </c>
      <c r="B2844" s="2">
        <v>45961.0</v>
      </c>
      <c r="C2844" s="9" t="s">
        <v>711</v>
      </c>
      <c r="D2844" s="1" t="s">
        <v>4378</v>
      </c>
      <c r="E2844" s="4">
        <v>20330.0</v>
      </c>
      <c r="F2844" s="4"/>
      <c r="G2844" s="4"/>
      <c r="H2844" s="4">
        <f>'data on outstanding creditors'!$E2844-'data on outstanding creditors'!$F2844-'data on outstanding creditors'!$G2844</f>
        <v>20330</v>
      </c>
      <c r="I2844" s="2"/>
      <c r="J2844" s="1"/>
      <c r="K2844" s="2"/>
      <c r="L2844" s="5"/>
      <c r="M2844" s="9" t="s">
        <v>117</v>
      </c>
      <c r="N2844" s="9" t="s">
        <v>49</v>
      </c>
      <c r="O2844" s="10">
        <f>'data on outstanding creditors'!$E2844*100/107</f>
        <v>19000</v>
      </c>
      <c r="P2844" s="10">
        <f>'data on outstanding creditors'!$E2844-'data on outstanding creditors'!$O2844</f>
        <v>1330</v>
      </c>
      <c r="Q2844" s="7">
        <f>DAY('data on outstanding creditors'!$B2844)</f>
        <v>31</v>
      </c>
      <c r="R2844" s="7">
        <f>MONTH('data on outstanding creditors'!$B2844)</f>
        <v>10</v>
      </c>
      <c r="S2844" s="7">
        <f>YEAR('data on outstanding creditors'!$B2844)</f>
        <v>2025</v>
      </c>
      <c r="T2844" s="11" t="str">
        <f>'data on outstanding creditors'!$C2844&amp;" "&amp;'data on outstanding creditors'!$D2844&amp;" "&amp;TEXT('data on outstanding creditors'!$E2844,"#,##0.00")</f>
        <v>นาย สมปราชญ์ นังตะลา 9/34-35 20,330.00</v>
      </c>
      <c r="U2844" s="12"/>
    </row>
    <row r="2845" ht="13.5" customHeight="1">
      <c r="A2845" s="1" t="s">
        <v>4379</v>
      </c>
      <c r="B2845" s="2">
        <v>45961.0</v>
      </c>
      <c r="C2845" s="9" t="s">
        <v>722</v>
      </c>
      <c r="D2845" s="1" t="s">
        <v>4380</v>
      </c>
      <c r="E2845" s="4">
        <v>37540.0</v>
      </c>
      <c r="F2845" s="4"/>
      <c r="G2845" s="4"/>
      <c r="H2845" s="4">
        <f>'data on outstanding creditors'!$E2845-'data on outstanding creditors'!$F2845-'data on outstanding creditors'!$G2845</f>
        <v>37540</v>
      </c>
      <c r="I2845" s="2"/>
      <c r="J2845" s="1"/>
      <c r="K2845" s="2"/>
      <c r="L2845" s="5"/>
      <c r="M2845" s="9" t="s">
        <v>117</v>
      </c>
      <c r="N2845" s="9" t="s">
        <v>49</v>
      </c>
      <c r="O2845" s="10">
        <f>'data on outstanding creditors'!$E2845*100/107</f>
        <v>35084.11215</v>
      </c>
      <c r="P2845" s="10">
        <f>'data on outstanding creditors'!$E2845-'data on outstanding creditors'!$O2845</f>
        <v>2455.88785</v>
      </c>
      <c r="Q2845" s="7">
        <f>DAY('data on outstanding creditors'!$B2845)</f>
        <v>31</v>
      </c>
      <c r="R2845" s="7">
        <f>MONTH('data on outstanding creditors'!$B2845)</f>
        <v>10</v>
      </c>
      <c r="S2845" s="7">
        <f>YEAR('data on outstanding creditors'!$B2845)</f>
        <v>2025</v>
      </c>
      <c r="T2845" s="11" t="str">
        <f>'data on outstanding creditors'!$C2845&amp;" "&amp;'data on outstanding creditors'!$D2845&amp;" "&amp;TEXT('data on outstanding creditors'!$E2845,"#,##0.00")</f>
        <v>นาย ดนัยนันท์ นามตะคุ 8/17-18 37,540.00</v>
      </c>
      <c r="U2845" s="12"/>
    </row>
    <row r="2846" ht="13.5" customHeight="1">
      <c r="A2846" s="1" t="s">
        <v>4381</v>
      </c>
      <c r="B2846" s="2">
        <v>45961.0</v>
      </c>
      <c r="C2846" s="9" t="s">
        <v>725</v>
      </c>
      <c r="D2846" s="1" t="s">
        <v>4382</v>
      </c>
      <c r="E2846" s="4">
        <v>44480.0</v>
      </c>
      <c r="F2846" s="4"/>
      <c r="G2846" s="4"/>
      <c r="H2846" s="4">
        <f>'data on outstanding creditors'!$E2846-'data on outstanding creditors'!$F2846-'data on outstanding creditors'!$G2846</f>
        <v>44480</v>
      </c>
      <c r="I2846" s="2"/>
      <c r="J2846" s="1"/>
      <c r="K2846" s="2"/>
      <c r="L2846" s="5"/>
      <c r="M2846" s="9" t="s">
        <v>117</v>
      </c>
      <c r="N2846" s="9" t="s">
        <v>49</v>
      </c>
      <c r="O2846" s="10">
        <f>'data on outstanding creditors'!$E2846*100/107</f>
        <v>41570.09346</v>
      </c>
      <c r="P2846" s="10">
        <f>'data on outstanding creditors'!$E2846-'data on outstanding creditors'!$O2846</f>
        <v>2909.906542</v>
      </c>
      <c r="Q2846" s="7">
        <f>DAY('data on outstanding creditors'!$B2846)</f>
        <v>31</v>
      </c>
      <c r="R2846" s="7">
        <f>MONTH('data on outstanding creditors'!$B2846)</f>
        <v>10</v>
      </c>
      <c r="S2846" s="7">
        <f>YEAR('data on outstanding creditors'!$B2846)</f>
        <v>2025</v>
      </c>
      <c r="T2846" s="11" t="str">
        <f>'data on outstanding creditors'!$C2846&amp;" "&amp;'data on outstanding creditors'!$D2846&amp;" "&amp;TEXT('data on outstanding creditors'!$E2846,"#,##0.00")</f>
        <v>บ.เบทาโกรเกษตรอุตสาหกรรม 12125123907 44,480.00</v>
      </c>
      <c r="U2846" s="12"/>
    </row>
    <row r="2847" ht="13.5" customHeight="1">
      <c r="A2847" s="1" t="s">
        <v>4383</v>
      </c>
      <c r="B2847" s="2">
        <v>45961.0</v>
      </c>
      <c r="C2847" s="9" t="s">
        <v>725</v>
      </c>
      <c r="D2847" s="1" t="s">
        <v>4384</v>
      </c>
      <c r="E2847" s="4">
        <v>62770.0</v>
      </c>
      <c r="F2847" s="4"/>
      <c r="G2847" s="4"/>
      <c r="H2847" s="4">
        <f>'data on outstanding creditors'!$E2847-'data on outstanding creditors'!$F2847-'data on outstanding creditors'!$G2847</f>
        <v>62770</v>
      </c>
      <c r="I2847" s="2"/>
      <c r="J2847" s="1"/>
      <c r="K2847" s="2"/>
      <c r="L2847" s="5"/>
      <c r="M2847" s="9" t="s">
        <v>117</v>
      </c>
      <c r="N2847" s="9" t="s">
        <v>49</v>
      </c>
      <c r="O2847" s="10">
        <f>'data on outstanding creditors'!$E2847*100/107</f>
        <v>58663.5514</v>
      </c>
      <c r="P2847" s="10">
        <f>'data on outstanding creditors'!$E2847-'data on outstanding creditors'!$O2847</f>
        <v>4106.448598</v>
      </c>
      <c r="Q2847" s="7">
        <f>DAY('data on outstanding creditors'!$B2847)</f>
        <v>31</v>
      </c>
      <c r="R2847" s="7">
        <f>MONTH('data on outstanding creditors'!$B2847)</f>
        <v>10</v>
      </c>
      <c r="S2847" s="7">
        <f>YEAR('data on outstanding creditors'!$B2847)</f>
        <v>2025</v>
      </c>
      <c r="T2847" s="11" t="str">
        <f>'data on outstanding creditors'!$C2847&amp;" "&amp;'data on outstanding creditors'!$D2847&amp;" "&amp;TEXT('data on outstanding creditors'!$E2847,"#,##0.00")</f>
        <v>บ.เบทาโกรเกษตรอุตสาหกรรม 121251023902 62,770.00</v>
      </c>
      <c r="U2847" s="12"/>
    </row>
    <row r="2848" ht="13.5" customHeight="1">
      <c r="A2848" s="1"/>
      <c r="B2848" s="2">
        <v>45961.0</v>
      </c>
      <c r="C2848" s="9" t="s">
        <v>119</v>
      </c>
      <c r="D2848" s="1" t="s">
        <v>4385</v>
      </c>
      <c r="E2848" s="4">
        <v>20088.0</v>
      </c>
      <c r="F2848" s="4"/>
      <c r="G2848" s="4"/>
      <c r="H2848" s="4">
        <f>'data on outstanding creditors'!$E2848-'data on outstanding creditors'!$F2848-'data on outstanding creditors'!$G2848</f>
        <v>20088</v>
      </c>
      <c r="I2848" s="2"/>
      <c r="J2848" s="1"/>
      <c r="K2848" s="2"/>
      <c r="L2848" s="5"/>
      <c r="M2848" s="9" t="s">
        <v>117</v>
      </c>
      <c r="N2848" s="9" t="s">
        <v>49</v>
      </c>
      <c r="O2848" s="10">
        <f>'data on outstanding creditors'!$E2848*100/107</f>
        <v>18773.83178</v>
      </c>
      <c r="P2848" s="10">
        <f>'data on outstanding creditors'!$E2848-'data on outstanding creditors'!$O2848</f>
        <v>1314.168224</v>
      </c>
      <c r="Q2848" s="7">
        <f>DAY('data on outstanding creditors'!$B2848)</f>
        <v>31</v>
      </c>
      <c r="R2848" s="7">
        <f>MONTH('data on outstanding creditors'!$B2848)</f>
        <v>10</v>
      </c>
      <c r="S2848" s="7">
        <f>YEAR('data on outstanding creditors'!$B2848)</f>
        <v>2025</v>
      </c>
      <c r="T2848" s="11" t="str">
        <f>'data on outstanding creditors'!$C2848&amp;" "&amp;'data on outstanding creditors'!$D2848&amp;" "&amp;TEXT('data on outstanding creditors'!$E2848,"#,##0.00")</f>
        <v>ร้าน น้ำดื่มเพชราวอเธอร์ 1/25 20,088.00</v>
      </c>
      <c r="U2848" s="12"/>
    </row>
    <row r="2849" ht="13.5" customHeight="1">
      <c r="A2849" s="1" t="s">
        <v>4386</v>
      </c>
      <c r="B2849" s="2">
        <v>45782.0</v>
      </c>
      <c r="C2849" s="9" t="s">
        <v>4387</v>
      </c>
      <c r="D2849" s="1" t="s">
        <v>4388</v>
      </c>
      <c r="E2849" s="4">
        <v>1000.0</v>
      </c>
      <c r="F2849" s="4"/>
      <c r="G2849" s="4"/>
      <c r="H2849" s="4">
        <f>'data on outstanding creditors'!$E2849-'data on outstanding creditors'!$F2849-'data on outstanding creditors'!$G2849</f>
        <v>1000</v>
      </c>
      <c r="I2849" s="2"/>
      <c r="J2849" s="1" t="s">
        <v>646</v>
      </c>
      <c r="K2849" s="2">
        <v>45960.0</v>
      </c>
      <c r="L2849" s="5"/>
      <c r="M2849" s="9" t="s">
        <v>4389</v>
      </c>
      <c r="N2849" s="9" t="s">
        <v>49</v>
      </c>
      <c r="O2849" s="10">
        <f>'data on outstanding creditors'!$E2849*100/107</f>
        <v>934.5794393</v>
      </c>
      <c r="P2849" s="10">
        <f>'data on outstanding creditors'!$E2849-'data on outstanding creditors'!$O2849</f>
        <v>65.42056075</v>
      </c>
      <c r="Q2849" s="7">
        <f>DAY('data on outstanding creditors'!$B2849)</f>
        <v>5</v>
      </c>
      <c r="R2849" s="7">
        <f>MONTH('data on outstanding creditors'!$B2849)</f>
        <v>5</v>
      </c>
      <c r="S2849" s="7">
        <f>YEAR('data on outstanding creditors'!$B2849)</f>
        <v>2025</v>
      </c>
      <c r="T2849" s="11" t="str">
        <f>'data on outstanding creditors'!$C2849&amp;" "&amp;'data on outstanding creditors'!$D2849&amp;" "&amp;TEXT('data on outstanding creditors'!$E2849,"#,##0.00")</f>
        <v>หจก.ดุสิตา ปิโตรเลียม POS#1-P11#1369084 1,000.00</v>
      </c>
      <c r="U2849" s="12"/>
    </row>
    <row r="2850" ht="13.5" customHeight="1">
      <c r="A2850" s="1" t="s">
        <v>4390</v>
      </c>
      <c r="B2850" s="2">
        <v>45869.0</v>
      </c>
      <c r="C2850" s="9" t="s">
        <v>4391</v>
      </c>
      <c r="D2850" s="1" t="s">
        <v>4392</v>
      </c>
      <c r="E2850" s="4">
        <v>162821.53</v>
      </c>
      <c r="F2850" s="4"/>
      <c r="G2850" s="4"/>
      <c r="H2850" s="4">
        <f>'data on outstanding creditors'!$E2850-'data on outstanding creditors'!$F2850-'data on outstanding creditors'!$G2850</f>
        <v>162821.53</v>
      </c>
      <c r="I2850" s="2"/>
      <c r="J2850" s="1"/>
      <c r="K2850" s="2"/>
      <c r="L2850" s="5"/>
      <c r="M2850" s="9" t="s">
        <v>4389</v>
      </c>
      <c r="N2850" s="9" t="s">
        <v>49</v>
      </c>
      <c r="O2850" s="10">
        <f>'data on outstanding creditors'!$E2850*100/107</f>
        <v>152169.6542</v>
      </c>
      <c r="P2850" s="10">
        <f>'data on outstanding creditors'!$E2850-'data on outstanding creditors'!$O2850</f>
        <v>10651.87579</v>
      </c>
      <c r="Q2850" s="7">
        <f>DAY('data on outstanding creditors'!$B2850)</f>
        <v>31</v>
      </c>
      <c r="R2850" s="7">
        <f>MONTH('data on outstanding creditors'!$B2850)</f>
        <v>7</v>
      </c>
      <c r="S2850" s="7">
        <f>YEAR('data on outstanding creditors'!$B2850)</f>
        <v>2025</v>
      </c>
      <c r="T2850" s="11" t="str">
        <f>'data on outstanding creditors'!$C2850&amp;" "&amp;'data on outstanding creditors'!$D2850&amp;" "&amp;TEXT('data on outstanding creditors'!$E2850,"#,##0.00")</f>
        <v>หจก.มานะ-เสริมพล ปิโตรเลียม BN25070543 162,821.53</v>
      </c>
      <c r="U2850" s="12"/>
    </row>
    <row r="2851" ht="13.5" customHeight="1">
      <c r="A2851" s="1" t="s">
        <v>4393</v>
      </c>
      <c r="B2851" s="2">
        <v>45894.0</v>
      </c>
      <c r="C2851" s="9" t="s">
        <v>4394</v>
      </c>
      <c r="D2851" s="1" t="s">
        <v>4395</v>
      </c>
      <c r="E2851" s="4">
        <v>1000.0</v>
      </c>
      <c r="F2851" s="4"/>
      <c r="G2851" s="4"/>
      <c r="H2851" s="4">
        <f>'data on outstanding creditors'!$E2851-'data on outstanding creditors'!$F2851-'data on outstanding creditors'!$G2851</f>
        <v>1000</v>
      </c>
      <c r="I2851" s="2"/>
      <c r="J2851" s="1" t="s">
        <v>646</v>
      </c>
      <c r="K2851" s="2">
        <v>45960.0</v>
      </c>
      <c r="L2851" s="5"/>
      <c r="M2851" s="9" t="s">
        <v>4389</v>
      </c>
      <c r="N2851" s="9" t="s">
        <v>49</v>
      </c>
      <c r="O2851" s="10">
        <f>'data on outstanding creditors'!$E2851*100/107</f>
        <v>934.5794393</v>
      </c>
      <c r="P2851" s="10">
        <f>'data on outstanding creditors'!$E2851-'data on outstanding creditors'!$O2851</f>
        <v>65.42056075</v>
      </c>
      <c r="Q2851" s="7">
        <f>DAY('data on outstanding creditors'!$B2851)</f>
        <v>25</v>
      </c>
      <c r="R2851" s="7">
        <f>MONTH('data on outstanding creditors'!$B2851)</f>
        <v>8</v>
      </c>
      <c r="S2851" s="7">
        <f>YEAR('data on outstanding creditors'!$B2851)</f>
        <v>2025</v>
      </c>
      <c r="T2851" s="11" t="str">
        <f>'data on outstanding creditors'!$C2851&amp;" "&amp;'data on outstanding creditors'!$D2851&amp;" "&amp;TEXT('data on outstanding creditors'!$E2851,"#,##0.00")</f>
        <v>บ.กอชั่งหยู ปิโตรเลียม บิซซิเนส POS#1-P7#2215601 1,000.00</v>
      </c>
      <c r="U2851" s="12"/>
    </row>
    <row r="2852" ht="13.5" customHeight="1">
      <c r="A2852" s="1" t="s">
        <v>4396</v>
      </c>
      <c r="B2852" s="2">
        <v>45900.0</v>
      </c>
      <c r="C2852" s="9" t="s">
        <v>4391</v>
      </c>
      <c r="D2852" s="1" t="s">
        <v>4397</v>
      </c>
      <c r="E2852" s="4">
        <v>139814.84</v>
      </c>
      <c r="F2852" s="4"/>
      <c r="G2852" s="4"/>
      <c r="H2852" s="4">
        <f>'data on outstanding creditors'!$E2852-'data on outstanding creditors'!$F2852-'data on outstanding creditors'!$G2852</f>
        <v>139814.84</v>
      </c>
      <c r="I2852" s="2"/>
      <c r="J2852" s="1"/>
      <c r="K2852" s="2"/>
      <c r="L2852" s="5"/>
      <c r="M2852" s="9" t="s">
        <v>4389</v>
      </c>
      <c r="N2852" s="9" t="s">
        <v>49</v>
      </c>
      <c r="O2852" s="10">
        <f>'data on outstanding creditors'!$E2852*100/107</f>
        <v>130668.0748</v>
      </c>
      <c r="P2852" s="10">
        <f>'data on outstanding creditors'!$E2852-'data on outstanding creditors'!$O2852</f>
        <v>9146.765234</v>
      </c>
      <c r="Q2852" s="7">
        <f>DAY('data on outstanding creditors'!$B2852)</f>
        <v>31</v>
      </c>
      <c r="R2852" s="7">
        <f>MONTH('data on outstanding creditors'!$B2852)</f>
        <v>8</v>
      </c>
      <c r="S2852" s="7">
        <f>YEAR('data on outstanding creditors'!$B2852)</f>
        <v>2025</v>
      </c>
      <c r="T2852" s="11" t="str">
        <f>'data on outstanding creditors'!$C2852&amp;" "&amp;'data on outstanding creditors'!$D2852&amp;" "&amp;TEXT('data on outstanding creditors'!$E2852,"#,##0.00")</f>
        <v>หจก.มานะ-เสริมพล ปิโตรเลียม BN25080567 139,814.84</v>
      </c>
      <c r="U2852" s="12"/>
    </row>
    <row r="2853" ht="13.5" customHeight="1">
      <c r="A2853" s="1" t="s">
        <v>4398</v>
      </c>
      <c r="B2853" s="2">
        <v>45904.0</v>
      </c>
      <c r="C2853" s="9" t="s">
        <v>4399</v>
      </c>
      <c r="D2853" s="1" t="s">
        <v>4400</v>
      </c>
      <c r="E2853" s="4">
        <v>1000.0</v>
      </c>
      <c r="F2853" s="4"/>
      <c r="G2853" s="4"/>
      <c r="H2853" s="4">
        <f>'data on outstanding creditors'!$E2853-'data on outstanding creditors'!$F2853-'data on outstanding creditors'!$G2853</f>
        <v>1000</v>
      </c>
      <c r="I2853" s="2"/>
      <c r="J2853" s="1" t="s">
        <v>646</v>
      </c>
      <c r="K2853" s="2">
        <v>45960.0</v>
      </c>
      <c r="L2853" s="5"/>
      <c r="M2853" s="9" t="s">
        <v>4389</v>
      </c>
      <c r="N2853" s="9" t="s">
        <v>49</v>
      </c>
      <c r="O2853" s="10">
        <f>'data on outstanding creditors'!$E2853*100/107</f>
        <v>934.5794393</v>
      </c>
      <c r="P2853" s="10">
        <f>'data on outstanding creditors'!$E2853-'data on outstanding creditors'!$O2853</f>
        <v>65.42056075</v>
      </c>
      <c r="Q2853" s="7">
        <f>DAY('data on outstanding creditors'!$B2853)</f>
        <v>4</v>
      </c>
      <c r="R2853" s="7">
        <f>MONTH('data on outstanding creditors'!$B2853)</f>
        <v>9</v>
      </c>
      <c r="S2853" s="7">
        <f>YEAR('data on outstanding creditors'!$B2853)</f>
        <v>2025</v>
      </c>
      <c r="T2853" s="11" t="str">
        <f>'data on outstanding creditors'!$C2853&amp;" "&amp;'data on outstanding creditors'!$D2853&amp;" "&amp;TEXT('data on outstanding creditors'!$E2853,"#,##0.00")</f>
        <v>บ.ร่วมใจบริการ (2002) POS#1-P7 #3047509 1,000.00</v>
      </c>
      <c r="U2853" s="12"/>
    </row>
    <row r="2854" ht="13.5" customHeight="1">
      <c r="A2854" s="1" t="s">
        <v>4401</v>
      </c>
      <c r="B2854" s="2">
        <v>45737.0</v>
      </c>
      <c r="C2854" s="9" t="s">
        <v>1087</v>
      </c>
      <c r="D2854" s="1" t="s">
        <v>4402</v>
      </c>
      <c r="E2854" s="4">
        <v>138000.0</v>
      </c>
      <c r="F2854" s="4"/>
      <c r="G2854" s="4"/>
      <c r="H2854" s="4">
        <f>'data on outstanding creditors'!$E2854-'data on outstanding creditors'!$F2854-'data on outstanding creditors'!$G2854</f>
        <v>138000</v>
      </c>
      <c r="I2854" s="2"/>
      <c r="J2854" s="1" t="s">
        <v>646</v>
      </c>
      <c r="K2854" s="2">
        <v>45855.0</v>
      </c>
      <c r="L2854" s="5"/>
      <c r="M2854" s="9" t="s">
        <v>4403</v>
      </c>
      <c r="N2854" s="9" t="s">
        <v>49</v>
      </c>
      <c r="O2854" s="10">
        <f>'data on outstanding creditors'!$E2854*100/107</f>
        <v>128971.9626</v>
      </c>
      <c r="P2854" s="10">
        <f>'data on outstanding creditors'!$E2854-'data on outstanding creditors'!$O2854</f>
        <v>9028.037383</v>
      </c>
      <c r="Q2854" s="7">
        <f>DAY('data on outstanding creditors'!$B2854)</f>
        <v>21</v>
      </c>
      <c r="R2854" s="7">
        <f>MONTH('data on outstanding creditors'!$B2854)</f>
        <v>3</v>
      </c>
      <c r="S2854" s="7">
        <f>YEAR('data on outstanding creditors'!$B2854)</f>
        <v>2025</v>
      </c>
      <c r="T2854" s="11" t="str">
        <f>'data on outstanding creditors'!$C2854&amp;" "&amp;'data on outstanding creditors'!$D2854&amp;" "&amp;TEXT('data on outstanding creditors'!$E2854,"#,##0.00")</f>
        <v>หจก.ดิษยาพรรณ 68-03-0021 138,000.00</v>
      </c>
      <c r="U2854" s="12"/>
    </row>
    <row r="2855" ht="13.5" customHeight="1">
      <c r="A2855" s="1" t="s">
        <v>4404</v>
      </c>
      <c r="B2855" s="2">
        <v>45796.0</v>
      </c>
      <c r="C2855" s="9" t="s">
        <v>4405</v>
      </c>
      <c r="D2855" s="1" t="s">
        <v>4406</v>
      </c>
      <c r="E2855" s="4">
        <v>64000.0</v>
      </c>
      <c r="F2855" s="4"/>
      <c r="G2855" s="4"/>
      <c r="H2855" s="4">
        <f>'data on outstanding creditors'!$E2855-'data on outstanding creditors'!$F2855-'data on outstanding creditors'!$G2855</f>
        <v>64000</v>
      </c>
      <c r="I2855" s="2"/>
      <c r="J2855" s="1" t="s">
        <v>646</v>
      </c>
      <c r="K2855" s="2">
        <v>45928.0</v>
      </c>
      <c r="L2855" s="5"/>
      <c r="M2855" s="9" t="s">
        <v>4403</v>
      </c>
      <c r="N2855" s="9" t="s">
        <v>49</v>
      </c>
      <c r="O2855" s="10">
        <f>'data on outstanding creditors'!$E2855*100/107</f>
        <v>59813.08411</v>
      </c>
      <c r="P2855" s="10">
        <f>'data on outstanding creditors'!$E2855-'data on outstanding creditors'!$O2855</f>
        <v>4186.915888</v>
      </c>
      <c r="Q2855" s="7">
        <f>DAY('data on outstanding creditors'!$B2855)</f>
        <v>19</v>
      </c>
      <c r="R2855" s="7">
        <f>MONTH('data on outstanding creditors'!$B2855)</f>
        <v>5</v>
      </c>
      <c r="S2855" s="7">
        <f>YEAR('data on outstanding creditors'!$B2855)</f>
        <v>2025</v>
      </c>
      <c r="T2855" s="11" t="str">
        <f>'data on outstanding creditors'!$C2855&amp;" "&amp;'data on outstanding creditors'!$D2855&amp;" "&amp;TEXT('data on outstanding creditors'!$E2855,"#,##0.00")</f>
        <v>หสม.วราภรณ์ มาร์เก็ตติ้ง DI6805005 64,000.00</v>
      </c>
      <c r="U2855" s="12"/>
    </row>
    <row r="2856" ht="13.5" customHeight="1">
      <c r="A2856" s="1" t="s">
        <v>4407</v>
      </c>
      <c r="B2856" s="2">
        <v>45812.0</v>
      </c>
      <c r="C2856" s="9" t="s">
        <v>4405</v>
      </c>
      <c r="D2856" s="1" t="s">
        <v>4408</v>
      </c>
      <c r="E2856" s="4">
        <v>17000.0</v>
      </c>
      <c r="F2856" s="4"/>
      <c r="G2856" s="4"/>
      <c r="H2856" s="4">
        <f>'data on outstanding creditors'!$E2856-'data on outstanding creditors'!$F2856-'data on outstanding creditors'!$G2856</f>
        <v>17000</v>
      </c>
      <c r="I2856" s="2"/>
      <c r="J2856" s="1" t="s">
        <v>757</v>
      </c>
      <c r="K2856" s="2">
        <v>45950.0</v>
      </c>
      <c r="L2856" s="5"/>
      <c r="M2856" s="9" t="s">
        <v>4403</v>
      </c>
      <c r="N2856" s="9" t="s">
        <v>49</v>
      </c>
      <c r="O2856" s="10">
        <f>'data on outstanding creditors'!$E2856*100/107</f>
        <v>15887.85047</v>
      </c>
      <c r="P2856" s="10">
        <f>'data on outstanding creditors'!$E2856-'data on outstanding creditors'!$O2856</f>
        <v>1112.149533</v>
      </c>
      <c r="Q2856" s="7">
        <f>DAY('data on outstanding creditors'!$B2856)</f>
        <v>4</v>
      </c>
      <c r="R2856" s="7">
        <f>MONTH('data on outstanding creditors'!$B2856)</f>
        <v>6</v>
      </c>
      <c r="S2856" s="7">
        <f>YEAR('data on outstanding creditors'!$B2856)</f>
        <v>2025</v>
      </c>
      <c r="T2856" s="11" t="str">
        <f>'data on outstanding creditors'!$C2856&amp;" "&amp;'data on outstanding creditors'!$D2856&amp;" "&amp;TEXT('data on outstanding creditors'!$E2856,"#,##0.00")</f>
        <v>หสม.วราภรณ์ มาร์เก็ตติ้ง DI6805017 17,000.00</v>
      </c>
      <c r="U2856" s="12"/>
    </row>
    <row r="2857" ht="13.5" customHeight="1">
      <c r="A2857" s="1"/>
      <c r="B2857" s="2">
        <v>45537.0</v>
      </c>
      <c r="C2857" s="9" t="s">
        <v>366</v>
      </c>
      <c r="D2857" s="1" t="s">
        <v>4409</v>
      </c>
      <c r="E2857" s="4">
        <v>57405.5</v>
      </c>
      <c r="F2857" s="4"/>
      <c r="G2857" s="4"/>
      <c r="H2857" s="4">
        <f>'data on outstanding creditors'!$E2857-'data on outstanding creditors'!$F2857-'data on outstanding creditors'!$G2857</f>
        <v>57405.5</v>
      </c>
      <c r="I2857" s="2"/>
      <c r="J2857" s="1" t="s">
        <v>757</v>
      </c>
      <c r="K2857" s="2">
        <v>45580.0</v>
      </c>
      <c r="L2857" s="5"/>
      <c r="M2857" s="9" t="s">
        <v>125</v>
      </c>
      <c r="N2857" s="9" t="s">
        <v>49</v>
      </c>
      <c r="O2857" s="10">
        <f>'data on outstanding creditors'!$E2857*100/107</f>
        <v>53650</v>
      </c>
      <c r="P2857" s="10">
        <f>'data on outstanding creditors'!$E2857-'data on outstanding creditors'!$O2857</f>
        <v>3755.5</v>
      </c>
      <c r="Q2857" s="7">
        <f>DAY('data on outstanding creditors'!$B2857)</f>
        <v>2</v>
      </c>
      <c r="R2857" s="7">
        <f>MONTH('data on outstanding creditors'!$B2857)</f>
        <v>9</v>
      </c>
      <c r="S2857" s="7">
        <f>YEAR('data on outstanding creditors'!$B2857)</f>
        <v>2024</v>
      </c>
      <c r="T2857" s="11" t="str">
        <f>'data on outstanding creditors'!$C2857&amp;" "&amp;'data on outstanding creditors'!$D2857&amp;" "&amp;TEXT('data on outstanding creditors'!$E2857,"#,##0.00")</f>
        <v>บ.สยามยูเนี่ยนเคมีคอล SOSU6708043 57,405.50</v>
      </c>
      <c r="U2857" s="12"/>
    </row>
    <row r="2858" ht="13.5" customHeight="1">
      <c r="A2858" s="1"/>
      <c r="B2858" s="2">
        <v>45576.0</v>
      </c>
      <c r="C2858" s="9" t="s">
        <v>366</v>
      </c>
      <c r="D2858" s="1" t="s">
        <v>4410</v>
      </c>
      <c r="E2858" s="4">
        <v>69924.5</v>
      </c>
      <c r="F2858" s="4"/>
      <c r="G2858" s="4"/>
      <c r="H2858" s="4">
        <f>'data on outstanding creditors'!$E2858-'data on outstanding creditors'!$F2858-'data on outstanding creditors'!$G2858</f>
        <v>69924.5</v>
      </c>
      <c r="I2858" s="2"/>
      <c r="J2858" s="1" t="s">
        <v>757</v>
      </c>
      <c r="K2858" s="2">
        <v>45615.0</v>
      </c>
      <c r="L2858" s="5"/>
      <c r="M2858" s="9" t="s">
        <v>125</v>
      </c>
      <c r="N2858" s="9" t="s">
        <v>49</v>
      </c>
      <c r="O2858" s="10">
        <f>'data on outstanding creditors'!$E2858*100/107</f>
        <v>65350</v>
      </c>
      <c r="P2858" s="10">
        <f>'data on outstanding creditors'!$E2858-'data on outstanding creditors'!$O2858</f>
        <v>4574.5</v>
      </c>
      <c r="Q2858" s="7">
        <f>DAY('data on outstanding creditors'!$B2858)</f>
        <v>11</v>
      </c>
      <c r="R2858" s="7">
        <f>MONTH('data on outstanding creditors'!$B2858)</f>
        <v>10</v>
      </c>
      <c r="S2858" s="7">
        <f>YEAR('data on outstanding creditors'!$B2858)</f>
        <v>2024</v>
      </c>
      <c r="T2858" s="11" t="str">
        <f>'data on outstanding creditors'!$C2858&amp;" "&amp;'data on outstanding creditors'!$D2858&amp;" "&amp;TEXT('data on outstanding creditors'!$E2858,"#,##0.00")</f>
        <v>บ.สยามยูเนี่ยนเคมีคอล SOSU6709024 69,924.50</v>
      </c>
      <c r="U2858" s="12"/>
    </row>
    <row r="2859" ht="13.5" customHeight="1">
      <c r="A2859" s="1"/>
      <c r="B2859" s="2">
        <v>45576.0</v>
      </c>
      <c r="C2859" s="9" t="s">
        <v>366</v>
      </c>
      <c r="D2859" s="1" t="s">
        <v>4411</v>
      </c>
      <c r="E2859" s="4">
        <v>82390.0</v>
      </c>
      <c r="F2859" s="4"/>
      <c r="G2859" s="4"/>
      <c r="H2859" s="4">
        <f>'data on outstanding creditors'!$E2859-'data on outstanding creditors'!$F2859-'data on outstanding creditors'!$G2859</f>
        <v>82390</v>
      </c>
      <c r="I2859" s="2"/>
      <c r="J2859" s="1" t="s">
        <v>757</v>
      </c>
      <c r="K2859" s="2">
        <v>45615.0</v>
      </c>
      <c r="L2859" s="5"/>
      <c r="M2859" s="9" t="s">
        <v>125</v>
      </c>
      <c r="N2859" s="9" t="s">
        <v>49</v>
      </c>
      <c r="O2859" s="10">
        <f>'data on outstanding creditors'!$E2859*100/107</f>
        <v>77000</v>
      </c>
      <c r="P2859" s="10">
        <f>'data on outstanding creditors'!$E2859-'data on outstanding creditors'!$O2859</f>
        <v>5390</v>
      </c>
      <c r="Q2859" s="7">
        <f>DAY('data on outstanding creditors'!$B2859)</f>
        <v>11</v>
      </c>
      <c r="R2859" s="7">
        <f>MONTH('data on outstanding creditors'!$B2859)</f>
        <v>10</v>
      </c>
      <c r="S2859" s="7">
        <f>YEAR('data on outstanding creditors'!$B2859)</f>
        <v>2024</v>
      </c>
      <c r="T2859" s="11" t="str">
        <f>'data on outstanding creditors'!$C2859&amp;" "&amp;'data on outstanding creditors'!$D2859&amp;" "&amp;TEXT('data on outstanding creditors'!$E2859,"#,##0.00")</f>
        <v>บ.สยามยูเนี่ยนเคมีคอล SOSU6709022 82,390.00</v>
      </c>
      <c r="U2859" s="12"/>
    </row>
    <row r="2860" ht="13.5" customHeight="1">
      <c r="A2860" s="1"/>
      <c r="B2860" s="2">
        <v>45602.0</v>
      </c>
      <c r="C2860" s="9" t="s">
        <v>366</v>
      </c>
      <c r="D2860" s="1" t="s">
        <v>4412</v>
      </c>
      <c r="E2860" s="4">
        <v>57405.5</v>
      </c>
      <c r="F2860" s="4"/>
      <c r="G2860" s="4"/>
      <c r="H2860" s="4">
        <f>'data on outstanding creditors'!$E2860-'data on outstanding creditors'!$F2860-'data on outstanding creditors'!$G2860</f>
        <v>57405.5</v>
      </c>
      <c r="I2860" s="2"/>
      <c r="J2860" s="1" t="s">
        <v>757</v>
      </c>
      <c r="K2860" s="2">
        <v>45648.0</v>
      </c>
      <c r="L2860" s="5"/>
      <c r="M2860" s="9" t="s">
        <v>125</v>
      </c>
      <c r="N2860" s="9" t="s">
        <v>49</v>
      </c>
      <c r="O2860" s="10">
        <f>'data on outstanding creditors'!$E2860*100/107</f>
        <v>53650</v>
      </c>
      <c r="P2860" s="10">
        <f>'data on outstanding creditors'!$E2860-'data on outstanding creditors'!$O2860</f>
        <v>3755.5</v>
      </c>
      <c r="Q2860" s="7">
        <f>DAY('data on outstanding creditors'!$B2860)</f>
        <v>6</v>
      </c>
      <c r="R2860" s="7">
        <f>MONTH('data on outstanding creditors'!$B2860)</f>
        <v>11</v>
      </c>
      <c r="S2860" s="7">
        <f>YEAR('data on outstanding creditors'!$B2860)</f>
        <v>2024</v>
      </c>
      <c r="T2860" s="11" t="str">
        <f>'data on outstanding creditors'!$C2860&amp;" "&amp;'data on outstanding creditors'!$D2860&amp;" "&amp;TEXT('data on outstanding creditors'!$E2860,"#,##0.00")</f>
        <v>บ.สยามยูเนี่ยนเคมีคอล SUSU6710032 57,405.50</v>
      </c>
      <c r="U2860" s="12"/>
    </row>
    <row r="2861" ht="13.5" customHeight="1">
      <c r="A2861" s="1"/>
      <c r="B2861" s="2">
        <v>45603.0</v>
      </c>
      <c r="C2861" s="9" t="s">
        <v>366</v>
      </c>
      <c r="D2861" s="1" t="s">
        <v>4413</v>
      </c>
      <c r="E2861" s="4">
        <v>27392.0</v>
      </c>
      <c r="F2861" s="4"/>
      <c r="G2861" s="4"/>
      <c r="H2861" s="4">
        <f>'data on outstanding creditors'!$E2861-'data on outstanding creditors'!$F2861-'data on outstanding creditors'!$G2861</f>
        <v>27392</v>
      </c>
      <c r="I2861" s="2"/>
      <c r="J2861" s="1" t="s">
        <v>757</v>
      </c>
      <c r="K2861" s="2">
        <v>45648.0</v>
      </c>
      <c r="L2861" s="5"/>
      <c r="M2861" s="9" t="s">
        <v>125</v>
      </c>
      <c r="N2861" s="9" t="s">
        <v>49</v>
      </c>
      <c r="O2861" s="10">
        <f>'data on outstanding creditors'!$E2861*100/107</f>
        <v>25600</v>
      </c>
      <c r="P2861" s="10">
        <f>'data on outstanding creditors'!$E2861-'data on outstanding creditors'!$O2861</f>
        <v>1792</v>
      </c>
      <c r="Q2861" s="7">
        <f>DAY('data on outstanding creditors'!$B2861)</f>
        <v>7</v>
      </c>
      <c r="R2861" s="7">
        <f>MONTH('data on outstanding creditors'!$B2861)</f>
        <v>11</v>
      </c>
      <c r="S2861" s="7">
        <f>YEAR('data on outstanding creditors'!$B2861)</f>
        <v>2024</v>
      </c>
      <c r="T2861" s="11" t="str">
        <f>'data on outstanding creditors'!$C2861&amp;" "&amp;'data on outstanding creditors'!$D2861&amp;" "&amp;TEXT('data on outstanding creditors'!$E2861,"#,##0.00")</f>
        <v>บ.สยามยูเนี่ยนเคมีคอล SOSU6711003 27,392.00</v>
      </c>
      <c r="U2861" s="12"/>
    </row>
    <row r="2862" ht="13.5" customHeight="1">
      <c r="A2862" s="1"/>
      <c r="B2862" s="2">
        <v>45630.0</v>
      </c>
      <c r="C2862" s="9" t="s">
        <v>366</v>
      </c>
      <c r="D2862" s="1" t="s">
        <v>4414</v>
      </c>
      <c r="E2862" s="4">
        <v>82390.0</v>
      </c>
      <c r="F2862" s="4"/>
      <c r="G2862" s="4"/>
      <c r="H2862" s="4">
        <f>'data on outstanding creditors'!$E2862-'data on outstanding creditors'!$F2862-'data on outstanding creditors'!$G2862</f>
        <v>82390</v>
      </c>
      <c r="I2862" s="2"/>
      <c r="J2862" s="1" t="s">
        <v>757</v>
      </c>
      <c r="K2862" s="2">
        <v>45692.0</v>
      </c>
      <c r="L2862" s="5"/>
      <c r="M2862" s="9" t="s">
        <v>125</v>
      </c>
      <c r="N2862" s="9" t="s">
        <v>49</v>
      </c>
      <c r="O2862" s="10">
        <f>'data on outstanding creditors'!$E2862*100/107</f>
        <v>77000</v>
      </c>
      <c r="P2862" s="10">
        <f>'data on outstanding creditors'!$E2862-'data on outstanding creditors'!$O2862</f>
        <v>5390</v>
      </c>
      <c r="Q2862" s="7">
        <f>DAY('data on outstanding creditors'!$B2862)</f>
        <v>4</v>
      </c>
      <c r="R2862" s="7">
        <f>MONTH('data on outstanding creditors'!$B2862)</f>
        <v>12</v>
      </c>
      <c r="S2862" s="7">
        <f>YEAR('data on outstanding creditors'!$B2862)</f>
        <v>2024</v>
      </c>
      <c r="T2862" s="11" t="str">
        <f>'data on outstanding creditors'!$C2862&amp;" "&amp;'data on outstanding creditors'!$D2862&amp;" "&amp;TEXT('data on outstanding creditors'!$E2862,"#,##0.00")</f>
        <v>บ.สยามยูเนี่ยนเคมีคอล SOSU6711019 82,390.00</v>
      </c>
      <c r="U2862" s="12"/>
    </row>
    <row r="2863" ht="13.5" customHeight="1">
      <c r="A2863" s="1"/>
      <c r="B2863" s="2">
        <v>45630.0</v>
      </c>
      <c r="C2863" s="9" t="s">
        <v>366</v>
      </c>
      <c r="D2863" s="1" t="s">
        <v>4415</v>
      </c>
      <c r="E2863" s="4">
        <v>69924.5</v>
      </c>
      <c r="F2863" s="4"/>
      <c r="G2863" s="4"/>
      <c r="H2863" s="4">
        <f>'data on outstanding creditors'!$E2863-'data on outstanding creditors'!$F2863-'data on outstanding creditors'!$G2863</f>
        <v>69924.5</v>
      </c>
      <c r="I2863" s="2"/>
      <c r="J2863" s="1" t="s">
        <v>757</v>
      </c>
      <c r="K2863" s="2">
        <v>45692.0</v>
      </c>
      <c r="L2863" s="5"/>
      <c r="M2863" s="9" t="s">
        <v>125</v>
      </c>
      <c r="N2863" s="9" t="s">
        <v>49</v>
      </c>
      <c r="O2863" s="10">
        <f>'data on outstanding creditors'!$E2863*100/107</f>
        <v>65350</v>
      </c>
      <c r="P2863" s="10">
        <f>'data on outstanding creditors'!$E2863-'data on outstanding creditors'!$O2863</f>
        <v>4574.5</v>
      </c>
      <c r="Q2863" s="7">
        <f>DAY('data on outstanding creditors'!$B2863)</f>
        <v>4</v>
      </c>
      <c r="R2863" s="7">
        <f>MONTH('data on outstanding creditors'!$B2863)</f>
        <v>12</v>
      </c>
      <c r="S2863" s="7">
        <f>YEAR('data on outstanding creditors'!$B2863)</f>
        <v>2024</v>
      </c>
      <c r="T2863" s="11" t="str">
        <f>'data on outstanding creditors'!$C2863&amp;" "&amp;'data on outstanding creditors'!$D2863&amp;" "&amp;TEXT('data on outstanding creditors'!$E2863,"#,##0.00")</f>
        <v>บ.สยามยูเนี่ยนเคมีคอล SOSU6711018 69,924.50</v>
      </c>
      <c r="U2863" s="12"/>
    </row>
    <row r="2864" ht="13.5" customHeight="1">
      <c r="A2864" s="1" t="s">
        <v>4416</v>
      </c>
      <c r="B2864" s="2">
        <v>45670.0</v>
      </c>
      <c r="C2864" s="9" t="s">
        <v>366</v>
      </c>
      <c r="D2864" s="1" t="s">
        <v>4417</v>
      </c>
      <c r="E2864" s="4">
        <v>124120.0</v>
      </c>
      <c r="F2864" s="4"/>
      <c r="G2864" s="4"/>
      <c r="H2864" s="4">
        <f>'data on outstanding creditors'!$E2864-'data on outstanding creditors'!$F2864-'data on outstanding creditors'!$G2864</f>
        <v>124120</v>
      </c>
      <c r="I2864" s="2"/>
      <c r="J2864" s="1" t="s">
        <v>757</v>
      </c>
      <c r="K2864" s="2">
        <v>45707.0</v>
      </c>
      <c r="L2864" s="5"/>
      <c r="M2864" s="9" t="s">
        <v>125</v>
      </c>
      <c r="N2864" s="9" t="s">
        <v>49</v>
      </c>
      <c r="O2864" s="10">
        <f>'data on outstanding creditors'!$E2864*100/107</f>
        <v>116000</v>
      </c>
      <c r="P2864" s="10">
        <f>'data on outstanding creditors'!$E2864-'data on outstanding creditors'!$O2864</f>
        <v>8120</v>
      </c>
      <c r="Q2864" s="7">
        <f>DAY('data on outstanding creditors'!$B2864)</f>
        <v>13</v>
      </c>
      <c r="R2864" s="7">
        <f>MONTH('data on outstanding creditors'!$B2864)</f>
        <v>1</v>
      </c>
      <c r="S2864" s="7">
        <f>YEAR('data on outstanding creditors'!$B2864)</f>
        <v>2025</v>
      </c>
      <c r="T2864" s="11" t="str">
        <f>'data on outstanding creditors'!$C2864&amp;" "&amp;'data on outstanding creditors'!$D2864&amp;" "&amp;TEXT('data on outstanding creditors'!$E2864,"#,##0.00")</f>
        <v>บ.สยามยูเนี่ยนเคมีคอล SOSU6712069 124,120.00</v>
      </c>
      <c r="U2864" s="12"/>
    </row>
    <row r="2865" ht="13.5" customHeight="1">
      <c r="A2865" s="1" t="s">
        <v>4418</v>
      </c>
      <c r="B2865" s="2">
        <v>45691.0</v>
      </c>
      <c r="C2865" s="9" t="s">
        <v>366</v>
      </c>
      <c r="D2865" s="1" t="s">
        <v>4419</v>
      </c>
      <c r="E2865" s="4">
        <v>91003.5</v>
      </c>
      <c r="F2865" s="4"/>
      <c r="G2865" s="4"/>
      <c r="H2865" s="4">
        <f>'data on outstanding creditors'!$E2865-'data on outstanding creditors'!$F2865-'data on outstanding creditors'!$G2865</f>
        <v>91003.5</v>
      </c>
      <c r="I2865" s="2"/>
      <c r="J2865" s="1" t="s">
        <v>757</v>
      </c>
      <c r="K2865" s="2">
        <v>45753.0</v>
      </c>
      <c r="L2865" s="5"/>
      <c r="M2865" s="9" t="s">
        <v>125</v>
      </c>
      <c r="N2865" s="9" t="s">
        <v>49</v>
      </c>
      <c r="O2865" s="10">
        <f>'data on outstanding creditors'!$E2865*100/107</f>
        <v>85050</v>
      </c>
      <c r="P2865" s="10">
        <f>'data on outstanding creditors'!$E2865-'data on outstanding creditors'!$O2865</f>
        <v>5953.5</v>
      </c>
      <c r="Q2865" s="7">
        <f>DAY('data on outstanding creditors'!$B2865)</f>
        <v>3</v>
      </c>
      <c r="R2865" s="7">
        <f>MONTH('data on outstanding creditors'!$B2865)</f>
        <v>2</v>
      </c>
      <c r="S2865" s="7">
        <f>YEAR('data on outstanding creditors'!$B2865)</f>
        <v>2025</v>
      </c>
      <c r="T2865" s="11" t="str">
        <f>'data on outstanding creditors'!$C2865&amp;" "&amp;'data on outstanding creditors'!$D2865&amp;" "&amp;TEXT('data on outstanding creditors'!$E2865,"#,##0.00")</f>
        <v>บ.สยามยูเนี่ยนเคมีคอล SISU6801044 91,003.50</v>
      </c>
      <c r="U2865" s="12"/>
    </row>
    <row r="2866" ht="13.5" customHeight="1">
      <c r="A2866" s="1" t="s">
        <v>4420</v>
      </c>
      <c r="B2866" s="2">
        <v>45722.0</v>
      </c>
      <c r="C2866" s="9" t="s">
        <v>366</v>
      </c>
      <c r="D2866" s="1" t="s">
        <v>4421</v>
      </c>
      <c r="E2866" s="4">
        <v>46545.0</v>
      </c>
      <c r="F2866" s="4"/>
      <c r="G2866" s="4"/>
      <c r="H2866" s="4">
        <f>'data on outstanding creditors'!$E2866-'data on outstanding creditors'!$F2866-'data on outstanding creditors'!$G2866</f>
        <v>46545</v>
      </c>
      <c r="I2866" s="2"/>
      <c r="J2866" s="1" t="s">
        <v>757</v>
      </c>
      <c r="K2866" s="2">
        <v>45766.0</v>
      </c>
      <c r="L2866" s="5"/>
      <c r="M2866" s="9" t="s">
        <v>125</v>
      </c>
      <c r="N2866" s="9" t="s">
        <v>49</v>
      </c>
      <c r="O2866" s="10">
        <f>'data on outstanding creditors'!$E2866*100/107</f>
        <v>43500</v>
      </c>
      <c r="P2866" s="10">
        <f>'data on outstanding creditors'!$E2866-'data on outstanding creditors'!$O2866</f>
        <v>3045</v>
      </c>
      <c r="Q2866" s="7">
        <f>DAY('data on outstanding creditors'!$B2866)</f>
        <v>6</v>
      </c>
      <c r="R2866" s="7">
        <f>MONTH('data on outstanding creditors'!$B2866)</f>
        <v>3</v>
      </c>
      <c r="S2866" s="7">
        <f>YEAR('data on outstanding creditors'!$B2866)</f>
        <v>2025</v>
      </c>
      <c r="T2866" s="11" t="str">
        <f>'data on outstanding creditors'!$C2866&amp;" "&amp;'data on outstanding creditors'!$D2866&amp;" "&amp;TEXT('data on outstanding creditors'!$E2866,"#,##0.00")</f>
        <v>บ.สยามยูเนี่ยนเคมีคอล SOSU6802046 46,545.00</v>
      </c>
      <c r="U2866" s="12"/>
    </row>
    <row r="2867" ht="13.5" customHeight="1">
      <c r="A2867" s="1" t="s">
        <v>4422</v>
      </c>
      <c r="B2867" s="2">
        <v>45744.0</v>
      </c>
      <c r="C2867" s="9" t="s">
        <v>366</v>
      </c>
      <c r="D2867" s="1" t="s">
        <v>4423</v>
      </c>
      <c r="E2867" s="4">
        <v>72760.0</v>
      </c>
      <c r="F2867" s="4"/>
      <c r="G2867" s="4"/>
      <c r="H2867" s="4">
        <f>'data on outstanding creditors'!$E2867-'data on outstanding creditors'!$F2867-'data on outstanding creditors'!$G2867</f>
        <v>72760</v>
      </c>
      <c r="I2867" s="2"/>
      <c r="J2867" s="1" t="s">
        <v>757</v>
      </c>
      <c r="K2867" s="2">
        <v>45766.0</v>
      </c>
      <c r="L2867" s="5"/>
      <c r="M2867" s="9" t="s">
        <v>125</v>
      </c>
      <c r="N2867" s="9" t="s">
        <v>49</v>
      </c>
      <c r="O2867" s="10">
        <f>'data on outstanding creditors'!$E2867*100/107</f>
        <v>68000</v>
      </c>
      <c r="P2867" s="10">
        <f>'data on outstanding creditors'!$E2867-'data on outstanding creditors'!$O2867</f>
        <v>4760</v>
      </c>
      <c r="Q2867" s="7">
        <f>DAY('data on outstanding creditors'!$B2867)</f>
        <v>28</v>
      </c>
      <c r="R2867" s="7">
        <f>MONTH('data on outstanding creditors'!$B2867)</f>
        <v>3</v>
      </c>
      <c r="S2867" s="7">
        <f>YEAR('data on outstanding creditors'!$B2867)</f>
        <v>2025</v>
      </c>
      <c r="T2867" s="11" t="str">
        <f>'data on outstanding creditors'!$C2867&amp;" "&amp;'data on outstanding creditors'!$D2867&amp;" "&amp;TEXT('data on outstanding creditors'!$E2867,"#,##0.00")</f>
        <v>บ.สยามยูเนี่ยนเคมีคอล SOSU6803017 72,760.00</v>
      </c>
      <c r="U2867" s="12"/>
    </row>
    <row r="2868" ht="13.5" customHeight="1">
      <c r="A2868" s="1" t="s">
        <v>4424</v>
      </c>
      <c r="B2868" s="2">
        <v>45749.0</v>
      </c>
      <c r="C2868" s="9" t="s">
        <v>1087</v>
      </c>
      <c r="D2868" s="1" t="s">
        <v>4425</v>
      </c>
      <c r="E2868" s="4">
        <v>238250.0</v>
      </c>
      <c r="F2868" s="4"/>
      <c r="G2868" s="4"/>
      <c r="H2868" s="4">
        <f>'data on outstanding creditors'!$E2868-'data on outstanding creditors'!$F2868-'data on outstanding creditors'!$G2868</f>
        <v>238250</v>
      </c>
      <c r="I2868" s="2"/>
      <c r="J2868" s="1" t="s">
        <v>646</v>
      </c>
      <c r="K2868" s="2">
        <v>45894.0</v>
      </c>
      <c r="L2868" s="5"/>
      <c r="M2868" s="9" t="s">
        <v>125</v>
      </c>
      <c r="N2868" s="9" t="s">
        <v>49</v>
      </c>
      <c r="O2868" s="10">
        <f>'data on outstanding creditors'!$E2868*100/107</f>
        <v>222663.5514</v>
      </c>
      <c r="P2868" s="10">
        <f>'data on outstanding creditors'!$E2868-'data on outstanding creditors'!$O2868</f>
        <v>15586.4486</v>
      </c>
      <c r="Q2868" s="7">
        <f>DAY('data on outstanding creditors'!$B2868)</f>
        <v>2</v>
      </c>
      <c r="R2868" s="7">
        <f>MONTH('data on outstanding creditors'!$B2868)</f>
        <v>4</v>
      </c>
      <c r="S2868" s="7">
        <f>YEAR('data on outstanding creditors'!$B2868)</f>
        <v>2025</v>
      </c>
      <c r="T2868" s="11" t="str">
        <f>'data on outstanding creditors'!$C2868&amp;" "&amp;'data on outstanding creditors'!$D2868&amp;" "&amp;TEXT('data on outstanding creditors'!$E2868,"#,##0.00")</f>
        <v>หจก.ดิษยาพรรณ 68-03-0022 238,250.00</v>
      </c>
      <c r="U2868" s="12"/>
    </row>
    <row r="2869" ht="13.5" customHeight="1">
      <c r="A2869" s="1" t="s">
        <v>4426</v>
      </c>
      <c r="B2869" s="2">
        <v>45785.0</v>
      </c>
      <c r="C2869" s="9" t="s">
        <v>366</v>
      </c>
      <c r="D2869" s="1" t="s">
        <v>4427</v>
      </c>
      <c r="E2869" s="4">
        <v>35524.0</v>
      </c>
      <c r="F2869" s="4"/>
      <c r="G2869" s="4"/>
      <c r="H2869" s="4">
        <f>'data on outstanding creditors'!$E2869-'data on outstanding creditors'!$F2869-'data on outstanding creditors'!$G2869</f>
        <v>35524</v>
      </c>
      <c r="I2869" s="2"/>
      <c r="J2869" s="1" t="s">
        <v>757</v>
      </c>
      <c r="K2869" s="2">
        <v>45874.0</v>
      </c>
      <c r="L2869" s="5"/>
      <c r="M2869" s="9" t="s">
        <v>125</v>
      </c>
      <c r="N2869" s="9" t="s">
        <v>49</v>
      </c>
      <c r="O2869" s="10">
        <f>'data on outstanding creditors'!$E2869*100/107</f>
        <v>33200</v>
      </c>
      <c r="P2869" s="10">
        <f>'data on outstanding creditors'!$E2869-'data on outstanding creditors'!$O2869</f>
        <v>2324</v>
      </c>
      <c r="Q2869" s="7">
        <f>DAY('data on outstanding creditors'!$B2869)</f>
        <v>8</v>
      </c>
      <c r="R2869" s="7">
        <f>MONTH('data on outstanding creditors'!$B2869)</f>
        <v>5</v>
      </c>
      <c r="S2869" s="7">
        <f>YEAR('data on outstanding creditors'!$B2869)</f>
        <v>2025</v>
      </c>
      <c r="T2869" s="11" t="str">
        <f>'data on outstanding creditors'!$C2869&amp;" "&amp;'data on outstanding creditors'!$D2869&amp;" "&amp;TEXT('data on outstanding creditors'!$E2869,"#,##0.00")</f>
        <v>บ.สยามยูเนี่ยนเคมีคอล SOSU6804031 35,524.00</v>
      </c>
      <c r="U2869" s="12"/>
    </row>
    <row r="2870" ht="13.5" customHeight="1">
      <c r="A2870" s="1" t="s">
        <v>4428</v>
      </c>
      <c r="B2870" s="2">
        <v>45790.0</v>
      </c>
      <c r="C2870" s="9" t="s">
        <v>1087</v>
      </c>
      <c r="D2870" s="1" t="s">
        <v>4429</v>
      </c>
      <c r="E2870" s="4">
        <v>38000.0</v>
      </c>
      <c r="F2870" s="4"/>
      <c r="G2870" s="4"/>
      <c r="H2870" s="4">
        <f>'data on outstanding creditors'!$E2870-'data on outstanding creditors'!$F2870-'data on outstanding creditors'!$G2870</f>
        <v>38000</v>
      </c>
      <c r="I2870" s="2"/>
      <c r="J2870" s="1" t="s">
        <v>646</v>
      </c>
      <c r="K2870" s="2">
        <v>45894.0</v>
      </c>
      <c r="L2870" s="5"/>
      <c r="M2870" s="9" t="s">
        <v>125</v>
      </c>
      <c r="N2870" s="9" t="s">
        <v>49</v>
      </c>
      <c r="O2870" s="10">
        <f>'data on outstanding creditors'!$E2870*100/107</f>
        <v>35514.01869</v>
      </c>
      <c r="P2870" s="10">
        <f>'data on outstanding creditors'!$E2870-'data on outstanding creditors'!$O2870</f>
        <v>2485.981308</v>
      </c>
      <c r="Q2870" s="7">
        <f>DAY('data on outstanding creditors'!$B2870)</f>
        <v>13</v>
      </c>
      <c r="R2870" s="7">
        <f>MONTH('data on outstanding creditors'!$B2870)</f>
        <v>5</v>
      </c>
      <c r="S2870" s="7">
        <f>YEAR('data on outstanding creditors'!$B2870)</f>
        <v>2025</v>
      </c>
      <c r="T2870" s="11" t="str">
        <f>'data on outstanding creditors'!$C2870&amp;" "&amp;'data on outstanding creditors'!$D2870&amp;" "&amp;TEXT('data on outstanding creditors'!$E2870,"#,##0.00")</f>
        <v>หจก.ดิษยาพรรณ 68-05-0001 38,000.00</v>
      </c>
      <c r="U2870" s="12"/>
    </row>
    <row r="2871" ht="13.5" customHeight="1">
      <c r="A2871" s="1" t="s">
        <v>4430</v>
      </c>
      <c r="B2871" s="2">
        <v>45796.0</v>
      </c>
      <c r="C2871" s="9" t="s">
        <v>4431</v>
      </c>
      <c r="D2871" s="1" t="s">
        <v>4432</v>
      </c>
      <c r="E2871" s="4">
        <v>76000.0</v>
      </c>
      <c r="F2871" s="4"/>
      <c r="G2871" s="4"/>
      <c r="H2871" s="4">
        <f>'data on outstanding creditors'!$E2871-'data on outstanding creditors'!$F2871-'data on outstanding creditors'!$G2871</f>
        <v>76000</v>
      </c>
      <c r="I2871" s="2"/>
      <c r="J2871" s="1" t="s">
        <v>757</v>
      </c>
      <c r="K2871" s="2">
        <v>45871.0</v>
      </c>
      <c r="L2871" s="5"/>
      <c r="M2871" s="9" t="s">
        <v>125</v>
      </c>
      <c r="N2871" s="9" t="s">
        <v>49</v>
      </c>
      <c r="O2871" s="10">
        <f>'data on outstanding creditors'!$E2871*100/107</f>
        <v>71028.03738</v>
      </c>
      <c r="P2871" s="10">
        <f>'data on outstanding creditors'!$E2871-'data on outstanding creditors'!$O2871</f>
        <v>4971.962617</v>
      </c>
      <c r="Q2871" s="7">
        <f>DAY('data on outstanding creditors'!$B2871)</f>
        <v>19</v>
      </c>
      <c r="R2871" s="7">
        <f>MONTH('data on outstanding creditors'!$B2871)</f>
        <v>5</v>
      </c>
      <c r="S2871" s="7">
        <f>YEAR('data on outstanding creditors'!$B2871)</f>
        <v>2025</v>
      </c>
      <c r="T2871" s="11" t="str">
        <f>'data on outstanding creditors'!$C2871&amp;" "&amp;'data on outstanding creditors'!$D2871&amp;" "&amp;TEXT('data on outstanding creditors'!$E2871,"#,##0.00")</f>
        <v>หจก.ศุภเจตน์ เทรดดิ้ง กรุ๊ป 2568/0084 76,000.00</v>
      </c>
      <c r="U2871" s="12"/>
    </row>
    <row r="2872" ht="13.5" customHeight="1">
      <c r="A2872" s="1" t="s">
        <v>4433</v>
      </c>
      <c r="B2872" s="2">
        <v>45798.0</v>
      </c>
      <c r="C2872" s="9" t="s">
        <v>1096</v>
      </c>
      <c r="D2872" s="1" t="s">
        <v>4434</v>
      </c>
      <c r="E2872" s="4">
        <v>5392.8</v>
      </c>
      <c r="F2872" s="4"/>
      <c r="G2872" s="4"/>
      <c r="H2872" s="4">
        <f>'data on outstanding creditors'!$E2872-'data on outstanding creditors'!$F2872-'data on outstanding creditors'!$G2872</f>
        <v>5392.8</v>
      </c>
      <c r="I2872" s="2"/>
      <c r="J2872" s="1" t="s">
        <v>646</v>
      </c>
      <c r="K2872" s="2">
        <v>45944.0</v>
      </c>
      <c r="L2872" s="5"/>
      <c r="M2872" s="9" t="s">
        <v>125</v>
      </c>
      <c r="N2872" s="9" t="s">
        <v>49</v>
      </c>
      <c r="O2872" s="10">
        <f>'data on outstanding creditors'!$E2872*100/107</f>
        <v>5040</v>
      </c>
      <c r="P2872" s="10">
        <f>'data on outstanding creditors'!$E2872-'data on outstanding creditors'!$O2872</f>
        <v>352.8</v>
      </c>
      <c r="Q2872" s="7">
        <f>DAY('data on outstanding creditors'!$B2872)</f>
        <v>21</v>
      </c>
      <c r="R2872" s="7">
        <f>MONTH('data on outstanding creditors'!$B2872)</f>
        <v>5</v>
      </c>
      <c r="S2872" s="7">
        <f>YEAR('data on outstanding creditors'!$B2872)</f>
        <v>2025</v>
      </c>
      <c r="T2872" s="11" t="str">
        <f>'data on outstanding creditors'!$C2872&amp;" "&amp;'data on outstanding creditors'!$D2872&amp;" "&amp;TEXT('data on outstanding creditors'!$E2872,"#,##0.00")</f>
        <v>หจก.กิตติเชษฐ์ เอสพีอาร์ IV8050612 5,392.80</v>
      </c>
      <c r="U2872" s="12"/>
    </row>
    <row r="2873" ht="13.5" customHeight="1">
      <c r="A2873" s="1" t="s">
        <v>4435</v>
      </c>
      <c r="B2873" s="2">
        <v>45807.0</v>
      </c>
      <c r="C2873" s="9" t="s">
        <v>341</v>
      </c>
      <c r="D2873" s="1" t="s">
        <v>4436</v>
      </c>
      <c r="E2873" s="4">
        <v>71250.0</v>
      </c>
      <c r="F2873" s="4"/>
      <c r="G2873" s="4"/>
      <c r="H2873" s="4">
        <f>'data on outstanding creditors'!$E2873-'data on outstanding creditors'!$F2873-'data on outstanding creditors'!$G2873</f>
        <v>71250</v>
      </c>
      <c r="I2873" s="2"/>
      <c r="J2873" s="1" t="s">
        <v>646</v>
      </c>
      <c r="K2873" s="2">
        <v>45906.0</v>
      </c>
      <c r="L2873" s="5"/>
      <c r="M2873" s="9" t="s">
        <v>125</v>
      </c>
      <c r="N2873" s="9" t="s">
        <v>49</v>
      </c>
      <c r="O2873" s="10">
        <f>'data on outstanding creditors'!$E2873*100/107</f>
        <v>66588.78505</v>
      </c>
      <c r="P2873" s="10">
        <f>'data on outstanding creditors'!$E2873-'data on outstanding creditors'!$O2873</f>
        <v>4661.214953</v>
      </c>
      <c r="Q2873" s="7">
        <f>DAY('data on outstanding creditors'!$B2873)</f>
        <v>30</v>
      </c>
      <c r="R2873" s="7">
        <f>MONTH('data on outstanding creditors'!$B2873)</f>
        <v>5</v>
      </c>
      <c r="S2873" s="7">
        <f>YEAR('data on outstanding creditors'!$B2873)</f>
        <v>2025</v>
      </c>
      <c r="T2873" s="11" t="str">
        <f>'data on outstanding creditors'!$C2873&amp;" "&amp;'data on outstanding creditors'!$D2873&amp;" "&amp;TEXT('data on outstanding creditors'!$E2873,"#,##0.00")</f>
        <v>บ.เพียว ออร์กา คอร์ปอเรชั่น IVT-20250500005 71,250.00</v>
      </c>
      <c r="U2873" s="12"/>
    </row>
    <row r="2874" ht="13.5" customHeight="1">
      <c r="A2874" s="1" t="s">
        <v>4437</v>
      </c>
      <c r="B2874" s="2">
        <v>45812.0</v>
      </c>
      <c r="C2874" s="9" t="s">
        <v>4405</v>
      </c>
      <c r="D2874" s="1" t="s">
        <v>4438</v>
      </c>
      <c r="E2874" s="4">
        <v>87500.0</v>
      </c>
      <c r="F2874" s="4"/>
      <c r="G2874" s="4"/>
      <c r="H2874" s="4">
        <f>'data on outstanding creditors'!$E2874-'data on outstanding creditors'!$F2874-'data on outstanding creditors'!$G2874</f>
        <v>87500</v>
      </c>
      <c r="I2874" s="2"/>
      <c r="J2874" s="1"/>
      <c r="K2874" s="2"/>
      <c r="L2874" s="5"/>
      <c r="M2874" s="9" t="s">
        <v>125</v>
      </c>
      <c r="N2874" s="9" t="s">
        <v>49</v>
      </c>
      <c r="O2874" s="10">
        <f>'data on outstanding creditors'!$E2874*100/107</f>
        <v>81775.70093</v>
      </c>
      <c r="P2874" s="10">
        <f>'data on outstanding creditors'!$E2874-'data on outstanding creditors'!$O2874</f>
        <v>5724.299065</v>
      </c>
      <c r="Q2874" s="7">
        <f>DAY('data on outstanding creditors'!$B2874)</f>
        <v>4</v>
      </c>
      <c r="R2874" s="7">
        <f>MONTH('data on outstanding creditors'!$B2874)</f>
        <v>6</v>
      </c>
      <c r="S2874" s="7">
        <f>YEAR('data on outstanding creditors'!$B2874)</f>
        <v>2025</v>
      </c>
      <c r="T2874" s="11" t="str">
        <f>'data on outstanding creditors'!$C2874&amp;" "&amp;'data on outstanding creditors'!$D2874&amp;" "&amp;TEXT('data on outstanding creditors'!$E2874,"#,##0.00")</f>
        <v>หสม.วราภรณ์ มาร์เก็ตติ้ง DI6805025 87,500.00</v>
      </c>
      <c r="U2874" s="12"/>
    </row>
    <row r="2875" ht="13.5" customHeight="1">
      <c r="A2875" s="1" t="s">
        <v>4439</v>
      </c>
      <c r="B2875" s="2">
        <v>45821.0</v>
      </c>
      <c r="C2875" s="9" t="s">
        <v>4431</v>
      </c>
      <c r="D2875" s="1" t="s">
        <v>4440</v>
      </c>
      <c r="E2875" s="4">
        <v>59000.0</v>
      </c>
      <c r="F2875" s="4"/>
      <c r="G2875" s="4"/>
      <c r="H2875" s="4">
        <f>'data on outstanding creditors'!$E2875-'data on outstanding creditors'!$F2875-'data on outstanding creditors'!$G2875</f>
        <v>59000</v>
      </c>
      <c r="I2875" s="2"/>
      <c r="J2875" s="1" t="s">
        <v>757</v>
      </c>
      <c r="K2875" s="2">
        <v>45885.0</v>
      </c>
      <c r="L2875" s="5"/>
      <c r="M2875" s="9" t="s">
        <v>125</v>
      </c>
      <c r="N2875" s="9" t="s">
        <v>49</v>
      </c>
      <c r="O2875" s="10">
        <f>'data on outstanding creditors'!$E2875*100/107</f>
        <v>55140.18692</v>
      </c>
      <c r="P2875" s="10">
        <f>'data on outstanding creditors'!$E2875-'data on outstanding creditors'!$O2875</f>
        <v>3859.813084</v>
      </c>
      <c r="Q2875" s="7">
        <f>DAY('data on outstanding creditors'!$B2875)</f>
        <v>13</v>
      </c>
      <c r="R2875" s="7">
        <f>MONTH('data on outstanding creditors'!$B2875)</f>
        <v>6</v>
      </c>
      <c r="S2875" s="7">
        <f>YEAR('data on outstanding creditors'!$B2875)</f>
        <v>2025</v>
      </c>
      <c r="T2875" s="11" t="str">
        <f>'data on outstanding creditors'!$C2875&amp;" "&amp;'data on outstanding creditors'!$D2875&amp;" "&amp;TEXT('data on outstanding creditors'!$E2875,"#,##0.00")</f>
        <v>หจก.ศุภเจตน์ เทรดดิ้ง กรุ๊ป 2568/0097 59,000.00</v>
      </c>
      <c r="U2875" s="12"/>
    </row>
    <row r="2876" ht="13.5" customHeight="1">
      <c r="A2876" s="1" t="s">
        <v>4441</v>
      </c>
      <c r="B2876" s="2">
        <v>45827.0</v>
      </c>
      <c r="C2876" s="9" t="s">
        <v>341</v>
      </c>
      <c r="D2876" s="1" t="s">
        <v>4442</v>
      </c>
      <c r="E2876" s="4">
        <v>97800.0</v>
      </c>
      <c r="F2876" s="4"/>
      <c r="G2876" s="4"/>
      <c r="H2876" s="4">
        <f>'data on outstanding creditors'!$E2876-'data on outstanding creditors'!$F2876-'data on outstanding creditors'!$G2876</f>
        <v>97800</v>
      </c>
      <c r="I2876" s="2"/>
      <c r="J2876" s="1" t="s">
        <v>646</v>
      </c>
      <c r="K2876" s="2">
        <v>45944.0</v>
      </c>
      <c r="L2876" s="5"/>
      <c r="M2876" s="9" t="s">
        <v>125</v>
      </c>
      <c r="N2876" s="9" t="s">
        <v>49</v>
      </c>
      <c r="O2876" s="10">
        <f>'data on outstanding creditors'!$E2876*100/107</f>
        <v>91401.86916</v>
      </c>
      <c r="P2876" s="10">
        <f>'data on outstanding creditors'!$E2876-'data on outstanding creditors'!$O2876</f>
        <v>6398.130841</v>
      </c>
      <c r="Q2876" s="7">
        <f>DAY('data on outstanding creditors'!$B2876)</f>
        <v>19</v>
      </c>
      <c r="R2876" s="7">
        <f>MONTH('data on outstanding creditors'!$B2876)</f>
        <v>6</v>
      </c>
      <c r="S2876" s="7">
        <f>YEAR('data on outstanding creditors'!$B2876)</f>
        <v>2025</v>
      </c>
      <c r="T2876" s="11" t="str">
        <f>'data on outstanding creditors'!$C2876&amp;" "&amp;'data on outstanding creditors'!$D2876&amp;" "&amp;TEXT('data on outstanding creditors'!$E2876,"#,##0.00")</f>
        <v>บ.เพียว ออร์กา คอร์ปอเรชั่น IVT-20250500022 97,800.00</v>
      </c>
      <c r="U2876" s="12"/>
    </row>
    <row r="2877" ht="13.5" customHeight="1">
      <c r="A2877" s="1" t="s">
        <v>4443</v>
      </c>
      <c r="B2877" s="2">
        <v>45845.0</v>
      </c>
      <c r="C2877" s="9" t="s">
        <v>4431</v>
      </c>
      <c r="D2877" s="1" t="s">
        <v>4444</v>
      </c>
      <c r="E2877" s="4">
        <v>132000.0</v>
      </c>
      <c r="F2877" s="4"/>
      <c r="G2877" s="4"/>
      <c r="H2877" s="4">
        <f>'data on outstanding creditors'!$E2877-'data on outstanding creditors'!$F2877-'data on outstanding creditors'!$G2877</f>
        <v>132000</v>
      </c>
      <c r="I2877" s="2"/>
      <c r="J2877" s="1" t="s">
        <v>757</v>
      </c>
      <c r="K2877" s="2">
        <v>45901.0</v>
      </c>
      <c r="L2877" s="5"/>
      <c r="M2877" s="9" t="s">
        <v>125</v>
      </c>
      <c r="N2877" s="9" t="s">
        <v>49</v>
      </c>
      <c r="O2877" s="10">
        <f>'data on outstanding creditors'!$E2877*100/107</f>
        <v>123364.486</v>
      </c>
      <c r="P2877" s="10">
        <f>'data on outstanding creditors'!$E2877-'data on outstanding creditors'!$O2877</f>
        <v>8635.514019</v>
      </c>
      <c r="Q2877" s="7">
        <f>DAY('data on outstanding creditors'!$B2877)</f>
        <v>7</v>
      </c>
      <c r="R2877" s="7">
        <f>MONTH('data on outstanding creditors'!$B2877)</f>
        <v>7</v>
      </c>
      <c r="S2877" s="7">
        <f>YEAR('data on outstanding creditors'!$B2877)</f>
        <v>2025</v>
      </c>
      <c r="T2877" s="11" t="str">
        <f>'data on outstanding creditors'!$C2877&amp;" "&amp;'data on outstanding creditors'!$D2877&amp;" "&amp;TEXT('data on outstanding creditors'!$E2877,"#,##0.00")</f>
        <v>หจก.ศุภเจตน์ เทรดดิ้ง กรุ๊ป 2568/0130 132,000.00</v>
      </c>
      <c r="U2877" s="12"/>
    </row>
    <row r="2878" ht="13.5" customHeight="1">
      <c r="A2878" s="1" t="s">
        <v>4445</v>
      </c>
      <c r="B2878" s="2">
        <v>45852.0</v>
      </c>
      <c r="C2878" s="9" t="s">
        <v>341</v>
      </c>
      <c r="D2878" s="1" t="s">
        <v>4446</v>
      </c>
      <c r="E2878" s="4">
        <v>84000.0</v>
      </c>
      <c r="F2878" s="4"/>
      <c r="G2878" s="4"/>
      <c r="H2878" s="4">
        <f>'data on outstanding creditors'!$E2878-'data on outstanding creditors'!$F2878-'data on outstanding creditors'!$G2878</f>
        <v>84000</v>
      </c>
      <c r="I2878" s="2"/>
      <c r="J2878" s="1" t="s">
        <v>646</v>
      </c>
      <c r="K2878" s="2">
        <v>45944.0</v>
      </c>
      <c r="L2878" s="5"/>
      <c r="M2878" s="9" t="s">
        <v>125</v>
      </c>
      <c r="N2878" s="9" t="s">
        <v>49</v>
      </c>
      <c r="O2878" s="10">
        <f>'data on outstanding creditors'!$E2878*100/107</f>
        <v>78504.6729</v>
      </c>
      <c r="P2878" s="10">
        <f>'data on outstanding creditors'!$E2878-'data on outstanding creditors'!$O2878</f>
        <v>5495.327103</v>
      </c>
      <c r="Q2878" s="7">
        <f>DAY('data on outstanding creditors'!$B2878)</f>
        <v>14</v>
      </c>
      <c r="R2878" s="7">
        <f>MONTH('data on outstanding creditors'!$B2878)</f>
        <v>7</v>
      </c>
      <c r="S2878" s="7">
        <f>YEAR('data on outstanding creditors'!$B2878)</f>
        <v>2025</v>
      </c>
      <c r="T2878" s="11" t="str">
        <f>'data on outstanding creditors'!$C2878&amp;" "&amp;'data on outstanding creditors'!$D2878&amp;" "&amp;TEXT('data on outstanding creditors'!$E2878,"#,##0.00")</f>
        <v>บ.เพียว ออร์กา คอร์ปอเรชั่น IVT-20250600019 84,000.00</v>
      </c>
      <c r="U2878" s="12"/>
    </row>
    <row r="2879" ht="13.5" customHeight="1">
      <c r="A2879" s="1" t="s">
        <v>4447</v>
      </c>
      <c r="B2879" s="2">
        <v>45854.0</v>
      </c>
      <c r="C2879" s="9" t="s">
        <v>1096</v>
      </c>
      <c r="D2879" s="1" t="s">
        <v>4448</v>
      </c>
      <c r="E2879" s="4">
        <v>2700.0</v>
      </c>
      <c r="F2879" s="4"/>
      <c r="G2879" s="4"/>
      <c r="H2879" s="4">
        <f>'data on outstanding creditors'!$E2879-'data on outstanding creditors'!$F2879-'data on outstanding creditors'!$G2879</f>
        <v>2700</v>
      </c>
      <c r="I2879" s="2"/>
      <c r="J2879" s="1" t="s">
        <v>646</v>
      </c>
      <c r="K2879" s="2">
        <v>45944.0</v>
      </c>
      <c r="L2879" s="5"/>
      <c r="M2879" s="9" t="s">
        <v>125</v>
      </c>
      <c r="N2879" s="9" t="s">
        <v>49</v>
      </c>
      <c r="O2879" s="10">
        <f>'data on outstanding creditors'!$E2879*100/107</f>
        <v>2523.364486</v>
      </c>
      <c r="P2879" s="10">
        <f>'data on outstanding creditors'!$E2879-'data on outstanding creditors'!$O2879</f>
        <v>176.635514</v>
      </c>
      <c r="Q2879" s="7">
        <f>DAY('data on outstanding creditors'!$B2879)</f>
        <v>16</v>
      </c>
      <c r="R2879" s="7">
        <f>MONTH('data on outstanding creditors'!$B2879)</f>
        <v>7</v>
      </c>
      <c r="S2879" s="7">
        <f>YEAR('data on outstanding creditors'!$B2879)</f>
        <v>2025</v>
      </c>
      <c r="T2879" s="11" t="str">
        <f>'data on outstanding creditors'!$C2879&amp;" "&amp;'data on outstanding creditors'!$D2879&amp;" "&amp;TEXT('data on outstanding creditors'!$E2879,"#,##0.00")</f>
        <v>หจก.กิตติเชษฐ์ เอสพีอาร์ IV8070569 2,700.00</v>
      </c>
      <c r="U2879" s="12"/>
    </row>
    <row r="2880" ht="13.5" customHeight="1">
      <c r="A2880" s="1" t="s">
        <v>4449</v>
      </c>
      <c r="B2880" s="2">
        <v>45854.0</v>
      </c>
      <c r="C2880" s="9" t="s">
        <v>103</v>
      </c>
      <c r="D2880" s="1" t="s">
        <v>4450</v>
      </c>
      <c r="E2880" s="4">
        <v>1920.0</v>
      </c>
      <c r="F2880" s="4"/>
      <c r="G2880" s="4"/>
      <c r="H2880" s="4">
        <f>'data on outstanding creditors'!$E2880-'data on outstanding creditors'!$F2880-'data on outstanding creditors'!$G2880</f>
        <v>1920</v>
      </c>
      <c r="I2880" s="2"/>
      <c r="J2880" s="1"/>
      <c r="K2880" s="2"/>
      <c r="L2880" s="5"/>
      <c r="M2880" s="9" t="s">
        <v>125</v>
      </c>
      <c r="N2880" s="9" t="s">
        <v>49</v>
      </c>
      <c r="O2880" s="10">
        <f>'data on outstanding creditors'!$E2880*100/107</f>
        <v>1794.392523</v>
      </c>
      <c r="P2880" s="10">
        <f>'data on outstanding creditors'!$E2880-'data on outstanding creditors'!$O2880</f>
        <v>125.6074766</v>
      </c>
      <c r="Q2880" s="7">
        <f>DAY('data on outstanding creditors'!$B2880)</f>
        <v>16</v>
      </c>
      <c r="R2880" s="7">
        <f>MONTH('data on outstanding creditors'!$B2880)</f>
        <v>7</v>
      </c>
      <c r="S2880" s="7">
        <f>YEAR('data on outstanding creditors'!$B2880)</f>
        <v>2025</v>
      </c>
      <c r="T2880" s="11" t="str">
        <f>'data on outstanding creditors'!$C2880&amp;" "&amp;'data on outstanding creditors'!$D2880&amp;" "&amp;TEXT('data on outstanding creditors'!$E2880,"#,##0.00")</f>
        <v>บ.ก้ำหมงเครื่องครัว INV680716004 1,920.00</v>
      </c>
      <c r="U2880" s="12"/>
    </row>
    <row r="2881" ht="13.5" customHeight="1">
      <c r="A2881" s="1" t="s">
        <v>4451</v>
      </c>
      <c r="B2881" s="2">
        <v>45859.0</v>
      </c>
      <c r="C2881" s="9" t="s">
        <v>4431</v>
      </c>
      <c r="D2881" s="1" t="s">
        <v>4452</v>
      </c>
      <c r="E2881" s="4">
        <v>14000.0</v>
      </c>
      <c r="F2881" s="4"/>
      <c r="G2881" s="4"/>
      <c r="H2881" s="4">
        <f>'data on outstanding creditors'!$E2881-'data on outstanding creditors'!$F2881-'data on outstanding creditors'!$G2881</f>
        <v>14000</v>
      </c>
      <c r="I2881" s="2"/>
      <c r="J2881" s="1" t="s">
        <v>757</v>
      </c>
      <c r="K2881" s="2">
        <v>45901.0</v>
      </c>
      <c r="L2881" s="5"/>
      <c r="M2881" s="9" t="s">
        <v>125</v>
      </c>
      <c r="N2881" s="9" t="s">
        <v>49</v>
      </c>
      <c r="O2881" s="10">
        <f>'data on outstanding creditors'!$E2881*100/107</f>
        <v>13084.11215</v>
      </c>
      <c r="P2881" s="10">
        <f>'data on outstanding creditors'!$E2881-'data on outstanding creditors'!$O2881</f>
        <v>915.8878505</v>
      </c>
      <c r="Q2881" s="7">
        <f>DAY('data on outstanding creditors'!$B2881)</f>
        <v>21</v>
      </c>
      <c r="R2881" s="7">
        <f>MONTH('data on outstanding creditors'!$B2881)</f>
        <v>7</v>
      </c>
      <c r="S2881" s="7">
        <f>YEAR('data on outstanding creditors'!$B2881)</f>
        <v>2025</v>
      </c>
      <c r="T2881" s="11" t="str">
        <f>'data on outstanding creditors'!$C2881&amp;" "&amp;'data on outstanding creditors'!$D2881&amp;" "&amp;TEXT('data on outstanding creditors'!$E2881,"#,##0.00")</f>
        <v>หจก.ศุภเจตน์ เทรดดิ้ง กรุ๊ป 2568/0141 14,000.00</v>
      </c>
      <c r="U2881" s="12"/>
    </row>
    <row r="2882" ht="13.5" customHeight="1">
      <c r="A2882" s="1" t="s">
        <v>4453</v>
      </c>
      <c r="B2882" s="2">
        <v>45860.0</v>
      </c>
      <c r="C2882" s="9" t="s">
        <v>129</v>
      </c>
      <c r="D2882" s="1" t="s">
        <v>4454</v>
      </c>
      <c r="E2882" s="4">
        <v>20300.0</v>
      </c>
      <c r="F2882" s="4"/>
      <c r="G2882" s="4"/>
      <c r="H2882" s="4">
        <f>'data on outstanding creditors'!$E2882-'data on outstanding creditors'!$F2882-'data on outstanding creditors'!$G2882</f>
        <v>20300</v>
      </c>
      <c r="I2882" s="2"/>
      <c r="J2882" s="1" t="s">
        <v>646</v>
      </c>
      <c r="K2882" s="2">
        <v>45960.0</v>
      </c>
      <c r="L2882" s="5"/>
      <c r="M2882" s="9" t="s">
        <v>125</v>
      </c>
      <c r="N2882" s="9" t="s">
        <v>49</v>
      </c>
      <c r="O2882" s="10">
        <f>'data on outstanding creditors'!$E2882*100/107</f>
        <v>18971.96262</v>
      </c>
      <c r="P2882" s="10">
        <f>'data on outstanding creditors'!$E2882-'data on outstanding creditors'!$O2882</f>
        <v>1328.037383</v>
      </c>
      <c r="Q2882" s="7">
        <f>DAY('data on outstanding creditors'!$B2882)</f>
        <v>22</v>
      </c>
      <c r="R2882" s="7">
        <f>MONTH('data on outstanding creditors'!$B2882)</f>
        <v>7</v>
      </c>
      <c r="S2882" s="7">
        <f>YEAR('data on outstanding creditors'!$B2882)</f>
        <v>2025</v>
      </c>
      <c r="T2882" s="11" t="str">
        <f>'data on outstanding creditors'!$C2882&amp;" "&amp;'data on outstanding creditors'!$D2882&amp;" "&amp;TEXT('data on outstanding creditors'!$E2882,"#,##0.00")</f>
        <v>นางสาว สุวรรณี บานประโคน 1/6 20,300.00</v>
      </c>
      <c r="U2882" s="12"/>
    </row>
    <row r="2883" ht="13.5" customHeight="1">
      <c r="A2883" s="1" t="s">
        <v>4455</v>
      </c>
      <c r="B2883" s="2">
        <v>45860.0</v>
      </c>
      <c r="C2883" s="9" t="s">
        <v>129</v>
      </c>
      <c r="D2883" s="1" t="s">
        <v>4454</v>
      </c>
      <c r="E2883" s="4">
        <v>22800.0</v>
      </c>
      <c r="F2883" s="4"/>
      <c r="G2883" s="4"/>
      <c r="H2883" s="4">
        <f>'data on outstanding creditors'!$E2883-'data on outstanding creditors'!$F2883-'data on outstanding creditors'!$G2883</f>
        <v>22800</v>
      </c>
      <c r="I2883" s="2"/>
      <c r="J2883" s="1" t="s">
        <v>646</v>
      </c>
      <c r="K2883" s="2">
        <v>45960.0</v>
      </c>
      <c r="L2883" s="5"/>
      <c r="M2883" s="9" t="s">
        <v>125</v>
      </c>
      <c r="N2883" s="9" t="s">
        <v>49</v>
      </c>
      <c r="O2883" s="10">
        <f>'data on outstanding creditors'!$E2883*100/107</f>
        <v>21308.41121</v>
      </c>
      <c r="P2883" s="10">
        <f>'data on outstanding creditors'!$E2883-'data on outstanding creditors'!$O2883</f>
        <v>1491.588785</v>
      </c>
      <c r="Q2883" s="7">
        <f>DAY('data on outstanding creditors'!$B2883)</f>
        <v>22</v>
      </c>
      <c r="R2883" s="7">
        <f>MONTH('data on outstanding creditors'!$B2883)</f>
        <v>7</v>
      </c>
      <c r="S2883" s="7">
        <f>YEAR('data on outstanding creditors'!$B2883)</f>
        <v>2025</v>
      </c>
      <c r="T2883" s="11" t="str">
        <f>'data on outstanding creditors'!$C2883&amp;" "&amp;'data on outstanding creditors'!$D2883&amp;" "&amp;TEXT('data on outstanding creditors'!$E2883,"#,##0.00")</f>
        <v>นางสาว สุวรรณี บานประโคน 1/6 22,800.00</v>
      </c>
      <c r="U2883" s="12"/>
    </row>
    <row r="2884" ht="13.5" customHeight="1">
      <c r="A2884" s="1" t="s">
        <v>4456</v>
      </c>
      <c r="B2884" s="2">
        <v>45861.0</v>
      </c>
      <c r="C2884" s="9" t="s">
        <v>1096</v>
      </c>
      <c r="D2884" s="1" t="s">
        <v>4457</v>
      </c>
      <c r="E2884" s="4">
        <v>5392.8</v>
      </c>
      <c r="F2884" s="4"/>
      <c r="G2884" s="4"/>
      <c r="H2884" s="4">
        <f>'data on outstanding creditors'!$E2884-'data on outstanding creditors'!$F2884-'data on outstanding creditors'!$G2884</f>
        <v>5392.8</v>
      </c>
      <c r="I2884" s="2"/>
      <c r="J2884" s="1" t="s">
        <v>646</v>
      </c>
      <c r="K2884" s="2">
        <v>45944.0</v>
      </c>
      <c r="L2884" s="5"/>
      <c r="M2884" s="9" t="s">
        <v>125</v>
      </c>
      <c r="N2884" s="9" t="s">
        <v>49</v>
      </c>
      <c r="O2884" s="10">
        <f>'data on outstanding creditors'!$E2884*100/107</f>
        <v>5040</v>
      </c>
      <c r="P2884" s="10">
        <f>'data on outstanding creditors'!$E2884-'data on outstanding creditors'!$O2884</f>
        <v>352.8</v>
      </c>
      <c r="Q2884" s="7">
        <f>DAY('data on outstanding creditors'!$B2884)</f>
        <v>23</v>
      </c>
      <c r="R2884" s="7">
        <f>MONTH('data on outstanding creditors'!$B2884)</f>
        <v>7</v>
      </c>
      <c r="S2884" s="7">
        <f>YEAR('data on outstanding creditors'!$B2884)</f>
        <v>2025</v>
      </c>
      <c r="T2884" s="11" t="str">
        <f>'data on outstanding creditors'!$C2884&amp;" "&amp;'data on outstanding creditors'!$D2884&amp;" "&amp;TEXT('data on outstanding creditors'!$E2884,"#,##0.00")</f>
        <v>หจก.กิตติเชษฐ์ เอสพีอาร์ IV8070661 5,392.80</v>
      </c>
      <c r="U2884" s="12"/>
    </row>
    <row r="2885" ht="13.5" customHeight="1">
      <c r="A2885" s="1" t="s">
        <v>4458</v>
      </c>
      <c r="B2885" s="2">
        <v>45869.0</v>
      </c>
      <c r="C2885" s="9" t="s">
        <v>730</v>
      </c>
      <c r="D2885" s="1" t="s">
        <v>4459</v>
      </c>
      <c r="E2885" s="4">
        <v>21240.0</v>
      </c>
      <c r="F2885" s="4"/>
      <c r="G2885" s="4"/>
      <c r="H2885" s="4">
        <f>'data on outstanding creditors'!$E2885-'data on outstanding creditors'!$F2885-'data on outstanding creditors'!$G2885</f>
        <v>21240</v>
      </c>
      <c r="I2885" s="2"/>
      <c r="J2885" s="1" t="s">
        <v>646</v>
      </c>
      <c r="K2885" s="2">
        <v>45960.0</v>
      </c>
      <c r="L2885" s="5"/>
      <c r="M2885" s="9" t="s">
        <v>125</v>
      </c>
      <c r="N2885" s="9" t="s">
        <v>49</v>
      </c>
      <c r="O2885" s="10">
        <f>'data on outstanding creditors'!$E2885*100/107</f>
        <v>19850.46729</v>
      </c>
      <c r="P2885" s="10">
        <f>'data on outstanding creditors'!$E2885-'data on outstanding creditors'!$O2885</f>
        <v>1389.53271</v>
      </c>
      <c r="Q2885" s="7">
        <f>DAY('data on outstanding creditors'!$B2885)</f>
        <v>31</v>
      </c>
      <c r="R2885" s="7">
        <f>MONTH('data on outstanding creditors'!$B2885)</f>
        <v>7</v>
      </c>
      <c r="S2885" s="7">
        <f>YEAR('data on outstanding creditors'!$B2885)</f>
        <v>2025</v>
      </c>
      <c r="T2885" s="11" t="str">
        <f>'data on outstanding creditors'!$C2885&amp;" "&amp;'data on outstanding creditors'!$D2885&amp;" "&amp;TEXT('data on outstanding creditors'!$E2885,"#,##0.00")</f>
        <v>ร้าน สกุลรัตน์ 024/1194 21,240.00</v>
      </c>
      <c r="U2885" s="12"/>
    </row>
    <row r="2886" ht="13.5" customHeight="1">
      <c r="A2886" s="1" t="s">
        <v>4460</v>
      </c>
      <c r="B2886" s="2">
        <v>45869.0</v>
      </c>
      <c r="C2886" s="9" t="s">
        <v>730</v>
      </c>
      <c r="D2886" s="1" t="s">
        <v>4461</v>
      </c>
      <c r="E2886" s="4">
        <v>116000.0</v>
      </c>
      <c r="F2886" s="4"/>
      <c r="G2886" s="4"/>
      <c r="H2886" s="4">
        <f>'data on outstanding creditors'!$E2886-'data on outstanding creditors'!$F2886-'data on outstanding creditors'!$G2886</f>
        <v>116000</v>
      </c>
      <c r="I2886" s="2"/>
      <c r="J2886" s="1"/>
      <c r="K2886" s="2"/>
      <c r="L2886" s="5"/>
      <c r="M2886" s="9" t="s">
        <v>125</v>
      </c>
      <c r="N2886" s="9" t="s">
        <v>49</v>
      </c>
      <c r="O2886" s="10">
        <f>'data on outstanding creditors'!$E2886*100/107</f>
        <v>108411.215</v>
      </c>
      <c r="P2886" s="10">
        <f>'data on outstanding creditors'!$E2886-'data on outstanding creditors'!$O2886</f>
        <v>7588.785047</v>
      </c>
      <c r="Q2886" s="7">
        <f>DAY('data on outstanding creditors'!$B2886)</f>
        <v>31</v>
      </c>
      <c r="R2886" s="7">
        <f>MONTH('data on outstanding creditors'!$B2886)</f>
        <v>7</v>
      </c>
      <c r="S2886" s="7">
        <f>YEAR('data on outstanding creditors'!$B2886)</f>
        <v>2025</v>
      </c>
      <c r="T2886" s="11" t="str">
        <f>'data on outstanding creditors'!$C2886&amp;" "&amp;'data on outstanding creditors'!$D2886&amp;" "&amp;TEXT('data on outstanding creditors'!$E2886,"#,##0.00")</f>
        <v>ร้าน สกุลรัตน์ 025/1219 116,000.00</v>
      </c>
      <c r="U2886" s="12"/>
    </row>
    <row r="2887" ht="13.5" customHeight="1">
      <c r="A2887" s="1" t="s">
        <v>4462</v>
      </c>
      <c r="B2887" s="2">
        <v>45873.0</v>
      </c>
      <c r="C2887" s="9" t="s">
        <v>4224</v>
      </c>
      <c r="D2887" s="1" t="s">
        <v>4463</v>
      </c>
      <c r="E2887" s="4">
        <v>71570.0</v>
      </c>
      <c r="F2887" s="4"/>
      <c r="G2887" s="4"/>
      <c r="H2887" s="4">
        <f>'data on outstanding creditors'!$E2887-'data on outstanding creditors'!$F2887-'data on outstanding creditors'!$G2887</f>
        <v>71570</v>
      </c>
      <c r="I2887" s="2"/>
      <c r="J2887" s="1"/>
      <c r="K2887" s="2"/>
      <c r="L2887" s="5"/>
      <c r="M2887" s="9" t="s">
        <v>125</v>
      </c>
      <c r="N2887" s="9" t="s">
        <v>49</v>
      </c>
      <c r="O2887" s="10">
        <f>'data on outstanding creditors'!$E2887*100/107</f>
        <v>66887.85047</v>
      </c>
      <c r="P2887" s="10">
        <f>'data on outstanding creditors'!$E2887-'data on outstanding creditors'!$O2887</f>
        <v>4682.149533</v>
      </c>
      <c r="Q2887" s="7">
        <f>DAY('data on outstanding creditors'!$B2887)</f>
        <v>4</v>
      </c>
      <c r="R2887" s="7">
        <f>MONTH('data on outstanding creditors'!$B2887)</f>
        <v>8</v>
      </c>
      <c r="S2887" s="7">
        <f>YEAR('data on outstanding creditors'!$B2887)</f>
        <v>2025</v>
      </c>
      <c r="T2887" s="11" t="str">
        <f>'data on outstanding creditors'!$C2887&amp;" "&amp;'data on outstanding creditors'!$D2887&amp;" "&amp;TEXT('data on outstanding creditors'!$E2887,"#,##0.00")</f>
        <v>ร้าน เบบี้โฮม 054/2670--2672 71,570.00</v>
      </c>
      <c r="U2887" s="12"/>
    </row>
    <row r="2888" ht="13.5" customHeight="1">
      <c r="A2888" s="1" t="s">
        <v>4464</v>
      </c>
      <c r="B2888" s="2">
        <v>45876.0</v>
      </c>
      <c r="C2888" s="9" t="s">
        <v>4431</v>
      </c>
      <c r="D2888" s="1" t="s">
        <v>4465</v>
      </c>
      <c r="E2888" s="4">
        <v>132000.0</v>
      </c>
      <c r="F2888" s="4"/>
      <c r="G2888" s="4"/>
      <c r="H2888" s="4">
        <f>'data on outstanding creditors'!$E2888-'data on outstanding creditors'!$F2888-'data on outstanding creditors'!$G2888</f>
        <v>132000</v>
      </c>
      <c r="I2888" s="2"/>
      <c r="J2888" s="1"/>
      <c r="K2888" s="2"/>
      <c r="L2888" s="5"/>
      <c r="M2888" s="9" t="s">
        <v>125</v>
      </c>
      <c r="N2888" s="9" t="s">
        <v>49</v>
      </c>
      <c r="O2888" s="10">
        <f>'data on outstanding creditors'!$E2888*100/107</f>
        <v>123364.486</v>
      </c>
      <c r="P2888" s="10">
        <f>'data on outstanding creditors'!$E2888-'data on outstanding creditors'!$O2888</f>
        <v>8635.514019</v>
      </c>
      <c r="Q2888" s="7">
        <f>DAY('data on outstanding creditors'!$B2888)</f>
        <v>7</v>
      </c>
      <c r="R2888" s="7">
        <f>MONTH('data on outstanding creditors'!$B2888)</f>
        <v>8</v>
      </c>
      <c r="S2888" s="7">
        <f>YEAR('data on outstanding creditors'!$B2888)</f>
        <v>2025</v>
      </c>
      <c r="T2888" s="11" t="str">
        <f>'data on outstanding creditors'!$C2888&amp;" "&amp;'data on outstanding creditors'!$D2888&amp;" "&amp;TEXT('data on outstanding creditors'!$E2888,"#,##0.00")</f>
        <v>หจก.ศุภเจตน์ เทรดดิ้ง กรุ๊ป 2568/0158 132,000.00</v>
      </c>
      <c r="U2888" s="12"/>
    </row>
    <row r="2889" ht="13.5" customHeight="1">
      <c r="A2889" s="1" t="s">
        <v>4466</v>
      </c>
      <c r="B2889" s="2">
        <v>45877.0</v>
      </c>
      <c r="C2889" s="9" t="s">
        <v>1087</v>
      </c>
      <c r="D2889" s="1" t="s">
        <v>4467</v>
      </c>
      <c r="E2889" s="4">
        <v>44950.0</v>
      </c>
      <c r="F2889" s="4"/>
      <c r="G2889" s="4"/>
      <c r="H2889" s="4">
        <f>'data on outstanding creditors'!$E2889-'data on outstanding creditors'!$F2889-'data on outstanding creditors'!$G2889</f>
        <v>44950</v>
      </c>
      <c r="I2889" s="2"/>
      <c r="J2889" s="1" t="s">
        <v>646</v>
      </c>
      <c r="K2889" s="2">
        <v>45906.0</v>
      </c>
      <c r="L2889" s="5"/>
      <c r="M2889" s="9" t="s">
        <v>125</v>
      </c>
      <c r="N2889" s="9" t="s">
        <v>49</v>
      </c>
      <c r="O2889" s="10">
        <f>'data on outstanding creditors'!$E2889*100/107</f>
        <v>42009.34579</v>
      </c>
      <c r="P2889" s="10">
        <f>'data on outstanding creditors'!$E2889-'data on outstanding creditors'!$O2889</f>
        <v>2940.654206</v>
      </c>
      <c r="Q2889" s="7">
        <f>DAY('data on outstanding creditors'!$B2889)</f>
        <v>8</v>
      </c>
      <c r="R2889" s="7">
        <f>MONTH('data on outstanding creditors'!$B2889)</f>
        <v>8</v>
      </c>
      <c r="S2889" s="7">
        <f>YEAR('data on outstanding creditors'!$B2889)</f>
        <v>2025</v>
      </c>
      <c r="T2889" s="11" t="str">
        <f>'data on outstanding creditors'!$C2889&amp;" "&amp;'data on outstanding creditors'!$D2889&amp;" "&amp;TEXT('data on outstanding creditors'!$E2889,"#,##0.00")</f>
        <v>หจก.ดิษยาพรรณ 68-08-0003 44,950.00</v>
      </c>
      <c r="U2889" s="12"/>
    </row>
    <row r="2890" ht="13.5" customHeight="1">
      <c r="A2890" s="1" t="s">
        <v>4468</v>
      </c>
      <c r="B2890" s="2">
        <v>45882.0</v>
      </c>
      <c r="C2890" s="9" t="s">
        <v>341</v>
      </c>
      <c r="D2890" s="1" t="s">
        <v>4469</v>
      </c>
      <c r="E2890" s="4">
        <v>89550.0</v>
      </c>
      <c r="F2890" s="4"/>
      <c r="G2890" s="4"/>
      <c r="H2890" s="4">
        <f>'data on outstanding creditors'!$E2890-'data on outstanding creditors'!$F2890-'data on outstanding creditors'!$G2890</f>
        <v>89550</v>
      </c>
      <c r="I2890" s="2"/>
      <c r="J2890" s="1"/>
      <c r="K2890" s="2"/>
      <c r="L2890" s="5"/>
      <c r="M2890" s="9" t="s">
        <v>125</v>
      </c>
      <c r="N2890" s="9" t="s">
        <v>49</v>
      </c>
      <c r="O2890" s="10">
        <f>'data on outstanding creditors'!$E2890*100/107</f>
        <v>83691.58879</v>
      </c>
      <c r="P2890" s="10">
        <f>'data on outstanding creditors'!$E2890-'data on outstanding creditors'!$O2890</f>
        <v>5858.411215</v>
      </c>
      <c r="Q2890" s="7">
        <f>DAY('data on outstanding creditors'!$B2890)</f>
        <v>13</v>
      </c>
      <c r="R2890" s="7">
        <f>MONTH('data on outstanding creditors'!$B2890)</f>
        <v>8</v>
      </c>
      <c r="S2890" s="7">
        <f>YEAR('data on outstanding creditors'!$B2890)</f>
        <v>2025</v>
      </c>
      <c r="T2890" s="11" t="str">
        <f>'data on outstanding creditors'!$C2890&amp;" "&amp;'data on outstanding creditors'!$D2890&amp;" "&amp;TEXT('data on outstanding creditors'!$E2890,"#,##0.00")</f>
        <v>บ.เพียว ออร์กา คอร์ปอเรชั่น IVT-20250700019 89,550.00</v>
      </c>
      <c r="U2890" s="12"/>
    </row>
    <row r="2891" ht="13.5" customHeight="1">
      <c r="A2891" s="1" t="s">
        <v>4470</v>
      </c>
      <c r="B2891" s="2">
        <v>45887.0</v>
      </c>
      <c r="C2891" s="9" t="s">
        <v>4471</v>
      </c>
      <c r="D2891" s="1" t="s">
        <v>4472</v>
      </c>
      <c r="E2891" s="4">
        <v>4500.0</v>
      </c>
      <c r="F2891" s="4"/>
      <c r="G2891" s="4"/>
      <c r="H2891" s="4">
        <f>'data on outstanding creditors'!$E2891-'data on outstanding creditors'!$F2891-'data on outstanding creditors'!$G2891</f>
        <v>4500</v>
      </c>
      <c r="I2891" s="2"/>
      <c r="J2891" s="1" t="s">
        <v>757</v>
      </c>
      <c r="K2891" s="2">
        <v>45959.0</v>
      </c>
      <c r="L2891" s="5"/>
      <c r="M2891" s="9" t="s">
        <v>125</v>
      </c>
      <c r="N2891" s="9" t="s">
        <v>49</v>
      </c>
      <c r="O2891" s="10">
        <f>'data on outstanding creditors'!$E2891*100/107</f>
        <v>4205.607477</v>
      </c>
      <c r="P2891" s="10">
        <f>'data on outstanding creditors'!$E2891-'data on outstanding creditors'!$O2891</f>
        <v>294.3925234</v>
      </c>
      <c r="Q2891" s="7">
        <f>DAY('data on outstanding creditors'!$B2891)</f>
        <v>18</v>
      </c>
      <c r="R2891" s="7">
        <f>MONTH('data on outstanding creditors'!$B2891)</f>
        <v>8</v>
      </c>
      <c r="S2891" s="7">
        <f>YEAR('data on outstanding creditors'!$B2891)</f>
        <v>2025</v>
      </c>
      <c r="T2891" s="11" t="str">
        <f>'data on outstanding creditors'!$C2891&amp;" "&amp;'data on outstanding creditors'!$D2891&amp;" "&amp;TEXT('data on outstanding creditors'!$E2891,"#,##0.00")</f>
        <v>บ.เอลิสต์ ซัพพลาย INV2025070046 4,500.00</v>
      </c>
      <c r="U2891" s="12"/>
    </row>
    <row r="2892" ht="13.5" customHeight="1">
      <c r="A2892" s="1" t="s">
        <v>4473</v>
      </c>
      <c r="B2892" s="2">
        <v>45891.0</v>
      </c>
      <c r="C2892" s="9" t="s">
        <v>129</v>
      </c>
      <c r="D2892" s="1" t="s">
        <v>4474</v>
      </c>
      <c r="E2892" s="4">
        <v>22800.0</v>
      </c>
      <c r="F2892" s="4"/>
      <c r="G2892" s="4"/>
      <c r="H2892" s="4">
        <f>'data on outstanding creditors'!$E2892-'data on outstanding creditors'!$F2892-'data on outstanding creditors'!$G2892</f>
        <v>22800</v>
      </c>
      <c r="I2892" s="2"/>
      <c r="J2892" s="1"/>
      <c r="K2892" s="2"/>
      <c r="L2892" s="5"/>
      <c r="M2892" s="9" t="s">
        <v>125</v>
      </c>
      <c r="N2892" s="9" t="s">
        <v>49</v>
      </c>
      <c r="O2892" s="10">
        <f>'data on outstanding creditors'!$E2892*100/107</f>
        <v>21308.41121</v>
      </c>
      <c r="P2892" s="10">
        <f>'data on outstanding creditors'!$E2892-'data on outstanding creditors'!$O2892</f>
        <v>1491.588785</v>
      </c>
      <c r="Q2892" s="7">
        <f>DAY('data on outstanding creditors'!$B2892)</f>
        <v>22</v>
      </c>
      <c r="R2892" s="7">
        <f>MONTH('data on outstanding creditors'!$B2892)</f>
        <v>8</v>
      </c>
      <c r="S2892" s="7">
        <f>YEAR('data on outstanding creditors'!$B2892)</f>
        <v>2025</v>
      </c>
      <c r="T2892" s="11" t="str">
        <f>'data on outstanding creditors'!$C2892&amp;" "&amp;'data on outstanding creditors'!$D2892&amp;" "&amp;TEXT('data on outstanding creditors'!$E2892,"#,##0.00")</f>
        <v>นางสาว สุวรรณี บานประโคน 1/7 22,800.00</v>
      </c>
      <c r="U2892" s="12"/>
    </row>
    <row r="2893" ht="13.5" customHeight="1">
      <c r="A2893" s="1" t="s">
        <v>4475</v>
      </c>
      <c r="B2893" s="2">
        <v>45891.0</v>
      </c>
      <c r="C2893" s="9" t="s">
        <v>129</v>
      </c>
      <c r="D2893" s="1" t="s">
        <v>4474</v>
      </c>
      <c r="E2893" s="4">
        <v>20300.0</v>
      </c>
      <c r="F2893" s="4"/>
      <c r="G2893" s="4"/>
      <c r="H2893" s="4">
        <f>'data on outstanding creditors'!$E2893-'data on outstanding creditors'!$F2893-'data on outstanding creditors'!$G2893</f>
        <v>20300</v>
      </c>
      <c r="I2893" s="2"/>
      <c r="J2893" s="1"/>
      <c r="K2893" s="2"/>
      <c r="L2893" s="5"/>
      <c r="M2893" s="9" t="s">
        <v>125</v>
      </c>
      <c r="N2893" s="9" t="s">
        <v>49</v>
      </c>
      <c r="O2893" s="10">
        <f>'data on outstanding creditors'!$E2893*100/107</f>
        <v>18971.96262</v>
      </c>
      <c r="P2893" s="10">
        <f>'data on outstanding creditors'!$E2893-'data on outstanding creditors'!$O2893</f>
        <v>1328.037383</v>
      </c>
      <c r="Q2893" s="7">
        <f>DAY('data on outstanding creditors'!$B2893)</f>
        <v>22</v>
      </c>
      <c r="R2893" s="7">
        <f>MONTH('data on outstanding creditors'!$B2893)</f>
        <v>8</v>
      </c>
      <c r="S2893" s="7">
        <f>YEAR('data on outstanding creditors'!$B2893)</f>
        <v>2025</v>
      </c>
      <c r="T2893" s="11" t="str">
        <f>'data on outstanding creditors'!$C2893&amp;" "&amp;'data on outstanding creditors'!$D2893&amp;" "&amp;TEXT('data on outstanding creditors'!$E2893,"#,##0.00")</f>
        <v>นางสาว สุวรรณี บานประโคน 1/7 20,300.00</v>
      </c>
      <c r="U2893" s="12"/>
    </row>
    <row r="2894" ht="13.5" customHeight="1">
      <c r="A2894" s="1" t="s">
        <v>4476</v>
      </c>
      <c r="B2894" s="2">
        <v>45895.0</v>
      </c>
      <c r="C2894" s="9" t="s">
        <v>4224</v>
      </c>
      <c r="D2894" s="1" t="s">
        <v>4477</v>
      </c>
      <c r="E2894" s="4">
        <v>20920.0</v>
      </c>
      <c r="F2894" s="4"/>
      <c r="G2894" s="4"/>
      <c r="H2894" s="4">
        <f>'data on outstanding creditors'!$E2894-'data on outstanding creditors'!$F2894-'data on outstanding creditors'!$G2894</f>
        <v>20920</v>
      </c>
      <c r="I2894" s="2"/>
      <c r="J2894" s="1" t="s">
        <v>757</v>
      </c>
      <c r="K2894" s="2">
        <v>45961.0</v>
      </c>
      <c r="L2894" s="5"/>
      <c r="M2894" s="9" t="s">
        <v>125</v>
      </c>
      <c r="N2894" s="9" t="s">
        <v>49</v>
      </c>
      <c r="O2894" s="10">
        <f>'data on outstanding creditors'!$E2894*100/107</f>
        <v>19551.40187</v>
      </c>
      <c r="P2894" s="10">
        <f>'data on outstanding creditors'!$E2894-'data on outstanding creditors'!$O2894</f>
        <v>1368.598131</v>
      </c>
      <c r="Q2894" s="7">
        <f>DAY('data on outstanding creditors'!$B2894)</f>
        <v>26</v>
      </c>
      <c r="R2894" s="7">
        <f>MONTH('data on outstanding creditors'!$B2894)</f>
        <v>8</v>
      </c>
      <c r="S2894" s="7">
        <f>YEAR('data on outstanding creditors'!$B2894)</f>
        <v>2025</v>
      </c>
      <c r="T2894" s="11" t="str">
        <f>'data on outstanding creditors'!$C2894&amp;" "&amp;'data on outstanding creditors'!$D2894&amp;" "&amp;TEXT('data on outstanding creditors'!$E2894,"#,##0.00")</f>
        <v>ร้าน เบบี้โฮม 054/2675-2676 20,920.00</v>
      </c>
      <c r="U2894" s="12"/>
    </row>
    <row r="2895" ht="13.5" customHeight="1">
      <c r="A2895" s="1" t="s">
        <v>4478</v>
      </c>
      <c r="B2895" s="2">
        <v>45896.0</v>
      </c>
      <c r="C2895" s="9" t="s">
        <v>1096</v>
      </c>
      <c r="D2895" s="1" t="s">
        <v>4479</v>
      </c>
      <c r="E2895" s="4">
        <v>2922.2</v>
      </c>
      <c r="F2895" s="4"/>
      <c r="G2895" s="4"/>
      <c r="H2895" s="4">
        <f>'data on outstanding creditors'!$E2895-'data on outstanding creditors'!$F2895-'data on outstanding creditors'!$G2895</f>
        <v>2922.2</v>
      </c>
      <c r="I2895" s="2"/>
      <c r="J2895" s="1"/>
      <c r="K2895" s="2"/>
      <c r="L2895" s="5"/>
      <c r="M2895" s="9" t="s">
        <v>125</v>
      </c>
      <c r="N2895" s="9" t="s">
        <v>49</v>
      </c>
      <c r="O2895" s="10">
        <f>'data on outstanding creditors'!$E2895*100/107</f>
        <v>2731.028037</v>
      </c>
      <c r="P2895" s="10">
        <f>'data on outstanding creditors'!$E2895-'data on outstanding creditors'!$O2895</f>
        <v>191.1719626</v>
      </c>
      <c r="Q2895" s="7">
        <f>DAY('data on outstanding creditors'!$B2895)</f>
        <v>27</v>
      </c>
      <c r="R2895" s="7">
        <f>MONTH('data on outstanding creditors'!$B2895)</f>
        <v>8</v>
      </c>
      <c r="S2895" s="7">
        <f>YEAR('data on outstanding creditors'!$B2895)</f>
        <v>2025</v>
      </c>
      <c r="T2895" s="11" t="str">
        <f>'data on outstanding creditors'!$C2895&amp;" "&amp;'data on outstanding creditors'!$D2895&amp;" "&amp;TEXT('data on outstanding creditors'!$E2895,"#,##0.00")</f>
        <v>หจก.กิตติเชษฐ์ เอสพีอาร์ IV8080785 2,922.20</v>
      </c>
      <c r="U2895" s="12"/>
    </row>
    <row r="2896" ht="13.5" customHeight="1">
      <c r="A2896" s="1" t="s">
        <v>4480</v>
      </c>
      <c r="B2896" s="2">
        <v>45896.0</v>
      </c>
      <c r="C2896" s="9" t="s">
        <v>1096</v>
      </c>
      <c r="D2896" s="1" t="s">
        <v>4481</v>
      </c>
      <c r="E2896" s="4">
        <v>5392.8</v>
      </c>
      <c r="F2896" s="4"/>
      <c r="G2896" s="4"/>
      <c r="H2896" s="4">
        <f>'data on outstanding creditors'!$E2896-'data on outstanding creditors'!$F2896-'data on outstanding creditors'!$G2896</f>
        <v>5392.8</v>
      </c>
      <c r="I2896" s="2"/>
      <c r="J2896" s="1"/>
      <c r="K2896" s="2"/>
      <c r="L2896" s="5"/>
      <c r="M2896" s="9" t="s">
        <v>125</v>
      </c>
      <c r="N2896" s="9" t="s">
        <v>49</v>
      </c>
      <c r="O2896" s="10">
        <f>'data on outstanding creditors'!$E2896*100/107</f>
        <v>5040</v>
      </c>
      <c r="P2896" s="10">
        <f>'data on outstanding creditors'!$E2896-'data on outstanding creditors'!$O2896</f>
        <v>352.8</v>
      </c>
      <c r="Q2896" s="7">
        <f>DAY('data on outstanding creditors'!$B2896)</f>
        <v>27</v>
      </c>
      <c r="R2896" s="7">
        <f>MONTH('data on outstanding creditors'!$B2896)</f>
        <v>8</v>
      </c>
      <c r="S2896" s="7">
        <f>YEAR('data on outstanding creditors'!$B2896)</f>
        <v>2025</v>
      </c>
      <c r="T2896" s="11" t="str">
        <f>'data on outstanding creditors'!$C2896&amp;" "&amp;'data on outstanding creditors'!$D2896&amp;" "&amp;TEXT('data on outstanding creditors'!$E2896,"#,##0.00")</f>
        <v>หจก.กิตติเชษฐ์ เอสพีอาร์ IV8080898 5,392.80</v>
      </c>
      <c r="U2896" s="12"/>
    </row>
    <row r="2897" ht="13.5" customHeight="1">
      <c r="A2897" s="1" t="s">
        <v>4482</v>
      </c>
      <c r="B2897" s="2">
        <v>45898.0</v>
      </c>
      <c r="C2897" s="9" t="s">
        <v>730</v>
      </c>
      <c r="D2897" s="1" t="s">
        <v>4483</v>
      </c>
      <c r="E2897" s="4">
        <v>17870.0</v>
      </c>
      <c r="F2897" s="4"/>
      <c r="G2897" s="4"/>
      <c r="H2897" s="4">
        <f>'data on outstanding creditors'!$E2897-'data on outstanding creditors'!$F2897-'data on outstanding creditors'!$G2897</f>
        <v>17870</v>
      </c>
      <c r="I2897" s="2"/>
      <c r="J2897" s="1"/>
      <c r="K2897" s="2"/>
      <c r="L2897" s="5"/>
      <c r="M2897" s="9" t="s">
        <v>125</v>
      </c>
      <c r="N2897" s="9" t="s">
        <v>49</v>
      </c>
      <c r="O2897" s="10">
        <f>'data on outstanding creditors'!$E2897*100/107</f>
        <v>16700.93458</v>
      </c>
      <c r="P2897" s="10">
        <f>'data on outstanding creditors'!$E2897-'data on outstanding creditors'!$O2897</f>
        <v>1169.065421</v>
      </c>
      <c r="Q2897" s="7">
        <f>DAY('data on outstanding creditors'!$B2897)</f>
        <v>29</v>
      </c>
      <c r="R2897" s="7">
        <f>MONTH('data on outstanding creditors'!$B2897)</f>
        <v>8</v>
      </c>
      <c r="S2897" s="7">
        <f>YEAR('data on outstanding creditors'!$B2897)</f>
        <v>2025</v>
      </c>
      <c r="T2897" s="11" t="str">
        <f>'data on outstanding creditors'!$C2897&amp;" "&amp;'data on outstanding creditors'!$D2897&amp;" "&amp;TEXT('data on outstanding creditors'!$E2897,"#,##0.00")</f>
        <v>ร้าน สกุลรัตน์ 026/1256 17,870.00</v>
      </c>
      <c r="U2897" s="12"/>
    </row>
    <row r="2898" ht="13.5" customHeight="1">
      <c r="A2898" s="1" t="s">
        <v>4484</v>
      </c>
      <c r="B2898" s="2">
        <v>45898.0</v>
      </c>
      <c r="C2898" s="9" t="s">
        <v>730</v>
      </c>
      <c r="D2898" s="1" t="s">
        <v>4485</v>
      </c>
      <c r="E2898" s="4">
        <v>105850.0</v>
      </c>
      <c r="F2898" s="4"/>
      <c r="G2898" s="4"/>
      <c r="H2898" s="4">
        <f>'data on outstanding creditors'!$E2898-'data on outstanding creditors'!$F2898-'data on outstanding creditors'!$G2898</f>
        <v>105850</v>
      </c>
      <c r="I2898" s="2"/>
      <c r="J2898" s="1"/>
      <c r="K2898" s="2"/>
      <c r="L2898" s="5"/>
      <c r="M2898" s="9" t="s">
        <v>125</v>
      </c>
      <c r="N2898" s="9" t="s">
        <v>49</v>
      </c>
      <c r="O2898" s="10">
        <f>'data on outstanding creditors'!$E2898*100/107</f>
        <v>98925.23364</v>
      </c>
      <c r="P2898" s="10">
        <f>'data on outstanding creditors'!$E2898-'data on outstanding creditors'!$O2898</f>
        <v>6924.766355</v>
      </c>
      <c r="Q2898" s="7">
        <f>DAY('data on outstanding creditors'!$B2898)</f>
        <v>29</v>
      </c>
      <c r="R2898" s="7">
        <f>MONTH('data on outstanding creditors'!$B2898)</f>
        <v>8</v>
      </c>
      <c r="S2898" s="7">
        <f>YEAR('data on outstanding creditors'!$B2898)</f>
        <v>2025</v>
      </c>
      <c r="T2898" s="11" t="str">
        <f>'data on outstanding creditors'!$C2898&amp;" "&amp;'data on outstanding creditors'!$D2898&amp;" "&amp;TEXT('data on outstanding creditors'!$E2898,"#,##0.00")</f>
        <v>ร้าน สกุลรัตน์ 026/1255 105,850.00</v>
      </c>
      <c r="U2898" s="12"/>
    </row>
    <row r="2899" ht="13.5" customHeight="1">
      <c r="A2899" s="1" t="s">
        <v>4486</v>
      </c>
      <c r="B2899" s="2">
        <v>45904.0</v>
      </c>
      <c r="C2899" s="9" t="s">
        <v>4431</v>
      </c>
      <c r="D2899" s="1" t="s">
        <v>4487</v>
      </c>
      <c r="E2899" s="4">
        <v>99150.0</v>
      </c>
      <c r="F2899" s="4"/>
      <c r="G2899" s="4"/>
      <c r="H2899" s="4">
        <f>'data on outstanding creditors'!$E2899-'data on outstanding creditors'!$F2899-'data on outstanding creditors'!$G2899</f>
        <v>99150</v>
      </c>
      <c r="I2899" s="2"/>
      <c r="J2899" s="1"/>
      <c r="K2899" s="2"/>
      <c r="L2899" s="5"/>
      <c r="M2899" s="9" t="s">
        <v>125</v>
      </c>
      <c r="N2899" s="9" t="s">
        <v>49</v>
      </c>
      <c r="O2899" s="10">
        <f>'data on outstanding creditors'!$E2899*100/107</f>
        <v>92663.5514</v>
      </c>
      <c r="P2899" s="10">
        <f>'data on outstanding creditors'!$E2899-'data on outstanding creditors'!$O2899</f>
        <v>6486.448598</v>
      </c>
      <c r="Q2899" s="7">
        <f>DAY('data on outstanding creditors'!$B2899)</f>
        <v>4</v>
      </c>
      <c r="R2899" s="7">
        <f>MONTH('data on outstanding creditors'!$B2899)</f>
        <v>9</v>
      </c>
      <c r="S2899" s="7">
        <f>YEAR('data on outstanding creditors'!$B2899)</f>
        <v>2025</v>
      </c>
      <c r="T2899" s="11" t="str">
        <f>'data on outstanding creditors'!$C2899&amp;" "&amp;'data on outstanding creditors'!$D2899&amp;" "&amp;TEXT('data on outstanding creditors'!$E2899,"#,##0.00")</f>
        <v>หจก.ศุภเจตน์ เทรดดิ้ง กรุ๊ป 2568/0188 99,150.00</v>
      </c>
      <c r="U2899" s="12"/>
    </row>
    <row r="2900" ht="13.5" customHeight="1">
      <c r="A2900" s="1" t="s">
        <v>4488</v>
      </c>
      <c r="B2900" s="2">
        <v>45905.0</v>
      </c>
      <c r="C2900" s="9" t="s">
        <v>341</v>
      </c>
      <c r="D2900" s="1" t="s">
        <v>4489</v>
      </c>
      <c r="E2900" s="4">
        <v>88600.0</v>
      </c>
      <c r="F2900" s="4"/>
      <c r="G2900" s="4"/>
      <c r="H2900" s="4">
        <f>'data on outstanding creditors'!$E2900-'data on outstanding creditors'!$F2900-'data on outstanding creditors'!$G2900</f>
        <v>88600</v>
      </c>
      <c r="I2900" s="2"/>
      <c r="J2900" s="1"/>
      <c r="K2900" s="2"/>
      <c r="L2900" s="5"/>
      <c r="M2900" s="9" t="s">
        <v>125</v>
      </c>
      <c r="N2900" s="9" t="s">
        <v>49</v>
      </c>
      <c r="O2900" s="10">
        <f>'data on outstanding creditors'!$E2900*100/107</f>
        <v>82803.73832</v>
      </c>
      <c r="P2900" s="10">
        <f>'data on outstanding creditors'!$E2900-'data on outstanding creditors'!$O2900</f>
        <v>5796.261682</v>
      </c>
      <c r="Q2900" s="7">
        <f>DAY('data on outstanding creditors'!$B2900)</f>
        <v>5</v>
      </c>
      <c r="R2900" s="7">
        <f>MONTH('data on outstanding creditors'!$B2900)</f>
        <v>9</v>
      </c>
      <c r="S2900" s="7">
        <f>YEAR('data on outstanding creditors'!$B2900)</f>
        <v>2025</v>
      </c>
      <c r="T2900" s="11" t="str">
        <f>'data on outstanding creditors'!$C2900&amp;" "&amp;'data on outstanding creditors'!$D2900&amp;" "&amp;TEXT('data on outstanding creditors'!$E2900,"#,##0.00")</f>
        <v>บ.เพียว ออร์กา คอร์ปอเรชั่น IVT-20250800016 88,600.00</v>
      </c>
      <c r="U2900" s="12"/>
    </row>
    <row r="2901" ht="13.5" customHeight="1">
      <c r="A2901" s="1" t="s">
        <v>4490</v>
      </c>
      <c r="B2901" s="2">
        <v>45910.0</v>
      </c>
      <c r="C2901" s="9" t="s">
        <v>4431</v>
      </c>
      <c r="D2901" s="1" t="s">
        <v>4491</v>
      </c>
      <c r="E2901" s="4">
        <v>102000.0</v>
      </c>
      <c r="F2901" s="4"/>
      <c r="G2901" s="4"/>
      <c r="H2901" s="4">
        <f>'data on outstanding creditors'!$E2901-'data on outstanding creditors'!$F2901-'data on outstanding creditors'!$G2901</f>
        <v>102000</v>
      </c>
      <c r="I2901" s="2"/>
      <c r="J2901" s="1"/>
      <c r="K2901" s="2"/>
      <c r="L2901" s="5"/>
      <c r="M2901" s="9" t="s">
        <v>125</v>
      </c>
      <c r="N2901" s="9" t="s">
        <v>49</v>
      </c>
      <c r="O2901" s="10">
        <f>'data on outstanding creditors'!$E2901*100/107</f>
        <v>95327.1028</v>
      </c>
      <c r="P2901" s="10">
        <f>'data on outstanding creditors'!$E2901-'data on outstanding creditors'!$O2901</f>
        <v>6672.897196</v>
      </c>
      <c r="Q2901" s="7">
        <f>DAY('data on outstanding creditors'!$B2901)</f>
        <v>10</v>
      </c>
      <c r="R2901" s="7">
        <f>MONTH('data on outstanding creditors'!$B2901)</f>
        <v>9</v>
      </c>
      <c r="S2901" s="7">
        <f>YEAR('data on outstanding creditors'!$B2901)</f>
        <v>2025</v>
      </c>
      <c r="T2901" s="11" t="str">
        <f>'data on outstanding creditors'!$C2901&amp;" "&amp;'data on outstanding creditors'!$D2901&amp;" "&amp;TEXT('data on outstanding creditors'!$E2901,"#,##0.00")</f>
        <v>หจก.ศุภเจตน์ เทรดดิ้ง กรุ๊ป 2568/0191 102,000.00</v>
      </c>
      <c r="U2901" s="12"/>
    </row>
    <row r="2902" ht="13.5" customHeight="1">
      <c r="A2902" s="1" t="s">
        <v>4492</v>
      </c>
      <c r="B2902" s="2">
        <v>45915.0</v>
      </c>
      <c r="C2902" s="9" t="s">
        <v>4224</v>
      </c>
      <c r="D2902" s="1" t="s">
        <v>4493</v>
      </c>
      <c r="E2902" s="4">
        <v>66470.0</v>
      </c>
      <c r="F2902" s="4"/>
      <c r="G2902" s="4"/>
      <c r="H2902" s="4">
        <f>'data on outstanding creditors'!$E2902-'data on outstanding creditors'!$F2902-'data on outstanding creditors'!$G2902</f>
        <v>66470</v>
      </c>
      <c r="I2902" s="2"/>
      <c r="J2902" s="1"/>
      <c r="K2902" s="2"/>
      <c r="L2902" s="5"/>
      <c r="M2902" s="9" t="s">
        <v>125</v>
      </c>
      <c r="N2902" s="9" t="s">
        <v>49</v>
      </c>
      <c r="O2902" s="10">
        <f>'data on outstanding creditors'!$E2902*100/107</f>
        <v>62121.49533</v>
      </c>
      <c r="P2902" s="10">
        <f>'data on outstanding creditors'!$E2902-'data on outstanding creditors'!$O2902</f>
        <v>4348.504673</v>
      </c>
      <c r="Q2902" s="7">
        <f>DAY('data on outstanding creditors'!$B2902)</f>
        <v>15</v>
      </c>
      <c r="R2902" s="7">
        <f>MONTH('data on outstanding creditors'!$B2902)</f>
        <v>9</v>
      </c>
      <c r="S2902" s="7">
        <f>YEAR('data on outstanding creditors'!$B2902)</f>
        <v>2025</v>
      </c>
      <c r="T2902" s="11" t="str">
        <f>'data on outstanding creditors'!$C2902&amp;" "&amp;'data on outstanding creditors'!$D2902&amp;" "&amp;TEXT('data on outstanding creditors'!$E2902,"#,##0.00")</f>
        <v>ร้าน เบบี้โฮม 054/2678-2680 66,470.00</v>
      </c>
      <c r="U2902" s="12"/>
    </row>
    <row r="2903" ht="13.5" customHeight="1">
      <c r="A2903" s="1" t="s">
        <v>4494</v>
      </c>
      <c r="B2903" s="2">
        <v>45916.0</v>
      </c>
      <c r="C2903" s="9" t="s">
        <v>1093</v>
      </c>
      <c r="D2903" s="1" t="s">
        <v>4495</v>
      </c>
      <c r="E2903" s="4">
        <v>31000.0</v>
      </c>
      <c r="F2903" s="4"/>
      <c r="G2903" s="4"/>
      <c r="H2903" s="4">
        <f>'data on outstanding creditors'!$E2903-'data on outstanding creditors'!$F2903-'data on outstanding creditors'!$G2903</f>
        <v>31000</v>
      </c>
      <c r="I2903" s="2"/>
      <c r="J2903" s="1"/>
      <c r="K2903" s="2"/>
      <c r="L2903" s="5"/>
      <c r="M2903" s="9" t="s">
        <v>125</v>
      </c>
      <c r="N2903" s="9" t="s">
        <v>49</v>
      </c>
      <c r="O2903" s="10">
        <f>'data on outstanding creditors'!$E2903*100/107</f>
        <v>28971.96262</v>
      </c>
      <c r="P2903" s="10">
        <f>'data on outstanding creditors'!$E2903-'data on outstanding creditors'!$O2903</f>
        <v>2028.037383</v>
      </c>
      <c r="Q2903" s="7">
        <f>DAY('data on outstanding creditors'!$B2903)</f>
        <v>16</v>
      </c>
      <c r="R2903" s="7">
        <f>MONTH('data on outstanding creditors'!$B2903)</f>
        <v>9</v>
      </c>
      <c r="S2903" s="7">
        <f>YEAR('data on outstanding creditors'!$B2903)</f>
        <v>2025</v>
      </c>
      <c r="T2903" s="11" t="str">
        <f>'data on outstanding creditors'!$C2903&amp;" "&amp;'data on outstanding creditors'!$D2903&amp;" "&amp;TEXT('data on outstanding creditors'!$E2903,"#,##0.00")</f>
        <v>หจก.ศ.ณัฐวุฒิมาร์เก็ตติ้ง 2068 31,000.00</v>
      </c>
      <c r="U2903" s="12"/>
    </row>
    <row r="2904" ht="13.5" customHeight="1">
      <c r="A2904" s="1" t="s">
        <v>4496</v>
      </c>
      <c r="B2904" s="2">
        <v>45916.0</v>
      </c>
      <c r="C2904" s="9" t="s">
        <v>103</v>
      </c>
      <c r="D2904" s="1" t="s">
        <v>4497</v>
      </c>
      <c r="E2904" s="4">
        <v>295.0</v>
      </c>
      <c r="F2904" s="4"/>
      <c r="G2904" s="4"/>
      <c r="H2904" s="4">
        <f>'data on outstanding creditors'!$E2904-'data on outstanding creditors'!$F2904-'data on outstanding creditors'!$G2904</f>
        <v>295</v>
      </c>
      <c r="I2904" s="2"/>
      <c r="J2904" s="1"/>
      <c r="K2904" s="2"/>
      <c r="L2904" s="5"/>
      <c r="M2904" s="9" t="s">
        <v>125</v>
      </c>
      <c r="N2904" s="9" t="s">
        <v>49</v>
      </c>
      <c r="O2904" s="10">
        <f>'data on outstanding creditors'!$E2904*100/107</f>
        <v>275.7009346</v>
      </c>
      <c r="P2904" s="10">
        <f>'data on outstanding creditors'!$E2904-'data on outstanding creditors'!$O2904</f>
        <v>19.29906542</v>
      </c>
      <c r="Q2904" s="7">
        <f>DAY('data on outstanding creditors'!$B2904)</f>
        <v>16</v>
      </c>
      <c r="R2904" s="7">
        <f>MONTH('data on outstanding creditors'!$B2904)</f>
        <v>9</v>
      </c>
      <c r="S2904" s="7">
        <f>YEAR('data on outstanding creditors'!$B2904)</f>
        <v>2025</v>
      </c>
      <c r="T2904" s="11" t="str">
        <f>'data on outstanding creditors'!$C2904&amp;" "&amp;'data on outstanding creditors'!$D2904&amp;" "&amp;TEXT('data on outstanding creditors'!$E2904,"#,##0.00")</f>
        <v>บ.ก้ำหมงเครื่องครัว INV680916005 295.00</v>
      </c>
      <c r="U2904" s="12"/>
    </row>
    <row r="2905" ht="13.5" customHeight="1">
      <c r="A2905" s="1" t="s">
        <v>4498</v>
      </c>
      <c r="B2905" s="2">
        <v>45916.0</v>
      </c>
      <c r="C2905" s="9" t="s">
        <v>103</v>
      </c>
      <c r="D2905" s="1" t="s">
        <v>4499</v>
      </c>
      <c r="E2905" s="4">
        <v>53870.0</v>
      </c>
      <c r="F2905" s="4"/>
      <c r="G2905" s="4"/>
      <c r="H2905" s="4">
        <f>'data on outstanding creditors'!$E2905-'data on outstanding creditors'!$F2905-'data on outstanding creditors'!$G2905</f>
        <v>53870</v>
      </c>
      <c r="I2905" s="2"/>
      <c r="J2905" s="1"/>
      <c r="K2905" s="2"/>
      <c r="L2905" s="5"/>
      <c r="M2905" s="9" t="s">
        <v>125</v>
      </c>
      <c r="N2905" s="9" t="s">
        <v>49</v>
      </c>
      <c r="O2905" s="10">
        <f>'data on outstanding creditors'!$E2905*100/107</f>
        <v>50345.79439</v>
      </c>
      <c r="P2905" s="10">
        <f>'data on outstanding creditors'!$E2905-'data on outstanding creditors'!$O2905</f>
        <v>3524.205607</v>
      </c>
      <c r="Q2905" s="7">
        <f>DAY('data on outstanding creditors'!$B2905)</f>
        <v>16</v>
      </c>
      <c r="R2905" s="7">
        <f>MONTH('data on outstanding creditors'!$B2905)</f>
        <v>9</v>
      </c>
      <c r="S2905" s="7">
        <f>YEAR('data on outstanding creditors'!$B2905)</f>
        <v>2025</v>
      </c>
      <c r="T2905" s="11" t="str">
        <f>'data on outstanding creditors'!$C2905&amp;" "&amp;'data on outstanding creditors'!$D2905&amp;" "&amp;TEXT('data on outstanding creditors'!$E2905,"#,##0.00")</f>
        <v>บ.ก้ำหมงเครื่องครัว INV680916003 53,870.00</v>
      </c>
      <c r="U2905" s="12"/>
    </row>
    <row r="2906" ht="13.5" customHeight="1">
      <c r="A2906" s="1" t="s">
        <v>4500</v>
      </c>
      <c r="B2906" s="2">
        <v>45916.0</v>
      </c>
      <c r="C2906" s="9" t="s">
        <v>103</v>
      </c>
      <c r="D2906" s="1" t="s">
        <v>4501</v>
      </c>
      <c r="E2906" s="4">
        <v>825.0</v>
      </c>
      <c r="F2906" s="4"/>
      <c r="G2906" s="4"/>
      <c r="H2906" s="4">
        <f>'data on outstanding creditors'!$E2906-'data on outstanding creditors'!$F2906-'data on outstanding creditors'!$G2906</f>
        <v>825</v>
      </c>
      <c r="I2906" s="2"/>
      <c r="J2906" s="1"/>
      <c r="K2906" s="2"/>
      <c r="L2906" s="5"/>
      <c r="M2906" s="9" t="s">
        <v>125</v>
      </c>
      <c r="N2906" s="9" t="s">
        <v>49</v>
      </c>
      <c r="O2906" s="10">
        <f>'data on outstanding creditors'!$E2906*100/107</f>
        <v>771.0280374</v>
      </c>
      <c r="P2906" s="10">
        <f>'data on outstanding creditors'!$E2906-'data on outstanding creditors'!$O2906</f>
        <v>53.97196262</v>
      </c>
      <c r="Q2906" s="7">
        <f>DAY('data on outstanding creditors'!$B2906)</f>
        <v>16</v>
      </c>
      <c r="R2906" s="7">
        <f>MONTH('data on outstanding creditors'!$B2906)</f>
        <v>9</v>
      </c>
      <c r="S2906" s="7">
        <f>YEAR('data on outstanding creditors'!$B2906)</f>
        <v>2025</v>
      </c>
      <c r="T2906" s="11" t="str">
        <f>'data on outstanding creditors'!$C2906&amp;" "&amp;'data on outstanding creditors'!$D2906&amp;" "&amp;TEXT('data on outstanding creditors'!$E2906,"#,##0.00")</f>
        <v>บ.ก้ำหมงเครื่องครัว INV680916004 825.00</v>
      </c>
      <c r="U2906" s="12"/>
    </row>
    <row r="2907" ht="13.5" customHeight="1">
      <c r="A2907" s="1" t="s">
        <v>4502</v>
      </c>
      <c r="B2907" s="2">
        <v>45916.0</v>
      </c>
      <c r="C2907" s="9" t="s">
        <v>103</v>
      </c>
      <c r="D2907" s="1" t="s">
        <v>4503</v>
      </c>
      <c r="E2907" s="4">
        <v>8600.0</v>
      </c>
      <c r="F2907" s="4"/>
      <c r="G2907" s="4"/>
      <c r="H2907" s="4">
        <f>'data on outstanding creditors'!$E2907-'data on outstanding creditors'!$F2907-'data on outstanding creditors'!$G2907</f>
        <v>8600</v>
      </c>
      <c r="I2907" s="2"/>
      <c r="J2907" s="1"/>
      <c r="K2907" s="2"/>
      <c r="L2907" s="5"/>
      <c r="M2907" s="9" t="s">
        <v>125</v>
      </c>
      <c r="N2907" s="9" t="s">
        <v>49</v>
      </c>
      <c r="O2907" s="10">
        <f>'data on outstanding creditors'!$E2907*100/107</f>
        <v>8037.383178</v>
      </c>
      <c r="P2907" s="10">
        <f>'data on outstanding creditors'!$E2907-'data on outstanding creditors'!$O2907</f>
        <v>562.6168224</v>
      </c>
      <c r="Q2907" s="7">
        <f>DAY('data on outstanding creditors'!$B2907)</f>
        <v>16</v>
      </c>
      <c r="R2907" s="7">
        <f>MONTH('data on outstanding creditors'!$B2907)</f>
        <v>9</v>
      </c>
      <c r="S2907" s="7">
        <f>YEAR('data on outstanding creditors'!$B2907)</f>
        <v>2025</v>
      </c>
      <c r="T2907" s="11" t="str">
        <f>'data on outstanding creditors'!$C2907&amp;" "&amp;'data on outstanding creditors'!$D2907&amp;" "&amp;TEXT('data on outstanding creditors'!$E2907,"#,##0.00")</f>
        <v>บ.ก้ำหมงเครื่องครัว INV680916002 8,600.00</v>
      </c>
      <c r="U2907" s="12"/>
    </row>
    <row r="2908" ht="13.5" customHeight="1">
      <c r="A2908" s="1" t="s">
        <v>4504</v>
      </c>
      <c r="B2908" s="2">
        <v>45919.0</v>
      </c>
      <c r="C2908" s="9" t="s">
        <v>4405</v>
      </c>
      <c r="D2908" s="1" t="s">
        <v>4505</v>
      </c>
      <c r="E2908" s="4">
        <v>29580.0</v>
      </c>
      <c r="F2908" s="4"/>
      <c r="G2908" s="4"/>
      <c r="H2908" s="4">
        <f>'data on outstanding creditors'!$E2908-'data on outstanding creditors'!$F2908-'data on outstanding creditors'!$G2908</f>
        <v>29580</v>
      </c>
      <c r="I2908" s="2"/>
      <c r="J2908" s="1"/>
      <c r="K2908" s="2"/>
      <c r="L2908" s="5"/>
      <c r="M2908" s="9" t="s">
        <v>125</v>
      </c>
      <c r="N2908" s="9" t="s">
        <v>49</v>
      </c>
      <c r="O2908" s="10">
        <f>'data on outstanding creditors'!$E2908*100/107</f>
        <v>27644.85981</v>
      </c>
      <c r="P2908" s="10">
        <f>'data on outstanding creditors'!$E2908-'data on outstanding creditors'!$O2908</f>
        <v>1935.140187</v>
      </c>
      <c r="Q2908" s="7">
        <f>DAY('data on outstanding creditors'!$B2908)</f>
        <v>19</v>
      </c>
      <c r="R2908" s="7">
        <f>MONTH('data on outstanding creditors'!$B2908)</f>
        <v>9</v>
      </c>
      <c r="S2908" s="7">
        <f>YEAR('data on outstanding creditors'!$B2908)</f>
        <v>2025</v>
      </c>
      <c r="T2908" s="11" t="str">
        <f>'data on outstanding creditors'!$C2908&amp;" "&amp;'data on outstanding creditors'!$D2908&amp;" "&amp;TEXT('data on outstanding creditors'!$E2908,"#,##0.00")</f>
        <v>หสม.วราภรณ์ มาร์เก็ตติ้ง DI6809007 29,580.00</v>
      </c>
      <c r="U2908" s="12"/>
    </row>
    <row r="2909" ht="13.5" customHeight="1">
      <c r="A2909" s="1" t="s">
        <v>4506</v>
      </c>
      <c r="B2909" s="2">
        <v>45922.0</v>
      </c>
      <c r="C2909" s="9" t="s">
        <v>366</v>
      </c>
      <c r="D2909" s="1" t="s">
        <v>4507</v>
      </c>
      <c r="E2909" s="4">
        <v>35524.0</v>
      </c>
      <c r="F2909" s="4"/>
      <c r="G2909" s="4"/>
      <c r="H2909" s="4">
        <f>'data on outstanding creditors'!$E2909-'data on outstanding creditors'!$F2909-'data on outstanding creditors'!$G2909</f>
        <v>35524</v>
      </c>
      <c r="I2909" s="2"/>
      <c r="J2909" s="1"/>
      <c r="K2909" s="2"/>
      <c r="L2909" s="5"/>
      <c r="M2909" s="9" t="s">
        <v>125</v>
      </c>
      <c r="N2909" s="9" t="s">
        <v>49</v>
      </c>
      <c r="O2909" s="10">
        <f>'data on outstanding creditors'!$E2909*100/107</f>
        <v>33200</v>
      </c>
      <c r="P2909" s="10">
        <f>'data on outstanding creditors'!$E2909-'data on outstanding creditors'!$O2909</f>
        <v>2324</v>
      </c>
      <c r="Q2909" s="7">
        <f>DAY('data on outstanding creditors'!$B2909)</f>
        <v>22</v>
      </c>
      <c r="R2909" s="7">
        <f>MONTH('data on outstanding creditors'!$B2909)</f>
        <v>9</v>
      </c>
      <c r="S2909" s="7">
        <f>YEAR('data on outstanding creditors'!$B2909)</f>
        <v>2025</v>
      </c>
      <c r="T2909" s="11" t="str">
        <f>'data on outstanding creditors'!$C2909&amp;" "&amp;'data on outstanding creditors'!$D2909&amp;" "&amp;TEXT('data on outstanding creditors'!$E2909,"#,##0.00")</f>
        <v>บ.สยามยูเนี่ยนเคมีคอล SOSU6809054 35,524.00</v>
      </c>
      <c r="U2909" s="12"/>
    </row>
    <row r="2910" ht="13.5" customHeight="1">
      <c r="A2910" s="1" t="s">
        <v>4508</v>
      </c>
      <c r="B2910" s="2">
        <v>45924.0</v>
      </c>
      <c r="C2910" s="9" t="s">
        <v>1096</v>
      </c>
      <c r="D2910" s="1" t="s">
        <v>4509</v>
      </c>
      <c r="E2910" s="4">
        <v>5392.8</v>
      </c>
      <c r="F2910" s="4"/>
      <c r="G2910" s="4"/>
      <c r="H2910" s="4">
        <f>'data on outstanding creditors'!$E2910-'data on outstanding creditors'!$F2910-'data on outstanding creditors'!$G2910</f>
        <v>5392.8</v>
      </c>
      <c r="I2910" s="2"/>
      <c r="J2910" s="1"/>
      <c r="K2910" s="2"/>
      <c r="L2910" s="5"/>
      <c r="M2910" s="9" t="s">
        <v>125</v>
      </c>
      <c r="N2910" s="9" t="s">
        <v>49</v>
      </c>
      <c r="O2910" s="10">
        <f>'data on outstanding creditors'!$E2910*100/107</f>
        <v>5040</v>
      </c>
      <c r="P2910" s="10">
        <f>'data on outstanding creditors'!$E2910-'data on outstanding creditors'!$O2910</f>
        <v>352.8</v>
      </c>
      <c r="Q2910" s="7">
        <f>DAY('data on outstanding creditors'!$B2910)</f>
        <v>24</v>
      </c>
      <c r="R2910" s="7">
        <f>MONTH('data on outstanding creditors'!$B2910)</f>
        <v>9</v>
      </c>
      <c r="S2910" s="7">
        <f>YEAR('data on outstanding creditors'!$B2910)</f>
        <v>2025</v>
      </c>
      <c r="T2910" s="11" t="str">
        <f>'data on outstanding creditors'!$C2910&amp;" "&amp;'data on outstanding creditors'!$D2910&amp;" "&amp;TEXT('data on outstanding creditors'!$E2910,"#,##0.00")</f>
        <v>หจก.กิตติเชษฐ์ เอสพีอาร์ IV8090770 5,392.80</v>
      </c>
      <c r="U2910" s="12"/>
    </row>
    <row r="2911" ht="13.5" customHeight="1">
      <c r="A2911" s="1" t="s">
        <v>4510</v>
      </c>
      <c r="B2911" s="2">
        <v>45925.0</v>
      </c>
      <c r="C2911" s="9" t="s">
        <v>2702</v>
      </c>
      <c r="D2911" s="1" t="s">
        <v>4511</v>
      </c>
      <c r="E2911" s="4">
        <v>4500.0</v>
      </c>
      <c r="F2911" s="4"/>
      <c r="G2911" s="4"/>
      <c r="H2911" s="4">
        <f>'data on outstanding creditors'!$E2911-'data on outstanding creditors'!$F2911-'data on outstanding creditors'!$G2911</f>
        <v>4500</v>
      </c>
      <c r="I2911" s="2"/>
      <c r="J2911" s="1"/>
      <c r="K2911" s="2"/>
      <c r="L2911" s="5"/>
      <c r="M2911" s="9" t="s">
        <v>125</v>
      </c>
      <c r="N2911" s="9" t="s">
        <v>49</v>
      </c>
      <c r="O2911" s="10">
        <f>'data on outstanding creditors'!$E2911*100/107</f>
        <v>4205.607477</v>
      </c>
      <c r="P2911" s="10">
        <f>'data on outstanding creditors'!$E2911-'data on outstanding creditors'!$O2911</f>
        <v>294.3925234</v>
      </c>
      <c r="Q2911" s="7">
        <f>DAY('data on outstanding creditors'!$B2911)</f>
        <v>25</v>
      </c>
      <c r="R2911" s="7">
        <f>MONTH('data on outstanding creditors'!$B2911)</f>
        <v>9</v>
      </c>
      <c r="S2911" s="7">
        <f>YEAR('data on outstanding creditors'!$B2911)</f>
        <v>2025</v>
      </c>
      <c r="T2911" s="11" t="str">
        <f>'data on outstanding creditors'!$C2911&amp;" "&amp;'data on outstanding creditors'!$D2911&amp;" "&amp;TEXT('data on outstanding creditors'!$E2911,"#,##0.00")</f>
        <v>บ.กรุงเทพครุภัณฑ์เวชภัณฑ์ 2568/0919 4,500.00</v>
      </c>
      <c r="U2911" s="12"/>
    </row>
    <row r="2912" ht="13.5" customHeight="1">
      <c r="A2912" s="1" t="s">
        <v>4512</v>
      </c>
      <c r="B2912" s="2">
        <v>45930.0</v>
      </c>
      <c r="C2912" s="9" t="s">
        <v>4431</v>
      </c>
      <c r="D2912" s="1" t="s">
        <v>4513</v>
      </c>
      <c r="E2912" s="4">
        <v>67000.0</v>
      </c>
      <c r="F2912" s="4"/>
      <c r="G2912" s="4"/>
      <c r="H2912" s="4">
        <f>'data on outstanding creditors'!$E2912-'data on outstanding creditors'!$F2912-'data on outstanding creditors'!$G2912</f>
        <v>67000</v>
      </c>
      <c r="I2912" s="2"/>
      <c r="J2912" s="1"/>
      <c r="K2912" s="2"/>
      <c r="L2912" s="5"/>
      <c r="M2912" s="9" t="s">
        <v>125</v>
      </c>
      <c r="N2912" s="9" t="s">
        <v>49</v>
      </c>
      <c r="O2912" s="10">
        <f>'data on outstanding creditors'!$E2912*100/107</f>
        <v>62616.82243</v>
      </c>
      <c r="P2912" s="10">
        <f>'data on outstanding creditors'!$E2912-'data on outstanding creditors'!$O2912</f>
        <v>4383.17757</v>
      </c>
      <c r="Q2912" s="7">
        <f>DAY('data on outstanding creditors'!$B2912)</f>
        <v>30</v>
      </c>
      <c r="R2912" s="7">
        <f>MONTH('data on outstanding creditors'!$B2912)</f>
        <v>9</v>
      </c>
      <c r="S2912" s="7">
        <f>YEAR('data on outstanding creditors'!$B2912)</f>
        <v>2025</v>
      </c>
      <c r="T2912" s="11" t="str">
        <f>'data on outstanding creditors'!$C2912&amp;" "&amp;'data on outstanding creditors'!$D2912&amp;" "&amp;TEXT('data on outstanding creditors'!$E2912,"#,##0.00")</f>
        <v>หจก.ศุภเจตน์ เทรดดิ้ง กรุ๊ป 2568/0215 67,000.00</v>
      </c>
      <c r="U2912" s="12"/>
    </row>
    <row r="2913" ht="13.5" customHeight="1">
      <c r="A2913" s="1" t="s">
        <v>4514</v>
      </c>
      <c r="B2913" s="2">
        <v>45933.0</v>
      </c>
      <c r="C2913" s="9" t="s">
        <v>341</v>
      </c>
      <c r="D2913" s="1" t="s">
        <v>4515</v>
      </c>
      <c r="E2913" s="4">
        <v>88650.0</v>
      </c>
      <c r="F2913" s="4"/>
      <c r="G2913" s="4"/>
      <c r="H2913" s="4">
        <f>'data on outstanding creditors'!$E2913-'data on outstanding creditors'!$F2913-'data on outstanding creditors'!$G2913</f>
        <v>88650</v>
      </c>
      <c r="I2913" s="2"/>
      <c r="J2913" s="1"/>
      <c r="K2913" s="2"/>
      <c r="L2913" s="5"/>
      <c r="M2913" s="9" t="s">
        <v>125</v>
      </c>
      <c r="N2913" s="9" t="s">
        <v>49</v>
      </c>
      <c r="O2913" s="10">
        <f>'data on outstanding creditors'!$E2913*100/107</f>
        <v>82850.46729</v>
      </c>
      <c r="P2913" s="10">
        <f>'data on outstanding creditors'!$E2913-'data on outstanding creditors'!$O2913</f>
        <v>5799.53271</v>
      </c>
      <c r="Q2913" s="7">
        <f>DAY('data on outstanding creditors'!$B2913)</f>
        <v>3</v>
      </c>
      <c r="R2913" s="7">
        <f>MONTH('data on outstanding creditors'!$B2913)</f>
        <v>10</v>
      </c>
      <c r="S2913" s="7">
        <f>YEAR('data on outstanding creditors'!$B2913)</f>
        <v>2025</v>
      </c>
      <c r="T2913" s="11" t="str">
        <f>'data on outstanding creditors'!$C2913&amp;" "&amp;'data on outstanding creditors'!$D2913&amp;" "&amp;TEXT('data on outstanding creditors'!$E2913,"#,##0.00")</f>
        <v>บ.เพียว ออร์กา คอร์ปอเรชั่น IVT-20250900021 88,650.00</v>
      </c>
      <c r="U2913" s="12"/>
    </row>
    <row r="2914" ht="13.5" customHeight="1">
      <c r="A2914" s="1" t="s">
        <v>4516</v>
      </c>
      <c r="B2914" s="2">
        <v>45937.0</v>
      </c>
      <c r="C2914" s="9" t="s">
        <v>421</v>
      </c>
      <c r="D2914" s="1" t="s">
        <v>4517</v>
      </c>
      <c r="E2914" s="4">
        <v>19773.6</v>
      </c>
      <c r="F2914" s="4"/>
      <c r="G2914" s="4"/>
      <c r="H2914" s="4">
        <f>'data on outstanding creditors'!$E2914-'data on outstanding creditors'!$F2914-'data on outstanding creditors'!$G2914</f>
        <v>19773.6</v>
      </c>
      <c r="I2914" s="2"/>
      <c r="J2914" s="1"/>
      <c r="K2914" s="2"/>
      <c r="L2914" s="5"/>
      <c r="M2914" s="9" t="s">
        <v>125</v>
      </c>
      <c r="N2914" s="9" t="s">
        <v>49</v>
      </c>
      <c r="O2914" s="10">
        <f>'data on outstanding creditors'!$E2914*100/107</f>
        <v>18480</v>
      </c>
      <c r="P2914" s="10">
        <f>'data on outstanding creditors'!$E2914-'data on outstanding creditors'!$O2914</f>
        <v>1293.6</v>
      </c>
      <c r="Q2914" s="7">
        <f>DAY('data on outstanding creditors'!$B2914)</f>
        <v>7</v>
      </c>
      <c r="R2914" s="7">
        <f>MONTH('data on outstanding creditors'!$B2914)</f>
        <v>10</v>
      </c>
      <c r="S2914" s="7">
        <f>YEAR('data on outstanding creditors'!$B2914)</f>
        <v>2025</v>
      </c>
      <c r="T2914" s="11" t="str">
        <f>'data on outstanding creditors'!$C2914&amp;" "&amp;'data on outstanding creditors'!$D2914&amp;" "&amp;TEXT('data on outstanding creditors'!$E2914,"#,##0.00")</f>
        <v>บ.นางรองเคหะภัณฑ์ IV681007-016 19,773.60</v>
      </c>
      <c r="U2914" s="12"/>
    </row>
    <row r="2915" ht="13.5" customHeight="1">
      <c r="A2915" s="1" t="s">
        <v>4518</v>
      </c>
      <c r="B2915" s="2">
        <v>45938.0</v>
      </c>
      <c r="C2915" s="9" t="s">
        <v>4431</v>
      </c>
      <c r="D2915" s="1" t="s">
        <v>4519</v>
      </c>
      <c r="E2915" s="4">
        <v>63000.0</v>
      </c>
      <c r="F2915" s="4"/>
      <c r="G2915" s="4"/>
      <c r="H2915" s="4">
        <f>'data on outstanding creditors'!$E2915-'data on outstanding creditors'!$F2915-'data on outstanding creditors'!$G2915</f>
        <v>63000</v>
      </c>
      <c r="I2915" s="2"/>
      <c r="J2915" s="1"/>
      <c r="K2915" s="2"/>
      <c r="L2915" s="5"/>
      <c r="M2915" s="9" t="s">
        <v>125</v>
      </c>
      <c r="N2915" s="9" t="s">
        <v>49</v>
      </c>
      <c r="O2915" s="10">
        <f>'data on outstanding creditors'!$E2915*100/107</f>
        <v>58878.50467</v>
      </c>
      <c r="P2915" s="10">
        <f>'data on outstanding creditors'!$E2915-'data on outstanding creditors'!$O2915</f>
        <v>4121.495327</v>
      </c>
      <c r="Q2915" s="7">
        <f>DAY('data on outstanding creditors'!$B2915)</f>
        <v>8</v>
      </c>
      <c r="R2915" s="7">
        <f>MONTH('data on outstanding creditors'!$B2915)</f>
        <v>10</v>
      </c>
      <c r="S2915" s="7">
        <f>YEAR('data on outstanding creditors'!$B2915)</f>
        <v>2025</v>
      </c>
      <c r="T2915" s="11" t="str">
        <f>'data on outstanding creditors'!$C2915&amp;" "&amp;'data on outstanding creditors'!$D2915&amp;" "&amp;TEXT('data on outstanding creditors'!$E2915,"#,##0.00")</f>
        <v>หจก.ศุภเจตน์ เทรดดิ้ง กรุ๊ป 2568/0223 63,000.00</v>
      </c>
      <c r="U2915" s="12"/>
    </row>
    <row r="2916" ht="13.5" customHeight="1">
      <c r="A2916" s="1" t="s">
        <v>4520</v>
      </c>
      <c r="B2916" s="2">
        <v>45950.0</v>
      </c>
      <c r="C2916" s="9" t="s">
        <v>4278</v>
      </c>
      <c r="D2916" s="1" t="s">
        <v>4521</v>
      </c>
      <c r="E2916" s="4">
        <v>30896.0</v>
      </c>
      <c r="F2916" s="4"/>
      <c r="G2916" s="4"/>
      <c r="H2916" s="4">
        <f>'data on outstanding creditors'!$E2916-'data on outstanding creditors'!$F2916-'data on outstanding creditors'!$G2916</f>
        <v>30896</v>
      </c>
      <c r="I2916" s="2"/>
      <c r="J2916" s="1"/>
      <c r="K2916" s="2"/>
      <c r="L2916" s="5"/>
      <c r="M2916" s="9" t="s">
        <v>125</v>
      </c>
      <c r="N2916" s="9" t="s">
        <v>49</v>
      </c>
      <c r="O2916" s="10">
        <f>'data on outstanding creditors'!$E2916*100/107</f>
        <v>28874.76636</v>
      </c>
      <c r="P2916" s="10">
        <f>'data on outstanding creditors'!$E2916-'data on outstanding creditors'!$O2916</f>
        <v>2021.233645</v>
      </c>
      <c r="Q2916" s="7">
        <f>DAY('data on outstanding creditors'!$B2916)</f>
        <v>20</v>
      </c>
      <c r="R2916" s="7">
        <f>MONTH('data on outstanding creditors'!$B2916)</f>
        <v>10</v>
      </c>
      <c r="S2916" s="7">
        <f>YEAR('data on outstanding creditors'!$B2916)</f>
        <v>2025</v>
      </c>
      <c r="T2916" s="11" t="str">
        <f>'data on outstanding creditors'!$C2916&amp;" "&amp;'data on outstanding creditors'!$D2916&amp;" "&amp;TEXT('data on outstanding creditors'!$E2916,"#,##0.00")</f>
        <v>ร้าน พอเพียง 3/68/09-10 30,896.00</v>
      </c>
      <c r="U2916" s="12"/>
    </row>
    <row r="2917" ht="13.5" customHeight="1">
      <c r="A2917" s="1" t="s">
        <v>4522</v>
      </c>
      <c r="B2917" s="2">
        <v>45960.0</v>
      </c>
      <c r="C2917" s="9" t="s">
        <v>1093</v>
      </c>
      <c r="D2917" s="1" t="s">
        <v>4523</v>
      </c>
      <c r="E2917" s="4">
        <v>31000.0</v>
      </c>
      <c r="F2917" s="4"/>
      <c r="G2917" s="4"/>
      <c r="H2917" s="4">
        <f>'data on outstanding creditors'!$E2917-'data on outstanding creditors'!$F2917-'data on outstanding creditors'!$G2917</f>
        <v>31000</v>
      </c>
      <c r="I2917" s="2"/>
      <c r="J2917" s="1"/>
      <c r="K2917" s="2"/>
      <c r="L2917" s="5"/>
      <c r="M2917" s="9" t="s">
        <v>125</v>
      </c>
      <c r="N2917" s="9" t="s">
        <v>49</v>
      </c>
      <c r="O2917" s="10">
        <f>'data on outstanding creditors'!$E2917*100/107</f>
        <v>28971.96262</v>
      </c>
      <c r="P2917" s="10">
        <f>'data on outstanding creditors'!$E2917-'data on outstanding creditors'!$O2917</f>
        <v>2028.037383</v>
      </c>
      <c r="Q2917" s="7">
        <f>DAY('data on outstanding creditors'!$B2917)</f>
        <v>30</v>
      </c>
      <c r="R2917" s="7">
        <f>MONTH('data on outstanding creditors'!$B2917)</f>
        <v>10</v>
      </c>
      <c r="S2917" s="7">
        <f>YEAR('data on outstanding creditors'!$B2917)</f>
        <v>2025</v>
      </c>
      <c r="T2917" s="11" t="str">
        <f>'data on outstanding creditors'!$C2917&amp;" "&amp;'data on outstanding creditors'!$D2917&amp;" "&amp;TEXT('data on outstanding creditors'!$E2917,"#,##0.00")</f>
        <v>หจก.ศ.ณัฐวุฒิมาร์เก็ตติ้ง 2078 31,000.00</v>
      </c>
      <c r="U2917" s="12"/>
    </row>
    <row r="2918" ht="13.5" customHeight="1">
      <c r="A2918" s="1" t="s">
        <v>4524</v>
      </c>
      <c r="B2918" s="2">
        <v>45960.0</v>
      </c>
      <c r="C2918" s="9" t="s">
        <v>4431</v>
      </c>
      <c r="D2918" s="1" t="s">
        <v>4525</v>
      </c>
      <c r="E2918" s="4">
        <v>32750.0</v>
      </c>
      <c r="F2918" s="4"/>
      <c r="G2918" s="4"/>
      <c r="H2918" s="4">
        <f>'data on outstanding creditors'!$E2918-'data on outstanding creditors'!$F2918-'data on outstanding creditors'!$G2918</f>
        <v>32750</v>
      </c>
      <c r="I2918" s="2"/>
      <c r="J2918" s="1"/>
      <c r="K2918" s="2"/>
      <c r="L2918" s="5"/>
      <c r="M2918" s="9" t="s">
        <v>125</v>
      </c>
      <c r="N2918" s="9" t="s">
        <v>49</v>
      </c>
      <c r="O2918" s="10">
        <f>'data on outstanding creditors'!$E2918*100/107</f>
        <v>30607.47664</v>
      </c>
      <c r="P2918" s="10">
        <f>'data on outstanding creditors'!$E2918-'data on outstanding creditors'!$O2918</f>
        <v>2142.523364</v>
      </c>
      <c r="Q2918" s="7">
        <f>DAY('data on outstanding creditors'!$B2918)</f>
        <v>30</v>
      </c>
      <c r="R2918" s="7">
        <f>MONTH('data on outstanding creditors'!$B2918)</f>
        <v>10</v>
      </c>
      <c r="S2918" s="7">
        <f>YEAR('data on outstanding creditors'!$B2918)</f>
        <v>2025</v>
      </c>
      <c r="T2918" s="11" t="str">
        <f>'data on outstanding creditors'!$C2918&amp;" "&amp;'data on outstanding creditors'!$D2918&amp;" "&amp;TEXT('data on outstanding creditors'!$E2918,"#,##0.00")</f>
        <v>หจก.ศุภเจตน์ เทรดดิ้ง กรุ๊ป 2568/0242 32,750.00</v>
      </c>
      <c r="U2918" s="12"/>
    </row>
    <row r="2919" ht="13.5" customHeight="1">
      <c r="A2919" s="1" t="s">
        <v>4526</v>
      </c>
      <c r="B2919" s="2">
        <v>45793.0</v>
      </c>
      <c r="C2919" s="9" t="s">
        <v>1202</v>
      </c>
      <c r="D2919" s="1" t="s">
        <v>4527</v>
      </c>
      <c r="E2919" s="4">
        <v>963.0</v>
      </c>
      <c r="F2919" s="4"/>
      <c r="G2919" s="4"/>
      <c r="H2919" s="4">
        <f>'data on outstanding creditors'!$E2919-'data on outstanding creditors'!$F2919-'data on outstanding creditors'!$G2919</f>
        <v>963</v>
      </c>
      <c r="I2919" s="2"/>
      <c r="J2919" s="1" t="s">
        <v>646</v>
      </c>
      <c r="K2919" s="2">
        <v>45960.0</v>
      </c>
      <c r="L2919" s="5"/>
      <c r="M2919" s="9" t="s">
        <v>4528</v>
      </c>
      <c r="N2919" s="9" t="s">
        <v>49</v>
      </c>
      <c r="O2919" s="10">
        <f>'data on outstanding creditors'!$E2919*100/107</f>
        <v>900</v>
      </c>
      <c r="P2919" s="10">
        <f>'data on outstanding creditors'!$E2919-'data on outstanding creditors'!$O2919</f>
        <v>63</v>
      </c>
      <c r="Q2919" s="7">
        <f>DAY('data on outstanding creditors'!$B2919)</f>
        <v>16</v>
      </c>
      <c r="R2919" s="7">
        <f>MONTH('data on outstanding creditors'!$B2919)</f>
        <v>5</v>
      </c>
      <c r="S2919" s="7">
        <f>YEAR('data on outstanding creditors'!$B2919)</f>
        <v>2025</v>
      </c>
      <c r="T2919" s="11" t="str">
        <f>'data on outstanding creditors'!$C2919&amp;" "&amp;'data on outstanding creditors'!$D2919&amp;" "&amp;TEXT('data on outstanding creditors'!$E2919,"#,##0.00")</f>
        <v>หจก.นางรองเจริญยางยนต์ 6805000278 963.00</v>
      </c>
      <c r="U2919" s="12"/>
    </row>
    <row r="2920" ht="13.5" customHeight="1">
      <c r="A2920" s="1" t="s">
        <v>4529</v>
      </c>
      <c r="B2920" s="2">
        <v>45894.0</v>
      </c>
      <c r="C2920" s="9" t="s">
        <v>1202</v>
      </c>
      <c r="D2920" s="1" t="s">
        <v>4530</v>
      </c>
      <c r="E2920" s="4">
        <v>1337.5</v>
      </c>
      <c r="F2920" s="4"/>
      <c r="G2920" s="4"/>
      <c r="H2920" s="4">
        <f>'data on outstanding creditors'!$E2920-'data on outstanding creditors'!$F2920-'data on outstanding creditors'!$G2920</f>
        <v>1337.5</v>
      </c>
      <c r="I2920" s="2"/>
      <c r="J2920" s="1"/>
      <c r="K2920" s="2"/>
      <c r="L2920" s="5"/>
      <c r="M2920" s="9" t="s">
        <v>4528</v>
      </c>
      <c r="N2920" s="9" t="s">
        <v>49</v>
      </c>
      <c r="O2920" s="10">
        <f>'data on outstanding creditors'!$E2920*100/107</f>
        <v>1250</v>
      </c>
      <c r="P2920" s="10">
        <f>'data on outstanding creditors'!$E2920-'data on outstanding creditors'!$O2920</f>
        <v>87.5</v>
      </c>
      <c r="Q2920" s="7">
        <f>DAY('data on outstanding creditors'!$B2920)</f>
        <v>25</v>
      </c>
      <c r="R2920" s="7">
        <f>MONTH('data on outstanding creditors'!$B2920)</f>
        <v>8</v>
      </c>
      <c r="S2920" s="7">
        <f>YEAR('data on outstanding creditors'!$B2920)</f>
        <v>2025</v>
      </c>
      <c r="T2920" s="11" t="str">
        <f>'data on outstanding creditors'!$C2920&amp;" "&amp;'data on outstanding creditors'!$D2920&amp;" "&amp;TEXT('data on outstanding creditors'!$E2920,"#,##0.00")</f>
        <v>หจก.นางรองเจริญยางยนต์ 6808000325 1,337.50</v>
      </c>
      <c r="U2920" s="12"/>
    </row>
    <row r="2921" ht="13.5" customHeight="1">
      <c r="A2921" s="1" t="s">
        <v>4531</v>
      </c>
      <c r="B2921" s="2">
        <v>45911.0</v>
      </c>
      <c r="C2921" s="9" t="s">
        <v>1202</v>
      </c>
      <c r="D2921" s="1" t="s">
        <v>4532</v>
      </c>
      <c r="E2921" s="4">
        <v>1337.5</v>
      </c>
      <c r="F2921" s="4"/>
      <c r="G2921" s="4"/>
      <c r="H2921" s="4">
        <f>'data on outstanding creditors'!$E2921-'data on outstanding creditors'!$F2921-'data on outstanding creditors'!$G2921</f>
        <v>1337.5</v>
      </c>
      <c r="I2921" s="2"/>
      <c r="J2921" s="1"/>
      <c r="K2921" s="2"/>
      <c r="L2921" s="5"/>
      <c r="M2921" s="9" t="s">
        <v>4528</v>
      </c>
      <c r="N2921" s="9" t="s">
        <v>49</v>
      </c>
      <c r="O2921" s="10">
        <f>'data on outstanding creditors'!$E2921*100/107</f>
        <v>1250</v>
      </c>
      <c r="P2921" s="10">
        <f>'data on outstanding creditors'!$E2921-'data on outstanding creditors'!$O2921</f>
        <v>87.5</v>
      </c>
      <c r="Q2921" s="7">
        <f>DAY('data on outstanding creditors'!$B2921)</f>
        <v>11</v>
      </c>
      <c r="R2921" s="7">
        <f>MONTH('data on outstanding creditors'!$B2921)</f>
        <v>9</v>
      </c>
      <c r="S2921" s="7">
        <f>YEAR('data on outstanding creditors'!$B2921)</f>
        <v>2025</v>
      </c>
      <c r="T2921" s="11" t="str">
        <f>'data on outstanding creditors'!$C2921&amp;" "&amp;'data on outstanding creditors'!$D2921&amp;" "&amp;TEXT('data on outstanding creditors'!$E2921,"#,##0.00")</f>
        <v>หจก.นางรองเจริญยางยนต์ 6809000161 1,337.50</v>
      </c>
      <c r="U2921" s="12"/>
    </row>
    <row r="2922" ht="13.5" customHeight="1">
      <c r="A2922" s="1" t="s">
        <v>4533</v>
      </c>
      <c r="B2922" s="2">
        <v>45944.0</v>
      </c>
      <c r="C2922" s="9" t="s">
        <v>1202</v>
      </c>
      <c r="D2922" s="1" t="s">
        <v>4534</v>
      </c>
      <c r="E2922" s="4">
        <v>1551.5</v>
      </c>
      <c r="F2922" s="4"/>
      <c r="G2922" s="4"/>
      <c r="H2922" s="4">
        <f>'data on outstanding creditors'!$E2922-'data on outstanding creditors'!$F2922-'data on outstanding creditors'!$G2922</f>
        <v>1551.5</v>
      </c>
      <c r="I2922" s="2"/>
      <c r="J2922" s="1"/>
      <c r="K2922" s="2"/>
      <c r="L2922" s="5"/>
      <c r="M2922" s="9" t="s">
        <v>4528</v>
      </c>
      <c r="N2922" s="9" t="s">
        <v>49</v>
      </c>
      <c r="O2922" s="10">
        <f>'data on outstanding creditors'!$E2922*100/107</f>
        <v>1450</v>
      </c>
      <c r="P2922" s="10">
        <f>'data on outstanding creditors'!$E2922-'data on outstanding creditors'!$O2922</f>
        <v>101.5</v>
      </c>
      <c r="Q2922" s="7">
        <f>DAY('data on outstanding creditors'!$B2922)</f>
        <v>14</v>
      </c>
      <c r="R2922" s="7">
        <f>MONTH('data on outstanding creditors'!$B2922)</f>
        <v>10</v>
      </c>
      <c r="S2922" s="7">
        <f>YEAR('data on outstanding creditors'!$B2922)</f>
        <v>2025</v>
      </c>
      <c r="T2922" s="11" t="str">
        <f>'data on outstanding creditors'!$C2922&amp;" "&amp;'data on outstanding creditors'!$D2922&amp;" "&amp;TEXT('data on outstanding creditors'!$E2922,"#,##0.00")</f>
        <v>หจก.นางรองเจริญยางยนต์ 6810000261 1,551.50</v>
      </c>
      <c r="U2922" s="12"/>
    </row>
    <row r="2923" ht="13.5" customHeight="1">
      <c r="A2923" s="1" t="s">
        <v>4535</v>
      </c>
      <c r="B2923" s="2">
        <v>45708.0</v>
      </c>
      <c r="C2923" s="9" t="s">
        <v>4536</v>
      </c>
      <c r="D2923" s="1" t="s">
        <v>4537</v>
      </c>
      <c r="E2923" s="4">
        <v>2097.2</v>
      </c>
      <c r="F2923" s="4"/>
      <c r="G2923" s="4"/>
      <c r="H2923" s="4">
        <f>'data on outstanding creditors'!$E2923-'data on outstanding creditors'!$F2923-'data on outstanding creditors'!$G2923</f>
        <v>2097.2</v>
      </c>
      <c r="I2923" s="2"/>
      <c r="J2923" s="1" t="s">
        <v>757</v>
      </c>
      <c r="K2923" s="2">
        <v>45739.0</v>
      </c>
      <c r="L2923" s="5"/>
      <c r="M2923" s="9" t="s">
        <v>141</v>
      </c>
      <c r="N2923" s="9" t="s">
        <v>49</v>
      </c>
      <c r="O2923" s="10">
        <f>'data on outstanding creditors'!$E2923*100/107</f>
        <v>1960</v>
      </c>
      <c r="P2923" s="10">
        <f>'data on outstanding creditors'!$E2923-'data on outstanding creditors'!$O2923</f>
        <v>137.2</v>
      </c>
      <c r="Q2923" s="7">
        <f>DAY('data on outstanding creditors'!$B2923)</f>
        <v>20</v>
      </c>
      <c r="R2923" s="7">
        <f>MONTH('data on outstanding creditors'!$B2923)</f>
        <v>2</v>
      </c>
      <c r="S2923" s="7">
        <f>YEAR('data on outstanding creditors'!$B2923)</f>
        <v>2025</v>
      </c>
      <c r="T2923" s="11" t="str">
        <f>'data on outstanding creditors'!$C2923&amp;" "&amp;'data on outstanding creditors'!$D2923&amp;" "&amp;TEXT('data on outstanding creditors'!$E2923,"#,##0.00")</f>
        <v>หจก.ซีคิวทูมิเตอร์ IV2025020015 2,097.20</v>
      </c>
      <c r="U2923" s="12"/>
    </row>
    <row r="2924" ht="13.5" customHeight="1">
      <c r="A2924" s="1" t="s">
        <v>4538</v>
      </c>
      <c r="B2924" s="2">
        <v>45845.0</v>
      </c>
      <c r="C2924" s="9" t="s">
        <v>100</v>
      </c>
      <c r="D2924" s="1" t="s">
        <v>4539</v>
      </c>
      <c r="E2924" s="4">
        <v>2457.0</v>
      </c>
      <c r="F2924" s="4"/>
      <c r="G2924" s="4"/>
      <c r="H2924" s="4">
        <f>'data on outstanding creditors'!$E2924-'data on outstanding creditors'!$F2924-'data on outstanding creditors'!$G2924</f>
        <v>2457</v>
      </c>
      <c r="I2924" s="2"/>
      <c r="J2924" s="1"/>
      <c r="K2924" s="2"/>
      <c r="L2924" s="5"/>
      <c r="M2924" s="9" t="s">
        <v>141</v>
      </c>
      <c r="N2924" s="9" t="s">
        <v>49</v>
      </c>
      <c r="O2924" s="10">
        <f>'data on outstanding creditors'!$E2924*100/107</f>
        <v>2296.261682</v>
      </c>
      <c r="P2924" s="10">
        <f>'data on outstanding creditors'!$E2924-'data on outstanding creditors'!$O2924</f>
        <v>160.7383178</v>
      </c>
      <c r="Q2924" s="7">
        <f>DAY('data on outstanding creditors'!$B2924)</f>
        <v>7</v>
      </c>
      <c r="R2924" s="7">
        <f>MONTH('data on outstanding creditors'!$B2924)</f>
        <v>7</v>
      </c>
      <c r="S2924" s="7">
        <f>YEAR('data on outstanding creditors'!$B2924)</f>
        <v>2025</v>
      </c>
      <c r="T2924" s="11" t="str">
        <f>'data on outstanding creditors'!$C2924&amp;" "&amp;'data on outstanding creditors'!$D2924&amp;" "&amp;TEXT('data on outstanding creditors'!$E2924,"#,##0.00")</f>
        <v>หจก.ทวีศักดิ์การไฟฟ้า 2018 TN00002864 2,457.00</v>
      </c>
      <c r="U2924" s="12"/>
    </row>
    <row r="2925" ht="13.5" customHeight="1">
      <c r="A2925" s="1" t="s">
        <v>4540</v>
      </c>
      <c r="B2925" s="2">
        <v>45846.0</v>
      </c>
      <c r="C2925" s="9" t="s">
        <v>100</v>
      </c>
      <c r="D2925" s="1" t="s">
        <v>4541</v>
      </c>
      <c r="E2925" s="4">
        <v>3427.0</v>
      </c>
      <c r="F2925" s="4"/>
      <c r="G2925" s="4"/>
      <c r="H2925" s="4">
        <f>'data on outstanding creditors'!$E2925-'data on outstanding creditors'!$F2925-'data on outstanding creditors'!$G2925</f>
        <v>3427</v>
      </c>
      <c r="I2925" s="2"/>
      <c r="J2925" s="1"/>
      <c r="K2925" s="2"/>
      <c r="L2925" s="5"/>
      <c r="M2925" s="9" t="s">
        <v>141</v>
      </c>
      <c r="N2925" s="9" t="s">
        <v>49</v>
      </c>
      <c r="O2925" s="10">
        <f>'data on outstanding creditors'!$E2925*100/107</f>
        <v>3202.803738</v>
      </c>
      <c r="P2925" s="10">
        <f>'data on outstanding creditors'!$E2925-'data on outstanding creditors'!$O2925</f>
        <v>224.1962617</v>
      </c>
      <c r="Q2925" s="7">
        <f>DAY('data on outstanding creditors'!$B2925)</f>
        <v>8</v>
      </c>
      <c r="R2925" s="7">
        <f>MONTH('data on outstanding creditors'!$B2925)</f>
        <v>7</v>
      </c>
      <c r="S2925" s="7">
        <f>YEAR('data on outstanding creditors'!$B2925)</f>
        <v>2025</v>
      </c>
      <c r="T2925" s="11" t="str">
        <f>'data on outstanding creditors'!$C2925&amp;" "&amp;'data on outstanding creditors'!$D2925&amp;" "&amp;TEXT('data on outstanding creditors'!$E2925,"#,##0.00")</f>
        <v>หจก.ทวีศักดิ์การไฟฟ้า 2018 TN00002867 3,427.00</v>
      </c>
      <c r="U2925" s="12"/>
    </row>
    <row r="2926" ht="13.5" customHeight="1">
      <c r="A2926" s="1" t="s">
        <v>4542</v>
      </c>
      <c r="B2926" s="2">
        <v>45846.0</v>
      </c>
      <c r="C2926" s="9" t="s">
        <v>100</v>
      </c>
      <c r="D2926" s="1" t="s">
        <v>4543</v>
      </c>
      <c r="E2926" s="4">
        <v>17000.0</v>
      </c>
      <c r="F2926" s="4"/>
      <c r="G2926" s="4"/>
      <c r="H2926" s="4">
        <f>'data on outstanding creditors'!$E2926-'data on outstanding creditors'!$F2926-'data on outstanding creditors'!$G2926</f>
        <v>17000</v>
      </c>
      <c r="I2926" s="2"/>
      <c r="J2926" s="1"/>
      <c r="K2926" s="2"/>
      <c r="L2926" s="5"/>
      <c r="M2926" s="9" t="s">
        <v>141</v>
      </c>
      <c r="N2926" s="9" t="s">
        <v>49</v>
      </c>
      <c r="O2926" s="10">
        <f>'data on outstanding creditors'!$E2926*100/107</f>
        <v>15887.85047</v>
      </c>
      <c r="P2926" s="10">
        <f>'data on outstanding creditors'!$E2926-'data on outstanding creditors'!$O2926</f>
        <v>1112.149533</v>
      </c>
      <c r="Q2926" s="7">
        <f>DAY('data on outstanding creditors'!$B2926)</f>
        <v>8</v>
      </c>
      <c r="R2926" s="7">
        <f>MONTH('data on outstanding creditors'!$B2926)</f>
        <v>7</v>
      </c>
      <c r="S2926" s="7">
        <f>YEAR('data on outstanding creditors'!$B2926)</f>
        <v>2025</v>
      </c>
      <c r="T2926" s="11" t="str">
        <f>'data on outstanding creditors'!$C2926&amp;" "&amp;'data on outstanding creditors'!$D2926&amp;" "&amp;TEXT('data on outstanding creditors'!$E2926,"#,##0.00")</f>
        <v>หจก.ทวีศักดิ์การไฟฟ้า 2018 TN00002868 17,000.00</v>
      </c>
      <c r="U2926" s="12"/>
    </row>
    <row r="2927" ht="13.5" customHeight="1">
      <c r="A2927" s="1" t="s">
        <v>4544</v>
      </c>
      <c r="B2927" s="2">
        <v>45846.0</v>
      </c>
      <c r="C2927" s="9" t="s">
        <v>100</v>
      </c>
      <c r="D2927" s="1" t="s">
        <v>4545</v>
      </c>
      <c r="E2927" s="4">
        <v>27300.0</v>
      </c>
      <c r="F2927" s="4"/>
      <c r="G2927" s="4"/>
      <c r="H2927" s="4">
        <f>'data on outstanding creditors'!$E2927-'data on outstanding creditors'!$F2927-'data on outstanding creditors'!$G2927</f>
        <v>27300</v>
      </c>
      <c r="I2927" s="2"/>
      <c r="J2927" s="1"/>
      <c r="K2927" s="2"/>
      <c r="L2927" s="5"/>
      <c r="M2927" s="9" t="s">
        <v>141</v>
      </c>
      <c r="N2927" s="9" t="s">
        <v>49</v>
      </c>
      <c r="O2927" s="10">
        <f>'data on outstanding creditors'!$E2927*100/107</f>
        <v>25514.01869</v>
      </c>
      <c r="P2927" s="10">
        <f>'data on outstanding creditors'!$E2927-'data on outstanding creditors'!$O2927</f>
        <v>1785.981308</v>
      </c>
      <c r="Q2927" s="7">
        <f>DAY('data on outstanding creditors'!$B2927)</f>
        <v>8</v>
      </c>
      <c r="R2927" s="7">
        <f>MONTH('data on outstanding creditors'!$B2927)</f>
        <v>7</v>
      </c>
      <c r="S2927" s="7">
        <f>YEAR('data on outstanding creditors'!$B2927)</f>
        <v>2025</v>
      </c>
      <c r="T2927" s="11" t="str">
        <f>'data on outstanding creditors'!$C2927&amp;" "&amp;'data on outstanding creditors'!$D2927&amp;" "&amp;TEXT('data on outstanding creditors'!$E2927,"#,##0.00")</f>
        <v>หจก.ทวีศักดิ์การไฟฟ้า 2018 TN00002869 27,300.00</v>
      </c>
      <c r="U2927" s="12"/>
    </row>
    <row r="2928" ht="13.5" customHeight="1">
      <c r="A2928" s="1" t="s">
        <v>4546</v>
      </c>
      <c r="B2928" s="2">
        <v>45855.0</v>
      </c>
      <c r="C2928" s="9" t="s">
        <v>100</v>
      </c>
      <c r="D2928" s="1" t="s">
        <v>4547</v>
      </c>
      <c r="E2928" s="4">
        <v>5625.0</v>
      </c>
      <c r="F2928" s="4"/>
      <c r="G2928" s="4"/>
      <c r="H2928" s="4">
        <f>'data on outstanding creditors'!$E2928-'data on outstanding creditors'!$F2928-'data on outstanding creditors'!$G2928</f>
        <v>5625</v>
      </c>
      <c r="I2928" s="2"/>
      <c r="J2928" s="1"/>
      <c r="K2928" s="2"/>
      <c r="L2928" s="5"/>
      <c r="M2928" s="9" t="s">
        <v>141</v>
      </c>
      <c r="N2928" s="9" t="s">
        <v>49</v>
      </c>
      <c r="O2928" s="10">
        <f>'data on outstanding creditors'!$E2928*100/107</f>
        <v>5257.009346</v>
      </c>
      <c r="P2928" s="10">
        <f>'data on outstanding creditors'!$E2928-'data on outstanding creditors'!$O2928</f>
        <v>367.9906542</v>
      </c>
      <c r="Q2928" s="7">
        <f>DAY('data on outstanding creditors'!$B2928)</f>
        <v>17</v>
      </c>
      <c r="R2928" s="7">
        <f>MONTH('data on outstanding creditors'!$B2928)</f>
        <v>7</v>
      </c>
      <c r="S2928" s="7">
        <f>YEAR('data on outstanding creditors'!$B2928)</f>
        <v>2025</v>
      </c>
      <c r="T2928" s="11" t="str">
        <f>'data on outstanding creditors'!$C2928&amp;" "&amp;'data on outstanding creditors'!$D2928&amp;" "&amp;TEXT('data on outstanding creditors'!$E2928,"#,##0.00")</f>
        <v>หจก.ทวีศักดิ์การไฟฟ้า 2018 TN00002886 5,625.00</v>
      </c>
      <c r="U2928" s="12"/>
    </row>
    <row r="2929" ht="13.5" customHeight="1">
      <c r="A2929" s="1" t="s">
        <v>4548</v>
      </c>
      <c r="B2929" s="2">
        <v>45855.0</v>
      </c>
      <c r="C2929" s="9" t="s">
        <v>100</v>
      </c>
      <c r="D2929" s="1" t="s">
        <v>4549</v>
      </c>
      <c r="E2929" s="4">
        <v>6122.0</v>
      </c>
      <c r="F2929" s="4"/>
      <c r="G2929" s="4"/>
      <c r="H2929" s="4">
        <f>'data on outstanding creditors'!$E2929-'data on outstanding creditors'!$F2929-'data on outstanding creditors'!$G2929</f>
        <v>6122</v>
      </c>
      <c r="I2929" s="2"/>
      <c r="J2929" s="1"/>
      <c r="K2929" s="2"/>
      <c r="L2929" s="5"/>
      <c r="M2929" s="9" t="s">
        <v>141</v>
      </c>
      <c r="N2929" s="9" t="s">
        <v>49</v>
      </c>
      <c r="O2929" s="10">
        <f>'data on outstanding creditors'!$E2929*100/107</f>
        <v>5721.495327</v>
      </c>
      <c r="P2929" s="10">
        <f>'data on outstanding creditors'!$E2929-'data on outstanding creditors'!$O2929</f>
        <v>400.5046729</v>
      </c>
      <c r="Q2929" s="7">
        <f>DAY('data on outstanding creditors'!$B2929)</f>
        <v>17</v>
      </c>
      <c r="R2929" s="7">
        <f>MONTH('data on outstanding creditors'!$B2929)</f>
        <v>7</v>
      </c>
      <c r="S2929" s="7">
        <f>YEAR('data on outstanding creditors'!$B2929)</f>
        <v>2025</v>
      </c>
      <c r="T2929" s="11" t="str">
        <f>'data on outstanding creditors'!$C2929&amp;" "&amp;'data on outstanding creditors'!$D2929&amp;" "&amp;TEXT('data on outstanding creditors'!$E2929,"#,##0.00")</f>
        <v>หจก.ทวีศักดิ์การไฟฟ้า 2018 TN00002887 6,122.00</v>
      </c>
      <c r="U2929" s="12"/>
    </row>
    <row r="2930" ht="13.5" customHeight="1">
      <c r="A2930" s="1" t="s">
        <v>4550</v>
      </c>
      <c r="B2930" s="2">
        <v>45861.0</v>
      </c>
      <c r="C2930" s="9" t="s">
        <v>100</v>
      </c>
      <c r="D2930" s="1" t="s">
        <v>4551</v>
      </c>
      <c r="E2930" s="4">
        <v>27150.0</v>
      </c>
      <c r="F2930" s="4"/>
      <c r="G2930" s="4"/>
      <c r="H2930" s="4">
        <f>'data on outstanding creditors'!$E2930-'data on outstanding creditors'!$F2930-'data on outstanding creditors'!$G2930</f>
        <v>27150</v>
      </c>
      <c r="I2930" s="2"/>
      <c r="J2930" s="1"/>
      <c r="K2930" s="2"/>
      <c r="L2930" s="5"/>
      <c r="M2930" s="9" t="s">
        <v>141</v>
      </c>
      <c r="N2930" s="9" t="s">
        <v>49</v>
      </c>
      <c r="O2930" s="10">
        <f>'data on outstanding creditors'!$E2930*100/107</f>
        <v>25373.83178</v>
      </c>
      <c r="P2930" s="10">
        <f>'data on outstanding creditors'!$E2930-'data on outstanding creditors'!$O2930</f>
        <v>1776.168224</v>
      </c>
      <c r="Q2930" s="7">
        <f>DAY('data on outstanding creditors'!$B2930)</f>
        <v>23</v>
      </c>
      <c r="R2930" s="7">
        <f>MONTH('data on outstanding creditors'!$B2930)</f>
        <v>7</v>
      </c>
      <c r="S2930" s="7">
        <f>YEAR('data on outstanding creditors'!$B2930)</f>
        <v>2025</v>
      </c>
      <c r="T2930" s="11" t="str">
        <f>'data on outstanding creditors'!$C2930&amp;" "&amp;'data on outstanding creditors'!$D2930&amp;" "&amp;TEXT('data on outstanding creditors'!$E2930,"#,##0.00")</f>
        <v>หจก.ทวีศักดิ์การไฟฟ้า 2018 TN00002895 27,150.00</v>
      </c>
      <c r="U2930" s="12"/>
    </row>
    <row r="2931" ht="13.5" customHeight="1">
      <c r="A2931" s="1" t="s">
        <v>4552</v>
      </c>
      <c r="B2931" s="2">
        <v>45915.0</v>
      </c>
      <c r="C2931" s="9" t="s">
        <v>100</v>
      </c>
      <c r="D2931" s="1" t="s">
        <v>4553</v>
      </c>
      <c r="E2931" s="4">
        <v>9600.0</v>
      </c>
      <c r="F2931" s="4"/>
      <c r="G2931" s="4"/>
      <c r="H2931" s="4">
        <f>'data on outstanding creditors'!$E2931-'data on outstanding creditors'!$F2931-'data on outstanding creditors'!$G2931</f>
        <v>9600</v>
      </c>
      <c r="I2931" s="2"/>
      <c r="J2931" s="1"/>
      <c r="K2931" s="2"/>
      <c r="L2931" s="5"/>
      <c r="M2931" s="9" t="s">
        <v>141</v>
      </c>
      <c r="N2931" s="9" t="s">
        <v>49</v>
      </c>
      <c r="O2931" s="10">
        <f>'data on outstanding creditors'!$E2931*100/107</f>
        <v>8971.962617</v>
      </c>
      <c r="P2931" s="10">
        <f>'data on outstanding creditors'!$E2931-'data on outstanding creditors'!$O2931</f>
        <v>628.0373832</v>
      </c>
      <c r="Q2931" s="7">
        <f>DAY('data on outstanding creditors'!$B2931)</f>
        <v>15</v>
      </c>
      <c r="R2931" s="7">
        <f>MONTH('data on outstanding creditors'!$B2931)</f>
        <v>9</v>
      </c>
      <c r="S2931" s="7">
        <f>YEAR('data on outstanding creditors'!$B2931)</f>
        <v>2025</v>
      </c>
      <c r="T2931" s="11" t="str">
        <f>'data on outstanding creditors'!$C2931&amp;" "&amp;'data on outstanding creditors'!$D2931&amp;" "&amp;TEXT('data on outstanding creditors'!$E2931,"#,##0.00")</f>
        <v>หจก.ทวีศักดิ์การไฟฟ้า 2018 TN00002981 9,600.00</v>
      </c>
      <c r="U2931" s="12"/>
    </row>
    <row r="2932" ht="13.5" customHeight="1">
      <c r="A2932" s="1" t="s">
        <v>4554</v>
      </c>
      <c r="B2932" s="2">
        <v>45924.0</v>
      </c>
      <c r="C2932" s="9" t="s">
        <v>100</v>
      </c>
      <c r="D2932" s="1" t="s">
        <v>4555</v>
      </c>
      <c r="E2932" s="4">
        <v>6630.0</v>
      </c>
      <c r="F2932" s="4"/>
      <c r="G2932" s="4"/>
      <c r="H2932" s="4">
        <f>'data on outstanding creditors'!$E2932-'data on outstanding creditors'!$F2932-'data on outstanding creditors'!$G2932</f>
        <v>6630</v>
      </c>
      <c r="I2932" s="2"/>
      <c r="J2932" s="1"/>
      <c r="K2932" s="2"/>
      <c r="L2932" s="5"/>
      <c r="M2932" s="9" t="s">
        <v>141</v>
      </c>
      <c r="N2932" s="9" t="s">
        <v>49</v>
      </c>
      <c r="O2932" s="10">
        <f>'data on outstanding creditors'!$E2932*100/107</f>
        <v>6196.261682</v>
      </c>
      <c r="P2932" s="10">
        <f>'data on outstanding creditors'!$E2932-'data on outstanding creditors'!$O2932</f>
        <v>433.7383178</v>
      </c>
      <c r="Q2932" s="7">
        <f>DAY('data on outstanding creditors'!$B2932)</f>
        <v>24</v>
      </c>
      <c r="R2932" s="7">
        <f>MONTH('data on outstanding creditors'!$B2932)</f>
        <v>9</v>
      </c>
      <c r="S2932" s="7">
        <f>YEAR('data on outstanding creditors'!$B2932)</f>
        <v>2025</v>
      </c>
      <c r="T2932" s="11" t="str">
        <f>'data on outstanding creditors'!$C2932&amp;" "&amp;'data on outstanding creditors'!$D2932&amp;" "&amp;TEXT('data on outstanding creditors'!$E2932,"#,##0.00")</f>
        <v>หจก.ทวีศักดิ์การไฟฟ้า 2018 TN00002998 6,630.00</v>
      </c>
      <c r="U2932" s="12"/>
    </row>
    <row r="2933" ht="13.5" customHeight="1">
      <c r="A2933" s="1" t="s">
        <v>4556</v>
      </c>
      <c r="B2933" s="2">
        <v>45924.0</v>
      </c>
      <c r="C2933" s="9" t="s">
        <v>100</v>
      </c>
      <c r="D2933" s="1" t="s">
        <v>4557</v>
      </c>
      <c r="E2933" s="4">
        <v>22350.0</v>
      </c>
      <c r="F2933" s="4"/>
      <c r="G2933" s="4"/>
      <c r="H2933" s="4">
        <f>'data on outstanding creditors'!$E2933-'data on outstanding creditors'!$F2933-'data on outstanding creditors'!$G2933</f>
        <v>22350</v>
      </c>
      <c r="I2933" s="2"/>
      <c r="J2933" s="1"/>
      <c r="K2933" s="2"/>
      <c r="L2933" s="5"/>
      <c r="M2933" s="9" t="s">
        <v>141</v>
      </c>
      <c r="N2933" s="9" t="s">
        <v>49</v>
      </c>
      <c r="O2933" s="10">
        <f>'data on outstanding creditors'!$E2933*100/107</f>
        <v>20887.85047</v>
      </c>
      <c r="P2933" s="10">
        <f>'data on outstanding creditors'!$E2933-'data on outstanding creditors'!$O2933</f>
        <v>1462.149533</v>
      </c>
      <c r="Q2933" s="7">
        <f>DAY('data on outstanding creditors'!$B2933)</f>
        <v>24</v>
      </c>
      <c r="R2933" s="7">
        <f>MONTH('data on outstanding creditors'!$B2933)</f>
        <v>9</v>
      </c>
      <c r="S2933" s="7">
        <f>YEAR('data on outstanding creditors'!$B2933)</f>
        <v>2025</v>
      </c>
      <c r="T2933" s="11" t="str">
        <f>'data on outstanding creditors'!$C2933&amp;" "&amp;'data on outstanding creditors'!$D2933&amp;" "&amp;TEXT('data on outstanding creditors'!$E2933,"#,##0.00")</f>
        <v>หจก.ทวีศักดิ์การไฟฟ้า 2018 TN00002999 22,350.00</v>
      </c>
      <c r="U2933" s="12"/>
    </row>
    <row r="2934" ht="13.5" customHeight="1">
      <c r="A2934" s="1" t="s">
        <v>4558</v>
      </c>
      <c r="B2934" s="2">
        <v>45926.0</v>
      </c>
      <c r="C2934" s="9" t="s">
        <v>1125</v>
      </c>
      <c r="D2934" s="1" t="s">
        <v>4559</v>
      </c>
      <c r="E2934" s="4">
        <v>11400.0</v>
      </c>
      <c r="F2934" s="4"/>
      <c r="G2934" s="4"/>
      <c r="H2934" s="4">
        <f>'data on outstanding creditors'!$E2934-'data on outstanding creditors'!$F2934-'data on outstanding creditors'!$G2934</f>
        <v>11400</v>
      </c>
      <c r="I2934" s="2"/>
      <c r="J2934" s="1"/>
      <c r="K2934" s="2"/>
      <c r="L2934" s="5"/>
      <c r="M2934" s="9" t="s">
        <v>141</v>
      </c>
      <c r="N2934" s="9" t="s">
        <v>49</v>
      </c>
      <c r="O2934" s="10">
        <f>'data on outstanding creditors'!$E2934*100/107</f>
        <v>10654.20561</v>
      </c>
      <c r="P2934" s="10">
        <f>'data on outstanding creditors'!$E2934-'data on outstanding creditors'!$O2934</f>
        <v>745.7943925</v>
      </c>
      <c r="Q2934" s="7">
        <f>DAY('data on outstanding creditors'!$B2934)</f>
        <v>26</v>
      </c>
      <c r="R2934" s="7">
        <f>MONTH('data on outstanding creditors'!$B2934)</f>
        <v>9</v>
      </c>
      <c r="S2934" s="7">
        <f>YEAR('data on outstanding creditors'!$B2934)</f>
        <v>2025</v>
      </c>
      <c r="T2934" s="11" t="str">
        <f>'data on outstanding creditors'!$C2934&amp;" "&amp;'data on outstanding creditors'!$D2934&amp;" "&amp;TEXT('data on outstanding creditors'!$E2934,"#,##0.00")</f>
        <v>หจก.เอ็นบี ซัพพลาย เอ็นจิเนียริ่ง(ประเทศไทย) INV2025090014 11,400.00</v>
      </c>
      <c r="U2934" s="12"/>
    </row>
    <row r="2935" ht="13.5" customHeight="1">
      <c r="A2935" s="1" t="s">
        <v>4560</v>
      </c>
      <c r="B2935" s="2">
        <v>45926.0</v>
      </c>
      <c r="C2935" s="9" t="s">
        <v>100</v>
      </c>
      <c r="D2935" s="1" t="s">
        <v>4561</v>
      </c>
      <c r="E2935" s="4">
        <v>40550.0</v>
      </c>
      <c r="F2935" s="4"/>
      <c r="G2935" s="4"/>
      <c r="H2935" s="4">
        <f>'data on outstanding creditors'!$E2935-'data on outstanding creditors'!$F2935-'data on outstanding creditors'!$G2935</f>
        <v>40550</v>
      </c>
      <c r="I2935" s="2"/>
      <c r="J2935" s="1"/>
      <c r="K2935" s="2"/>
      <c r="L2935" s="5"/>
      <c r="M2935" s="9" t="s">
        <v>141</v>
      </c>
      <c r="N2935" s="9" t="s">
        <v>49</v>
      </c>
      <c r="O2935" s="10">
        <f>'data on outstanding creditors'!$E2935*100/107</f>
        <v>37897.19626</v>
      </c>
      <c r="P2935" s="10">
        <f>'data on outstanding creditors'!$E2935-'data on outstanding creditors'!$O2935</f>
        <v>2652.803738</v>
      </c>
      <c r="Q2935" s="7">
        <f>DAY('data on outstanding creditors'!$B2935)</f>
        <v>26</v>
      </c>
      <c r="R2935" s="7">
        <f>MONTH('data on outstanding creditors'!$B2935)</f>
        <v>9</v>
      </c>
      <c r="S2935" s="7">
        <f>YEAR('data on outstanding creditors'!$B2935)</f>
        <v>2025</v>
      </c>
      <c r="T2935" s="11" t="str">
        <f>'data on outstanding creditors'!$C2935&amp;" "&amp;'data on outstanding creditors'!$D2935&amp;" "&amp;TEXT('data on outstanding creditors'!$E2935,"#,##0.00")</f>
        <v>หจก.ทวีศักดิ์การไฟฟ้า 2018 TN00003005 40,550.00</v>
      </c>
      <c r="U2935" s="12"/>
    </row>
    <row r="2936" ht="13.5" customHeight="1">
      <c r="A2936" s="1" t="s">
        <v>4562</v>
      </c>
      <c r="B2936" s="2">
        <v>45937.0</v>
      </c>
      <c r="C2936" s="9" t="s">
        <v>100</v>
      </c>
      <c r="D2936" s="1" t="s">
        <v>4563</v>
      </c>
      <c r="E2936" s="4">
        <v>2336.0</v>
      </c>
      <c r="F2936" s="4"/>
      <c r="G2936" s="4"/>
      <c r="H2936" s="4">
        <f>'data on outstanding creditors'!$E2936-'data on outstanding creditors'!$F2936-'data on outstanding creditors'!$G2936</f>
        <v>2336</v>
      </c>
      <c r="I2936" s="2"/>
      <c r="J2936" s="1"/>
      <c r="K2936" s="2"/>
      <c r="L2936" s="5"/>
      <c r="M2936" s="9" t="s">
        <v>141</v>
      </c>
      <c r="N2936" s="9" t="s">
        <v>49</v>
      </c>
      <c r="O2936" s="10">
        <f>'data on outstanding creditors'!$E2936*100/107</f>
        <v>2183.17757</v>
      </c>
      <c r="P2936" s="10">
        <f>'data on outstanding creditors'!$E2936-'data on outstanding creditors'!$O2936</f>
        <v>152.8224299</v>
      </c>
      <c r="Q2936" s="7">
        <f>DAY('data on outstanding creditors'!$B2936)</f>
        <v>7</v>
      </c>
      <c r="R2936" s="7">
        <f>MONTH('data on outstanding creditors'!$B2936)</f>
        <v>10</v>
      </c>
      <c r="S2936" s="7">
        <f>YEAR('data on outstanding creditors'!$B2936)</f>
        <v>2025</v>
      </c>
      <c r="T2936" s="11" t="str">
        <f>'data on outstanding creditors'!$C2936&amp;" "&amp;'data on outstanding creditors'!$D2936&amp;" "&amp;TEXT('data on outstanding creditors'!$E2936,"#,##0.00")</f>
        <v>หจก.ทวีศักดิ์การไฟฟ้า 2018 TN00003020 2,336.00</v>
      </c>
      <c r="U2936" s="12"/>
    </row>
    <row r="2937" ht="13.5" customHeight="1">
      <c r="A2937" s="1" t="s">
        <v>4564</v>
      </c>
      <c r="B2937" s="2">
        <v>45937.0</v>
      </c>
      <c r="C2937" s="9" t="s">
        <v>100</v>
      </c>
      <c r="D2937" s="1" t="s">
        <v>4565</v>
      </c>
      <c r="E2937" s="4">
        <v>3060.0</v>
      </c>
      <c r="F2937" s="4"/>
      <c r="G2937" s="4"/>
      <c r="H2937" s="4">
        <f>'data on outstanding creditors'!$E2937-'data on outstanding creditors'!$F2937-'data on outstanding creditors'!$G2937</f>
        <v>3060</v>
      </c>
      <c r="I2937" s="2"/>
      <c r="J2937" s="1"/>
      <c r="K2937" s="2"/>
      <c r="L2937" s="5"/>
      <c r="M2937" s="9" t="s">
        <v>141</v>
      </c>
      <c r="N2937" s="9" t="s">
        <v>49</v>
      </c>
      <c r="O2937" s="10">
        <f>'data on outstanding creditors'!$E2937*100/107</f>
        <v>2859.813084</v>
      </c>
      <c r="P2937" s="10">
        <f>'data on outstanding creditors'!$E2937-'data on outstanding creditors'!$O2937</f>
        <v>200.1869159</v>
      </c>
      <c r="Q2937" s="7">
        <f>DAY('data on outstanding creditors'!$B2937)</f>
        <v>7</v>
      </c>
      <c r="R2937" s="7">
        <f>MONTH('data on outstanding creditors'!$B2937)</f>
        <v>10</v>
      </c>
      <c r="S2937" s="7">
        <f>YEAR('data on outstanding creditors'!$B2937)</f>
        <v>2025</v>
      </c>
      <c r="T2937" s="11" t="str">
        <f>'data on outstanding creditors'!$C2937&amp;" "&amp;'data on outstanding creditors'!$D2937&amp;" "&amp;TEXT('data on outstanding creditors'!$E2937,"#,##0.00")</f>
        <v>หจก.ทวีศักดิ์การไฟฟ้า 2018 TN00003019 3,060.00</v>
      </c>
      <c r="U2937" s="12"/>
    </row>
    <row r="2938" ht="13.5" customHeight="1">
      <c r="A2938" s="1" t="s">
        <v>4566</v>
      </c>
      <c r="B2938" s="2">
        <v>45944.0</v>
      </c>
      <c r="C2938" s="9" t="s">
        <v>100</v>
      </c>
      <c r="D2938" s="1" t="s">
        <v>4567</v>
      </c>
      <c r="E2938" s="4">
        <v>66110.0</v>
      </c>
      <c r="F2938" s="4"/>
      <c r="G2938" s="4"/>
      <c r="H2938" s="4">
        <f>'data on outstanding creditors'!$E2938-'data on outstanding creditors'!$F2938-'data on outstanding creditors'!$G2938</f>
        <v>66110</v>
      </c>
      <c r="I2938" s="2"/>
      <c r="J2938" s="1"/>
      <c r="K2938" s="2"/>
      <c r="L2938" s="5"/>
      <c r="M2938" s="9" t="s">
        <v>141</v>
      </c>
      <c r="N2938" s="9" t="s">
        <v>49</v>
      </c>
      <c r="O2938" s="10">
        <f>'data on outstanding creditors'!$E2938*100/107</f>
        <v>61785.04673</v>
      </c>
      <c r="P2938" s="10">
        <f>'data on outstanding creditors'!$E2938-'data on outstanding creditors'!$O2938</f>
        <v>4324.953271</v>
      </c>
      <c r="Q2938" s="7">
        <f>DAY('data on outstanding creditors'!$B2938)</f>
        <v>14</v>
      </c>
      <c r="R2938" s="7">
        <f>MONTH('data on outstanding creditors'!$B2938)</f>
        <v>10</v>
      </c>
      <c r="S2938" s="7">
        <f>YEAR('data on outstanding creditors'!$B2938)</f>
        <v>2025</v>
      </c>
      <c r="T2938" s="11" t="str">
        <f>'data on outstanding creditors'!$C2938&amp;" "&amp;'data on outstanding creditors'!$D2938&amp;" "&amp;TEXT('data on outstanding creditors'!$E2938,"#,##0.00")</f>
        <v>หจก.ทวีศักดิ์การไฟฟ้า 2018 TN00003028 66,110.00</v>
      </c>
      <c r="U2938" s="12"/>
    </row>
    <row r="2939" ht="13.5" customHeight="1">
      <c r="A2939" s="1" t="s">
        <v>4568</v>
      </c>
      <c r="B2939" s="2">
        <v>45952.0</v>
      </c>
      <c r="C2939" s="9" t="s">
        <v>100</v>
      </c>
      <c r="D2939" s="1" t="s">
        <v>4569</v>
      </c>
      <c r="E2939" s="4">
        <v>5050.0</v>
      </c>
      <c r="F2939" s="4"/>
      <c r="G2939" s="4"/>
      <c r="H2939" s="4">
        <f>'data on outstanding creditors'!$E2939-'data on outstanding creditors'!$F2939-'data on outstanding creditors'!$G2939</f>
        <v>5050</v>
      </c>
      <c r="I2939" s="2"/>
      <c r="J2939" s="1"/>
      <c r="K2939" s="2"/>
      <c r="L2939" s="5"/>
      <c r="M2939" s="9" t="s">
        <v>141</v>
      </c>
      <c r="N2939" s="9" t="s">
        <v>49</v>
      </c>
      <c r="O2939" s="10">
        <f>'data on outstanding creditors'!$E2939*100/107</f>
        <v>4719.626168</v>
      </c>
      <c r="P2939" s="10">
        <f>'data on outstanding creditors'!$E2939-'data on outstanding creditors'!$O2939</f>
        <v>330.3738318</v>
      </c>
      <c r="Q2939" s="7">
        <f>DAY('data on outstanding creditors'!$B2939)</f>
        <v>22</v>
      </c>
      <c r="R2939" s="7">
        <f>MONTH('data on outstanding creditors'!$B2939)</f>
        <v>10</v>
      </c>
      <c r="S2939" s="7">
        <f>YEAR('data on outstanding creditors'!$B2939)</f>
        <v>2025</v>
      </c>
      <c r="T2939" s="11" t="str">
        <f>'data on outstanding creditors'!$C2939&amp;" "&amp;'data on outstanding creditors'!$D2939&amp;" "&amp;TEXT('data on outstanding creditors'!$E2939,"#,##0.00")</f>
        <v>หจก.ทวีศักดิ์การไฟฟ้า 2018 TN00003033 5,050.00</v>
      </c>
      <c r="U2939" s="12"/>
    </row>
    <row r="2940" ht="13.5" customHeight="1">
      <c r="A2940" s="1" t="s">
        <v>4570</v>
      </c>
      <c r="B2940" s="2">
        <v>45957.0</v>
      </c>
      <c r="C2940" s="9" t="s">
        <v>100</v>
      </c>
      <c r="D2940" s="1" t="s">
        <v>4571</v>
      </c>
      <c r="E2940" s="4">
        <v>17000.0</v>
      </c>
      <c r="F2940" s="4"/>
      <c r="G2940" s="4"/>
      <c r="H2940" s="4">
        <f>'data on outstanding creditors'!$E2940-'data on outstanding creditors'!$F2940-'data on outstanding creditors'!$G2940</f>
        <v>17000</v>
      </c>
      <c r="I2940" s="2"/>
      <c r="J2940" s="1"/>
      <c r="K2940" s="2"/>
      <c r="L2940" s="5"/>
      <c r="M2940" s="9" t="s">
        <v>141</v>
      </c>
      <c r="N2940" s="9" t="s">
        <v>49</v>
      </c>
      <c r="O2940" s="10">
        <f>'data on outstanding creditors'!$E2940*100/107</f>
        <v>15887.85047</v>
      </c>
      <c r="P2940" s="10">
        <f>'data on outstanding creditors'!$E2940-'data on outstanding creditors'!$O2940</f>
        <v>1112.149533</v>
      </c>
      <c r="Q2940" s="7">
        <f>DAY('data on outstanding creditors'!$B2940)</f>
        <v>27</v>
      </c>
      <c r="R2940" s="7">
        <f>MONTH('data on outstanding creditors'!$B2940)</f>
        <v>10</v>
      </c>
      <c r="S2940" s="7">
        <f>YEAR('data on outstanding creditors'!$B2940)</f>
        <v>2025</v>
      </c>
      <c r="T2940" s="11" t="str">
        <f>'data on outstanding creditors'!$C2940&amp;" "&amp;'data on outstanding creditors'!$D2940&amp;" "&amp;TEXT('data on outstanding creditors'!$E2940,"#,##0.00")</f>
        <v>หจก.ทวีศักดิ์การไฟฟ้า 2018 TN00003036 17,000.00</v>
      </c>
      <c r="U2940" s="12"/>
    </row>
    <row r="2941" ht="13.5" customHeight="1">
      <c r="A2941" s="1"/>
      <c r="B2941" s="2">
        <v>45807.0</v>
      </c>
      <c r="C2941" s="9" t="s">
        <v>421</v>
      </c>
      <c r="D2941" s="1" t="s">
        <v>4572</v>
      </c>
      <c r="E2941" s="4">
        <v>76181.86</v>
      </c>
      <c r="F2941" s="4"/>
      <c r="G2941" s="4"/>
      <c r="H2941" s="4">
        <f>'data on outstanding creditors'!$E2941-'data on outstanding creditors'!$F2941-'data on outstanding creditors'!$G2941</f>
        <v>76181.86</v>
      </c>
      <c r="I2941" s="2"/>
      <c r="J2941" s="1"/>
      <c r="K2941" s="2"/>
      <c r="L2941" s="5"/>
      <c r="M2941" s="9" t="s">
        <v>464</v>
      </c>
      <c r="N2941" s="9" t="s">
        <v>49</v>
      </c>
      <c r="O2941" s="10">
        <f>'data on outstanding creditors'!$E2941*100/107</f>
        <v>71198</v>
      </c>
      <c r="P2941" s="10">
        <f>'data on outstanding creditors'!$E2941-'data on outstanding creditors'!$O2941</f>
        <v>4983.86</v>
      </c>
      <c r="Q2941" s="7">
        <f>DAY('data on outstanding creditors'!$B2941)</f>
        <v>30</v>
      </c>
      <c r="R2941" s="7">
        <f>MONTH('data on outstanding creditors'!$B2941)</f>
        <v>5</v>
      </c>
      <c r="S2941" s="7">
        <f>YEAR('data on outstanding creditors'!$B2941)</f>
        <v>2025</v>
      </c>
      <c r="T2941" s="11" t="str">
        <f>'data on outstanding creditors'!$C2941&amp;" "&amp;'data on outstanding creditors'!$D2941&amp;" "&amp;TEXT('data on outstanding creditors'!$E2941,"#,##0.00")</f>
        <v>บ.นางรองเคหะภัณฑ์ PB680530-0005 76,181.86</v>
      </c>
      <c r="U2941" s="12"/>
    </row>
    <row r="2942" ht="13.5" customHeight="1">
      <c r="A2942" s="1" t="s">
        <v>4573</v>
      </c>
      <c r="B2942" s="2">
        <v>45817.0</v>
      </c>
      <c r="C2942" s="9" t="s">
        <v>421</v>
      </c>
      <c r="D2942" s="1" t="s">
        <v>4574</v>
      </c>
      <c r="E2942" s="4">
        <v>5082.5</v>
      </c>
      <c r="F2942" s="4"/>
      <c r="G2942" s="4"/>
      <c r="H2942" s="4">
        <f>'data on outstanding creditors'!$E2942-'data on outstanding creditors'!$F2942-'data on outstanding creditors'!$G2942</f>
        <v>5082.5</v>
      </c>
      <c r="I2942" s="2"/>
      <c r="J2942" s="1"/>
      <c r="K2942" s="2"/>
      <c r="L2942" s="5"/>
      <c r="M2942" s="9" t="s">
        <v>464</v>
      </c>
      <c r="N2942" s="9" t="s">
        <v>49</v>
      </c>
      <c r="O2942" s="10">
        <f>'data on outstanding creditors'!$E2942*100/107</f>
        <v>4750</v>
      </c>
      <c r="P2942" s="10">
        <f>'data on outstanding creditors'!$E2942-'data on outstanding creditors'!$O2942</f>
        <v>332.5</v>
      </c>
      <c r="Q2942" s="7">
        <f>DAY('data on outstanding creditors'!$B2942)</f>
        <v>9</v>
      </c>
      <c r="R2942" s="7">
        <f>MONTH('data on outstanding creditors'!$B2942)</f>
        <v>6</v>
      </c>
      <c r="S2942" s="7">
        <f>YEAR('data on outstanding creditors'!$B2942)</f>
        <v>2025</v>
      </c>
      <c r="T2942" s="11" t="str">
        <f>'data on outstanding creditors'!$C2942&amp;" "&amp;'data on outstanding creditors'!$D2942&amp;" "&amp;TEXT('data on outstanding creditors'!$E2942,"#,##0.00")</f>
        <v>บ.นางรองเคหะภัณฑ์ IV680609-022 5,082.50</v>
      </c>
      <c r="U2942" s="12"/>
    </row>
    <row r="2943" ht="13.5" customHeight="1">
      <c r="A2943" s="1" t="s">
        <v>4575</v>
      </c>
      <c r="B2943" s="2">
        <v>45818.0</v>
      </c>
      <c r="C2943" s="9" t="s">
        <v>421</v>
      </c>
      <c r="D2943" s="1" t="s">
        <v>4576</v>
      </c>
      <c r="E2943" s="4">
        <v>476.15</v>
      </c>
      <c r="F2943" s="4"/>
      <c r="G2943" s="4"/>
      <c r="H2943" s="4">
        <f>'data on outstanding creditors'!$E2943-'data on outstanding creditors'!$F2943-'data on outstanding creditors'!$G2943</f>
        <v>476.15</v>
      </c>
      <c r="I2943" s="2"/>
      <c r="J2943" s="1"/>
      <c r="K2943" s="2"/>
      <c r="L2943" s="5"/>
      <c r="M2943" s="9" t="s">
        <v>464</v>
      </c>
      <c r="N2943" s="9" t="s">
        <v>49</v>
      </c>
      <c r="O2943" s="10">
        <f>'data on outstanding creditors'!$E2943*100/107</f>
        <v>445</v>
      </c>
      <c r="P2943" s="10">
        <f>'data on outstanding creditors'!$E2943-'data on outstanding creditors'!$O2943</f>
        <v>31.15</v>
      </c>
      <c r="Q2943" s="7">
        <f>DAY('data on outstanding creditors'!$B2943)</f>
        <v>10</v>
      </c>
      <c r="R2943" s="7">
        <f>MONTH('data on outstanding creditors'!$B2943)</f>
        <v>6</v>
      </c>
      <c r="S2943" s="7">
        <f>YEAR('data on outstanding creditors'!$B2943)</f>
        <v>2025</v>
      </c>
      <c r="T2943" s="11" t="str">
        <f>'data on outstanding creditors'!$C2943&amp;" "&amp;'data on outstanding creditors'!$D2943&amp;" "&amp;TEXT('data on outstanding creditors'!$E2943,"#,##0.00")</f>
        <v>บ.นางรองเคหะภัณฑ์ IV680610-014 476.15</v>
      </c>
      <c r="U2943" s="12"/>
    </row>
    <row r="2944" ht="13.5" customHeight="1">
      <c r="A2944" s="1" t="s">
        <v>4577</v>
      </c>
      <c r="B2944" s="2">
        <v>45901.0</v>
      </c>
      <c r="C2944" s="9" t="s">
        <v>4578</v>
      </c>
      <c r="D2944" s="1" t="s">
        <v>4579</v>
      </c>
      <c r="E2944" s="4">
        <v>1926.0</v>
      </c>
      <c r="F2944" s="4"/>
      <c r="G2944" s="4"/>
      <c r="H2944" s="4">
        <f>'data on outstanding creditors'!$E2944-'data on outstanding creditors'!$F2944-'data on outstanding creditors'!$G2944</f>
        <v>1926</v>
      </c>
      <c r="I2944" s="2"/>
      <c r="J2944" s="1"/>
      <c r="K2944" s="2"/>
      <c r="L2944" s="5"/>
      <c r="M2944" s="9" t="s">
        <v>464</v>
      </c>
      <c r="N2944" s="9" t="s">
        <v>49</v>
      </c>
      <c r="O2944" s="10">
        <f>'data on outstanding creditors'!$E2944*100/107</f>
        <v>1800</v>
      </c>
      <c r="P2944" s="10">
        <f>'data on outstanding creditors'!$E2944-'data on outstanding creditors'!$O2944</f>
        <v>126</v>
      </c>
      <c r="Q2944" s="7">
        <f>DAY('data on outstanding creditors'!$B2944)</f>
        <v>1</v>
      </c>
      <c r="R2944" s="7">
        <f>MONTH('data on outstanding creditors'!$B2944)</f>
        <v>9</v>
      </c>
      <c r="S2944" s="7">
        <f>YEAR('data on outstanding creditors'!$B2944)</f>
        <v>2025</v>
      </c>
      <c r="T2944" s="11" t="str">
        <f>'data on outstanding creditors'!$C2944&amp;" "&amp;'data on outstanding creditors'!$D2944&amp;" "&amp;TEXT('data on outstanding creditors'!$E2944,"#,##0.00")</f>
        <v>ร้าน ปวีณ24 2/5 1,926.00</v>
      </c>
      <c r="U2944" s="12"/>
    </row>
    <row r="2945" ht="13.5" customHeight="1">
      <c r="A2945" s="1" t="s">
        <v>4580</v>
      </c>
      <c r="B2945" s="2">
        <v>45915.0</v>
      </c>
      <c r="C2945" s="9" t="s">
        <v>421</v>
      </c>
      <c r="D2945" s="1" t="s">
        <v>4581</v>
      </c>
      <c r="E2945" s="4">
        <v>4280.0</v>
      </c>
      <c r="F2945" s="4"/>
      <c r="G2945" s="4"/>
      <c r="H2945" s="4">
        <f>'data on outstanding creditors'!$E2945-'data on outstanding creditors'!$F2945-'data on outstanding creditors'!$G2945</f>
        <v>4280</v>
      </c>
      <c r="I2945" s="2"/>
      <c r="J2945" s="1"/>
      <c r="K2945" s="2"/>
      <c r="L2945" s="5"/>
      <c r="M2945" s="9" t="s">
        <v>464</v>
      </c>
      <c r="N2945" s="9" t="s">
        <v>49</v>
      </c>
      <c r="O2945" s="10">
        <f>'data on outstanding creditors'!$E2945*100/107</f>
        <v>4000</v>
      </c>
      <c r="P2945" s="10">
        <f>'data on outstanding creditors'!$E2945-'data on outstanding creditors'!$O2945</f>
        <v>280</v>
      </c>
      <c r="Q2945" s="7">
        <f>DAY('data on outstanding creditors'!$B2945)</f>
        <v>15</v>
      </c>
      <c r="R2945" s="7">
        <f>MONTH('data on outstanding creditors'!$B2945)</f>
        <v>9</v>
      </c>
      <c r="S2945" s="7">
        <f>YEAR('data on outstanding creditors'!$B2945)</f>
        <v>2025</v>
      </c>
      <c r="T2945" s="11" t="str">
        <f>'data on outstanding creditors'!$C2945&amp;" "&amp;'data on outstanding creditors'!$D2945&amp;" "&amp;TEXT('data on outstanding creditors'!$E2945,"#,##0.00")</f>
        <v>บ.นางรองเคหะภัณฑ์ IV680915-001 4,280.00</v>
      </c>
      <c r="U2945" s="12"/>
    </row>
    <row r="2946" ht="13.5" customHeight="1">
      <c r="A2946" s="1" t="s">
        <v>4582</v>
      </c>
      <c r="B2946" s="2">
        <v>45924.0</v>
      </c>
      <c r="C2946" s="9" t="s">
        <v>421</v>
      </c>
      <c r="D2946" s="1" t="s">
        <v>4583</v>
      </c>
      <c r="E2946" s="4">
        <v>1694.88</v>
      </c>
      <c r="F2946" s="4"/>
      <c r="G2946" s="4"/>
      <c r="H2946" s="4">
        <f>'data on outstanding creditors'!$E2946-'data on outstanding creditors'!$F2946-'data on outstanding creditors'!$G2946</f>
        <v>1694.88</v>
      </c>
      <c r="I2946" s="2"/>
      <c r="J2946" s="1"/>
      <c r="K2946" s="2"/>
      <c r="L2946" s="5"/>
      <c r="M2946" s="9" t="s">
        <v>464</v>
      </c>
      <c r="N2946" s="9" t="s">
        <v>49</v>
      </c>
      <c r="O2946" s="10">
        <f>'data on outstanding creditors'!$E2946*100/107</f>
        <v>1584</v>
      </c>
      <c r="P2946" s="10">
        <f>'data on outstanding creditors'!$E2946-'data on outstanding creditors'!$O2946</f>
        <v>110.88</v>
      </c>
      <c r="Q2946" s="7">
        <f>DAY('data on outstanding creditors'!$B2946)</f>
        <v>24</v>
      </c>
      <c r="R2946" s="7">
        <f>MONTH('data on outstanding creditors'!$B2946)</f>
        <v>9</v>
      </c>
      <c r="S2946" s="7">
        <f>YEAR('data on outstanding creditors'!$B2946)</f>
        <v>2025</v>
      </c>
      <c r="T2946" s="11" t="str">
        <f>'data on outstanding creditors'!$C2946&amp;" "&amp;'data on outstanding creditors'!$D2946&amp;" "&amp;TEXT('data on outstanding creditors'!$E2946,"#,##0.00")</f>
        <v>บ.นางรองเคหะภัณฑ์ IV680924-011 1,694.88</v>
      </c>
      <c r="U2946" s="12"/>
    </row>
    <row r="2947" ht="13.5" customHeight="1">
      <c r="A2947" s="1" t="s">
        <v>4584</v>
      </c>
      <c r="B2947" s="2">
        <v>45924.0</v>
      </c>
      <c r="C2947" s="9" t="s">
        <v>421</v>
      </c>
      <c r="D2947" s="1" t="s">
        <v>4585</v>
      </c>
      <c r="E2947" s="4">
        <v>3317.0</v>
      </c>
      <c r="F2947" s="4"/>
      <c r="G2947" s="4"/>
      <c r="H2947" s="4">
        <f>'data on outstanding creditors'!$E2947-'data on outstanding creditors'!$F2947-'data on outstanding creditors'!$G2947</f>
        <v>3317</v>
      </c>
      <c r="I2947" s="2"/>
      <c r="J2947" s="1"/>
      <c r="K2947" s="2"/>
      <c r="L2947" s="5"/>
      <c r="M2947" s="9" t="s">
        <v>464</v>
      </c>
      <c r="N2947" s="9" t="s">
        <v>49</v>
      </c>
      <c r="O2947" s="10">
        <f>'data on outstanding creditors'!$E2947*100/107</f>
        <v>3100</v>
      </c>
      <c r="P2947" s="10">
        <f>'data on outstanding creditors'!$E2947-'data on outstanding creditors'!$O2947</f>
        <v>217</v>
      </c>
      <c r="Q2947" s="7">
        <f>DAY('data on outstanding creditors'!$B2947)</f>
        <v>24</v>
      </c>
      <c r="R2947" s="7">
        <f>MONTH('data on outstanding creditors'!$B2947)</f>
        <v>9</v>
      </c>
      <c r="S2947" s="7">
        <f>YEAR('data on outstanding creditors'!$B2947)</f>
        <v>2025</v>
      </c>
      <c r="T2947" s="11" t="str">
        <f>'data on outstanding creditors'!$C2947&amp;" "&amp;'data on outstanding creditors'!$D2947&amp;" "&amp;TEXT('data on outstanding creditors'!$E2947,"#,##0.00")</f>
        <v>บ.นางรองเคหะภัณฑ์ IV680924-014 3,317.00</v>
      </c>
      <c r="U2947" s="12"/>
    </row>
    <row r="2948" ht="13.5" customHeight="1">
      <c r="A2948" s="1" t="s">
        <v>4586</v>
      </c>
      <c r="B2948" s="2">
        <v>45924.0</v>
      </c>
      <c r="C2948" s="9" t="s">
        <v>421</v>
      </c>
      <c r="D2948" s="1" t="s">
        <v>4587</v>
      </c>
      <c r="E2948" s="4">
        <v>1872.5</v>
      </c>
      <c r="F2948" s="4"/>
      <c r="G2948" s="4"/>
      <c r="H2948" s="4">
        <f>'data on outstanding creditors'!$E2948-'data on outstanding creditors'!$F2948-'data on outstanding creditors'!$G2948</f>
        <v>1872.5</v>
      </c>
      <c r="I2948" s="2"/>
      <c r="J2948" s="1"/>
      <c r="K2948" s="2"/>
      <c r="L2948" s="5"/>
      <c r="M2948" s="9" t="s">
        <v>464</v>
      </c>
      <c r="N2948" s="9" t="s">
        <v>49</v>
      </c>
      <c r="O2948" s="10">
        <f>'data on outstanding creditors'!$E2948*100/107</f>
        <v>1750</v>
      </c>
      <c r="P2948" s="10">
        <f>'data on outstanding creditors'!$E2948-'data on outstanding creditors'!$O2948</f>
        <v>122.5</v>
      </c>
      <c r="Q2948" s="7">
        <f>DAY('data on outstanding creditors'!$B2948)</f>
        <v>24</v>
      </c>
      <c r="R2948" s="7">
        <f>MONTH('data on outstanding creditors'!$B2948)</f>
        <v>9</v>
      </c>
      <c r="S2948" s="7">
        <f>YEAR('data on outstanding creditors'!$B2948)</f>
        <v>2025</v>
      </c>
      <c r="T2948" s="11" t="str">
        <f>'data on outstanding creditors'!$C2948&amp;" "&amp;'data on outstanding creditors'!$D2948&amp;" "&amp;TEXT('data on outstanding creditors'!$E2948,"#,##0.00")</f>
        <v>บ.นางรองเคหะภัณฑ์ IV680924-013 1,872.50</v>
      </c>
      <c r="U2948" s="12"/>
    </row>
    <row r="2949" ht="13.5" customHeight="1">
      <c r="A2949" s="1" t="s">
        <v>4588</v>
      </c>
      <c r="B2949" s="2">
        <v>45924.0</v>
      </c>
      <c r="C2949" s="9" t="s">
        <v>421</v>
      </c>
      <c r="D2949" s="1" t="s">
        <v>4589</v>
      </c>
      <c r="E2949" s="4">
        <v>4280.0</v>
      </c>
      <c r="F2949" s="4"/>
      <c r="G2949" s="4"/>
      <c r="H2949" s="4">
        <f>'data on outstanding creditors'!$E2949-'data on outstanding creditors'!$F2949-'data on outstanding creditors'!$G2949</f>
        <v>4280</v>
      </c>
      <c r="I2949" s="2"/>
      <c r="J2949" s="1"/>
      <c r="K2949" s="2"/>
      <c r="L2949" s="5"/>
      <c r="M2949" s="9" t="s">
        <v>464</v>
      </c>
      <c r="N2949" s="9" t="s">
        <v>49</v>
      </c>
      <c r="O2949" s="10">
        <f>'data on outstanding creditors'!$E2949*100/107</f>
        <v>4000</v>
      </c>
      <c r="P2949" s="10">
        <f>'data on outstanding creditors'!$E2949-'data on outstanding creditors'!$O2949</f>
        <v>280</v>
      </c>
      <c r="Q2949" s="7">
        <f>DAY('data on outstanding creditors'!$B2949)</f>
        <v>24</v>
      </c>
      <c r="R2949" s="7">
        <f>MONTH('data on outstanding creditors'!$B2949)</f>
        <v>9</v>
      </c>
      <c r="S2949" s="7">
        <f>YEAR('data on outstanding creditors'!$B2949)</f>
        <v>2025</v>
      </c>
      <c r="T2949" s="11" t="str">
        <f>'data on outstanding creditors'!$C2949&amp;" "&amp;'data on outstanding creditors'!$D2949&amp;" "&amp;TEXT('data on outstanding creditors'!$E2949,"#,##0.00")</f>
        <v>บ.นางรองเคหะภัณฑ์ IV680924-009 4,280.00</v>
      </c>
      <c r="U2949" s="12"/>
    </row>
    <row r="2950" ht="13.5" customHeight="1">
      <c r="A2950" s="1" t="s">
        <v>4590</v>
      </c>
      <c r="B2950" s="2">
        <v>45925.0</v>
      </c>
      <c r="C2950" s="9" t="s">
        <v>421</v>
      </c>
      <c r="D2950" s="1" t="s">
        <v>4591</v>
      </c>
      <c r="E2950" s="4">
        <v>12476.2</v>
      </c>
      <c r="F2950" s="4"/>
      <c r="G2950" s="4"/>
      <c r="H2950" s="4">
        <f>'data on outstanding creditors'!$E2950-'data on outstanding creditors'!$F2950-'data on outstanding creditors'!$G2950</f>
        <v>12476.2</v>
      </c>
      <c r="I2950" s="2"/>
      <c r="J2950" s="1"/>
      <c r="K2950" s="2"/>
      <c r="L2950" s="5"/>
      <c r="M2950" s="9" t="s">
        <v>464</v>
      </c>
      <c r="N2950" s="9" t="s">
        <v>49</v>
      </c>
      <c r="O2950" s="10">
        <f>'data on outstanding creditors'!$E2950*100/107</f>
        <v>11660</v>
      </c>
      <c r="P2950" s="10">
        <f>'data on outstanding creditors'!$E2950-'data on outstanding creditors'!$O2950</f>
        <v>816.2</v>
      </c>
      <c r="Q2950" s="7">
        <f>DAY('data on outstanding creditors'!$B2950)</f>
        <v>25</v>
      </c>
      <c r="R2950" s="7">
        <f>MONTH('data on outstanding creditors'!$B2950)</f>
        <v>9</v>
      </c>
      <c r="S2950" s="7">
        <f>YEAR('data on outstanding creditors'!$B2950)</f>
        <v>2025</v>
      </c>
      <c r="T2950" s="11" t="str">
        <f>'data on outstanding creditors'!$C2950&amp;" "&amp;'data on outstanding creditors'!$D2950&amp;" "&amp;TEXT('data on outstanding creditors'!$E2950,"#,##0.00")</f>
        <v>บ.นางรองเคหะภัณฑ์ IV680925-032 12,476.20</v>
      </c>
      <c r="U2950" s="12"/>
    </row>
    <row r="2951" ht="13.5" customHeight="1">
      <c r="A2951" s="1" t="s">
        <v>4592</v>
      </c>
      <c r="B2951" s="2">
        <v>45926.0</v>
      </c>
      <c r="C2951" s="9" t="s">
        <v>421</v>
      </c>
      <c r="D2951" s="1" t="s">
        <v>4593</v>
      </c>
      <c r="E2951" s="4">
        <v>492.2</v>
      </c>
      <c r="F2951" s="4"/>
      <c r="G2951" s="4"/>
      <c r="H2951" s="4">
        <f>'data on outstanding creditors'!$E2951-'data on outstanding creditors'!$F2951-'data on outstanding creditors'!$G2951</f>
        <v>492.2</v>
      </c>
      <c r="I2951" s="2"/>
      <c r="J2951" s="1"/>
      <c r="K2951" s="2"/>
      <c r="L2951" s="5"/>
      <c r="M2951" s="9" t="s">
        <v>464</v>
      </c>
      <c r="N2951" s="9" t="s">
        <v>49</v>
      </c>
      <c r="O2951" s="10">
        <f>'data on outstanding creditors'!$E2951*100/107</f>
        <v>460</v>
      </c>
      <c r="P2951" s="10">
        <f>'data on outstanding creditors'!$E2951-'data on outstanding creditors'!$O2951</f>
        <v>32.2</v>
      </c>
      <c r="Q2951" s="7">
        <f>DAY('data on outstanding creditors'!$B2951)</f>
        <v>26</v>
      </c>
      <c r="R2951" s="7">
        <f>MONTH('data on outstanding creditors'!$B2951)</f>
        <v>9</v>
      </c>
      <c r="S2951" s="7">
        <f>YEAR('data on outstanding creditors'!$B2951)</f>
        <v>2025</v>
      </c>
      <c r="T2951" s="11" t="str">
        <f>'data on outstanding creditors'!$C2951&amp;" "&amp;'data on outstanding creditors'!$D2951&amp;" "&amp;TEXT('data on outstanding creditors'!$E2951,"#,##0.00")</f>
        <v>บ.นางรองเคหะภัณฑ์ IV680926-013 492.20</v>
      </c>
      <c r="U2951" s="12"/>
    </row>
    <row r="2952" ht="13.5" customHeight="1">
      <c r="A2952" s="1" t="s">
        <v>4594</v>
      </c>
      <c r="B2952" s="2">
        <v>45926.0</v>
      </c>
      <c r="C2952" s="9" t="s">
        <v>421</v>
      </c>
      <c r="D2952" s="1" t="s">
        <v>4595</v>
      </c>
      <c r="E2952" s="4">
        <v>1867.15</v>
      </c>
      <c r="F2952" s="4"/>
      <c r="G2952" s="4"/>
      <c r="H2952" s="4">
        <f>'data on outstanding creditors'!$E2952-'data on outstanding creditors'!$F2952-'data on outstanding creditors'!$G2952</f>
        <v>1867.15</v>
      </c>
      <c r="I2952" s="2"/>
      <c r="J2952" s="1"/>
      <c r="K2952" s="2"/>
      <c r="L2952" s="5"/>
      <c r="M2952" s="9" t="s">
        <v>464</v>
      </c>
      <c r="N2952" s="9" t="s">
        <v>49</v>
      </c>
      <c r="O2952" s="10">
        <f>'data on outstanding creditors'!$E2952*100/107</f>
        <v>1745</v>
      </c>
      <c r="P2952" s="10">
        <f>'data on outstanding creditors'!$E2952-'data on outstanding creditors'!$O2952</f>
        <v>122.15</v>
      </c>
      <c r="Q2952" s="7">
        <f>DAY('data on outstanding creditors'!$B2952)</f>
        <v>26</v>
      </c>
      <c r="R2952" s="7">
        <f>MONTH('data on outstanding creditors'!$B2952)</f>
        <v>9</v>
      </c>
      <c r="S2952" s="7">
        <f>YEAR('data on outstanding creditors'!$B2952)</f>
        <v>2025</v>
      </c>
      <c r="T2952" s="11" t="str">
        <f>'data on outstanding creditors'!$C2952&amp;" "&amp;'data on outstanding creditors'!$D2952&amp;" "&amp;TEXT('data on outstanding creditors'!$E2952,"#,##0.00")</f>
        <v>บ.นางรองเคหะภัณฑ์ IV680926-001 1,867.15</v>
      </c>
      <c r="U2952" s="12"/>
    </row>
    <row r="2953" ht="13.5" customHeight="1">
      <c r="A2953" s="1" t="s">
        <v>4596</v>
      </c>
      <c r="B2953" s="2">
        <v>45926.0</v>
      </c>
      <c r="C2953" s="9" t="s">
        <v>421</v>
      </c>
      <c r="D2953" s="1" t="s">
        <v>4597</v>
      </c>
      <c r="E2953" s="4">
        <v>1867.15</v>
      </c>
      <c r="F2953" s="4"/>
      <c r="G2953" s="4"/>
      <c r="H2953" s="4">
        <f>'data on outstanding creditors'!$E2953-'data on outstanding creditors'!$F2953-'data on outstanding creditors'!$G2953</f>
        <v>1867.15</v>
      </c>
      <c r="I2953" s="2"/>
      <c r="J2953" s="1"/>
      <c r="K2953" s="2"/>
      <c r="L2953" s="5"/>
      <c r="M2953" s="9" t="s">
        <v>464</v>
      </c>
      <c r="N2953" s="9" t="s">
        <v>49</v>
      </c>
      <c r="O2953" s="10">
        <f>'data on outstanding creditors'!$E2953*100/107</f>
        <v>1745</v>
      </c>
      <c r="P2953" s="10">
        <f>'data on outstanding creditors'!$E2953-'data on outstanding creditors'!$O2953</f>
        <v>122.15</v>
      </c>
      <c r="Q2953" s="7">
        <f>DAY('data on outstanding creditors'!$B2953)</f>
        <v>26</v>
      </c>
      <c r="R2953" s="7">
        <f>MONTH('data on outstanding creditors'!$B2953)</f>
        <v>9</v>
      </c>
      <c r="S2953" s="7">
        <f>YEAR('data on outstanding creditors'!$B2953)</f>
        <v>2025</v>
      </c>
      <c r="T2953" s="11" t="str">
        <f>'data on outstanding creditors'!$C2953&amp;" "&amp;'data on outstanding creditors'!$D2953&amp;" "&amp;TEXT('data on outstanding creditors'!$E2953,"#,##0.00")</f>
        <v>บ.นางรองเคหะภัณฑ์ IV680926-002 1,867.15</v>
      </c>
      <c r="U2953" s="12"/>
    </row>
    <row r="2954" ht="13.5" customHeight="1">
      <c r="A2954" s="1" t="s">
        <v>4598</v>
      </c>
      <c r="B2954" s="2">
        <v>45926.0</v>
      </c>
      <c r="C2954" s="9" t="s">
        <v>421</v>
      </c>
      <c r="D2954" s="1" t="s">
        <v>4599</v>
      </c>
      <c r="E2954" s="4">
        <v>909.5</v>
      </c>
      <c r="F2954" s="4"/>
      <c r="G2954" s="4"/>
      <c r="H2954" s="4">
        <f>'data on outstanding creditors'!$E2954-'data on outstanding creditors'!$F2954-'data on outstanding creditors'!$G2954</f>
        <v>909.5</v>
      </c>
      <c r="I2954" s="2"/>
      <c r="J2954" s="1"/>
      <c r="K2954" s="2"/>
      <c r="L2954" s="5"/>
      <c r="M2954" s="9" t="s">
        <v>464</v>
      </c>
      <c r="N2954" s="9" t="s">
        <v>49</v>
      </c>
      <c r="O2954" s="10">
        <f>'data on outstanding creditors'!$E2954*100/107</f>
        <v>850</v>
      </c>
      <c r="P2954" s="10">
        <f>'data on outstanding creditors'!$E2954-'data on outstanding creditors'!$O2954</f>
        <v>59.5</v>
      </c>
      <c r="Q2954" s="7">
        <f>DAY('data on outstanding creditors'!$B2954)</f>
        <v>26</v>
      </c>
      <c r="R2954" s="7">
        <f>MONTH('data on outstanding creditors'!$B2954)</f>
        <v>9</v>
      </c>
      <c r="S2954" s="7">
        <f>YEAR('data on outstanding creditors'!$B2954)</f>
        <v>2025</v>
      </c>
      <c r="T2954" s="11" t="str">
        <f>'data on outstanding creditors'!$C2954&amp;" "&amp;'data on outstanding creditors'!$D2954&amp;" "&amp;TEXT('data on outstanding creditors'!$E2954,"#,##0.00")</f>
        <v>บ.นางรองเคหะภัณฑ์ IV680926-016 909.50</v>
      </c>
      <c r="U2954" s="12"/>
    </row>
    <row r="2955" ht="13.5" customHeight="1">
      <c r="A2955" s="1" t="s">
        <v>4600</v>
      </c>
      <c r="B2955" s="2">
        <v>45937.0</v>
      </c>
      <c r="C2955" s="9" t="s">
        <v>421</v>
      </c>
      <c r="D2955" s="1" t="s">
        <v>4601</v>
      </c>
      <c r="E2955" s="4">
        <v>4948.75</v>
      </c>
      <c r="F2955" s="4"/>
      <c r="G2955" s="4"/>
      <c r="H2955" s="4">
        <f>'data on outstanding creditors'!$E2955-'data on outstanding creditors'!$F2955-'data on outstanding creditors'!$G2955</f>
        <v>4948.75</v>
      </c>
      <c r="I2955" s="2"/>
      <c r="J2955" s="1"/>
      <c r="K2955" s="2"/>
      <c r="L2955" s="5"/>
      <c r="M2955" s="9" t="s">
        <v>464</v>
      </c>
      <c r="N2955" s="9" t="s">
        <v>49</v>
      </c>
      <c r="O2955" s="10">
        <f>'data on outstanding creditors'!$E2955*100/107</f>
        <v>4625</v>
      </c>
      <c r="P2955" s="10">
        <f>'data on outstanding creditors'!$E2955-'data on outstanding creditors'!$O2955</f>
        <v>323.75</v>
      </c>
      <c r="Q2955" s="7">
        <f>DAY('data on outstanding creditors'!$B2955)</f>
        <v>7</v>
      </c>
      <c r="R2955" s="7">
        <f>MONTH('data on outstanding creditors'!$B2955)</f>
        <v>10</v>
      </c>
      <c r="S2955" s="7">
        <f>YEAR('data on outstanding creditors'!$B2955)</f>
        <v>2025</v>
      </c>
      <c r="T2955" s="11" t="str">
        <f>'data on outstanding creditors'!$C2955&amp;" "&amp;'data on outstanding creditors'!$D2955&amp;" "&amp;TEXT('data on outstanding creditors'!$E2955,"#,##0.00")</f>
        <v>บ.นางรองเคหะภัณฑ์ IV681007-018 4,948.75</v>
      </c>
      <c r="U2955" s="12"/>
    </row>
    <row r="2956" ht="13.5" customHeight="1">
      <c r="A2956" s="1" t="s">
        <v>4602</v>
      </c>
      <c r="B2956" s="2">
        <v>45937.0</v>
      </c>
      <c r="C2956" s="9" t="s">
        <v>421</v>
      </c>
      <c r="D2956" s="1" t="s">
        <v>4603</v>
      </c>
      <c r="E2956" s="4">
        <v>1455.2</v>
      </c>
      <c r="F2956" s="4"/>
      <c r="G2956" s="4"/>
      <c r="H2956" s="4">
        <f>'data on outstanding creditors'!$E2956-'data on outstanding creditors'!$F2956-'data on outstanding creditors'!$G2956</f>
        <v>1455.2</v>
      </c>
      <c r="I2956" s="2"/>
      <c r="J2956" s="1"/>
      <c r="K2956" s="2"/>
      <c r="L2956" s="5"/>
      <c r="M2956" s="9" t="s">
        <v>464</v>
      </c>
      <c r="N2956" s="9" t="s">
        <v>49</v>
      </c>
      <c r="O2956" s="10">
        <f>'data on outstanding creditors'!$E2956*100/107</f>
        <v>1360</v>
      </c>
      <c r="P2956" s="10">
        <f>'data on outstanding creditors'!$E2956-'data on outstanding creditors'!$O2956</f>
        <v>95.2</v>
      </c>
      <c r="Q2956" s="7">
        <f>DAY('data on outstanding creditors'!$B2956)</f>
        <v>7</v>
      </c>
      <c r="R2956" s="7">
        <f>MONTH('data on outstanding creditors'!$B2956)</f>
        <v>10</v>
      </c>
      <c r="S2956" s="7">
        <f>YEAR('data on outstanding creditors'!$B2956)</f>
        <v>2025</v>
      </c>
      <c r="T2956" s="11" t="str">
        <f>'data on outstanding creditors'!$C2956&amp;" "&amp;'data on outstanding creditors'!$D2956&amp;" "&amp;TEXT('data on outstanding creditors'!$E2956,"#,##0.00")</f>
        <v>บ.นางรองเคหะภัณฑ์ IV681007-017 1,455.20</v>
      </c>
      <c r="U2956" s="12"/>
    </row>
    <row r="2957" ht="13.5" customHeight="1">
      <c r="A2957" s="1" t="s">
        <v>4604</v>
      </c>
      <c r="B2957" s="2">
        <v>45937.0</v>
      </c>
      <c r="C2957" s="9" t="s">
        <v>421</v>
      </c>
      <c r="D2957" s="1" t="s">
        <v>4605</v>
      </c>
      <c r="E2957" s="4">
        <v>9916.76</v>
      </c>
      <c r="F2957" s="4"/>
      <c r="G2957" s="4"/>
      <c r="H2957" s="4">
        <f>'data on outstanding creditors'!$E2957-'data on outstanding creditors'!$F2957-'data on outstanding creditors'!$G2957</f>
        <v>9916.76</v>
      </c>
      <c r="I2957" s="2"/>
      <c r="J2957" s="1"/>
      <c r="K2957" s="2"/>
      <c r="L2957" s="5"/>
      <c r="M2957" s="9" t="s">
        <v>464</v>
      </c>
      <c r="N2957" s="9" t="s">
        <v>49</v>
      </c>
      <c r="O2957" s="10">
        <f>'data on outstanding creditors'!$E2957*100/107</f>
        <v>9268</v>
      </c>
      <c r="P2957" s="10">
        <f>'data on outstanding creditors'!$E2957-'data on outstanding creditors'!$O2957</f>
        <v>648.76</v>
      </c>
      <c r="Q2957" s="7">
        <f>DAY('data on outstanding creditors'!$B2957)</f>
        <v>7</v>
      </c>
      <c r="R2957" s="7">
        <f>MONTH('data on outstanding creditors'!$B2957)</f>
        <v>10</v>
      </c>
      <c r="S2957" s="7">
        <f>YEAR('data on outstanding creditors'!$B2957)</f>
        <v>2025</v>
      </c>
      <c r="T2957" s="11" t="str">
        <f>'data on outstanding creditors'!$C2957&amp;" "&amp;'data on outstanding creditors'!$D2957&amp;" "&amp;TEXT('data on outstanding creditors'!$E2957,"#,##0.00")</f>
        <v>บ.นางรองเคหะภัณฑ์ IV681007-013 9,916.76</v>
      </c>
      <c r="U2957" s="12"/>
    </row>
    <row r="2958" ht="13.5" customHeight="1">
      <c r="A2958" s="1" t="s">
        <v>4606</v>
      </c>
      <c r="B2958" s="2">
        <v>45938.0</v>
      </c>
      <c r="C2958" s="9" t="s">
        <v>421</v>
      </c>
      <c r="D2958" s="1" t="s">
        <v>4607</v>
      </c>
      <c r="E2958" s="4">
        <v>7012.78</v>
      </c>
      <c r="F2958" s="4"/>
      <c r="G2958" s="4"/>
      <c r="H2958" s="4">
        <f>'data on outstanding creditors'!$E2958-'data on outstanding creditors'!$F2958-'data on outstanding creditors'!$G2958</f>
        <v>7012.78</v>
      </c>
      <c r="I2958" s="2"/>
      <c r="J2958" s="1"/>
      <c r="K2958" s="2"/>
      <c r="L2958" s="5"/>
      <c r="M2958" s="9" t="s">
        <v>464</v>
      </c>
      <c r="N2958" s="9" t="s">
        <v>49</v>
      </c>
      <c r="O2958" s="10">
        <f>'data on outstanding creditors'!$E2958*100/107</f>
        <v>6554</v>
      </c>
      <c r="P2958" s="10">
        <f>'data on outstanding creditors'!$E2958-'data on outstanding creditors'!$O2958</f>
        <v>458.78</v>
      </c>
      <c r="Q2958" s="7">
        <f>DAY('data on outstanding creditors'!$B2958)</f>
        <v>8</v>
      </c>
      <c r="R2958" s="7">
        <f>MONTH('data on outstanding creditors'!$B2958)</f>
        <v>10</v>
      </c>
      <c r="S2958" s="7">
        <f>YEAR('data on outstanding creditors'!$B2958)</f>
        <v>2025</v>
      </c>
      <c r="T2958" s="11" t="str">
        <f>'data on outstanding creditors'!$C2958&amp;" "&amp;'data on outstanding creditors'!$D2958&amp;" "&amp;TEXT('data on outstanding creditors'!$E2958,"#,##0.00")</f>
        <v>บ.นางรองเคหะภัณฑ์ IV681008-020 7,012.78</v>
      </c>
      <c r="U2958" s="12"/>
    </row>
    <row r="2959" ht="13.5" customHeight="1">
      <c r="A2959" s="1" t="s">
        <v>4608</v>
      </c>
      <c r="B2959" s="2">
        <v>45945.0</v>
      </c>
      <c r="C2959" s="9" t="s">
        <v>421</v>
      </c>
      <c r="D2959" s="1" t="s">
        <v>4609</v>
      </c>
      <c r="E2959" s="4">
        <v>4349.55</v>
      </c>
      <c r="F2959" s="4"/>
      <c r="G2959" s="4"/>
      <c r="H2959" s="4">
        <f>'data on outstanding creditors'!$E2959-'data on outstanding creditors'!$F2959-'data on outstanding creditors'!$G2959</f>
        <v>4349.55</v>
      </c>
      <c r="I2959" s="2"/>
      <c r="J2959" s="1"/>
      <c r="K2959" s="2"/>
      <c r="L2959" s="5"/>
      <c r="M2959" s="9" t="s">
        <v>464</v>
      </c>
      <c r="N2959" s="9" t="s">
        <v>49</v>
      </c>
      <c r="O2959" s="10">
        <f>'data on outstanding creditors'!$E2959*100/107</f>
        <v>4065</v>
      </c>
      <c r="P2959" s="10">
        <f>'data on outstanding creditors'!$E2959-'data on outstanding creditors'!$O2959</f>
        <v>284.55</v>
      </c>
      <c r="Q2959" s="7">
        <f>DAY('data on outstanding creditors'!$B2959)</f>
        <v>15</v>
      </c>
      <c r="R2959" s="7">
        <f>MONTH('data on outstanding creditors'!$B2959)</f>
        <v>10</v>
      </c>
      <c r="S2959" s="7">
        <f>YEAR('data on outstanding creditors'!$B2959)</f>
        <v>2025</v>
      </c>
      <c r="T2959" s="11" t="str">
        <f>'data on outstanding creditors'!$C2959&amp;" "&amp;'data on outstanding creditors'!$D2959&amp;" "&amp;TEXT('data on outstanding creditors'!$E2959,"#,##0.00")</f>
        <v>บ.นางรองเคหะภัณฑ์ IV681015-019 4,349.55</v>
      </c>
      <c r="U2959" s="12"/>
    </row>
    <row r="2960" ht="13.5" customHeight="1">
      <c r="A2960" s="1" t="s">
        <v>4610</v>
      </c>
      <c r="B2960" s="2">
        <v>45945.0</v>
      </c>
      <c r="C2960" s="9" t="s">
        <v>421</v>
      </c>
      <c r="D2960" s="1" t="s">
        <v>4611</v>
      </c>
      <c r="E2960" s="4">
        <v>9255.5</v>
      </c>
      <c r="F2960" s="4"/>
      <c r="G2960" s="4"/>
      <c r="H2960" s="4">
        <f>'data on outstanding creditors'!$E2960-'data on outstanding creditors'!$F2960-'data on outstanding creditors'!$G2960</f>
        <v>9255.5</v>
      </c>
      <c r="I2960" s="2"/>
      <c r="J2960" s="1"/>
      <c r="K2960" s="2"/>
      <c r="L2960" s="5"/>
      <c r="M2960" s="9" t="s">
        <v>464</v>
      </c>
      <c r="N2960" s="9" t="s">
        <v>49</v>
      </c>
      <c r="O2960" s="10">
        <f>'data on outstanding creditors'!$E2960*100/107</f>
        <v>8650</v>
      </c>
      <c r="P2960" s="10">
        <f>'data on outstanding creditors'!$E2960-'data on outstanding creditors'!$O2960</f>
        <v>605.5</v>
      </c>
      <c r="Q2960" s="7">
        <f>DAY('data on outstanding creditors'!$B2960)</f>
        <v>15</v>
      </c>
      <c r="R2960" s="7">
        <f>MONTH('data on outstanding creditors'!$B2960)</f>
        <v>10</v>
      </c>
      <c r="S2960" s="7">
        <f>YEAR('data on outstanding creditors'!$B2960)</f>
        <v>2025</v>
      </c>
      <c r="T2960" s="11" t="str">
        <f>'data on outstanding creditors'!$C2960&amp;" "&amp;'data on outstanding creditors'!$D2960&amp;" "&amp;TEXT('data on outstanding creditors'!$E2960,"#,##0.00")</f>
        <v>บ.นางรองเคหะภัณฑ์ IV681015-018 9,255.50</v>
      </c>
      <c r="U2960" s="12"/>
    </row>
    <row r="2961" ht="13.5" customHeight="1">
      <c r="A2961" s="1"/>
      <c r="B2961" s="2">
        <v>45572.0</v>
      </c>
      <c r="C2961" s="9" t="s">
        <v>4612</v>
      </c>
      <c r="D2961" s="1" t="s">
        <v>4613</v>
      </c>
      <c r="E2961" s="4">
        <v>36000.0</v>
      </c>
      <c r="F2961" s="4"/>
      <c r="G2961" s="4"/>
      <c r="H2961" s="4">
        <f>'data on outstanding creditors'!$E2961-'data on outstanding creditors'!$F2961-'data on outstanding creditors'!$G2961</f>
        <v>36000</v>
      </c>
      <c r="I2961" s="2"/>
      <c r="J2961" s="1" t="s">
        <v>646</v>
      </c>
      <c r="K2961" s="2">
        <v>45944.0</v>
      </c>
      <c r="L2961" s="5"/>
      <c r="M2961" s="9" t="s">
        <v>151</v>
      </c>
      <c r="N2961" s="9" t="s">
        <v>49</v>
      </c>
      <c r="O2961" s="10">
        <f>'data on outstanding creditors'!$E2961*100/107</f>
        <v>33644.85981</v>
      </c>
      <c r="P2961" s="10">
        <f>'data on outstanding creditors'!$E2961-'data on outstanding creditors'!$O2961</f>
        <v>2355.140187</v>
      </c>
      <c r="Q2961" s="7">
        <f>DAY('data on outstanding creditors'!$B2961)</f>
        <v>7</v>
      </c>
      <c r="R2961" s="7">
        <f>MONTH('data on outstanding creditors'!$B2961)</f>
        <v>10</v>
      </c>
      <c r="S2961" s="7">
        <f>YEAR('data on outstanding creditors'!$B2961)</f>
        <v>2024</v>
      </c>
      <c r="T2961" s="11" t="str">
        <f>'data on outstanding creditors'!$C2961&amp;" "&amp;'data on outstanding creditors'!$D2961&amp;" "&amp;TEXT('data on outstanding creditors'!$E2961,"#,##0.00")</f>
        <v>บ.ไดนามิค อินสตรูเม้นท์ 670910 36,000.00</v>
      </c>
      <c r="U2961" s="12"/>
    </row>
    <row r="2962" ht="13.5" customHeight="1">
      <c r="A2962" s="1"/>
      <c r="B2962" s="2">
        <v>45698.0</v>
      </c>
      <c r="C2962" s="9" t="s">
        <v>1125</v>
      </c>
      <c r="D2962" s="1" t="s">
        <v>4614</v>
      </c>
      <c r="E2962" s="4">
        <v>1250.0</v>
      </c>
      <c r="F2962" s="4"/>
      <c r="G2962" s="4"/>
      <c r="H2962" s="4">
        <f>'data on outstanding creditors'!$E2962-'data on outstanding creditors'!$F2962-'data on outstanding creditors'!$G2962</f>
        <v>1250</v>
      </c>
      <c r="I2962" s="2"/>
      <c r="J2962" s="1" t="s">
        <v>646</v>
      </c>
      <c r="K2962" s="2">
        <v>45843.0</v>
      </c>
      <c r="L2962" s="5"/>
      <c r="M2962" s="9" t="s">
        <v>151</v>
      </c>
      <c r="N2962" s="9" t="s">
        <v>49</v>
      </c>
      <c r="O2962" s="10">
        <f>'data on outstanding creditors'!$E2962*100/107</f>
        <v>1168.224299</v>
      </c>
      <c r="P2962" s="10">
        <f>'data on outstanding creditors'!$E2962-'data on outstanding creditors'!$O2962</f>
        <v>81.77570093</v>
      </c>
      <c r="Q2962" s="7">
        <f>DAY('data on outstanding creditors'!$B2962)</f>
        <v>10</v>
      </c>
      <c r="R2962" s="7">
        <f>MONTH('data on outstanding creditors'!$B2962)</f>
        <v>2</v>
      </c>
      <c r="S2962" s="7">
        <f>YEAR('data on outstanding creditors'!$B2962)</f>
        <v>2025</v>
      </c>
      <c r="T2962" s="11" t="str">
        <f>'data on outstanding creditors'!$C2962&amp;" "&amp;'data on outstanding creditors'!$D2962&amp;" "&amp;TEXT('data on outstanding creditors'!$E2962,"#,##0.00")</f>
        <v>หจก.เอ็นบี ซัพพลาย เอ็นจิเนียริ่ง(ประเทศไทย) INV2024080010 1,250.00</v>
      </c>
      <c r="U2962" s="12"/>
    </row>
    <row r="2963" ht="13.5" customHeight="1">
      <c r="A2963" s="1"/>
      <c r="B2963" s="2">
        <v>45698.0</v>
      </c>
      <c r="C2963" s="9" t="s">
        <v>4615</v>
      </c>
      <c r="D2963" s="1" t="s">
        <v>4616</v>
      </c>
      <c r="E2963" s="4">
        <v>4601.0</v>
      </c>
      <c r="F2963" s="4"/>
      <c r="G2963" s="4"/>
      <c r="H2963" s="4">
        <f>'data on outstanding creditors'!$E2963-'data on outstanding creditors'!$F2963-'data on outstanding creditors'!$G2963</f>
        <v>4601</v>
      </c>
      <c r="I2963" s="2"/>
      <c r="J2963" s="1" t="s">
        <v>646</v>
      </c>
      <c r="K2963" s="2">
        <v>45843.0</v>
      </c>
      <c r="L2963" s="5"/>
      <c r="M2963" s="9" t="s">
        <v>151</v>
      </c>
      <c r="N2963" s="9" t="s">
        <v>49</v>
      </c>
      <c r="O2963" s="10">
        <f>'data on outstanding creditors'!$E2963*100/107</f>
        <v>4300</v>
      </c>
      <c r="P2963" s="10">
        <f>'data on outstanding creditors'!$E2963-'data on outstanding creditors'!$O2963</f>
        <v>301</v>
      </c>
      <c r="Q2963" s="7">
        <f>DAY('data on outstanding creditors'!$B2963)</f>
        <v>10</v>
      </c>
      <c r="R2963" s="7">
        <f>MONTH('data on outstanding creditors'!$B2963)</f>
        <v>2</v>
      </c>
      <c r="S2963" s="7">
        <f>YEAR('data on outstanding creditors'!$B2963)</f>
        <v>2025</v>
      </c>
      <c r="T2963" s="11" t="str">
        <f>'data on outstanding creditors'!$C2963&amp;" "&amp;'data on outstanding creditors'!$D2963&amp;" "&amp;TEXT('data on outstanding creditors'!$E2963,"#,##0.00")</f>
        <v>บ.ซีซี เฮลท์ แคร์ IV680201 4,601.00</v>
      </c>
      <c r="U2963" s="12"/>
    </row>
    <row r="2964" ht="13.5" customHeight="1">
      <c r="A2964" s="1"/>
      <c r="B2964" s="2">
        <v>45712.0</v>
      </c>
      <c r="C2964" s="9" t="s">
        <v>4612</v>
      </c>
      <c r="D2964" s="1" t="s">
        <v>4617</v>
      </c>
      <c r="E2964" s="4">
        <v>36000.0</v>
      </c>
      <c r="F2964" s="4"/>
      <c r="G2964" s="4"/>
      <c r="H2964" s="4">
        <f>'data on outstanding creditors'!$E2964-'data on outstanding creditors'!$F2964-'data on outstanding creditors'!$G2964</f>
        <v>36000</v>
      </c>
      <c r="I2964" s="2"/>
      <c r="J2964" s="1"/>
      <c r="K2964" s="2"/>
      <c r="L2964" s="5"/>
      <c r="M2964" s="9" t="s">
        <v>151</v>
      </c>
      <c r="N2964" s="9" t="s">
        <v>49</v>
      </c>
      <c r="O2964" s="10">
        <f>'data on outstanding creditors'!$E2964*100/107</f>
        <v>33644.85981</v>
      </c>
      <c r="P2964" s="10">
        <f>'data on outstanding creditors'!$E2964-'data on outstanding creditors'!$O2964</f>
        <v>2355.140187</v>
      </c>
      <c r="Q2964" s="7">
        <f>DAY('data on outstanding creditors'!$B2964)</f>
        <v>24</v>
      </c>
      <c r="R2964" s="7">
        <f>MONTH('data on outstanding creditors'!$B2964)</f>
        <v>2</v>
      </c>
      <c r="S2964" s="7">
        <f>YEAR('data on outstanding creditors'!$B2964)</f>
        <v>2025</v>
      </c>
      <c r="T2964" s="11" t="str">
        <f>'data on outstanding creditors'!$C2964&amp;" "&amp;'data on outstanding creditors'!$D2964&amp;" "&amp;TEXT('data on outstanding creditors'!$E2964,"#,##0.00")</f>
        <v>บ.ไดนามิค อินสตรูเม้นท์ 680118 36,000.00</v>
      </c>
      <c r="U2964" s="12"/>
    </row>
    <row r="2965" ht="13.5" customHeight="1">
      <c r="A2965" s="1"/>
      <c r="B2965" s="2">
        <v>45719.0</v>
      </c>
      <c r="C2965" s="9" t="s">
        <v>1125</v>
      </c>
      <c r="D2965" s="1" t="s">
        <v>4618</v>
      </c>
      <c r="E2965" s="4">
        <v>26500.0</v>
      </c>
      <c r="F2965" s="4"/>
      <c r="G2965" s="4"/>
      <c r="H2965" s="4">
        <f>'data on outstanding creditors'!$E2965-'data on outstanding creditors'!$F2965-'data on outstanding creditors'!$G2965</f>
        <v>26500</v>
      </c>
      <c r="I2965" s="2"/>
      <c r="J2965" s="1" t="s">
        <v>646</v>
      </c>
      <c r="K2965" s="2">
        <v>45846.0</v>
      </c>
      <c r="L2965" s="5"/>
      <c r="M2965" s="9" t="s">
        <v>151</v>
      </c>
      <c r="N2965" s="9" t="s">
        <v>49</v>
      </c>
      <c r="O2965" s="10">
        <f>'data on outstanding creditors'!$E2965*100/107</f>
        <v>24766.35514</v>
      </c>
      <c r="P2965" s="10">
        <f>'data on outstanding creditors'!$E2965-'data on outstanding creditors'!$O2965</f>
        <v>1733.64486</v>
      </c>
      <c r="Q2965" s="7">
        <f>DAY('data on outstanding creditors'!$B2965)</f>
        <v>3</v>
      </c>
      <c r="R2965" s="7">
        <f>MONTH('data on outstanding creditors'!$B2965)</f>
        <v>3</v>
      </c>
      <c r="S2965" s="7">
        <f>YEAR('data on outstanding creditors'!$B2965)</f>
        <v>2025</v>
      </c>
      <c r="T2965" s="11" t="str">
        <f>'data on outstanding creditors'!$C2965&amp;" "&amp;'data on outstanding creditors'!$D2965&amp;" "&amp;TEXT('data on outstanding creditors'!$E2965,"#,##0.00")</f>
        <v>หจก.เอ็นบี ซัพพลาย เอ็นจิเนียริ่ง(ประเทศไทย) INV2025030003 26,500.00</v>
      </c>
      <c r="U2965" s="12"/>
    </row>
    <row r="2966" ht="13.5" customHeight="1">
      <c r="A2966" s="1"/>
      <c r="B2966" s="2">
        <v>45719.0</v>
      </c>
      <c r="C2966" s="9" t="s">
        <v>1125</v>
      </c>
      <c r="D2966" s="1" t="s">
        <v>4619</v>
      </c>
      <c r="E2966" s="4">
        <v>26500.0</v>
      </c>
      <c r="F2966" s="4"/>
      <c r="G2966" s="4"/>
      <c r="H2966" s="4">
        <f>'data on outstanding creditors'!$E2966-'data on outstanding creditors'!$F2966-'data on outstanding creditors'!$G2966</f>
        <v>26500</v>
      </c>
      <c r="I2966" s="2"/>
      <c r="J2966" s="1" t="s">
        <v>646</v>
      </c>
      <c r="K2966" s="2">
        <v>45846.0</v>
      </c>
      <c r="L2966" s="5"/>
      <c r="M2966" s="9" t="s">
        <v>151</v>
      </c>
      <c r="N2966" s="9" t="s">
        <v>49</v>
      </c>
      <c r="O2966" s="10">
        <f>'data on outstanding creditors'!$E2966*100/107</f>
        <v>24766.35514</v>
      </c>
      <c r="P2966" s="10">
        <f>'data on outstanding creditors'!$E2966-'data on outstanding creditors'!$O2966</f>
        <v>1733.64486</v>
      </c>
      <c r="Q2966" s="7">
        <f>DAY('data on outstanding creditors'!$B2966)</f>
        <v>3</v>
      </c>
      <c r="R2966" s="7">
        <f>MONTH('data on outstanding creditors'!$B2966)</f>
        <v>3</v>
      </c>
      <c r="S2966" s="7">
        <f>YEAR('data on outstanding creditors'!$B2966)</f>
        <v>2025</v>
      </c>
      <c r="T2966" s="11" t="str">
        <f>'data on outstanding creditors'!$C2966&amp;" "&amp;'data on outstanding creditors'!$D2966&amp;" "&amp;TEXT('data on outstanding creditors'!$E2966,"#,##0.00")</f>
        <v>หจก.เอ็นบี ซัพพลาย เอ็นจิเนียริ่ง(ประเทศไทย) INV2025030004 26,500.00</v>
      </c>
      <c r="U2966" s="12"/>
    </row>
    <row r="2967" ht="13.5" customHeight="1">
      <c r="A2967" s="1" t="s">
        <v>4620</v>
      </c>
      <c r="B2967" s="2">
        <v>45793.0</v>
      </c>
      <c r="C2967" s="9" t="s">
        <v>4621</v>
      </c>
      <c r="D2967" s="1" t="s">
        <v>4622</v>
      </c>
      <c r="E2967" s="4">
        <v>642.0</v>
      </c>
      <c r="F2967" s="4"/>
      <c r="G2967" s="4"/>
      <c r="H2967" s="4">
        <f>'data on outstanding creditors'!$E2967-'data on outstanding creditors'!$F2967-'data on outstanding creditors'!$G2967</f>
        <v>642</v>
      </c>
      <c r="I2967" s="2"/>
      <c r="J2967" s="1" t="s">
        <v>757</v>
      </c>
      <c r="K2967" s="2">
        <v>45813.0</v>
      </c>
      <c r="L2967" s="5"/>
      <c r="M2967" s="9" t="s">
        <v>151</v>
      </c>
      <c r="N2967" s="9" t="s">
        <v>49</v>
      </c>
      <c r="O2967" s="10">
        <f>'data on outstanding creditors'!$E2967*100/107</f>
        <v>600</v>
      </c>
      <c r="P2967" s="10">
        <f>'data on outstanding creditors'!$E2967-'data on outstanding creditors'!$O2967</f>
        <v>42</v>
      </c>
      <c r="Q2967" s="7">
        <f>DAY('data on outstanding creditors'!$B2967)</f>
        <v>16</v>
      </c>
      <c r="R2967" s="7">
        <f>MONTH('data on outstanding creditors'!$B2967)</f>
        <v>5</v>
      </c>
      <c r="S2967" s="7">
        <f>YEAR('data on outstanding creditors'!$B2967)</f>
        <v>2025</v>
      </c>
      <c r="T2967" s="11" t="str">
        <f>'data on outstanding creditors'!$C2967&amp;" "&amp;'data on outstanding creditors'!$D2967&amp;" "&amp;TEXT('data on outstanding creditors'!$E2967,"#,##0.00")</f>
        <v>บ.มิท เทคโนโลยี RS202502392 642.00</v>
      </c>
      <c r="U2967" s="12"/>
    </row>
    <row r="2968" ht="13.5" customHeight="1">
      <c r="A2968" s="1" t="s">
        <v>4623</v>
      </c>
      <c r="B2968" s="2">
        <v>45799.0</v>
      </c>
      <c r="C2968" s="9" t="s">
        <v>4621</v>
      </c>
      <c r="D2968" s="1" t="s">
        <v>4624</v>
      </c>
      <c r="E2968" s="4">
        <v>1122.43</v>
      </c>
      <c r="F2968" s="4"/>
      <c r="G2968" s="4"/>
      <c r="H2968" s="4">
        <f>'data on outstanding creditors'!$E2968-'data on outstanding creditors'!$F2968-'data on outstanding creditors'!$G2968</f>
        <v>1122.43</v>
      </c>
      <c r="I2968" s="2"/>
      <c r="J2968" s="1" t="s">
        <v>757</v>
      </c>
      <c r="K2968" s="2">
        <v>45831.0</v>
      </c>
      <c r="L2968" s="5"/>
      <c r="M2968" s="9" t="s">
        <v>151</v>
      </c>
      <c r="N2968" s="9" t="s">
        <v>49</v>
      </c>
      <c r="O2968" s="10">
        <f>'data on outstanding creditors'!$E2968*100/107</f>
        <v>1049</v>
      </c>
      <c r="P2968" s="10">
        <f>'data on outstanding creditors'!$E2968-'data on outstanding creditors'!$O2968</f>
        <v>73.43</v>
      </c>
      <c r="Q2968" s="7">
        <f>DAY('data on outstanding creditors'!$B2968)</f>
        <v>22</v>
      </c>
      <c r="R2968" s="7">
        <f>MONTH('data on outstanding creditors'!$B2968)</f>
        <v>5</v>
      </c>
      <c r="S2968" s="7">
        <f>YEAR('data on outstanding creditors'!$B2968)</f>
        <v>2025</v>
      </c>
      <c r="T2968" s="11" t="str">
        <f>'data on outstanding creditors'!$C2968&amp;" "&amp;'data on outstanding creditors'!$D2968&amp;" "&amp;TEXT('data on outstanding creditors'!$E2968,"#,##0.00")</f>
        <v>บ.มิท เทคโนโลยี RS202502393 1,122.43</v>
      </c>
      <c r="U2968" s="12"/>
    </row>
    <row r="2969" ht="13.5" customHeight="1">
      <c r="A2969" s="1" t="s">
        <v>4625</v>
      </c>
      <c r="B2969" s="2">
        <v>45824.0</v>
      </c>
      <c r="C2969" s="9" t="s">
        <v>4612</v>
      </c>
      <c r="D2969" s="1" t="s">
        <v>4626</v>
      </c>
      <c r="E2969" s="4">
        <v>36000.0</v>
      </c>
      <c r="F2969" s="4"/>
      <c r="G2969" s="4"/>
      <c r="H2969" s="4">
        <f>'data on outstanding creditors'!$E2969-'data on outstanding creditors'!$F2969-'data on outstanding creditors'!$G2969</f>
        <v>36000</v>
      </c>
      <c r="I2969" s="2"/>
      <c r="J2969" s="1" t="s">
        <v>646</v>
      </c>
      <c r="K2969" s="2">
        <v>45944.0</v>
      </c>
      <c r="L2969" s="5"/>
      <c r="M2969" s="9" t="s">
        <v>151</v>
      </c>
      <c r="N2969" s="9" t="s">
        <v>49</v>
      </c>
      <c r="O2969" s="10">
        <f>'data on outstanding creditors'!$E2969*100/107</f>
        <v>33644.85981</v>
      </c>
      <c r="P2969" s="10">
        <f>'data on outstanding creditors'!$E2969-'data on outstanding creditors'!$O2969</f>
        <v>2355.140187</v>
      </c>
      <c r="Q2969" s="7">
        <f>DAY('data on outstanding creditors'!$B2969)</f>
        <v>16</v>
      </c>
      <c r="R2969" s="7">
        <f>MONTH('data on outstanding creditors'!$B2969)</f>
        <v>6</v>
      </c>
      <c r="S2969" s="7">
        <f>YEAR('data on outstanding creditors'!$B2969)</f>
        <v>2025</v>
      </c>
      <c r="T2969" s="11" t="str">
        <f>'data on outstanding creditors'!$C2969&amp;" "&amp;'data on outstanding creditors'!$D2969&amp;" "&amp;TEXT('data on outstanding creditors'!$E2969,"#,##0.00")</f>
        <v>บ.ไดนามิค อินสตรูเม้นท์ 680503 36,000.00</v>
      </c>
      <c r="U2969" s="12"/>
    </row>
    <row r="2970" ht="13.5" customHeight="1">
      <c r="A2970" s="1" t="s">
        <v>4627</v>
      </c>
      <c r="B2970" s="2">
        <v>45862.0</v>
      </c>
      <c r="C2970" s="9" t="s">
        <v>4628</v>
      </c>
      <c r="D2970" s="1" t="s">
        <v>4629</v>
      </c>
      <c r="E2970" s="4">
        <v>81000.0</v>
      </c>
      <c r="F2970" s="4"/>
      <c r="G2970" s="4"/>
      <c r="H2970" s="4">
        <f>'data on outstanding creditors'!$E2970-'data on outstanding creditors'!$F2970-'data on outstanding creditors'!$G2970</f>
        <v>81000</v>
      </c>
      <c r="I2970" s="2"/>
      <c r="J2970" s="1"/>
      <c r="K2970" s="2"/>
      <c r="L2970" s="5"/>
      <c r="M2970" s="9" t="s">
        <v>151</v>
      </c>
      <c r="N2970" s="9" t="s">
        <v>49</v>
      </c>
      <c r="O2970" s="10">
        <f>'data on outstanding creditors'!$E2970*100/107</f>
        <v>75700.93458</v>
      </c>
      <c r="P2970" s="10">
        <f>'data on outstanding creditors'!$E2970-'data on outstanding creditors'!$O2970</f>
        <v>5299.065421</v>
      </c>
      <c r="Q2970" s="7">
        <f>DAY('data on outstanding creditors'!$B2970)</f>
        <v>24</v>
      </c>
      <c r="R2970" s="7">
        <f>MONTH('data on outstanding creditors'!$B2970)</f>
        <v>7</v>
      </c>
      <c r="S2970" s="7">
        <f>YEAR('data on outstanding creditors'!$B2970)</f>
        <v>2025</v>
      </c>
      <c r="T2970" s="11" t="str">
        <f>'data on outstanding creditors'!$C2970&amp;" "&amp;'data on outstanding creditors'!$D2970&amp;" "&amp;TEXT('data on outstanding creditors'!$E2970,"#,##0.00")</f>
        <v>บ.พันธ์สวัสดิ์ เคมเทค 68545 81,000.00</v>
      </c>
      <c r="U2970" s="12"/>
    </row>
    <row r="2971" ht="13.5" customHeight="1">
      <c r="A2971" s="1" t="s">
        <v>4630</v>
      </c>
      <c r="B2971" s="2">
        <v>45877.0</v>
      </c>
      <c r="C2971" s="9" t="s">
        <v>4631</v>
      </c>
      <c r="D2971" s="1" t="s">
        <v>4632</v>
      </c>
      <c r="E2971" s="4">
        <v>20858.77</v>
      </c>
      <c r="F2971" s="4"/>
      <c r="G2971" s="4"/>
      <c r="H2971" s="4">
        <f>'data on outstanding creditors'!$E2971-'data on outstanding creditors'!$F2971-'data on outstanding creditors'!$G2971</f>
        <v>20858.77</v>
      </c>
      <c r="I2971" s="2"/>
      <c r="J2971" s="1"/>
      <c r="K2971" s="2"/>
      <c r="L2971" s="5"/>
      <c r="M2971" s="9" t="s">
        <v>151</v>
      </c>
      <c r="N2971" s="9" t="s">
        <v>49</v>
      </c>
      <c r="O2971" s="10">
        <f>'data on outstanding creditors'!$E2971*100/107</f>
        <v>19494.17757</v>
      </c>
      <c r="P2971" s="10">
        <f>'data on outstanding creditors'!$E2971-'data on outstanding creditors'!$O2971</f>
        <v>1364.59243</v>
      </c>
      <c r="Q2971" s="7">
        <f>DAY('data on outstanding creditors'!$B2971)</f>
        <v>8</v>
      </c>
      <c r="R2971" s="7">
        <f>MONTH('data on outstanding creditors'!$B2971)</f>
        <v>8</v>
      </c>
      <c r="S2971" s="7">
        <f>YEAR('data on outstanding creditors'!$B2971)</f>
        <v>2025</v>
      </c>
      <c r="T2971" s="11" t="str">
        <f>'data on outstanding creditors'!$C2971&amp;" "&amp;'data on outstanding creditors'!$D2971&amp;" "&amp;TEXT('data on outstanding creditors'!$E2971,"#,##0.00")</f>
        <v>บ.นำวิวัฒน์การช่าง(1992) SIV250700298 20,858.77</v>
      </c>
      <c r="U2971" s="12"/>
    </row>
    <row r="2972" ht="13.5" customHeight="1">
      <c r="A2972" s="1" t="s">
        <v>4633</v>
      </c>
      <c r="B2972" s="2">
        <v>45877.0</v>
      </c>
      <c r="C2972" s="9" t="s">
        <v>4631</v>
      </c>
      <c r="D2972" s="1" t="s">
        <v>4634</v>
      </c>
      <c r="E2972" s="4">
        <v>16492.91</v>
      </c>
      <c r="F2972" s="4"/>
      <c r="G2972" s="4"/>
      <c r="H2972" s="4">
        <f>'data on outstanding creditors'!$E2972-'data on outstanding creditors'!$F2972-'data on outstanding creditors'!$G2972</f>
        <v>16492.91</v>
      </c>
      <c r="I2972" s="2"/>
      <c r="J2972" s="1"/>
      <c r="K2972" s="2"/>
      <c r="L2972" s="5"/>
      <c r="M2972" s="9" t="s">
        <v>151</v>
      </c>
      <c r="N2972" s="9" t="s">
        <v>49</v>
      </c>
      <c r="O2972" s="10">
        <f>'data on outstanding creditors'!$E2972*100/107</f>
        <v>15413.93458</v>
      </c>
      <c r="P2972" s="10">
        <f>'data on outstanding creditors'!$E2972-'data on outstanding creditors'!$O2972</f>
        <v>1078.975421</v>
      </c>
      <c r="Q2972" s="7">
        <f>DAY('data on outstanding creditors'!$B2972)</f>
        <v>8</v>
      </c>
      <c r="R2972" s="7">
        <f>MONTH('data on outstanding creditors'!$B2972)</f>
        <v>8</v>
      </c>
      <c r="S2972" s="7">
        <f>YEAR('data on outstanding creditors'!$B2972)</f>
        <v>2025</v>
      </c>
      <c r="T2972" s="11" t="str">
        <f>'data on outstanding creditors'!$C2972&amp;" "&amp;'data on outstanding creditors'!$D2972&amp;" "&amp;TEXT('data on outstanding creditors'!$E2972,"#,##0.00")</f>
        <v>บ.นำวิวัฒน์การช่าง(1992) SIV250700299 16,492.91</v>
      </c>
      <c r="U2972" s="12"/>
    </row>
    <row r="2973" ht="13.5" customHeight="1">
      <c r="A2973" s="1" t="s">
        <v>4635</v>
      </c>
      <c r="B2973" s="2">
        <v>45884.0</v>
      </c>
      <c r="C2973" s="9" t="s">
        <v>4578</v>
      </c>
      <c r="D2973" s="1" t="s">
        <v>4636</v>
      </c>
      <c r="E2973" s="4">
        <v>1800.0</v>
      </c>
      <c r="F2973" s="4"/>
      <c r="G2973" s="4"/>
      <c r="H2973" s="4">
        <f>'data on outstanding creditors'!$E2973-'data on outstanding creditors'!$F2973-'data on outstanding creditors'!$G2973</f>
        <v>1800</v>
      </c>
      <c r="I2973" s="2"/>
      <c r="J2973" s="1" t="s">
        <v>646</v>
      </c>
      <c r="K2973" s="2">
        <v>45943.0</v>
      </c>
      <c r="L2973" s="5"/>
      <c r="M2973" s="9" t="s">
        <v>151</v>
      </c>
      <c r="N2973" s="9" t="s">
        <v>49</v>
      </c>
      <c r="O2973" s="10">
        <f>'data on outstanding creditors'!$E2973*100/107</f>
        <v>1682.242991</v>
      </c>
      <c r="P2973" s="10">
        <f>'data on outstanding creditors'!$E2973-'data on outstanding creditors'!$O2973</f>
        <v>117.7570093</v>
      </c>
      <c r="Q2973" s="7">
        <f>DAY('data on outstanding creditors'!$B2973)</f>
        <v>15</v>
      </c>
      <c r="R2973" s="7">
        <f>MONTH('data on outstanding creditors'!$B2973)</f>
        <v>8</v>
      </c>
      <c r="S2973" s="7">
        <f>YEAR('data on outstanding creditors'!$B2973)</f>
        <v>2025</v>
      </c>
      <c r="T2973" s="11" t="str">
        <f>'data on outstanding creditors'!$C2973&amp;" "&amp;'data on outstanding creditors'!$D2973&amp;" "&amp;TEXT('data on outstanding creditors'!$E2973,"#,##0.00")</f>
        <v>ร้าน ปวีณ24 1/21 1,800.00</v>
      </c>
      <c r="U2973" s="12"/>
    </row>
    <row r="2974" ht="13.5" customHeight="1">
      <c r="A2974" s="1" t="s">
        <v>4637</v>
      </c>
      <c r="B2974" s="2">
        <v>45884.0</v>
      </c>
      <c r="C2974" s="9" t="s">
        <v>4578</v>
      </c>
      <c r="D2974" s="1" t="s">
        <v>120</v>
      </c>
      <c r="E2974" s="4">
        <v>1800.0</v>
      </c>
      <c r="F2974" s="4"/>
      <c r="G2974" s="4"/>
      <c r="H2974" s="4">
        <f>'data on outstanding creditors'!$E2974-'data on outstanding creditors'!$F2974-'data on outstanding creditors'!$G2974</f>
        <v>1800</v>
      </c>
      <c r="I2974" s="2"/>
      <c r="J2974" s="1" t="s">
        <v>646</v>
      </c>
      <c r="K2974" s="2">
        <v>45943.0</v>
      </c>
      <c r="L2974" s="5"/>
      <c r="M2974" s="9" t="s">
        <v>151</v>
      </c>
      <c r="N2974" s="9" t="s">
        <v>49</v>
      </c>
      <c r="O2974" s="10">
        <f>'data on outstanding creditors'!$E2974*100/107</f>
        <v>1682.242991</v>
      </c>
      <c r="P2974" s="10">
        <f>'data on outstanding creditors'!$E2974-'data on outstanding creditors'!$O2974</f>
        <v>117.7570093</v>
      </c>
      <c r="Q2974" s="7">
        <f>DAY('data on outstanding creditors'!$B2974)</f>
        <v>15</v>
      </c>
      <c r="R2974" s="7">
        <f>MONTH('data on outstanding creditors'!$B2974)</f>
        <v>8</v>
      </c>
      <c r="S2974" s="7">
        <f>YEAR('data on outstanding creditors'!$B2974)</f>
        <v>2025</v>
      </c>
      <c r="T2974" s="11" t="str">
        <f>'data on outstanding creditors'!$C2974&amp;" "&amp;'data on outstanding creditors'!$D2974&amp;" "&amp;TEXT('data on outstanding creditors'!$E2974,"#,##0.00")</f>
        <v>ร้าน ปวีณ24 1/20 1,800.00</v>
      </c>
      <c r="U2974" s="12"/>
    </row>
    <row r="2975" ht="13.5" customHeight="1">
      <c r="A2975" s="1" t="s">
        <v>4638</v>
      </c>
      <c r="B2975" s="2">
        <v>45887.0</v>
      </c>
      <c r="C2975" s="9" t="s">
        <v>100</v>
      </c>
      <c r="D2975" s="1" t="s">
        <v>4639</v>
      </c>
      <c r="E2975" s="4">
        <v>480.0</v>
      </c>
      <c r="F2975" s="4"/>
      <c r="G2975" s="4"/>
      <c r="H2975" s="4">
        <f>'data on outstanding creditors'!$E2975-'data on outstanding creditors'!$F2975-'data on outstanding creditors'!$G2975</f>
        <v>480</v>
      </c>
      <c r="I2975" s="2"/>
      <c r="J2975" s="1"/>
      <c r="K2975" s="2"/>
      <c r="L2975" s="5"/>
      <c r="M2975" s="9" t="s">
        <v>151</v>
      </c>
      <c r="N2975" s="9" t="s">
        <v>49</v>
      </c>
      <c r="O2975" s="10">
        <f>'data on outstanding creditors'!$E2975*100/107</f>
        <v>448.5981308</v>
      </c>
      <c r="P2975" s="10">
        <f>'data on outstanding creditors'!$E2975-'data on outstanding creditors'!$O2975</f>
        <v>31.40186916</v>
      </c>
      <c r="Q2975" s="7">
        <f>DAY('data on outstanding creditors'!$B2975)</f>
        <v>18</v>
      </c>
      <c r="R2975" s="7">
        <f>MONTH('data on outstanding creditors'!$B2975)</f>
        <v>8</v>
      </c>
      <c r="S2975" s="7">
        <f>YEAR('data on outstanding creditors'!$B2975)</f>
        <v>2025</v>
      </c>
      <c r="T2975" s="11" t="str">
        <f>'data on outstanding creditors'!$C2975&amp;" "&amp;'data on outstanding creditors'!$D2975&amp;" "&amp;TEXT('data on outstanding creditors'!$E2975,"#,##0.00")</f>
        <v>หจก.ทวีศักดิ์การไฟฟ้า 2018 TN00002936 480.00</v>
      </c>
      <c r="U2975" s="12"/>
    </row>
    <row r="2976" ht="13.5" customHeight="1">
      <c r="A2976" s="1" t="s">
        <v>4640</v>
      </c>
      <c r="B2976" s="2">
        <v>45891.0</v>
      </c>
      <c r="C2976" s="9" t="s">
        <v>1125</v>
      </c>
      <c r="D2976" s="1" t="s">
        <v>4641</v>
      </c>
      <c r="E2976" s="4">
        <v>51800.0</v>
      </c>
      <c r="F2976" s="4"/>
      <c r="G2976" s="4"/>
      <c r="H2976" s="4">
        <f>'data on outstanding creditors'!$E2976-'data on outstanding creditors'!$F2976-'data on outstanding creditors'!$G2976</f>
        <v>51800</v>
      </c>
      <c r="I2976" s="2"/>
      <c r="J2976" s="1"/>
      <c r="K2976" s="2"/>
      <c r="L2976" s="5"/>
      <c r="M2976" s="9" t="s">
        <v>151</v>
      </c>
      <c r="N2976" s="9" t="s">
        <v>49</v>
      </c>
      <c r="O2976" s="10">
        <f>'data on outstanding creditors'!$E2976*100/107</f>
        <v>48411.21495</v>
      </c>
      <c r="P2976" s="10">
        <f>'data on outstanding creditors'!$E2976-'data on outstanding creditors'!$O2976</f>
        <v>3388.785047</v>
      </c>
      <c r="Q2976" s="7">
        <f>DAY('data on outstanding creditors'!$B2976)</f>
        <v>22</v>
      </c>
      <c r="R2976" s="7">
        <f>MONTH('data on outstanding creditors'!$B2976)</f>
        <v>8</v>
      </c>
      <c r="S2976" s="7">
        <f>YEAR('data on outstanding creditors'!$B2976)</f>
        <v>2025</v>
      </c>
      <c r="T2976" s="11" t="str">
        <f>'data on outstanding creditors'!$C2976&amp;" "&amp;'data on outstanding creditors'!$D2976&amp;" "&amp;TEXT('data on outstanding creditors'!$E2976,"#,##0.00")</f>
        <v>หจก.เอ็นบี ซัพพลาย เอ็นจิเนียริ่ง(ประเทศไทย) INV2025080009 51,800.00</v>
      </c>
      <c r="U2976" s="12"/>
    </row>
    <row r="2977" ht="13.5" customHeight="1">
      <c r="A2977" s="1"/>
      <c r="B2977" s="2">
        <v>45896.0</v>
      </c>
      <c r="C2977" s="9" t="s">
        <v>1125</v>
      </c>
      <c r="D2977" s="1" t="s">
        <v>4642</v>
      </c>
      <c r="E2977" s="4">
        <v>1600.0</v>
      </c>
      <c r="F2977" s="4"/>
      <c r="G2977" s="4"/>
      <c r="H2977" s="4">
        <f>'data on outstanding creditors'!$E2977-'data on outstanding creditors'!$F2977-'data on outstanding creditors'!$G2977</f>
        <v>1600</v>
      </c>
      <c r="I2977" s="2"/>
      <c r="J2977" s="1" t="s">
        <v>646</v>
      </c>
      <c r="K2977" s="2">
        <v>45944.0</v>
      </c>
      <c r="L2977" s="5"/>
      <c r="M2977" s="9" t="s">
        <v>151</v>
      </c>
      <c r="N2977" s="9" t="s">
        <v>49</v>
      </c>
      <c r="O2977" s="10">
        <f>'data on outstanding creditors'!$E2977*100/107</f>
        <v>1495.327103</v>
      </c>
      <c r="P2977" s="10">
        <f>'data on outstanding creditors'!$E2977-'data on outstanding creditors'!$O2977</f>
        <v>104.6728972</v>
      </c>
      <c r="Q2977" s="7">
        <f>DAY('data on outstanding creditors'!$B2977)</f>
        <v>27</v>
      </c>
      <c r="R2977" s="7">
        <f>MONTH('data on outstanding creditors'!$B2977)</f>
        <v>8</v>
      </c>
      <c r="S2977" s="7">
        <f>YEAR('data on outstanding creditors'!$B2977)</f>
        <v>2025</v>
      </c>
      <c r="T2977" s="11" t="str">
        <f>'data on outstanding creditors'!$C2977&amp;" "&amp;'data on outstanding creditors'!$D2977&amp;" "&amp;TEXT('data on outstanding creditors'!$E2977,"#,##0.00")</f>
        <v>หจก.เอ็นบี ซัพพลาย เอ็นจิเนียริ่ง(ประเทศไทย) INV2025080003 1,600.00</v>
      </c>
      <c r="U2977" s="12"/>
    </row>
    <row r="2978" ht="13.5" customHeight="1">
      <c r="A2978" s="1"/>
      <c r="B2978" s="2">
        <v>45896.0</v>
      </c>
      <c r="C2978" s="9" t="s">
        <v>1125</v>
      </c>
      <c r="D2978" s="1" t="s">
        <v>4643</v>
      </c>
      <c r="E2978" s="4">
        <v>4000.0</v>
      </c>
      <c r="F2978" s="4"/>
      <c r="G2978" s="4"/>
      <c r="H2978" s="4">
        <f>'data on outstanding creditors'!$E2978-'data on outstanding creditors'!$F2978-'data on outstanding creditors'!$G2978</f>
        <v>4000</v>
      </c>
      <c r="I2978" s="2"/>
      <c r="J2978" s="1" t="s">
        <v>646</v>
      </c>
      <c r="K2978" s="2">
        <v>45944.0</v>
      </c>
      <c r="L2978" s="5"/>
      <c r="M2978" s="9" t="s">
        <v>151</v>
      </c>
      <c r="N2978" s="9" t="s">
        <v>49</v>
      </c>
      <c r="O2978" s="10">
        <f>'data on outstanding creditors'!$E2978*100/107</f>
        <v>3738.317757</v>
      </c>
      <c r="P2978" s="10">
        <f>'data on outstanding creditors'!$E2978-'data on outstanding creditors'!$O2978</f>
        <v>261.682243</v>
      </c>
      <c r="Q2978" s="7">
        <f>DAY('data on outstanding creditors'!$B2978)</f>
        <v>27</v>
      </c>
      <c r="R2978" s="7">
        <f>MONTH('data on outstanding creditors'!$B2978)</f>
        <v>8</v>
      </c>
      <c r="S2978" s="7">
        <f>YEAR('data on outstanding creditors'!$B2978)</f>
        <v>2025</v>
      </c>
      <c r="T2978" s="11" t="str">
        <f>'data on outstanding creditors'!$C2978&amp;" "&amp;'data on outstanding creditors'!$D2978&amp;" "&amp;TEXT('data on outstanding creditors'!$E2978,"#,##0.00")</f>
        <v>หจก.เอ็นบี ซัพพลาย เอ็นจิเนียริ่ง(ประเทศไทย) INV2025070018 4,000.00</v>
      </c>
      <c r="U2978" s="12"/>
    </row>
    <row r="2979" ht="13.5" customHeight="1">
      <c r="A2979" s="1" t="s">
        <v>4644</v>
      </c>
      <c r="B2979" s="2">
        <v>45901.0</v>
      </c>
      <c r="C2979" s="9" t="s">
        <v>421</v>
      </c>
      <c r="D2979" s="1" t="s">
        <v>4645</v>
      </c>
      <c r="E2979" s="4">
        <v>224.7</v>
      </c>
      <c r="F2979" s="4"/>
      <c r="G2979" s="4"/>
      <c r="H2979" s="4">
        <f>'data on outstanding creditors'!$E2979-'data on outstanding creditors'!$F2979-'data on outstanding creditors'!$G2979</f>
        <v>224.7</v>
      </c>
      <c r="I2979" s="2"/>
      <c r="J2979" s="1"/>
      <c r="K2979" s="2"/>
      <c r="L2979" s="5"/>
      <c r="M2979" s="9" t="s">
        <v>151</v>
      </c>
      <c r="N2979" s="9" t="s">
        <v>49</v>
      </c>
      <c r="O2979" s="10">
        <f>'data on outstanding creditors'!$E2979*100/107</f>
        <v>210</v>
      </c>
      <c r="P2979" s="10">
        <f>'data on outstanding creditors'!$E2979-'data on outstanding creditors'!$O2979</f>
        <v>14.7</v>
      </c>
      <c r="Q2979" s="7">
        <f>DAY('data on outstanding creditors'!$B2979)</f>
        <v>1</v>
      </c>
      <c r="R2979" s="7">
        <f>MONTH('data on outstanding creditors'!$B2979)</f>
        <v>9</v>
      </c>
      <c r="S2979" s="7">
        <f>YEAR('data on outstanding creditors'!$B2979)</f>
        <v>2025</v>
      </c>
      <c r="T2979" s="11" t="str">
        <f>'data on outstanding creditors'!$C2979&amp;" "&amp;'data on outstanding creditors'!$D2979&amp;" "&amp;TEXT('data on outstanding creditors'!$E2979,"#,##0.00")</f>
        <v>บ.นางรองเคหะภัณฑ์ IV680901-011 224.70</v>
      </c>
      <c r="U2979" s="12"/>
    </row>
    <row r="2980" ht="13.5" customHeight="1">
      <c r="A2980" s="1" t="s">
        <v>4646</v>
      </c>
      <c r="B2980" s="2">
        <v>45916.0</v>
      </c>
      <c r="C2980" s="9" t="s">
        <v>103</v>
      </c>
      <c r="D2980" s="1" t="s">
        <v>4647</v>
      </c>
      <c r="E2980" s="4">
        <v>6757.0</v>
      </c>
      <c r="F2980" s="4"/>
      <c r="G2980" s="4"/>
      <c r="H2980" s="4">
        <f>'data on outstanding creditors'!$E2980-'data on outstanding creditors'!$F2980-'data on outstanding creditors'!$G2980</f>
        <v>6757</v>
      </c>
      <c r="I2980" s="2"/>
      <c r="J2980" s="1"/>
      <c r="K2980" s="2"/>
      <c r="L2980" s="5"/>
      <c r="M2980" s="9" t="s">
        <v>151</v>
      </c>
      <c r="N2980" s="9" t="s">
        <v>49</v>
      </c>
      <c r="O2980" s="10">
        <f>'data on outstanding creditors'!$E2980*100/107</f>
        <v>6314.953271</v>
      </c>
      <c r="P2980" s="10">
        <f>'data on outstanding creditors'!$E2980-'data on outstanding creditors'!$O2980</f>
        <v>442.046729</v>
      </c>
      <c r="Q2980" s="7">
        <f>DAY('data on outstanding creditors'!$B2980)</f>
        <v>16</v>
      </c>
      <c r="R2980" s="7">
        <f>MONTH('data on outstanding creditors'!$B2980)</f>
        <v>9</v>
      </c>
      <c r="S2980" s="7">
        <f>YEAR('data on outstanding creditors'!$B2980)</f>
        <v>2025</v>
      </c>
      <c r="T2980" s="11" t="str">
        <f>'data on outstanding creditors'!$C2980&amp;" "&amp;'data on outstanding creditors'!$D2980&amp;" "&amp;TEXT('data on outstanding creditors'!$E2980,"#,##0.00")</f>
        <v>บ.ก้ำหมงเครื่องครัว INV680916001 6,757.00</v>
      </c>
      <c r="U2980" s="12"/>
    </row>
    <row r="2981" ht="13.5" customHeight="1">
      <c r="A2981" s="1" t="s">
        <v>4648</v>
      </c>
      <c r="B2981" s="2">
        <v>45924.0</v>
      </c>
      <c r="C2981" s="9" t="s">
        <v>4578</v>
      </c>
      <c r="D2981" s="1" t="s">
        <v>4649</v>
      </c>
      <c r="E2981" s="4">
        <v>3800.0</v>
      </c>
      <c r="F2981" s="4"/>
      <c r="G2981" s="4"/>
      <c r="H2981" s="4">
        <f>'data on outstanding creditors'!$E2981-'data on outstanding creditors'!$F2981-'data on outstanding creditors'!$G2981</f>
        <v>3800</v>
      </c>
      <c r="I2981" s="2"/>
      <c r="J2981" s="1"/>
      <c r="K2981" s="2"/>
      <c r="L2981" s="5"/>
      <c r="M2981" s="9" t="s">
        <v>151</v>
      </c>
      <c r="N2981" s="9" t="s">
        <v>49</v>
      </c>
      <c r="O2981" s="10">
        <f>'data on outstanding creditors'!$E2981*100/107</f>
        <v>3551.401869</v>
      </c>
      <c r="P2981" s="10">
        <f>'data on outstanding creditors'!$E2981-'data on outstanding creditors'!$O2981</f>
        <v>248.5981308</v>
      </c>
      <c r="Q2981" s="7">
        <f>DAY('data on outstanding creditors'!$B2981)</f>
        <v>24</v>
      </c>
      <c r="R2981" s="7">
        <f>MONTH('data on outstanding creditors'!$B2981)</f>
        <v>9</v>
      </c>
      <c r="S2981" s="7">
        <f>YEAR('data on outstanding creditors'!$B2981)</f>
        <v>2025</v>
      </c>
      <c r="T2981" s="11" t="str">
        <f>'data on outstanding creditors'!$C2981&amp;" "&amp;'data on outstanding creditors'!$D2981&amp;" "&amp;TEXT('data on outstanding creditors'!$E2981,"#,##0.00")</f>
        <v>ร้าน ปวีณ24 2/6 3,800.00</v>
      </c>
      <c r="U2981" s="12"/>
    </row>
    <row r="2982" ht="13.5" customHeight="1">
      <c r="A2982" s="1" t="s">
        <v>4650</v>
      </c>
      <c r="B2982" s="2">
        <v>45924.0</v>
      </c>
      <c r="C2982" s="9" t="s">
        <v>100</v>
      </c>
      <c r="D2982" s="1" t="s">
        <v>4651</v>
      </c>
      <c r="E2982" s="4">
        <v>12800.0</v>
      </c>
      <c r="F2982" s="4"/>
      <c r="G2982" s="4"/>
      <c r="H2982" s="4">
        <f>'data on outstanding creditors'!$E2982-'data on outstanding creditors'!$F2982-'data on outstanding creditors'!$G2982</f>
        <v>12800</v>
      </c>
      <c r="I2982" s="2"/>
      <c r="J2982" s="1"/>
      <c r="K2982" s="2"/>
      <c r="L2982" s="5"/>
      <c r="M2982" s="9" t="s">
        <v>151</v>
      </c>
      <c r="N2982" s="9" t="s">
        <v>49</v>
      </c>
      <c r="O2982" s="10">
        <f>'data on outstanding creditors'!$E2982*100/107</f>
        <v>11962.61682</v>
      </c>
      <c r="P2982" s="10">
        <f>'data on outstanding creditors'!$E2982-'data on outstanding creditors'!$O2982</f>
        <v>837.3831776</v>
      </c>
      <c r="Q2982" s="7">
        <f>DAY('data on outstanding creditors'!$B2982)</f>
        <v>24</v>
      </c>
      <c r="R2982" s="7">
        <f>MONTH('data on outstanding creditors'!$B2982)</f>
        <v>9</v>
      </c>
      <c r="S2982" s="7">
        <f>YEAR('data on outstanding creditors'!$B2982)</f>
        <v>2025</v>
      </c>
      <c r="T2982" s="11" t="str">
        <f>'data on outstanding creditors'!$C2982&amp;" "&amp;'data on outstanding creditors'!$D2982&amp;" "&amp;TEXT('data on outstanding creditors'!$E2982,"#,##0.00")</f>
        <v>หจก.ทวีศักดิ์การไฟฟ้า 2018 TN00003002 12,800.00</v>
      </c>
      <c r="U2982" s="12"/>
    </row>
    <row r="2983" ht="13.5" customHeight="1">
      <c r="A2983" s="1" t="s">
        <v>4652</v>
      </c>
      <c r="B2983" s="2">
        <v>45925.0</v>
      </c>
      <c r="C2983" s="9" t="s">
        <v>4653</v>
      </c>
      <c r="D2983" s="1" t="s">
        <v>4654</v>
      </c>
      <c r="E2983" s="4">
        <v>6300.0</v>
      </c>
      <c r="F2983" s="4"/>
      <c r="G2983" s="4"/>
      <c r="H2983" s="4">
        <f>'data on outstanding creditors'!$E2983-'data on outstanding creditors'!$F2983-'data on outstanding creditors'!$G2983</f>
        <v>6300</v>
      </c>
      <c r="I2983" s="2"/>
      <c r="J2983" s="1" t="s">
        <v>646</v>
      </c>
      <c r="K2983" s="2">
        <v>45936.0</v>
      </c>
      <c r="L2983" s="5"/>
      <c r="M2983" s="9" t="s">
        <v>151</v>
      </c>
      <c r="N2983" s="9" t="s">
        <v>49</v>
      </c>
      <c r="O2983" s="10">
        <f>'data on outstanding creditors'!$E2983*100/107</f>
        <v>5887.850467</v>
      </c>
      <c r="P2983" s="10">
        <f>'data on outstanding creditors'!$E2983-'data on outstanding creditors'!$O2983</f>
        <v>412.1495327</v>
      </c>
      <c r="Q2983" s="7">
        <f>DAY('data on outstanding creditors'!$B2983)</f>
        <v>25</v>
      </c>
      <c r="R2983" s="7">
        <f>MONTH('data on outstanding creditors'!$B2983)</f>
        <v>9</v>
      </c>
      <c r="S2983" s="7">
        <f>YEAR('data on outstanding creditors'!$B2983)</f>
        <v>2025</v>
      </c>
      <c r="T2983" s="11" t="str">
        <f>'data on outstanding creditors'!$C2983&amp;" "&amp;'data on outstanding creditors'!$D2983&amp;" "&amp;TEXT('data on outstanding creditors'!$E2983,"#,##0.00")</f>
        <v>บ.สยามรัฐไดนาโม 003/0103 6,300.00</v>
      </c>
      <c r="U2983" s="12"/>
    </row>
    <row r="2984" ht="13.5" customHeight="1">
      <c r="A2984" s="1" t="s">
        <v>4655</v>
      </c>
      <c r="B2984" s="2">
        <v>45926.0</v>
      </c>
      <c r="C2984" s="9" t="s">
        <v>1125</v>
      </c>
      <c r="D2984" s="1" t="s">
        <v>4656</v>
      </c>
      <c r="E2984" s="4">
        <v>11200.0</v>
      </c>
      <c r="F2984" s="4"/>
      <c r="G2984" s="4"/>
      <c r="H2984" s="4">
        <f>'data on outstanding creditors'!$E2984-'data on outstanding creditors'!$F2984-'data on outstanding creditors'!$G2984</f>
        <v>11200</v>
      </c>
      <c r="I2984" s="2"/>
      <c r="J2984" s="1"/>
      <c r="K2984" s="2"/>
      <c r="L2984" s="5"/>
      <c r="M2984" s="9" t="s">
        <v>151</v>
      </c>
      <c r="N2984" s="9" t="s">
        <v>49</v>
      </c>
      <c r="O2984" s="10">
        <f>'data on outstanding creditors'!$E2984*100/107</f>
        <v>10467.28972</v>
      </c>
      <c r="P2984" s="10">
        <f>'data on outstanding creditors'!$E2984-'data on outstanding creditors'!$O2984</f>
        <v>732.7102804</v>
      </c>
      <c r="Q2984" s="7">
        <f>DAY('data on outstanding creditors'!$B2984)</f>
        <v>26</v>
      </c>
      <c r="R2984" s="7">
        <f>MONTH('data on outstanding creditors'!$B2984)</f>
        <v>9</v>
      </c>
      <c r="S2984" s="7">
        <f>YEAR('data on outstanding creditors'!$B2984)</f>
        <v>2025</v>
      </c>
      <c r="T2984" s="11" t="str">
        <f>'data on outstanding creditors'!$C2984&amp;" "&amp;'data on outstanding creditors'!$D2984&amp;" "&amp;TEXT('data on outstanding creditors'!$E2984,"#,##0.00")</f>
        <v>หจก.เอ็นบี ซัพพลาย เอ็นจิเนียริ่ง(ประเทศไทย) INV2025090011 11,200.00</v>
      </c>
      <c r="U2984" s="12"/>
    </row>
    <row r="2985" ht="13.5" customHeight="1">
      <c r="A2985" s="1" t="s">
        <v>4657</v>
      </c>
      <c r="B2985" s="2">
        <v>45926.0</v>
      </c>
      <c r="C2985" s="9" t="s">
        <v>1125</v>
      </c>
      <c r="D2985" s="1" t="s">
        <v>4658</v>
      </c>
      <c r="E2985" s="4">
        <v>8800.0</v>
      </c>
      <c r="F2985" s="4"/>
      <c r="G2985" s="4"/>
      <c r="H2985" s="4">
        <f>'data on outstanding creditors'!$E2985-'data on outstanding creditors'!$F2985-'data on outstanding creditors'!$G2985</f>
        <v>8800</v>
      </c>
      <c r="I2985" s="2"/>
      <c r="J2985" s="1"/>
      <c r="K2985" s="2"/>
      <c r="L2985" s="5"/>
      <c r="M2985" s="9" t="s">
        <v>151</v>
      </c>
      <c r="N2985" s="9" t="s">
        <v>49</v>
      </c>
      <c r="O2985" s="10">
        <f>'data on outstanding creditors'!$E2985*100/107</f>
        <v>8224.299065</v>
      </c>
      <c r="P2985" s="10">
        <f>'data on outstanding creditors'!$E2985-'data on outstanding creditors'!$O2985</f>
        <v>575.7009346</v>
      </c>
      <c r="Q2985" s="7">
        <f>DAY('data on outstanding creditors'!$B2985)</f>
        <v>26</v>
      </c>
      <c r="R2985" s="7">
        <f>MONTH('data on outstanding creditors'!$B2985)</f>
        <v>9</v>
      </c>
      <c r="S2985" s="7">
        <f>YEAR('data on outstanding creditors'!$B2985)</f>
        <v>2025</v>
      </c>
      <c r="T2985" s="11" t="str">
        <f>'data on outstanding creditors'!$C2985&amp;" "&amp;'data on outstanding creditors'!$D2985&amp;" "&amp;TEXT('data on outstanding creditors'!$E2985,"#,##0.00")</f>
        <v>หจก.เอ็นบี ซัพพลาย เอ็นจิเนียริ่ง(ประเทศไทย) INV2025090009 8,800.00</v>
      </c>
      <c r="U2985" s="12"/>
    </row>
    <row r="2986" ht="13.5" customHeight="1">
      <c r="A2986" s="1" t="s">
        <v>4659</v>
      </c>
      <c r="B2986" s="2">
        <v>45926.0</v>
      </c>
      <c r="C2986" s="9" t="s">
        <v>100</v>
      </c>
      <c r="D2986" s="1" t="s">
        <v>4660</v>
      </c>
      <c r="E2986" s="4">
        <v>150.0</v>
      </c>
      <c r="F2986" s="4"/>
      <c r="G2986" s="4"/>
      <c r="H2986" s="4">
        <f>'data on outstanding creditors'!$E2986-'data on outstanding creditors'!$F2986-'data on outstanding creditors'!$G2986</f>
        <v>150</v>
      </c>
      <c r="I2986" s="2"/>
      <c r="J2986" s="1"/>
      <c r="K2986" s="2"/>
      <c r="L2986" s="5"/>
      <c r="M2986" s="9" t="s">
        <v>151</v>
      </c>
      <c r="N2986" s="9" t="s">
        <v>49</v>
      </c>
      <c r="O2986" s="10">
        <f>'data on outstanding creditors'!$E2986*100/107</f>
        <v>140.1869159</v>
      </c>
      <c r="P2986" s="10">
        <f>'data on outstanding creditors'!$E2986-'data on outstanding creditors'!$O2986</f>
        <v>9.813084112</v>
      </c>
      <c r="Q2986" s="7">
        <f>DAY('data on outstanding creditors'!$B2986)</f>
        <v>26</v>
      </c>
      <c r="R2986" s="7">
        <f>MONTH('data on outstanding creditors'!$B2986)</f>
        <v>9</v>
      </c>
      <c r="S2986" s="7">
        <f>YEAR('data on outstanding creditors'!$B2986)</f>
        <v>2025</v>
      </c>
      <c r="T2986" s="11" t="str">
        <f>'data on outstanding creditors'!$C2986&amp;" "&amp;'data on outstanding creditors'!$D2986&amp;" "&amp;TEXT('data on outstanding creditors'!$E2986,"#,##0.00")</f>
        <v>หจก.ทวีศักดิ์การไฟฟ้า 2018 TN00003004 150.00</v>
      </c>
      <c r="U2986" s="12"/>
    </row>
    <row r="2987" ht="13.5" customHeight="1">
      <c r="A2987" s="1" t="s">
        <v>4661</v>
      </c>
      <c r="B2987" s="2">
        <v>45926.0</v>
      </c>
      <c r="C2987" s="9" t="s">
        <v>421</v>
      </c>
      <c r="D2987" s="1" t="s">
        <v>4662</v>
      </c>
      <c r="E2987" s="4">
        <v>834.6</v>
      </c>
      <c r="F2987" s="4"/>
      <c r="G2987" s="4"/>
      <c r="H2987" s="4">
        <f>'data on outstanding creditors'!$E2987-'data on outstanding creditors'!$F2987-'data on outstanding creditors'!$G2987</f>
        <v>834.6</v>
      </c>
      <c r="I2987" s="2"/>
      <c r="J2987" s="1"/>
      <c r="K2987" s="2"/>
      <c r="L2987" s="5"/>
      <c r="M2987" s="9" t="s">
        <v>151</v>
      </c>
      <c r="N2987" s="9" t="s">
        <v>49</v>
      </c>
      <c r="O2987" s="10">
        <f>'data on outstanding creditors'!$E2987*100/107</f>
        <v>780</v>
      </c>
      <c r="P2987" s="10">
        <f>'data on outstanding creditors'!$E2987-'data on outstanding creditors'!$O2987</f>
        <v>54.6</v>
      </c>
      <c r="Q2987" s="7">
        <f>DAY('data on outstanding creditors'!$B2987)</f>
        <v>26</v>
      </c>
      <c r="R2987" s="7">
        <f>MONTH('data on outstanding creditors'!$B2987)</f>
        <v>9</v>
      </c>
      <c r="S2987" s="7">
        <f>YEAR('data on outstanding creditors'!$B2987)</f>
        <v>2025</v>
      </c>
      <c r="T2987" s="11" t="str">
        <f>'data on outstanding creditors'!$C2987&amp;" "&amp;'data on outstanding creditors'!$D2987&amp;" "&amp;TEXT('data on outstanding creditors'!$E2987,"#,##0.00")</f>
        <v>บ.นางรองเคหะภัณฑ์ IV680925-031 834.60</v>
      </c>
      <c r="U2987" s="12"/>
    </row>
    <row r="2988" ht="13.5" customHeight="1">
      <c r="A2988" s="1" t="s">
        <v>4663</v>
      </c>
      <c r="B2988" s="2">
        <v>45931.0</v>
      </c>
      <c r="C2988" s="9" t="s">
        <v>149</v>
      </c>
      <c r="D2988" s="1" t="s">
        <v>4664</v>
      </c>
      <c r="E2988" s="4">
        <v>3900.0</v>
      </c>
      <c r="F2988" s="4"/>
      <c r="G2988" s="4"/>
      <c r="H2988" s="4">
        <f>'data on outstanding creditors'!$E2988-'data on outstanding creditors'!$F2988-'data on outstanding creditors'!$G2988</f>
        <v>3900</v>
      </c>
      <c r="I2988" s="2"/>
      <c r="J2988" s="1"/>
      <c r="K2988" s="2"/>
      <c r="L2988" s="5"/>
      <c r="M2988" s="9" t="s">
        <v>151</v>
      </c>
      <c r="N2988" s="9" t="s">
        <v>49</v>
      </c>
      <c r="O2988" s="10">
        <f>'data on outstanding creditors'!$E2988*100/107</f>
        <v>3644.859813</v>
      </c>
      <c r="P2988" s="10">
        <f>'data on outstanding creditors'!$E2988-'data on outstanding creditors'!$O2988</f>
        <v>255.1401869</v>
      </c>
      <c r="Q2988" s="7">
        <f>DAY('data on outstanding creditors'!$B2988)</f>
        <v>1</v>
      </c>
      <c r="R2988" s="7">
        <f>MONTH('data on outstanding creditors'!$B2988)</f>
        <v>10</v>
      </c>
      <c r="S2988" s="7">
        <f>YEAR('data on outstanding creditors'!$B2988)</f>
        <v>2025</v>
      </c>
      <c r="T2988" s="11" t="str">
        <f>'data on outstanding creditors'!$C2988&amp;" "&amp;'data on outstanding creditors'!$D2988&amp;" "&amp;TEXT('data on outstanding creditors'!$E2988,"#,##0.00")</f>
        <v>หจก.บุรีรัมย์ซัพพลายอีเล็คโทรนิค I68/000653 3,900.00</v>
      </c>
      <c r="U2988" s="12"/>
    </row>
    <row r="2989" ht="13.5" customHeight="1">
      <c r="A2989" s="1" t="s">
        <v>4665</v>
      </c>
      <c r="B2989" s="2">
        <v>45937.0</v>
      </c>
      <c r="C2989" s="9" t="s">
        <v>100</v>
      </c>
      <c r="D2989" s="1" t="s">
        <v>4666</v>
      </c>
      <c r="E2989" s="4">
        <v>1800.0</v>
      </c>
      <c r="F2989" s="4"/>
      <c r="G2989" s="4"/>
      <c r="H2989" s="4">
        <f>'data on outstanding creditors'!$E2989-'data on outstanding creditors'!$F2989-'data on outstanding creditors'!$G2989</f>
        <v>1800</v>
      </c>
      <c r="I2989" s="2"/>
      <c r="J2989" s="1"/>
      <c r="K2989" s="2"/>
      <c r="L2989" s="5"/>
      <c r="M2989" s="9" t="s">
        <v>151</v>
      </c>
      <c r="N2989" s="9" t="s">
        <v>49</v>
      </c>
      <c r="O2989" s="10">
        <f>'data on outstanding creditors'!$E2989*100/107</f>
        <v>1682.242991</v>
      </c>
      <c r="P2989" s="10">
        <f>'data on outstanding creditors'!$E2989-'data on outstanding creditors'!$O2989</f>
        <v>117.7570093</v>
      </c>
      <c r="Q2989" s="7">
        <f>DAY('data on outstanding creditors'!$B2989)</f>
        <v>7</v>
      </c>
      <c r="R2989" s="7">
        <f>MONTH('data on outstanding creditors'!$B2989)</f>
        <v>10</v>
      </c>
      <c r="S2989" s="7">
        <f>YEAR('data on outstanding creditors'!$B2989)</f>
        <v>2025</v>
      </c>
      <c r="T2989" s="11" t="str">
        <f>'data on outstanding creditors'!$C2989&amp;" "&amp;'data on outstanding creditors'!$D2989&amp;" "&amp;TEXT('data on outstanding creditors'!$E2989,"#,##0.00")</f>
        <v>หจก.ทวีศักดิ์การไฟฟ้า 2018 TN00003017 1,800.00</v>
      </c>
      <c r="U2989" s="12"/>
    </row>
    <row r="2990" ht="13.5" customHeight="1">
      <c r="A2990" s="1" t="s">
        <v>4667</v>
      </c>
      <c r="B2990" s="2">
        <v>45940.0</v>
      </c>
      <c r="C2990" s="9" t="s">
        <v>149</v>
      </c>
      <c r="D2990" s="1" t="s">
        <v>4668</v>
      </c>
      <c r="E2990" s="4">
        <v>4800.0</v>
      </c>
      <c r="F2990" s="4"/>
      <c r="G2990" s="4"/>
      <c r="H2990" s="4">
        <f>'data on outstanding creditors'!$E2990-'data on outstanding creditors'!$F2990-'data on outstanding creditors'!$G2990</f>
        <v>4800</v>
      </c>
      <c r="I2990" s="2"/>
      <c r="J2990" s="1" t="s">
        <v>757</v>
      </c>
      <c r="K2990" s="2">
        <v>45961.0</v>
      </c>
      <c r="L2990" s="5"/>
      <c r="M2990" s="9" t="s">
        <v>151</v>
      </c>
      <c r="N2990" s="9" t="s">
        <v>49</v>
      </c>
      <c r="O2990" s="10">
        <f>'data on outstanding creditors'!$E2990*100/107</f>
        <v>4485.981308</v>
      </c>
      <c r="P2990" s="10">
        <f>'data on outstanding creditors'!$E2990-'data on outstanding creditors'!$O2990</f>
        <v>314.0186916</v>
      </c>
      <c r="Q2990" s="7">
        <f>DAY('data on outstanding creditors'!$B2990)</f>
        <v>10</v>
      </c>
      <c r="R2990" s="7">
        <f>MONTH('data on outstanding creditors'!$B2990)</f>
        <v>10</v>
      </c>
      <c r="S2990" s="7">
        <f>YEAR('data on outstanding creditors'!$B2990)</f>
        <v>2025</v>
      </c>
      <c r="T2990" s="11" t="str">
        <f>'data on outstanding creditors'!$C2990&amp;" "&amp;'data on outstanding creditors'!$D2990&amp;" "&amp;TEXT('data on outstanding creditors'!$E2990,"#,##0.00")</f>
        <v>หจก.บุรีรัมย์ซัพพลายอีเล็คโทรนิค I68/000671 4,800.00</v>
      </c>
      <c r="U2990" s="12"/>
    </row>
    <row r="2991" ht="13.5" customHeight="1">
      <c r="A2991" s="1" t="s">
        <v>4669</v>
      </c>
      <c r="B2991" s="2">
        <v>45943.0</v>
      </c>
      <c r="C2991" s="9" t="s">
        <v>4670</v>
      </c>
      <c r="D2991" s="1" t="s">
        <v>4671</v>
      </c>
      <c r="E2991" s="4">
        <v>2000.0</v>
      </c>
      <c r="F2991" s="4"/>
      <c r="G2991" s="4"/>
      <c r="H2991" s="4">
        <f>'data on outstanding creditors'!$E2991-'data on outstanding creditors'!$F2991-'data on outstanding creditors'!$G2991</f>
        <v>2000</v>
      </c>
      <c r="I2991" s="2"/>
      <c r="J2991" s="1"/>
      <c r="K2991" s="2"/>
      <c r="L2991" s="5"/>
      <c r="M2991" s="9" t="s">
        <v>151</v>
      </c>
      <c r="N2991" s="9" t="s">
        <v>49</v>
      </c>
      <c r="O2991" s="10">
        <f>'data on outstanding creditors'!$E2991*100/107</f>
        <v>1869.158879</v>
      </c>
      <c r="P2991" s="10">
        <f>'data on outstanding creditors'!$E2991-'data on outstanding creditors'!$O2991</f>
        <v>130.8411215</v>
      </c>
      <c r="Q2991" s="7">
        <f>DAY('data on outstanding creditors'!$B2991)</f>
        <v>13</v>
      </c>
      <c r="R2991" s="7">
        <f>MONTH('data on outstanding creditors'!$B2991)</f>
        <v>10</v>
      </c>
      <c r="S2991" s="7">
        <f>YEAR('data on outstanding creditors'!$B2991)</f>
        <v>2025</v>
      </c>
      <c r="T2991" s="11" t="str">
        <f>'data on outstanding creditors'!$C2991&amp;" "&amp;'data on outstanding creditors'!$D2991&amp;" "&amp;TEXT('data on outstanding creditors'!$E2991,"#,##0.00")</f>
        <v>ร้าน ดาวละมัยดอกไม้สด 2/21 2,000.00</v>
      </c>
      <c r="U2991" s="12"/>
    </row>
    <row r="2992" ht="13.5" customHeight="1">
      <c r="A2992" s="1" t="s">
        <v>4672</v>
      </c>
      <c r="B2992" s="2">
        <v>45944.0</v>
      </c>
      <c r="C2992" s="9" t="s">
        <v>149</v>
      </c>
      <c r="D2992" s="1" t="s">
        <v>4673</v>
      </c>
      <c r="E2992" s="4">
        <v>3100.0</v>
      </c>
      <c r="F2992" s="4"/>
      <c r="G2992" s="4"/>
      <c r="H2992" s="4">
        <f>'data on outstanding creditors'!$E2992-'data on outstanding creditors'!$F2992-'data on outstanding creditors'!$G2992</f>
        <v>3100</v>
      </c>
      <c r="I2992" s="2"/>
      <c r="J2992" s="1" t="s">
        <v>757</v>
      </c>
      <c r="K2992" s="2">
        <v>45961.0</v>
      </c>
      <c r="L2992" s="5"/>
      <c r="M2992" s="9" t="s">
        <v>151</v>
      </c>
      <c r="N2992" s="9" t="s">
        <v>49</v>
      </c>
      <c r="O2992" s="10">
        <f>'data on outstanding creditors'!$E2992*100/107</f>
        <v>2897.196262</v>
      </c>
      <c r="P2992" s="10">
        <f>'data on outstanding creditors'!$E2992-'data on outstanding creditors'!$O2992</f>
        <v>202.8037383</v>
      </c>
      <c r="Q2992" s="7">
        <f>DAY('data on outstanding creditors'!$B2992)</f>
        <v>14</v>
      </c>
      <c r="R2992" s="7">
        <f>MONTH('data on outstanding creditors'!$B2992)</f>
        <v>10</v>
      </c>
      <c r="S2992" s="7">
        <f>YEAR('data on outstanding creditors'!$B2992)</f>
        <v>2025</v>
      </c>
      <c r="T2992" s="11" t="str">
        <f>'data on outstanding creditors'!$C2992&amp;" "&amp;'data on outstanding creditors'!$D2992&amp;" "&amp;TEXT('data on outstanding creditors'!$E2992,"#,##0.00")</f>
        <v>หจก.บุรีรัมย์ซัพพลายอีเล็คโทรนิค I68/000676 3,100.00</v>
      </c>
      <c r="U2992" s="12"/>
    </row>
    <row r="2993" ht="13.5" customHeight="1">
      <c r="A2993" s="1" t="s">
        <v>4674</v>
      </c>
      <c r="B2993" s="2">
        <v>45944.0</v>
      </c>
      <c r="C2993" s="9" t="s">
        <v>100</v>
      </c>
      <c r="D2993" s="1" t="s">
        <v>4675</v>
      </c>
      <c r="E2993" s="4">
        <v>25000.0</v>
      </c>
      <c r="F2993" s="4"/>
      <c r="G2993" s="4"/>
      <c r="H2993" s="4">
        <f>'data on outstanding creditors'!$E2993-'data on outstanding creditors'!$F2993-'data on outstanding creditors'!$G2993</f>
        <v>25000</v>
      </c>
      <c r="I2993" s="2"/>
      <c r="J2993" s="1"/>
      <c r="K2993" s="2"/>
      <c r="L2993" s="5"/>
      <c r="M2993" s="9" t="s">
        <v>151</v>
      </c>
      <c r="N2993" s="9" t="s">
        <v>49</v>
      </c>
      <c r="O2993" s="10">
        <f>'data on outstanding creditors'!$E2993*100/107</f>
        <v>23364.48598</v>
      </c>
      <c r="P2993" s="10">
        <f>'data on outstanding creditors'!$E2993-'data on outstanding creditors'!$O2993</f>
        <v>1635.514019</v>
      </c>
      <c r="Q2993" s="7">
        <f>DAY('data on outstanding creditors'!$B2993)</f>
        <v>14</v>
      </c>
      <c r="R2993" s="7">
        <f>MONTH('data on outstanding creditors'!$B2993)</f>
        <v>10</v>
      </c>
      <c r="S2993" s="7">
        <f>YEAR('data on outstanding creditors'!$B2993)</f>
        <v>2025</v>
      </c>
      <c r="T2993" s="11" t="str">
        <f>'data on outstanding creditors'!$C2993&amp;" "&amp;'data on outstanding creditors'!$D2993&amp;" "&amp;TEXT('data on outstanding creditors'!$E2993,"#,##0.00")</f>
        <v>หจก.ทวีศักดิ์การไฟฟ้า 2018 TN00003027 25,000.00</v>
      </c>
      <c r="U2993" s="12"/>
    </row>
    <row r="2994" ht="13.5" customHeight="1">
      <c r="A2994" s="1" t="s">
        <v>4676</v>
      </c>
      <c r="B2994" s="2">
        <v>45952.0</v>
      </c>
      <c r="C2994" s="9" t="s">
        <v>1125</v>
      </c>
      <c r="D2994" s="1" t="s">
        <v>4677</v>
      </c>
      <c r="E2994" s="4">
        <v>28000.0</v>
      </c>
      <c r="F2994" s="4"/>
      <c r="G2994" s="4"/>
      <c r="H2994" s="4">
        <f>'data on outstanding creditors'!$E2994-'data on outstanding creditors'!$F2994-'data on outstanding creditors'!$G2994</f>
        <v>28000</v>
      </c>
      <c r="I2994" s="2"/>
      <c r="J2994" s="1"/>
      <c r="K2994" s="2"/>
      <c r="L2994" s="5"/>
      <c r="M2994" s="9" t="s">
        <v>151</v>
      </c>
      <c r="N2994" s="9" t="s">
        <v>49</v>
      </c>
      <c r="O2994" s="10">
        <f>'data on outstanding creditors'!$E2994*100/107</f>
        <v>26168.2243</v>
      </c>
      <c r="P2994" s="10">
        <f>'data on outstanding creditors'!$E2994-'data on outstanding creditors'!$O2994</f>
        <v>1831.775701</v>
      </c>
      <c r="Q2994" s="7">
        <f>DAY('data on outstanding creditors'!$B2994)</f>
        <v>22</v>
      </c>
      <c r="R2994" s="7">
        <f>MONTH('data on outstanding creditors'!$B2994)</f>
        <v>10</v>
      </c>
      <c r="S2994" s="7">
        <f>YEAR('data on outstanding creditors'!$B2994)</f>
        <v>2025</v>
      </c>
      <c r="T2994" s="11" t="str">
        <f>'data on outstanding creditors'!$C2994&amp;" "&amp;'data on outstanding creditors'!$D2994&amp;" "&amp;TEXT('data on outstanding creditors'!$E2994,"#,##0.00")</f>
        <v>หจก.เอ็นบี ซัพพลาย เอ็นจิเนียริ่ง(ประเทศไทย) INV2025100014 28,000.00</v>
      </c>
      <c r="U2994" s="12"/>
    </row>
    <row r="2995" ht="13.5" customHeight="1">
      <c r="A2995" s="1" t="s">
        <v>4678</v>
      </c>
      <c r="B2995" s="2">
        <v>45953.0</v>
      </c>
      <c r="C2995" s="9" t="s">
        <v>4670</v>
      </c>
      <c r="D2995" s="1" t="s">
        <v>4679</v>
      </c>
      <c r="E2995" s="4">
        <v>2000.0</v>
      </c>
      <c r="F2995" s="4"/>
      <c r="G2995" s="4"/>
      <c r="H2995" s="4">
        <f>'data on outstanding creditors'!$E2995-'data on outstanding creditors'!$F2995-'data on outstanding creditors'!$G2995</f>
        <v>2000</v>
      </c>
      <c r="I2995" s="2"/>
      <c r="J2995" s="1"/>
      <c r="K2995" s="2"/>
      <c r="L2995" s="5"/>
      <c r="M2995" s="9" t="s">
        <v>151</v>
      </c>
      <c r="N2995" s="9" t="s">
        <v>49</v>
      </c>
      <c r="O2995" s="10">
        <f>'data on outstanding creditors'!$E2995*100/107</f>
        <v>1869.158879</v>
      </c>
      <c r="P2995" s="10">
        <f>'data on outstanding creditors'!$E2995-'data on outstanding creditors'!$O2995</f>
        <v>130.8411215</v>
      </c>
      <c r="Q2995" s="7">
        <f>DAY('data on outstanding creditors'!$B2995)</f>
        <v>23</v>
      </c>
      <c r="R2995" s="7">
        <f>MONTH('data on outstanding creditors'!$B2995)</f>
        <v>10</v>
      </c>
      <c r="S2995" s="7">
        <f>YEAR('data on outstanding creditors'!$B2995)</f>
        <v>2025</v>
      </c>
      <c r="T2995" s="11" t="str">
        <f>'data on outstanding creditors'!$C2995&amp;" "&amp;'data on outstanding creditors'!$D2995&amp;" "&amp;TEXT('data on outstanding creditors'!$E2995,"#,##0.00")</f>
        <v>ร้าน ดาวละมัยดอกไม้สด 1/3 2,000.00</v>
      </c>
      <c r="U2995" s="12"/>
    </row>
    <row r="2996" ht="13.5" customHeight="1">
      <c r="A2996" s="1" t="s">
        <v>4680</v>
      </c>
      <c r="B2996" s="2">
        <v>45954.0</v>
      </c>
      <c r="C2996" s="9" t="s">
        <v>152</v>
      </c>
      <c r="D2996" s="1"/>
      <c r="E2996" s="4">
        <v>900.0</v>
      </c>
      <c r="F2996" s="4"/>
      <c r="G2996" s="4"/>
      <c r="H2996" s="4">
        <f>'data on outstanding creditors'!$E2996-'data on outstanding creditors'!$F2996-'data on outstanding creditors'!$G2996</f>
        <v>900</v>
      </c>
      <c r="I2996" s="2"/>
      <c r="J2996" s="1"/>
      <c r="K2996" s="2"/>
      <c r="L2996" s="5"/>
      <c r="M2996" s="9" t="s">
        <v>151</v>
      </c>
      <c r="N2996" s="9" t="s">
        <v>49</v>
      </c>
      <c r="O2996" s="10">
        <f>'data on outstanding creditors'!$E2996*100/107</f>
        <v>841.1214953</v>
      </c>
      <c r="P2996" s="10">
        <f>'data on outstanding creditors'!$E2996-'data on outstanding creditors'!$O2996</f>
        <v>58.87850467</v>
      </c>
      <c r="Q2996" s="7">
        <f>DAY('data on outstanding creditors'!$B2996)</f>
        <v>24</v>
      </c>
      <c r="R2996" s="7">
        <f>MONTH('data on outstanding creditors'!$B2996)</f>
        <v>10</v>
      </c>
      <c r="S2996" s="7">
        <f>YEAR('data on outstanding creditors'!$B2996)</f>
        <v>2025</v>
      </c>
      <c r="T2996" s="11" t="str">
        <f>'data on outstanding creditors'!$C2996&amp;" "&amp;'data on outstanding creditors'!$D2996&amp;" "&amp;TEXT('data on outstanding creditors'!$E2996,"#,##0.00")</f>
        <v>บ.มาเจริญ โฮม เฟอร์นิเจอร์  900.00</v>
      </c>
      <c r="U2996" s="12"/>
    </row>
    <row r="2997" ht="13.5" customHeight="1">
      <c r="A2997" s="1" t="s">
        <v>4681</v>
      </c>
      <c r="B2997" s="2">
        <v>45957.0</v>
      </c>
      <c r="C2997" s="9" t="s">
        <v>174</v>
      </c>
      <c r="D2997" s="1" t="s">
        <v>4682</v>
      </c>
      <c r="E2997" s="4">
        <v>3770.0</v>
      </c>
      <c r="F2997" s="4"/>
      <c r="G2997" s="4"/>
      <c r="H2997" s="4">
        <f>'data on outstanding creditors'!$E2997-'data on outstanding creditors'!$F2997-'data on outstanding creditors'!$G2997</f>
        <v>3770</v>
      </c>
      <c r="I2997" s="2"/>
      <c r="J2997" s="1"/>
      <c r="K2997" s="2"/>
      <c r="L2997" s="5"/>
      <c r="M2997" s="9" t="s">
        <v>151</v>
      </c>
      <c r="N2997" s="9" t="s">
        <v>49</v>
      </c>
      <c r="O2997" s="10">
        <f>'data on outstanding creditors'!$E2997*100/107</f>
        <v>3523.364486</v>
      </c>
      <c r="P2997" s="10">
        <f>'data on outstanding creditors'!$E2997-'data on outstanding creditors'!$O2997</f>
        <v>246.635514</v>
      </c>
      <c r="Q2997" s="7">
        <f>DAY('data on outstanding creditors'!$B2997)</f>
        <v>27</v>
      </c>
      <c r="R2997" s="7">
        <f>MONTH('data on outstanding creditors'!$B2997)</f>
        <v>10</v>
      </c>
      <c r="S2997" s="7">
        <f>YEAR('data on outstanding creditors'!$B2997)</f>
        <v>2025</v>
      </c>
      <c r="T2997" s="11" t="str">
        <f>'data on outstanding creditors'!$C2997&amp;" "&amp;'data on outstanding creditors'!$D2997&amp;" "&amp;TEXT('data on outstanding creditors'!$E2997,"#,##0.00")</f>
        <v>ร้าน T&amp;P แอร์ไฟฟ้า 0003/0016 3,770.00</v>
      </c>
      <c r="U2997" s="12"/>
    </row>
    <row r="2998" ht="13.5" customHeight="1">
      <c r="A2998" s="1" t="s">
        <v>4683</v>
      </c>
      <c r="B2998" s="2">
        <v>45960.0</v>
      </c>
      <c r="C2998" s="9" t="s">
        <v>1125</v>
      </c>
      <c r="D2998" s="1" t="s">
        <v>4684</v>
      </c>
      <c r="E2998" s="4">
        <v>4400.0</v>
      </c>
      <c r="F2998" s="4"/>
      <c r="G2998" s="4"/>
      <c r="H2998" s="4">
        <f>'data on outstanding creditors'!$E2998-'data on outstanding creditors'!$F2998-'data on outstanding creditors'!$G2998</f>
        <v>4400</v>
      </c>
      <c r="I2998" s="2"/>
      <c r="J2998" s="1"/>
      <c r="K2998" s="2"/>
      <c r="L2998" s="5"/>
      <c r="M2998" s="9" t="s">
        <v>151</v>
      </c>
      <c r="N2998" s="9" t="s">
        <v>49</v>
      </c>
      <c r="O2998" s="10">
        <f>'data on outstanding creditors'!$E2998*100/107</f>
        <v>4112.149533</v>
      </c>
      <c r="P2998" s="10">
        <f>'data on outstanding creditors'!$E2998-'data on outstanding creditors'!$O2998</f>
        <v>287.8504673</v>
      </c>
      <c r="Q2998" s="7">
        <f>DAY('data on outstanding creditors'!$B2998)</f>
        <v>30</v>
      </c>
      <c r="R2998" s="7">
        <f>MONTH('data on outstanding creditors'!$B2998)</f>
        <v>10</v>
      </c>
      <c r="S2998" s="7">
        <f>YEAR('data on outstanding creditors'!$B2998)</f>
        <v>2025</v>
      </c>
      <c r="T2998" s="11" t="str">
        <f>'data on outstanding creditors'!$C2998&amp;" "&amp;'data on outstanding creditors'!$D2998&amp;" "&amp;TEXT('data on outstanding creditors'!$E2998,"#,##0.00")</f>
        <v>หจก.เอ็นบี ซัพพลาย เอ็นจิเนียริ่ง(ประเทศไทย) INV2025100013 4,400.00</v>
      </c>
      <c r="U2998" s="12"/>
    </row>
    <row r="2999" ht="13.5" customHeight="1">
      <c r="A2999" s="1"/>
      <c r="B2999" s="2">
        <v>45581.0</v>
      </c>
      <c r="C2999" s="9" t="s">
        <v>4685</v>
      </c>
      <c r="D2999" s="1" t="s">
        <v>4686</v>
      </c>
      <c r="E2999" s="4">
        <v>8560.0</v>
      </c>
      <c r="F2999" s="4"/>
      <c r="G2999" s="4"/>
      <c r="H2999" s="4">
        <f>'data on outstanding creditors'!$E2999-'data on outstanding creditors'!$F2999-'data on outstanding creditors'!$G2999</f>
        <v>8560</v>
      </c>
      <c r="I2999" s="2"/>
      <c r="J2999" s="1" t="s">
        <v>646</v>
      </c>
      <c r="K2999" s="2">
        <v>45906.0</v>
      </c>
      <c r="L2999" s="5"/>
      <c r="M2999" s="9" t="s">
        <v>4687</v>
      </c>
      <c r="N2999" s="9" t="s">
        <v>23</v>
      </c>
      <c r="O2999" s="10">
        <f>'data on outstanding creditors'!$E2999*100/107</f>
        <v>8000</v>
      </c>
      <c r="P2999" s="10">
        <f>'data on outstanding creditors'!$E2999-'data on outstanding creditors'!$O2999</f>
        <v>560</v>
      </c>
      <c r="Q2999" s="7">
        <f>DAY('data on outstanding creditors'!$B2999)</f>
        <v>16</v>
      </c>
      <c r="R2999" s="7">
        <f>MONTH('data on outstanding creditors'!$B2999)</f>
        <v>10</v>
      </c>
      <c r="S2999" s="7">
        <f>YEAR('data on outstanding creditors'!$B2999)</f>
        <v>2024</v>
      </c>
      <c r="T2999" s="11" t="str">
        <f>'data on outstanding creditors'!$C2999&amp;" "&amp;'data on outstanding creditors'!$D2999&amp;" "&amp;TEXT('data on outstanding creditors'!$E2999,"#,##0.00")</f>
        <v>บ.เอกตรงเคมีภัณฑ์ (1985) 67100161 8,560.00</v>
      </c>
      <c r="U2999" s="12"/>
    </row>
    <row r="3000" ht="13.5" customHeight="1">
      <c r="A3000" s="1"/>
      <c r="B3000" s="2">
        <v>45587.0</v>
      </c>
      <c r="C3000" s="9" t="s">
        <v>4688</v>
      </c>
      <c r="D3000" s="1" t="s">
        <v>4689</v>
      </c>
      <c r="E3000" s="4">
        <v>46680.0</v>
      </c>
      <c r="F3000" s="4"/>
      <c r="G3000" s="4"/>
      <c r="H3000" s="4">
        <f>'data on outstanding creditors'!$E3000-'data on outstanding creditors'!$F3000-'data on outstanding creditors'!$G3000</f>
        <v>46680</v>
      </c>
      <c r="I3000" s="2"/>
      <c r="J3000" s="1" t="s">
        <v>757</v>
      </c>
      <c r="K3000" s="2">
        <v>45616.0</v>
      </c>
      <c r="L3000" s="5"/>
      <c r="M3000" s="9" t="s">
        <v>4687</v>
      </c>
      <c r="N3000" s="9" t="s">
        <v>23</v>
      </c>
      <c r="O3000" s="10">
        <f>'data on outstanding creditors'!$E3000*100/107</f>
        <v>43626.16822</v>
      </c>
      <c r="P3000" s="10">
        <f>'data on outstanding creditors'!$E3000-'data on outstanding creditors'!$O3000</f>
        <v>3053.831776</v>
      </c>
      <c r="Q3000" s="7">
        <f>DAY('data on outstanding creditors'!$B3000)</f>
        <v>22</v>
      </c>
      <c r="R3000" s="7">
        <f>MONTH('data on outstanding creditors'!$B3000)</f>
        <v>10</v>
      </c>
      <c r="S3000" s="7">
        <f>YEAR('data on outstanding creditors'!$B3000)</f>
        <v>2024</v>
      </c>
      <c r="T3000" s="11" t="str">
        <f>'data on outstanding creditors'!$C3000&amp;" "&amp;'data on outstanding creditors'!$D3000&amp;" "&amp;TEXT('data on outstanding creditors'!$E3000,"#,##0.00")</f>
        <v>บ.โพส เฮลท์ แคร์ 241011006 46,680.00</v>
      </c>
      <c r="U3000" s="12"/>
    </row>
    <row r="3001" ht="13.5" customHeight="1">
      <c r="A3001" s="1"/>
      <c r="B3001" s="2">
        <v>45597.0</v>
      </c>
      <c r="C3001" s="9" t="s">
        <v>4685</v>
      </c>
      <c r="D3001" s="1" t="s">
        <v>4690</v>
      </c>
      <c r="E3001" s="4">
        <v>10272.0</v>
      </c>
      <c r="F3001" s="4"/>
      <c r="G3001" s="4"/>
      <c r="H3001" s="4">
        <f>'data on outstanding creditors'!$E3001-'data on outstanding creditors'!$F3001-'data on outstanding creditors'!$G3001</f>
        <v>10272</v>
      </c>
      <c r="I3001" s="2"/>
      <c r="J3001" s="1" t="s">
        <v>646</v>
      </c>
      <c r="K3001" s="2">
        <v>45906.0</v>
      </c>
      <c r="L3001" s="5"/>
      <c r="M3001" s="9" t="s">
        <v>4687</v>
      </c>
      <c r="N3001" s="9" t="s">
        <v>23</v>
      </c>
      <c r="O3001" s="10">
        <f>'data on outstanding creditors'!$E3001*100/107</f>
        <v>9600</v>
      </c>
      <c r="P3001" s="10">
        <f>'data on outstanding creditors'!$E3001-'data on outstanding creditors'!$O3001</f>
        <v>672</v>
      </c>
      <c r="Q3001" s="7">
        <f>DAY('data on outstanding creditors'!$B3001)</f>
        <v>1</v>
      </c>
      <c r="R3001" s="7">
        <f>MONTH('data on outstanding creditors'!$B3001)</f>
        <v>11</v>
      </c>
      <c r="S3001" s="7">
        <f>YEAR('data on outstanding creditors'!$B3001)</f>
        <v>2024</v>
      </c>
      <c r="T3001" s="11" t="str">
        <f>'data on outstanding creditors'!$C3001&amp;" "&amp;'data on outstanding creditors'!$D3001&amp;" "&amp;TEXT('data on outstanding creditors'!$E3001,"#,##0.00")</f>
        <v>บ.เอกตรงเคมีภัณฑ์ (1985) 67100394 10,272.00</v>
      </c>
      <c r="U3001" s="12"/>
    </row>
    <row r="3002" ht="13.5" customHeight="1">
      <c r="A3002" s="1"/>
      <c r="B3002" s="2">
        <v>45625.0</v>
      </c>
      <c r="C3002" s="9" t="s">
        <v>4691</v>
      </c>
      <c r="D3002" s="1" t="s">
        <v>4692</v>
      </c>
      <c r="E3002" s="4">
        <v>12000.0</v>
      </c>
      <c r="F3002" s="4"/>
      <c r="G3002" s="4"/>
      <c r="H3002" s="4">
        <f>'data on outstanding creditors'!$E3002-'data on outstanding creditors'!$F3002-'data on outstanding creditors'!$G3002</f>
        <v>12000</v>
      </c>
      <c r="I3002" s="2"/>
      <c r="J3002" s="1" t="s">
        <v>757</v>
      </c>
      <c r="K3002" s="2">
        <v>45665.0</v>
      </c>
      <c r="L3002" s="5"/>
      <c r="M3002" s="9" t="s">
        <v>4687</v>
      </c>
      <c r="N3002" s="9" t="s">
        <v>23</v>
      </c>
      <c r="O3002" s="10">
        <f>'data on outstanding creditors'!$E3002*100/107</f>
        <v>11214.95327</v>
      </c>
      <c r="P3002" s="10">
        <f>'data on outstanding creditors'!$E3002-'data on outstanding creditors'!$O3002</f>
        <v>785.046729</v>
      </c>
      <c r="Q3002" s="7">
        <f>DAY('data on outstanding creditors'!$B3002)</f>
        <v>29</v>
      </c>
      <c r="R3002" s="7">
        <f>MONTH('data on outstanding creditors'!$B3002)</f>
        <v>11</v>
      </c>
      <c r="S3002" s="7">
        <f>YEAR('data on outstanding creditors'!$B3002)</f>
        <v>2024</v>
      </c>
      <c r="T3002" s="11" t="str">
        <f>'data on outstanding creditors'!$C3002&amp;" "&amp;'data on outstanding creditors'!$D3002&amp;" "&amp;TEXT('data on outstanding creditors'!$E3002,"#,##0.00")</f>
        <v>บ.เดอะเฟิร์สท์เฮลท์แคร์ INV2024110028 12,000.00</v>
      </c>
      <c r="U3002" s="12"/>
    </row>
    <row r="3003" ht="13.5" customHeight="1">
      <c r="A3003" s="1"/>
      <c r="B3003" s="2">
        <v>45632.0</v>
      </c>
      <c r="C3003" s="9" t="s">
        <v>4685</v>
      </c>
      <c r="D3003" s="1" t="s">
        <v>4693</v>
      </c>
      <c r="E3003" s="4">
        <v>6420.0</v>
      </c>
      <c r="F3003" s="4"/>
      <c r="G3003" s="4"/>
      <c r="H3003" s="4">
        <f>'data on outstanding creditors'!$E3003-'data on outstanding creditors'!$F3003-'data on outstanding creditors'!$G3003</f>
        <v>6420</v>
      </c>
      <c r="I3003" s="2"/>
      <c r="J3003" s="1" t="s">
        <v>646</v>
      </c>
      <c r="K3003" s="2">
        <v>45906.0</v>
      </c>
      <c r="L3003" s="5"/>
      <c r="M3003" s="9" t="s">
        <v>4687</v>
      </c>
      <c r="N3003" s="9" t="s">
        <v>23</v>
      </c>
      <c r="O3003" s="10">
        <f>'data on outstanding creditors'!$E3003*100/107</f>
        <v>6000</v>
      </c>
      <c r="P3003" s="10">
        <f>'data on outstanding creditors'!$E3003-'data on outstanding creditors'!$O3003</f>
        <v>420</v>
      </c>
      <c r="Q3003" s="7">
        <f>DAY('data on outstanding creditors'!$B3003)</f>
        <v>6</v>
      </c>
      <c r="R3003" s="7">
        <f>MONTH('data on outstanding creditors'!$B3003)</f>
        <v>12</v>
      </c>
      <c r="S3003" s="7">
        <f>YEAR('data on outstanding creditors'!$B3003)</f>
        <v>2024</v>
      </c>
      <c r="T3003" s="11" t="str">
        <f>'data on outstanding creditors'!$C3003&amp;" "&amp;'data on outstanding creditors'!$D3003&amp;" "&amp;TEXT('data on outstanding creditors'!$E3003,"#,##0.00")</f>
        <v>บ.เอกตรงเคมีภัณฑ์ (1985) 67110433 6,420.00</v>
      </c>
      <c r="U3003" s="12"/>
    </row>
    <row r="3004" ht="13.5" customHeight="1">
      <c r="A3004" s="1"/>
      <c r="B3004" s="2">
        <v>45643.0</v>
      </c>
      <c r="C3004" s="9" t="s">
        <v>4685</v>
      </c>
      <c r="D3004" s="1" t="s">
        <v>4694</v>
      </c>
      <c r="E3004" s="4">
        <v>12305.0</v>
      </c>
      <c r="F3004" s="4"/>
      <c r="G3004" s="4"/>
      <c r="H3004" s="4">
        <f>'data on outstanding creditors'!$E3004-'data on outstanding creditors'!$F3004-'data on outstanding creditors'!$G3004</f>
        <v>12305</v>
      </c>
      <c r="I3004" s="2"/>
      <c r="J3004" s="1" t="s">
        <v>646</v>
      </c>
      <c r="K3004" s="2">
        <v>45906.0</v>
      </c>
      <c r="L3004" s="5"/>
      <c r="M3004" s="9" t="s">
        <v>4687</v>
      </c>
      <c r="N3004" s="9" t="s">
        <v>23</v>
      </c>
      <c r="O3004" s="10">
        <f>'data on outstanding creditors'!$E3004*100/107</f>
        <v>11500</v>
      </c>
      <c r="P3004" s="10">
        <f>'data on outstanding creditors'!$E3004-'data on outstanding creditors'!$O3004</f>
        <v>805</v>
      </c>
      <c r="Q3004" s="7">
        <f>DAY('data on outstanding creditors'!$B3004)</f>
        <v>17</v>
      </c>
      <c r="R3004" s="7">
        <f>MONTH('data on outstanding creditors'!$B3004)</f>
        <v>12</v>
      </c>
      <c r="S3004" s="7">
        <f>YEAR('data on outstanding creditors'!$B3004)</f>
        <v>2024</v>
      </c>
      <c r="T3004" s="11" t="str">
        <f>'data on outstanding creditors'!$C3004&amp;" "&amp;'data on outstanding creditors'!$D3004&amp;" "&amp;TEXT('data on outstanding creditors'!$E3004,"#,##0.00")</f>
        <v>บ.เอกตรงเคมีภัณฑ์ (1985) 67120129 12,305.00</v>
      </c>
      <c r="U3004" s="12"/>
    </row>
    <row r="3005" ht="13.5" customHeight="1">
      <c r="A3005" s="1"/>
      <c r="B3005" s="2">
        <v>45645.0</v>
      </c>
      <c r="C3005" s="9" t="s">
        <v>4695</v>
      </c>
      <c r="D3005" s="1" t="s">
        <v>4696</v>
      </c>
      <c r="E3005" s="4">
        <v>28750.0</v>
      </c>
      <c r="F3005" s="4"/>
      <c r="G3005" s="4"/>
      <c r="H3005" s="4">
        <f>'data on outstanding creditors'!$E3005-'data on outstanding creditors'!$F3005-'data on outstanding creditors'!$G3005</f>
        <v>28750</v>
      </c>
      <c r="I3005" s="2"/>
      <c r="J3005" s="1" t="s">
        <v>646</v>
      </c>
      <c r="K3005" s="2">
        <v>45944.0</v>
      </c>
      <c r="L3005" s="5"/>
      <c r="M3005" s="9" t="s">
        <v>4687</v>
      </c>
      <c r="N3005" s="9" t="s">
        <v>23</v>
      </c>
      <c r="O3005" s="10">
        <f>'data on outstanding creditors'!$E3005*100/107</f>
        <v>26869.15888</v>
      </c>
      <c r="P3005" s="10">
        <f>'data on outstanding creditors'!$E3005-'data on outstanding creditors'!$O3005</f>
        <v>1880.841121</v>
      </c>
      <c r="Q3005" s="7">
        <f>DAY('data on outstanding creditors'!$B3005)</f>
        <v>19</v>
      </c>
      <c r="R3005" s="7">
        <f>MONTH('data on outstanding creditors'!$B3005)</f>
        <v>12</v>
      </c>
      <c r="S3005" s="7">
        <f>YEAR('data on outstanding creditors'!$B3005)</f>
        <v>2024</v>
      </c>
      <c r="T3005" s="11" t="str">
        <f>'data on outstanding creditors'!$C3005&amp;" "&amp;'data on outstanding creditors'!$D3005&amp;" "&amp;TEXT('data on outstanding creditors'!$E3005,"#,##0.00")</f>
        <v>บ.อัมรินทร์ มาร์เก็ตติ้ง AMH0017830 28,750.00</v>
      </c>
      <c r="U3005" s="12"/>
    </row>
    <row r="3006" ht="13.5" customHeight="1">
      <c r="A3006" s="1"/>
      <c r="B3006" s="2">
        <v>45672.0</v>
      </c>
      <c r="C3006" s="9" t="s">
        <v>4685</v>
      </c>
      <c r="D3006" s="1" t="s">
        <v>4697</v>
      </c>
      <c r="E3006" s="4">
        <v>5628.2</v>
      </c>
      <c r="F3006" s="4"/>
      <c r="G3006" s="4"/>
      <c r="H3006" s="4">
        <f>'data on outstanding creditors'!$E3006-'data on outstanding creditors'!$F3006-'data on outstanding creditors'!$G3006</f>
        <v>5628.2</v>
      </c>
      <c r="I3006" s="2"/>
      <c r="J3006" s="1" t="s">
        <v>757</v>
      </c>
      <c r="K3006" s="2">
        <v>45705.0</v>
      </c>
      <c r="L3006" s="5"/>
      <c r="M3006" s="9" t="s">
        <v>4687</v>
      </c>
      <c r="N3006" s="9" t="s">
        <v>23</v>
      </c>
      <c r="O3006" s="10">
        <f>'data on outstanding creditors'!$E3006*100/107</f>
        <v>5260</v>
      </c>
      <c r="P3006" s="10">
        <f>'data on outstanding creditors'!$E3006-'data on outstanding creditors'!$O3006</f>
        <v>368.2</v>
      </c>
      <c r="Q3006" s="7">
        <f>DAY('data on outstanding creditors'!$B3006)</f>
        <v>15</v>
      </c>
      <c r="R3006" s="7">
        <f>MONTH('data on outstanding creditors'!$B3006)</f>
        <v>1</v>
      </c>
      <c r="S3006" s="7">
        <f>YEAR('data on outstanding creditors'!$B3006)</f>
        <v>2025</v>
      </c>
      <c r="T3006" s="11" t="str">
        <f>'data on outstanding creditors'!$C3006&amp;" "&amp;'data on outstanding creditors'!$D3006&amp;" "&amp;TEXT('data on outstanding creditors'!$E3006,"#,##0.00")</f>
        <v>บ.เอกตรงเคมีภัณฑ์ (1985) 68010103 5,628.20</v>
      </c>
      <c r="U3006" s="12"/>
    </row>
    <row r="3007" ht="13.5" customHeight="1">
      <c r="A3007" s="1"/>
      <c r="B3007" s="2">
        <v>45678.0</v>
      </c>
      <c r="C3007" s="9" t="s">
        <v>4698</v>
      </c>
      <c r="D3007" s="1" t="s">
        <v>4699</v>
      </c>
      <c r="E3007" s="4">
        <v>12305.0</v>
      </c>
      <c r="F3007" s="4"/>
      <c r="G3007" s="4"/>
      <c r="H3007" s="4">
        <f>'data on outstanding creditors'!$E3007-'data on outstanding creditors'!$F3007-'data on outstanding creditors'!$G3007</f>
        <v>12305</v>
      </c>
      <c r="I3007" s="2"/>
      <c r="J3007" s="1" t="s">
        <v>646</v>
      </c>
      <c r="K3007" s="2">
        <v>45928.0</v>
      </c>
      <c r="L3007" s="5"/>
      <c r="M3007" s="9" t="s">
        <v>4687</v>
      </c>
      <c r="N3007" s="9" t="s">
        <v>23</v>
      </c>
      <c r="O3007" s="10">
        <f>'data on outstanding creditors'!$E3007*100/107</f>
        <v>11500</v>
      </c>
      <c r="P3007" s="10">
        <f>'data on outstanding creditors'!$E3007-'data on outstanding creditors'!$O3007</f>
        <v>805</v>
      </c>
      <c r="Q3007" s="7">
        <f>DAY('data on outstanding creditors'!$B3007)</f>
        <v>21</v>
      </c>
      <c r="R3007" s="7">
        <f>MONTH('data on outstanding creditors'!$B3007)</f>
        <v>1</v>
      </c>
      <c r="S3007" s="7">
        <f>YEAR('data on outstanding creditors'!$B3007)</f>
        <v>2025</v>
      </c>
      <c r="T3007" s="11" t="str">
        <f>'data on outstanding creditors'!$C3007&amp;" "&amp;'data on outstanding creditors'!$D3007&amp;" "&amp;TEXT('data on outstanding creditors'!$E3007,"#,##0.00")</f>
        <v>บ.เฟอร์โน่ FN/IV6800389 12,305.00</v>
      </c>
      <c r="U3007" s="12"/>
    </row>
    <row r="3008" ht="13.5" customHeight="1">
      <c r="A3008" s="1"/>
      <c r="B3008" s="2">
        <v>45693.0</v>
      </c>
      <c r="C3008" s="9" t="s">
        <v>4685</v>
      </c>
      <c r="D3008" s="1" t="s">
        <v>4700</v>
      </c>
      <c r="E3008" s="4">
        <v>5082.5</v>
      </c>
      <c r="F3008" s="4"/>
      <c r="G3008" s="4"/>
      <c r="H3008" s="4">
        <f>'data on outstanding creditors'!$E3008-'data on outstanding creditors'!$F3008-'data on outstanding creditors'!$G3008</f>
        <v>5082.5</v>
      </c>
      <c r="I3008" s="2"/>
      <c r="J3008" s="1" t="s">
        <v>757</v>
      </c>
      <c r="K3008" s="2">
        <v>45740.0</v>
      </c>
      <c r="L3008" s="5"/>
      <c r="M3008" s="9" t="s">
        <v>4687</v>
      </c>
      <c r="N3008" s="9" t="s">
        <v>23</v>
      </c>
      <c r="O3008" s="10">
        <f>'data on outstanding creditors'!$E3008*100/107</f>
        <v>4750</v>
      </c>
      <c r="P3008" s="10">
        <f>'data on outstanding creditors'!$E3008-'data on outstanding creditors'!$O3008</f>
        <v>332.5</v>
      </c>
      <c r="Q3008" s="7">
        <f>DAY('data on outstanding creditors'!$B3008)</f>
        <v>5</v>
      </c>
      <c r="R3008" s="7">
        <f>MONTH('data on outstanding creditors'!$B3008)</f>
        <v>2</v>
      </c>
      <c r="S3008" s="7">
        <f>YEAR('data on outstanding creditors'!$B3008)</f>
        <v>2025</v>
      </c>
      <c r="T3008" s="11" t="str">
        <f>'data on outstanding creditors'!$C3008&amp;" "&amp;'data on outstanding creditors'!$D3008&amp;" "&amp;TEXT('data on outstanding creditors'!$E3008,"#,##0.00")</f>
        <v>บ.เอกตรงเคมีภัณฑ์ (1985) 68010440 5,082.50</v>
      </c>
      <c r="U3008" s="12"/>
    </row>
    <row r="3009" ht="13.5" customHeight="1">
      <c r="A3009" s="1"/>
      <c r="B3009" s="2">
        <v>45706.0</v>
      </c>
      <c r="C3009" s="9" t="s">
        <v>4688</v>
      </c>
      <c r="D3009" s="1" t="s">
        <v>4701</v>
      </c>
      <c r="E3009" s="4">
        <v>58350.0</v>
      </c>
      <c r="F3009" s="4"/>
      <c r="G3009" s="4"/>
      <c r="H3009" s="4">
        <f>'data on outstanding creditors'!$E3009-'data on outstanding creditors'!$F3009-'data on outstanding creditors'!$G3009</f>
        <v>58350</v>
      </c>
      <c r="I3009" s="2"/>
      <c r="J3009" s="1" t="s">
        <v>757</v>
      </c>
      <c r="K3009" s="2">
        <v>45790.0</v>
      </c>
      <c r="L3009" s="5"/>
      <c r="M3009" s="9" t="s">
        <v>4687</v>
      </c>
      <c r="N3009" s="9" t="s">
        <v>23</v>
      </c>
      <c r="O3009" s="10">
        <f>'data on outstanding creditors'!$E3009*100/107</f>
        <v>54532.71028</v>
      </c>
      <c r="P3009" s="10">
        <f>'data on outstanding creditors'!$E3009-'data on outstanding creditors'!$O3009</f>
        <v>3817.28972</v>
      </c>
      <c r="Q3009" s="7">
        <f>DAY('data on outstanding creditors'!$B3009)</f>
        <v>18</v>
      </c>
      <c r="R3009" s="7">
        <f>MONTH('data on outstanding creditors'!$B3009)</f>
        <v>2</v>
      </c>
      <c r="S3009" s="7">
        <f>YEAR('data on outstanding creditors'!$B3009)</f>
        <v>2025</v>
      </c>
      <c r="T3009" s="11" t="str">
        <f>'data on outstanding creditors'!$C3009&amp;" "&amp;'data on outstanding creditors'!$D3009&amp;" "&amp;TEXT('data on outstanding creditors'!$E3009,"#,##0.00")</f>
        <v>บ.โพส เฮลท์ แคร์ 250211006 58,350.00</v>
      </c>
      <c r="U3009" s="12"/>
    </row>
    <row r="3010" ht="13.5" customHeight="1">
      <c r="A3010" s="1"/>
      <c r="B3010" s="2">
        <v>45708.0</v>
      </c>
      <c r="C3010" s="9" t="s">
        <v>4685</v>
      </c>
      <c r="D3010" s="1" t="s">
        <v>4702</v>
      </c>
      <c r="E3010" s="4">
        <v>3852.0</v>
      </c>
      <c r="F3010" s="4"/>
      <c r="G3010" s="4"/>
      <c r="H3010" s="4">
        <f>'data on outstanding creditors'!$E3010-'data on outstanding creditors'!$F3010-'data on outstanding creditors'!$G3010</f>
        <v>3852</v>
      </c>
      <c r="I3010" s="2"/>
      <c r="J3010" s="1" t="s">
        <v>757</v>
      </c>
      <c r="K3010" s="2">
        <v>45790.0</v>
      </c>
      <c r="L3010" s="5"/>
      <c r="M3010" s="9" t="s">
        <v>4687</v>
      </c>
      <c r="N3010" s="9" t="s">
        <v>23</v>
      </c>
      <c r="O3010" s="10">
        <f>'data on outstanding creditors'!$E3010*100/107</f>
        <v>3600</v>
      </c>
      <c r="P3010" s="10">
        <f>'data on outstanding creditors'!$E3010-'data on outstanding creditors'!$O3010</f>
        <v>252</v>
      </c>
      <c r="Q3010" s="7">
        <f>DAY('data on outstanding creditors'!$B3010)</f>
        <v>20</v>
      </c>
      <c r="R3010" s="7">
        <f>MONTH('data on outstanding creditors'!$B3010)</f>
        <v>2</v>
      </c>
      <c r="S3010" s="7">
        <f>YEAR('data on outstanding creditors'!$B3010)</f>
        <v>2025</v>
      </c>
      <c r="T3010" s="11" t="str">
        <f>'data on outstanding creditors'!$C3010&amp;" "&amp;'data on outstanding creditors'!$D3010&amp;" "&amp;TEXT('data on outstanding creditors'!$E3010,"#,##0.00")</f>
        <v>บ.เอกตรงเคมีภัณฑ์ (1985) 68020138 3,852.00</v>
      </c>
      <c r="U3010" s="12"/>
    </row>
    <row r="3011" ht="13.5" customHeight="1">
      <c r="A3011" s="1"/>
      <c r="B3011" s="2">
        <v>45709.0</v>
      </c>
      <c r="C3011" s="9" t="s">
        <v>4703</v>
      </c>
      <c r="D3011" s="1" t="s">
        <v>4704</v>
      </c>
      <c r="E3011" s="4">
        <v>38000.0</v>
      </c>
      <c r="F3011" s="4"/>
      <c r="G3011" s="4"/>
      <c r="H3011" s="4">
        <f>'data on outstanding creditors'!$E3011-'data on outstanding creditors'!$F3011-'data on outstanding creditors'!$G3011</f>
        <v>38000</v>
      </c>
      <c r="I3011" s="2"/>
      <c r="J3011" s="1" t="s">
        <v>646</v>
      </c>
      <c r="K3011" s="2">
        <v>45894.0</v>
      </c>
      <c r="L3011" s="5"/>
      <c r="M3011" s="9" t="s">
        <v>4687</v>
      </c>
      <c r="N3011" s="9" t="s">
        <v>23</v>
      </c>
      <c r="O3011" s="10">
        <f>'data on outstanding creditors'!$E3011*100/107</f>
        <v>35514.01869</v>
      </c>
      <c r="P3011" s="10">
        <f>'data on outstanding creditors'!$E3011-'data on outstanding creditors'!$O3011</f>
        <v>2485.981308</v>
      </c>
      <c r="Q3011" s="7">
        <f>DAY('data on outstanding creditors'!$B3011)</f>
        <v>21</v>
      </c>
      <c r="R3011" s="7">
        <f>MONTH('data on outstanding creditors'!$B3011)</f>
        <v>2</v>
      </c>
      <c r="S3011" s="7">
        <f>YEAR('data on outstanding creditors'!$B3011)</f>
        <v>2025</v>
      </c>
      <c r="T3011" s="11" t="str">
        <f>'data on outstanding creditors'!$C3011&amp;" "&amp;'data on outstanding creditors'!$D3011&amp;" "&amp;TEXT('data on outstanding creditors'!$E3011,"#,##0.00")</f>
        <v>บ.ปัญญฤกษ์ 680217 38,000.00</v>
      </c>
      <c r="U3011" s="12"/>
    </row>
    <row r="3012" ht="13.5" customHeight="1">
      <c r="A3012" s="1"/>
      <c r="B3012" s="2">
        <v>45714.0</v>
      </c>
      <c r="C3012" s="9" t="s">
        <v>4698</v>
      </c>
      <c r="D3012" s="1" t="s">
        <v>4705</v>
      </c>
      <c r="E3012" s="4">
        <v>12305.0</v>
      </c>
      <c r="F3012" s="4"/>
      <c r="G3012" s="4"/>
      <c r="H3012" s="4">
        <f>'data on outstanding creditors'!$E3012-'data on outstanding creditors'!$F3012-'data on outstanding creditors'!$G3012</f>
        <v>12305</v>
      </c>
      <c r="I3012" s="2"/>
      <c r="J3012" s="1" t="s">
        <v>646</v>
      </c>
      <c r="K3012" s="2">
        <v>45928.0</v>
      </c>
      <c r="L3012" s="5"/>
      <c r="M3012" s="9" t="s">
        <v>4687</v>
      </c>
      <c r="N3012" s="9" t="s">
        <v>23</v>
      </c>
      <c r="O3012" s="10">
        <f>'data on outstanding creditors'!$E3012*100/107</f>
        <v>11500</v>
      </c>
      <c r="P3012" s="10">
        <f>'data on outstanding creditors'!$E3012-'data on outstanding creditors'!$O3012</f>
        <v>805</v>
      </c>
      <c r="Q3012" s="7">
        <f>DAY('data on outstanding creditors'!$B3012)</f>
        <v>26</v>
      </c>
      <c r="R3012" s="7">
        <f>MONTH('data on outstanding creditors'!$B3012)</f>
        <v>2</v>
      </c>
      <c r="S3012" s="7">
        <f>YEAR('data on outstanding creditors'!$B3012)</f>
        <v>2025</v>
      </c>
      <c r="T3012" s="11" t="str">
        <f>'data on outstanding creditors'!$C3012&amp;" "&amp;'data on outstanding creditors'!$D3012&amp;" "&amp;TEXT('data on outstanding creditors'!$E3012,"#,##0.00")</f>
        <v>บ.เฟอร์โน่ FN/IV6801246 12,305.00</v>
      </c>
      <c r="U3012" s="12"/>
    </row>
    <row r="3013" ht="13.5" customHeight="1">
      <c r="A3013" s="1"/>
      <c r="B3013" s="2">
        <v>45715.0</v>
      </c>
      <c r="C3013" s="9" t="s">
        <v>4685</v>
      </c>
      <c r="D3013" s="1" t="s">
        <v>4706</v>
      </c>
      <c r="E3013" s="4">
        <v>18671.5</v>
      </c>
      <c r="F3013" s="4"/>
      <c r="G3013" s="4"/>
      <c r="H3013" s="4">
        <f>'data on outstanding creditors'!$E3013-'data on outstanding creditors'!$F3013-'data on outstanding creditors'!$G3013</f>
        <v>18671.5</v>
      </c>
      <c r="I3013" s="2"/>
      <c r="J3013" s="1" t="s">
        <v>757</v>
      </c>
      <c r="K3013" s="2">
        <v>45790.0</v>
      </c>
      <c r="L3013" s="5"/>
      <c r="M3013" s="9" t="s">
        <v>4687</v>
      </c>
      <c r="N3013" s="9" t="s">
        <v>23</v>
      </c>
      <c r="O3013" s="10">
        <f>'data on outstanding creditors'!$E3013*100/107</f>
        <v>17450</v>
      </c>
      <c r="P3013" s="10">
        <f>'data on outstanding creditors'!$E3013-'data on outstanding creditors'!$O3013</f>
        <v>1221.5</v>
      </c>
      <c r="Q3013" s="7">
        <f>DAY('data on outstanding creditors'!$B3013)</f>
        <v>27</v>
      </c>
      <c r="R3013" s="7">
        <f>MONTH('data on outstanding creditors'!$B3013)</f>
        <v>2</v>
      </c>
      <c r="S3013" s="7">
        <f>YEAR('data on outstanding creditors'!$B3013)</f>
        <v>2025</v>
      </c>
      <c r="T3013" s="11" t="str">
        <f>'data on outstanding creditors'!$C3013&amp;" "&amp;'data on outstanding creditors'!$D3013&amp;" "&amp;TEXT('data on outstanding creditors'!$E3013,"#,##0.00")</f>
        <v>บ.เอกตรงเคมีภัณฑ์ (1985) 68020345 18,671.50</v>
      </c>
      <c r="U3013" s="12"/>
    </row>
    <row r="3014" ht="13.5" customHeight="1">
      <c r="A3014" s="1"/>
      <c r="B3014" s="2">
        <v>45721.0</v>
      </c>
      <c r="C3014" s="9" t="s">
        <v>4227</v>
      </c>
      <c r="D3014" s="1" t="s">
        <v>4707</v>
      </c>
      <c r="E3014" s="4">
        <v>85000.0</v>
      </c>
      <c r="F3014" s="4"/>
      <c r="G3014" s="4"/>
      <c r="H3014" s="4">
        <f>'data on outstanding creditors'!$E3014-'data on outstanding creditors'!$F3014-'data on outstanding creditors'!$G3014</f>
        <v>85000</v>
      </c>
      <c r="I3014" s="2"/>
      <c r="J3014" s="1" t="s">
        <v>646</v>
      </c>
      <c r="K3014" s="2">
        <v>45855.0</v>
      </c>
      <c r="L3014" s="5"/>
      <c r="M3014" s="9" t="s">
        <v>4687</v>
      </c>
      <c r="N3014" s="9" t="s">
        <v>23</v>
      </c>
      <c r="O3014" s="10">
        <f>'data on outstanding creditors'!$E3014*100/107</f>
        <v>79439.25234</v>
      </c>
      <c r="P3014" s="10">
        <f>'data on outstanding creditors'!$E3014-'data on outstanding creditors'!$O3014</f>
        <v>5560.747664</v>
      </c>
      <c r="Q3014" s="7">
        <f>DAY('data on outstanding creditors'!$B3014)</f>
        <v>5</v>
      </c>
      <c r="R3014" s="7">
        <f>MONTH('data on outstanding creditors'!$B3014)</f>
        <v>3</v>
      </c>
      <c r="S3014" s="7">
        <f>YEAR('data on outstanding creditors'!$B3014)</f>
        <v>2025</v>
      </c>
      <c r="T3014" s="11" t="str">
        <f>'data on outstanding creditors'!$C3014&amp;" "&amp;'data on outstanding creditors'!$D3014&amp;" "&amp;TEXT('data on outstanding creditors'!$E3014,"#,##0.00")</f>
        <v>บ.โมเดอร์น พริ้นเทค แอนด์ เลเบิ้ล 67713 85,000.00</v>
      </c>
      <c r="U3014" s="12"/>
    </row>
    <row r="3015" ht="13.5" customHeight="1">
      <c r="A3015" s="1"/>
      <c r="B3015" s="2">
        <v>45727.0</v>
      </c>
      <c r="C3015" s="9" t="s">
        <v>1114</v>
      </c>
      <c r="D3015" s="1" t="s">
        <v>4708</v>
      </c>
      <c r="E3015" s="4">
        <v>30900.0</v>
      </c>
      <c r="F3015" s="4"/>
      <c r="G3015" s="4"/>
      <c r="H3015" s="4">
        <f>'data on outstanding creditors'!$E3015-'data on outstanding creditors'!$F3015-'data on outstanding creditors'!$G3015</f>
        <v>30900</v>
      </c>
      <c r="I3015" s="2"/>
      <c r="J3015" s="1" t="s">
        <v>646</v>
      </c>
      <c r="K3015" s="2">
        <v>45815.0</v>
      </c>
      <c r="L3015" s="5"/>
      <c r="M3015" s="9" t="s">
        <v>4687</v>
      </c>
      <c r="N3015" s="9" t="s">
        <v>23</v>
      </c>
      <c r="O3015" s="10">
        <f>'data on outstanding creditors'!$E3015*100/107</f>
        <v>28878.50467</v>
      </c>
      <c r="P3015" s="10">
        <f>'data on outstanding creditors'!$E3015-'data on outstanding creditors'!$O3015</f>
        <v>2021.495327</v>
      </c>
      <c r="Q3015" s="7">
        <f>DAY('data on outstanding creditors'!$B3015)</f>
        <v>11</v>
      </c>
      <c r="R3015" s="7">
        <f>MONTH('data on outstanding creditors'!$B3015)</f>
        <v>3</v>
      </c>
      <c r="S3015" s="7">
        <f>YEAR('data on outstanding creditors'!$B3015)</f>
        <v>2025</v>
      </c>
      <c r="T3015" s="11" t="str">
        <f>'data on outstanding creditors'!$C3015&amp;" "&amp;'data on outstanding creditors'!$D3015&amp;" "&amp;TEXT('data on outstanding creditors'!$E3015,"#,##0.00")</f>
        <v>หจก.อิเลฟเว่น พลัซ EL680303028 30,900.00</v>
      </c>
      <c r="U3015" s="12"/>
    </row>
    <row r="3016" ht="13.5" customHeight="1">
      <c r="A3016" s="1"/>
      <c r="B3016" s="2">
        <v>45730.0</v>
      </c>
      <c r="C3016" s="9" t="s">
        <v>401</v>
      </c>
      <c r="D3016" s="1" t="s">
        <v>4709</v>
      </c>
      <c r="E3016" s="4">
        <v>7704.0</v>
      </c>
      <c r="F3016" s="4"/>
      <c r="G3016" s="4"/>
      <c r="H3016" s="4">
        <f>'data on outstanding creditors'!$E3016-'data on outstanding creditors'!$F3016-'data on outstanding creditors'!$G3016</f>
        <v>7704</v>
      </c>
      <c r="I3016" s="2"/>
      <c r="J3016" s="1" t="s">
        <v>646</v>
      </c>
      <c r="K3016" s="2">
        <v>45815.0</v>
      </c>
      <c r="L3016" s="5"/>
      <c r="M3016" s="9" t="s">
        <v>4687</v>
      </c>
      <c r="N3016" s="9" t="s">
        <v>23</v>
      </c>
      <c r="O3016" s="10">
        <f>'data on outstanding creditors'!$E3016*100/107</f>
        <v>7200</v>
      </c>
      <c r="P3016" s="10">
        <f>'data on outstanding creditors'!$E3016-'data on outstanding creditors'!$O3016</f>
        <v>504</v>
      </c>
      <c r="Q3016" s="7">
        <f>DAY('data on outstanding creditors'!$B3016)</f>
        <v>14</v>
      </c>
      <c r="R3016" s="7">
        <f>MONTH('data on outstanding creditors'!$B3016)</f>
        <v>3</v>
      </c>
      <c r="S3016" s="7">
        <f>YEAR('data on outstanding creditors'!$B3016)</f>
        <v>2025</v>
      </c>
      <c r="T3016" s="11" t="str">
        <f>'data on outstanding creditors'!$C3016&amp;" "&amp;'data on outstanding creditors'!$D3016&amp;" "&amp;TEXT('data on outstanding creditors'!$E3016,"#,##0.00")</f>
        <v>องค์การเภสัชกรรม 3000979282 7,704.00</v>
      </c>
      <c r="U3016" s="12"/>
    </row>
    <row r="3017" ht="13.5" customHeight="1">
      <c r="A3017" s="1"/>
      <c r="B3017" s="2">
        <v>45734.0</v>
      </c>
      <c r="C3017" s="9" t="s">
        <v>4703</v>
      </c>
      <c r="D3017" s="1" t="s">
        <v>4710</v>
      </c>
      <c r="E3017" s="4">
        <v>8500.0</v>
      </c>
      <c r="F3017" s="4"/>
      <c r="G3017" s="4"/>
      <c r="H3017" s="4">
        <f>'data on outstanding creditors'!$E3017-'data on outstanding creditors'!$F3017-'data on outstanding creditors'!$G3017</f>
        <v>8500</v>
      </c>
      <c r="I3017" s="2"/>
      <c r="J3017" s="1" t="s">
        <v>646</v>
      </c>
      <c r="K3017" s="2">
        <v>45894.0</v>
      </c>
      <c r="L3017" s="5"/>
      <c r="M3017" s="9" t="s">
        <v>4687</v>
      </c>
      <c r="N3017" s="9" t="s">
        <v>23</v>
      </c>
      <c r="O3017" s="10">
        <f>'data on outstanding creditors'!$E3017*100/107</f>
        <v>7943.925234</v>
      </c>
      <c r="P3017" s="10">
        <f>'data on outstanding creditors'!$E3017-'data on outstanding creditors'!$O3017</f>
        <v>556.0747664</v>
      </c>
      <c r="Q3017" s="7">
        <f>DAY('data on outstanding creditors'!$B3017)</f>
        <v>18</v>
      </c>
      <c r="R3017" s="7">
        <f>MONTH('data on outstanding creditors'!$B3017)</f>
        <v>3</v>
      </c>
      <c r="S3017" s="7">
        <f>YEAR('data on outstanding creditors'!$B3017)</f>
        <v>2025</v>
      </c>
      <c r="T3017" s="11" t="str">
        <f>'data on outstanding creditors'!$C3017&amp;" "&amp;'data on outstanding creditors'!$D3017&amp;" "&amp;TEXT('data on outstanding creditors'!$E3017,"#,##0.00")</f>
        <v>บ.ปัญญฤกษ์ 680312 8,500.00</v>
      </c>
      <c r="U3017" s="12"/>
    </row>
    <row r="3018" ht="13.5" customHeight="1">
      <c r="A3018" s="1"/>
      <c r="B3018" s="2">
        <v>45735.0</v>
      </c>
      <c r="C3018" s="9" t="s">
        <v>1320</v>
      </c>
      <c r="D3018" s="1" t="s">
        <v>4711</v>
      </c>
      <c r="E3018" s="4">
        <v>6666.1</v>
      </c>
      <c r="F3018" s="4"/>
      <c r="G3018" s="4"/>
      <c r="H3018" s="4">
        <f>'data on outstanding creditors'!$E3018-'data on outstanding creditors'!$F3018-'data on outstanding creditors'!$G3018</f>
        <v>6666.1</v>
      </c>
      <c r="I3018" s="2"/>
      <c r="J3018" s="1" t="s">
        <v>646</v>
      </c>
      <c r="K3018" s="2">
        <v>45866.0</v>
      </c>
      <c r="L3018" s="5"/>
      <c r="M3018" s="9" t="s">
        <v>4687</v>
      </c>
      <c r="N3018" s="9" t="s">
        <v>23</v>
      </c>
      <c r="O3018" s="10">
        <f>'data on outstanding creditors'!$E3018*100/107</f>
        <v>6230</v>
      </c>
      <c r="P3018" s="10">
        <f>'data on outstanding creditors'!$E3018-'data on outstanding creditors'!$O3018</f>
        <v>436.1</v>
      </c>
      <c r="Q3018" s="7">
        <f>DAY('data on outstanding creditors'!$B3018)</f>
        <v>19</v>
      </c>
      <c r="R3018" s="7">
        <f>MONTH('data on outstanding creditors'!$B3018)</f>
        <v>3</v>
      </c>
      <c r="S3018" s="7">
        <f>YEAR('data on outstanding creditors'!$B3018)</f>
        <v>2025</v>
      </c>
      <c r="T3018" s="11" t="str">
        <f>'data on outstanding creditors'!$C3018&amp;" "&amp;'data on outstanding creditors'!$D3018&amp;" "&amp;TEXT('data on outstanding creditors'!$E3018,"#,##0.00")</f>
        <v>บ.บี.เอ็ล.ฮั้ว 68009615 6,666.10</v>
      </c>
      <c r="U3018" s="12"/>
    </row>
    <row r="3019" ht="13.5" customHeight="1">
      <c r="A3019" s="1"/>
      <c r="B3019" s="2">
        <v>45736.0</v>
      </c>
      <c r="C3019" s="9" t="s">
        <v>4685</v>
      </c>
      <c r="D3019" s="1" t="s">
        <v>4712</v>
      </c>
      <c r="E3019" s="4">
        <v>10560.9</v>
      </c>
      <c r="F3019" s="4"/>
      <c r="G3019" s="4"/>
      <c r="H3019" s="4">
        <f>'data on outstanding creditors'!$E3019-'data on outstanding creditors'!$F3019-'data on outstanding creditors'!$G3019</f>
        <v>10560.9</v>
      </c>
      <c r="I3019" s="2"/>
      <c r="J3019" s="1" t="s">
        <v>757</v>
      </c>
      <c r="K3019" s="2">
        <v>45806.0</v>
      </c>
      <c r="L3019" s="5"/>
      <c r="M3019" s="9" t="s">
        <v>4687</v>
      </c>
      <c r="N3019" s="9" t="s">
        <v>23</v>
      </c>
      <c r="O3019" s="10">
        <f>'data on outstanding creditors'!$E3019*100/107</f>
        <v>9870</v>
      </c>
      <c r="P3019" s="10">
        <f>'data on outstanding creditors'!$E3019-'data on outstanding creditors'!$O3019</f>
        <v>690.9</v>
      </c>
      <c r="Q3019" s="7">
        <f>DAY('data on outstanding creditors'!$B3019)</f>
        <v>20</v>
      </c>
      <c r="R3019" s="7">
        <f>MONTH('data on outstanding creditors'!$B3019)</f>
        <v>3</v>
      </c>
      <c r="S3019" s="7">
        <f>YEAR('data on outstanding creditors'!$B3019)</f>
        <v>2025</v>
      </c>
      <c r="T3019" s="11" t="str">
        <f>'data on outstanding creditors'!$C3019&amp;" "&amp;'data on outstanding creditors'!$D3019&amp;" "&amp;TEXT('data on outstanding creditors'!$E3019,"#,##0.00")</f>
        <v>บ.เอกตรงเคมีภัณฑ์ (1985) 68030151 10,560.90</v>
      </c>
      <c r="U3019" s="12"/>
    </row>
    <row r="3020" ht="13.5" customHeight="1">
      <c r="A3020" s="1"/>
      <c r="B3020" s="2">
        <v>45750.0</v>
      </c>
      <c r="C3020" s="9" t="s">
        <v>1320</v>
      </c>
      <c r="D3020" s="1" t="s">
        <v>4713</v>
      </c>
      <c r="E3020" s="4">
        <v>3948.3</v>
      </c>
      <c r="F3020" s="4"/>
      <c r="G3020" s="4"/>
      <c r="H3020" s="4">
        <f>'data on outstanding creditors'!$E3020-'data on outstanding creditors'!$F3020-'data on outstanding creditors'!$G3020</f>
        <v>3948.3</v>
      </c>
      <c r="I3020" s="2"/>
      <c r="J3020" s="1" t="s">
        <v>646</v>
      </c>
      <c r="K3020" s="2">
        <v>45866.0</v>
      </c>
      <c r="L3020" s="5"/>
      <c r="M3020" s="9" t="s">
        <v>4687</v>
      </c>
      <c r="N3020" s="9" t="s">
        <v>23</v>
      </c>
      <c r="O3020" s="10">
        <f>'data on outstanding creditors'!$E3020*100/107</f>
        <v>3690</v>
      </c>
      <c r="P3020" s="10">
        <f>'data on outstanding creditors'!$E3020-'data on outstanding creditors'!$O3020</f>
        <v>258.3</v>
      </c>
      <c r="Q3020" s="7">
        <f>DAY('data on outstanding creditors'!$B3020)</f>
        <v>3</v>
      </c>
      <c r="R3020" s="7">
        <f>MONTH('data on outstanding creditors'!$B3020)</f>
        <v>4</v>
      </c>
      <c r="S3020" s="7">
        <f>YEAR('data on outstanding creditors'!$B3020)</f>
        <v>2025</v>
      </c>
      <c r="T3020" s="11" t="str">
        <f>'data on outstanding creditors'!$C3020&amp;" "&amp;'data on outstanding creditors'!$D3020&amp;" "&amp;TEXT('data on outstanding creditors'!$E3020,"#,##0.00")</f>
        <v>บ.บี.เอ็ล.ฮั้ว 68012006 3,948.30</v>
      </c>
      <c r="U3020" s="12"/>
    </row>
    <row r="3021" ht="13.5" customHeight="1">
      <c r="A3021" s="1"/>
      <c r="B3021" s="2">
        <v>45750.0</v>
      </c>
      <c r="C3021" s="9" t="s">
        <v>4685</v>
      </c>
      <c r="D3021" s="1" t="s">
        <v>4714</v>
      </c>
      <c r="E3021" s="4">
        <v>9330.4</v>
      </c>
      <c r="F3021" s="4"/>
      <c r="G3021" s="4"/>
      <c r="H3021" s="4">
        <f>'data on outstanding creditors'!$E3021-'data on outstanding creditors'!$F3021-'data on outstanding creditors'!$G3021</f>
        <v>9330.4</v>
      </c>
      <c r="I3021" s="2"/>
      <c r="J3021" s="1" t="s">
        <v>757</v>
      </c>
      <c r="K3021" s="2">
        <v>45818.0</v>
      </c>
      <c r="L3021" s="5"/>
      <c r="M3021" s="9" t="s">
        <v>4687</v>
      </c>
      <c r="N3021" s="9" t="s">
        <v>23</v>
      </c>
      <c r="O3021" s="10">
        <f>'data on outstanding creditors'!$E3021*100/107</f>
        <v>8720</v>
      </c>
      <c r="P3021" s="10">
        <f>'data on outstanding creditors'!$E3021-'data on outstanding creditors'!$O3021</f>
        <v>610.4</v>
      </c>
      <c r="Q3021" s="7">
        <f>DAY('data on outstanding creditors'!$B3021)</f>
        <v>3</v>
      </c>
      <c r="R3021" s="7">
        <f>MONTH('data on outstanding creditors'!$B3021)</f>
        <v>4</v>
      </c>
      <c r="S3021" s="7">
        <f>YEAR('data on outstanding creditors'!$B3021)</f>
        <v>2025</v>
      </c>
      <c r="T3021" s="11" t="str">
        <f>'data on outstanding creditors'!$C3021&amp;" "&amp;'data on outstanding creditors'!$D3021&amp;" "&amp;TEXT('data on outstanding creditors'!$E3021,"#,##0.00")</f>
        <v>บ.เอกตรงเคมีภัณฑ์ (1985) 68030411 9,330.40</v>
      </c>
      <c r="U3021" s="12"/>
    </row>
    <row r="3022" ht="13.5" customHeight="1">
      <c r="A3022" s="1"/>
      <c r="B3022" s="2">
        <v>45750.0</v>
      </c>
      <c r="C3022" s="9" t="s">
        <v>4698</v>
      </c>
      <c r="D3022" s="1" t="s">
        <v>4715</v>
      </c>
      <c r="E3022" s="4">
        <v>12305.0</v>
      </c>
      <c r="F3022" s="4"/>
      <c r="G3022" s="4"/>
      <c r="H3022" s="4">
        <f>'data on outstanding creditors'!$E3022-'data on outstanding creditors'!$F3022-'data on outstanding creditors'!$G3022</f>
        <v>12305</v>
      </c>
      <c r="I3022" s="2"/>
      <c r="J3022" s="1" t="s">
        <v>646</v>
      </c>
      <c r="K3022" s="2">
        <v>45928.0</v>
      </c>
      <c r="L3022" s="5"/>
      <c r="M3022" s="9" t="s">
        <v>4687</v>
      </c>
      <c r="N3022" s="9" t="s">
        <v>23</v>
      </c>
      <c r="O3022" s="10">
        <f>'data on outstanding creditors'!$E3022*100/107</f>
        <v>11500</v>
      </c>
      <c r="P3022" s="10">
        <f>'data on outstanding creditors'!$E3022-'data on outstanding creditors'!$O3022</f>
        <v>805</v>
      </c>
      <c r="Q3022" s="7">
        <f>DAY('data on outstanding creditors'!$B3022)</f>
        <v>3</v>
      </c>
      <c r="R3022" s="7">
        <f>MONTH('data on outstanding creditors'!$B3022)</f>
        <v>4</v>
      </c>
      <c r="S3022" s="7">
        <f>YEAR('data on outstanding creditors'!$B3022)</f>
        <v>2025</v>
      </c>
      <c r="T3022" s="11" t="str">
        <f>'data on outstanding creditors'!$C3022&amp;" "&amp;'data on outstanding creditors'!$D3022&amp;" "&amp;TEXT('data on outstanding creditors'!$E3022,"#,##0.00")</f>
        <v>บ.เฟอร์โน่ FN/IV6802808 12,305.00</v>
      </c>
      <c r="U3022" s="12"/>
    </row>
    <row r="3023" ht="13.5" customHeight="1">
      <c r="A3023" s="1"/>
      <c r="B3023" s="2">
        <v>45756.0</v>
      </c>
      <c r="C3023" s="9" t="s">
        <v>4695</v>
      </c>
      <c r="D3023" s="1" t="s">
        <v>4716</v>
      </c>
      <c r="E3023" s="4">
        <v>18200.0</v>
      </c>
      <c r="F3023" s="4"/>
      <c r="G3023" s="4"/>
      <c r="H3023" s="4">
        <f>'data on outstanding creditors'!$E3023-'data on outstanding creditors'!$F3023-'data on outstanding creditors'!$G3023</f>
        <v>18200</v>
      </c>
      <c r="I3023" s="2"/>
      <c r="J3023" s="1" t="s">
        <v>646</v>
      </c>
      <c r="K3023" s="2">
        <v>45944.0</v>
      </c>
      <c r="L3023" s="5"/>
      <c r="M3023" s="9" t="s">
        <v>4687</v>
      </c>
      <c r="N3023" s="9" t="s">
        <v>23</v>
      </c>
      <c r="O3023" s="10">
        <f>'data on outstanding creditors'!$E3023*100/107</f>
        <v>17009.34579</v>
      </c>
      <c r="P3023" s="10">
        <f>'data on outstanding creditors'!$E3023-'data on outstanding creditors'!$O3023</f>
        <v>1190.654206</v>
      </c>
      <c r="Q3023" s="7">
        <f>DAY('data on outstanding creditors'!$B3023)</f>
        <v>9</v>
      </c>
      <c r="R3023" s="7">
        <f>MONTH('data on outstanding creditors'!$B3023)</f>
        <v>4</v>
      </c>
      <c r="S3023" s="7">
        <f>YEAR('data on outstanding creditors'!$B3023)</f>
        <v>2025</v>
      </c>
      <c r="T3023" s="11" t="str">
        <f>'data on outstanding creditors'!$C3023&amp;" "&amp;'data on outstanding creditors'!$D3023&amp;" "&amp;TEXT('data on outstanding creditors'!$E3023,"#,##0.00")</f>
        <v>บ.อัมรินทร์ มาร์เก็ตติ้ง AMH0018193 18,200.00</v>
      </c>
      <c r="U3023" s="12"/>
    </row>
    <row r="3024" ht="13.5" customHeight="1">
      <c r="A3024" s="1"/>
      <c r="B3024" s="2">
        <v>45757.0</v>
      </c>
      <c r="C3024" s="9" t="s">
        <v>2816</v>
      </c>
      <c r="D3024" s="1" t="s">
        <v>4717</v>
      </c>
      <c r="E3024" s="4">
        <v>5750.0</v>
      </c>
      <c r="F3024" s="4"/>
      <c r="G3024" s="4"/>
      <c r="H3024" s="4">
        <f>'data on outstanding creditors'!$E3024-'data on outstanding creditors'!$F3024-'data on outstanding creditors'!$G3024</f>
        <v>5750</v>
      </c>
      <c r="I3024" s="2"/>
      <c r="J3024" s="1" t="s">
        <v>646</v>
      </c>
      <c r="K3024" s="2">
        <v>45855.0</v>
      </c>
      <c r="L3024" s="5"/>
      <c r="M3024" s="9" t="s">
        <v>4687</v>
      </c>
      <c r="N3024" s="9" t="s">
        <v>23</v>
      </c>
      <c r="O3024" s="10">
        <f>'data on outstanding creditors'!$E3024*100/107</f>
        <v>5373.831776</v>
      </c>
      <c r="P3024" s="10">
        <f>'data on outstanding creditors'!$E3024-'data on outstanding creditors'!$O3024</f>
        <v>376.1682243</v>
      </c>
      <c r="Q3024" s="7">
        <f>DAY('data on outstanding creditors'!$B3024)</f>
        <v>10</v>
      </c>
      <c r="R3024" s="7">
        <f>MONTH('data on outstanding creditors'!$B3024)</f>
        <v>4</v>
      </c>
      <c r="S3024" s="7">
        <f>YEAR('data on outstanding creditors'!$B3024)</f>
        <v>2025</v>
      </c>
      <c r="T3024" s="11" t="str">
        <f>'data on outstanding creditors'!$C3024&amp;" "&amp;'data on outstanding creditors'!$D3024&amp;" "&amp;TEXT('data on outstanding creditors'!$E3024,"#,##0.00")</f>
        <v>บ.ไทปันซัมมิท TP680325077 5,750.00</v>
      </c>
      <c r="U3024" s="12"/>
    </row>
    <row r="3025" ht="13.5" customHeight="1">
      <c r="A3025" s="1"/>
      <c r="B3025" s="2">
        <v>45757.0</v>
      </c>
      <c r="C3025" s="9" t="s">
        <v>4703</v>
      </c>
      <c r="D3025" s="1" t="s">
        <v>4718</v>
      </c>
      <c r="E3025" s="4">
        <v>23000.0</v>
      </c>
      <c r="F3025" s="4"/>
      <c r="G3025" s="4"/>
      <c r="H3025" s="4">
        <f>'data on outstanding creditors'!$E3025-'data on outstanding creditors'!$F3025-'data on outstanding creditors'!$G3025</f>
        <v>23000</v>
      </c>
      <c r="I3025" s="2"/>
      <c r="J3025" s="1" t="s">
        <v>646</v>
      </c>
      <c r="K3025" s="2">
        <v>45894.0</v>
      </c>
      <c r="L3025" s="5"/>
      <c r="M3025" s="9" t="s">
        <v>4687</v>
      </c>
      <c r="N3025" s="9" t="s">
        <v>23</v>
      </c>
      <c r="O3025" s="10">
        <f>'data on outstanding creditors'!$E3025*100/107</f>
        <v>21495.3271</v>
      </c>
      <c r="P3025" s="10">
        <f>'data on outstanding creditors'!$E3025-'data on outstanding creditors'!$O3025</f>
        <v>1504.672897</v>
      </c>
      <c r="Q3025" s="7">
        <f>DAY('data on outstanding creditors'!$B3025)</f>
        <v>10</v>
      </c>
      <c r="R3025" s="7">
        <f>MONTH('data on outstanding creditors'!$B3025)</f>
        <v>4</v>
      </c>
      <c r="S3025" s="7">
        <f>YEAR('data on outstanding creditors'!$B3025)</f>
        <v>2025</v>
      </c>
      <c r="T3025" s="11" t="str">
        <f>'data on outstanding creditors'!$C3025&amp;" "&amp;'data on outstanding creditors'!$D3025&amp;" "&amp;TEXT('data on outstanding creditors'!$E3025,"#,##0.00")</f>
        <v>บ.ปัญญฤกษ์ 680419 23,000.00</v>
      </c>
      <c r="U3025" s="12"/>
    </row>
    <row r="3026" ht="13.5" customHeight="1">
      <c r="A3026" s="1"/>
      <c r="B3026" s="2">
        <v>45757.0</v>
      </c>
      <c r="C3026" s="9" t="s">
        <v>1320</v>
      </c>
      <c r="D3026" s="1" t="s">
        <v>4719</v>
      </c>
      <c r="E3026" s="4">
        <v>4381.65</v>
      </c>
      <c r="F3026" s="4"/>
      <c r="G3026" s="4"/>
      <c r="H3026" s="4">
        <f>'data on outstanding creditors'!$E3026-'data on outstanding creditors'!$F3026-'data on outstanding creditors'!$G3026</f>
        <v>4381.65</v>
      </c>
      <c r="I3026" s="2"/>
      <c r="J3026" s="1" t="s">
        <v>646</v>
      </c>
      <c r="K3026" s="2">
        <v>45866.0</v>
      </c>
      <c r="L3026" s="5"/>
      <c r="M3026" s="9" t="s">
        <v>4687</v>
      </c>
      <c r="N3026" s="9" t="s">
        <v>23</v>
      </c>
      <c r="O3026" s="10">
        <f>'data on outstanding creditors'!$E3026*100/107</f>
        <v>4095</v>
      </c>
      <c r="P3026" s="10">
        <f>'data on outstanding creditors'!$E3026-'data on outstanding creditors'!$O3026</f>
        <v>286.65</v>
      </c>
      <c r="Q3026" s="7">
        <f>DAY('data on outstanding creditors'!$B3026)</f>
        <v>10</v>
      </c>
      <c r="R3026" s="7">
        <f>MONTH('data on outstanding creditors'!$B3026)</f>
        <v>4</v>
      </c>
      <c r="S3026" s="7">
        <f>YEAR('data on outstanding creditors'!$B3026)</f>
        <v>2025</v>
      </c>
      <c r="T3026" s="11" t="str">
        <f>'data on outstanding creditors'!$C3026&amp;" "&amp;'data on outstanding creditors'!$D3026&amp;" "&amp;TEXT('data on outstanding creditors'!$E3026,"#,##0.00")</f>
        <v>บ.บี.เอ็ล.ฮั้ว 68012492 4,381.65</v>
      </c>
      <c r="U3026" s="12"/>
    </row>
    <row r="3027" ht="13.5" customHeight="1">
      <c r="A3027" s="1"/>
      <c r="B3027" s="2">
        <v>45758.0</v>
      </c>
      <c r="C3027" s="9" t="s">
        <v>4227</v>
      </c>
      <c r="D3027" s="1" t="s">
        <v>4720</v>
      </c>
      <c r="E3027" s="4">
        <v>6000.0</v>
      </c>
      <c r="F3027" s="4"/>
      <c r="G3027" s="4"/>
      <c r="H3027" s="4">
        <f>'data on outstanding creditors'!$E3027-'data on outstanding creditors'!$F3027-'data on outstanding creditors'!$G3027</f>
        <v>6000</v>
      </c>
      <c r="I3027" s="2"/>
      <c r="J3027" s="1" t="s">
        <v>646</v>
      </c>
      <c r="K3027" s="2">
        <v>45855.0</v>
      </c>
      <c r="L3027" s="5"/>
      <c r="M3027" s="9" t="s">
        <v>4687</v>
      </c>
      <c r="N3027" s="9" t="s">
        <v>23</v>
      </c>
      <c r="O3027" s="10">
        <f>'data on outstanding creditors'!$E3027*100/107</f>
        <v>5607.476636</v>
      </c>
      <c r="P3027" s="10">
        <f>'data on outstanding creditors'!$E3027-'data on outstanding creditors'!$O3027</f>
        <v>392.5233645</v>
      </c>
      <c r="Q3027" s="7">
        <f>DAY('data on outstanding creditors'!$B3027)</f>
        <v>11</v>
      </c>
      <c r="R3027" s="7">
        <f>MONTH('data on outstanding creditors'!$B3027)</f>
        <v>4</v>
      </c>
      <c r="S3027" s="7">
        <f>YEAR('data on outstanding creditors'!$B3027)</f>
        <v>2025</v>
      </c>
      <c r="T3027" s="11" t="str">
        <f>'data on outstanding creditors'!$C3027&amp;" "&amp;'data on outstanding creditors'!$D3027&amp;" "&amp;TEXT('data on outstanding creditors'!$E3027,"#,##0.00")</f>
        <v>บ.โมเดอร์น พริ้นเทค แอนด์ เลเบิ้ล 67964 6,000.00</v>
      </c>
      <c r="U3027" s="12"/>
    </row>
    <row r="3028" ht="13.5" customHeight="1">
      <c r="A3028" s="1"/>
      <c r="B3028" s="2">
        <v>45765.0</v>
      </c>
      <c r="C3028" s="9" t="s">
        <v>4685</v>
      </c>
      <c r="D3028" s="1" t="s">
        <v>4721</v>
      </c>
      <c r="E3028" s="4">
        <v>3119.05</v>
      </c>
      <c r="F3028" s="4"/>
      <c r="G3028" s="4"/>
      <c r="H3028" s="4">
        <f>'data on outstanding creditors'!$E3028-'data on outstanding creditors'!$F3028-'data on outstanding creditors'!$G3028</f>
        <v>3119.05</v>
      </c>
      <c r="I3028" s="2"/>
      <c r="J3028" s="1" t="s">
        <v>757</v>
      </c>
      <c r="K3028" s="2">
        <v>45818.0</v>
      </c>
      <c r="L3028" s="5"/>
      <c r="M3028" s="9" t="s">
        <v>4687</v>
      </c>
      <c r="N3028" s="9" t="s">
        <v>23</v>
      </c>
      <c r="O3028" s="10">
        <f>'data on outstanding creditors'!$E3028*100/107</f>
        <v>2915</v>
      </c>
      <c r="P3028" s="10">
        <f>'data on outstanding creditors'!$E3028-'data on outstanding creditors'!$O3028</f>
        <v>204.05</v>
      </c>
      <c r="Q3028" s="7">
        <f>DAY('data on outstanding creditors'!$B3028)</f>
        <v>18</v>
      </c>
      <c r="R3028" s="7">
        <f>MONTH('data on outstanding creditors'!$B3028)</f>
        <v>4</v>
      </c>
      <c r="S3028" s="7">
        <f>YEAR('data on outstanding creditors'!$B3028)</f>
        <v>2025</v>
      </c>
      <c r="T3028" s="11" t="str">
        <f>'data on outstanding creditors'!$C3028&amp;" "&amp;'data on outstanding creditors'!$D3028&amp;" "&amp;TEXT('data on outstanding creditors'!$E3028,"#,##0.00")</f>
        <v>บ.เอกตรงเคมีภัณฑ์ (1985) 68040110 3,119.05</v>
      </c>
      <c r="U3028" s="12"/>
    </row>
    <row r="3029" ht="13.5" customHeight="1">
      <c r="A3029" s="1"/>
      <c r="B3029" s="2">
        <v>45777.0</v>
      </c>
      <c r="C3029" s="9" t="s">
        <v>1320</v>
      </c>
      <c r="D3029" s="1" t="s">
        <v>4722</v>
      </c>
      <c r="E3029" s="4">
        <v>3263.5</v>
      </c>
      <c r="F3029" s="4"/>
      <c r="G3029" s="4"/>
      <c r="H3029" s="4">
        <f>'data on outstanding creditors'!$E3029-'data on outstanding creditors'!$F3029-'data on outstanding creditors'!$G3029</f>
        <v>3263.5</v>
      </c>
      <c r="I3029" s="2"/>
      <c r="J3029" s="1" t="s">
        <v>646</v>
      </c>
      <c r="K3029" s="2">
        <v>45866.0</v>
      </c>
      <c r="L3029" s="5"/>
      <c r="M3029" s="9" t="s">
        <v>4687</v>
      </c>
      <c r="N3029" s="9" t="s">
        <v>23</v>
      </c>
      <c r="O3029" s="10">
        <f>'data on outstanding creditors'!$E3029*100/107</f>
        <v>3050</v>
      </c>
      <c r="P3029" s="10">
        <f>'data on outstanding creditors'!$E3029-'data on outstanding creditors'!$O3029</f>
        <v>213.5</v>
      </c>
      <c r="Q3029" s="7">
        <f>DAY('data on outstanding creditors'!$B3029)</f>
        <v>30</v>
      </c>
      <c r="R3029" s="7">
        <f>MONTH('data on outstanding creditors'!$B3029)</f>
        <v>4</v>
      </c>
      <c r="S3029" s="7">
        <f>YEAR('data on outstanding creditors'!$B3029)</f>
        <v>2025</v>
      </c>
      <c r="T3029" s="11" t="str">
        <f>'data on outstanding creditors'!$C3029&amp;" "&amp;'data on outstanding creditors'!$D3029&amp;" "&amp;TEXT('data on outstanding creditors'!$E3029,"#,##0.00")</f>
        <v>บ.บี.เอ็ล.ฮั้ว 68014218 3,263.50</v>
      </c>
      <c r="U3029" s="12"/>
    </row>
    <row r="3030" ht="13.5" customHeight="1">
      <c r="A3030" s="1"/>
      <c r="B3030" s="2">
        <v>45777.0</v>
      </c>
      <c r="C3030" s="9" t="s">
        <v>4685</v>
      </c>
      <c r="D3030" s="1" t="s">
        <v>4723</v>
      </c>
      <c r="E3030" s="4">
        <v>3049.5</v>
      </c>
      <c r="F3030" s="4"/>
      <c r="G3030" s="4"/>
      <c r="H3030" s="4">
        <f>'data on outstanding creditors'!$E3030-'data on outstanding creditors'!$F3030-'data on outstanding creditors'!$G3030</f>
        <v>3049.5</v>
      </c>
      <c r="I3030" s="2"/>
      <c r="J3030" s="1" t="s">
        <v>757</v>
      </c>
      <c r="K3030" s="2">
        <v>45818.0</v>
      </c>
      <c r="L3030" s="5"/>
      <c r="M3030" s="9" t="s">
        <v>4687</v>
      </c>
      <c r="N3030" s="9" t="s">
        <v>23</v>
      </c>
      <c r="O3030" s="10">
        <f>'data on outstanding creditors'!$E3030*100/107</f>
        <v>2850</v>
      </c>
      <c r="P3030" s="10">
        <f>'data on outstanding creditors'!$E3030-'data on outstanding creditors'!$O3030</f>
        <v>199.5</v>
      </c>
      <c r="Q3030" s="7">
        <f>DAY('data on outstanding creditors'!$B3030)</f>
        <v>30</v>
      </c>
      <c r="R3030" s="7">
        <f>MONTH('data on outstanding creditors'!$B3030)</f>
        <v>4</v>
      </c>
      <c r="S3030" s="7">
        <f>YEAR('data on outstanding creditors'!$B3030)</f>
        <v>2025</v>
      </c>
      <c r="T3030" s="11" t="str">
        <f>'data on outstanding creditors'!$C3030&amp;" "&amp;'data on outstanding creditors'!$D3030&amp;" "&amp;TEXT('data on outstanding creditors'!$E3030,"#,##0.00")</f>
        <v>บ.เอกตรงเคมีภัณฑ์ (1985) 68040245 3,049.50</v>
      </c>
      <c r="U3030" s="12"/>
    </row>
    <row r="3031" ht="13.5" customHeight="1">
      <c r="A3031" s="1"/>
      <c r="B3031" s="2">
        <v>45792.0</v>
      </c>
      <c r="C3031" s="9" t="s">
        <v>1114</v>
      </c>
      <c r="D3031" s="1" t="s">
        <v>4724</v>
      </c>
      <c r="E3031" s="4">
        <v>33725.0</v>
      </c>
      <c r="F3031" s="4"/>
      <c r="G3031" s="4"/>
      <c r="H3031" s="4">
        <f>'data on outstanding creditors'!$E3031-'data on outstanding creditors'!$F3031-'data on outstanding creditors'!$G3031</f>
        <v>33725</v>
      </c>
      <c r="I3031" s="2"/>
      <c r="J3031" s="1" t="s">
        <v>646</v>
      </c>
      <c r="K3031" s="2">
        <v>45877.0</v>
      </c>
      <c r="L3031" s="5"/>
      <c r="M3031" s="9" t="s">
        <v>4687</v>
      </c>
      <c r="N3031" s="9" t="s">
        <v>23</v>
      </c>
      <c r="O3031" s="10">
        <f>'data on outstanding creditors'!$E3031*100/107</f>
        <v>31518.69159</v>
      </c>
      <c r="P3031" s="10">
        <f>'data on outstanding creditors'!$E3031-'data on outstanding creditors'!$O3031</f>
        <v>2206.308411</v>
      </c>
      <c r="Q3031" s="7">
        <f>DAY('data on outstanding creditors'!$B3031)</f>
        <v>15</v>
      </c>
      <c r="R3031" s="7">
        <f>MONTH('data on outstanding creditors'!$B3031)</f>
        <v>5</v>
      </c>
      <c r="S3031" s="7">
        <f>YEAR('data on outstanding creditors'!$B3031)</f>
        <v>2025</v>
      </c>
      <c r="T3031" s="11" t="str">
        <f>'data on outstanding creditors'!$C3031&amp;" "&amp;'data on outstanding creditors'!$D3031&amp;" "&amp;TEXT('data on outstanding creditors'!$E3031,"#,##0.00")</f>
        <v>หจก.อิเลฟเว่น พลัซ EL680512104 33,725.00</v>
      </c>
      <c r="U3031" s="12"/>
    </row>
    <row r="3032" ht="13.5" customHeight="1">
      <c r="A3032" s="1"/>
      <c r="B3032" s="2">
        <v>45798.0</v>
      </c>
      <c r="C3032" s="9" t="s">
        <v>4227</v>
      </c>
      <c r="D3032" s="1" t="s">
        <v>4725</v>
      </c>
      <c r="E3032" s="4">
        <v>85000.0</v>
      </c>
      <c r="F3032" s="4"/>
      <c r="G3032" s="4"/>
      <c r="H3032" s="4">
        <f>'data on outstanding creditors'!$E3032-'data on outstanding creditors'!$F3032-'data on outstanding creditors'!$G3032</f>
        <v>85000</v>
      </c>
      <c r="I3032" s="2"/>
      <c r="J3032" s="1" t="s">
        <v>646</v>
      </c>
      <c r="K3032" s="2">
        <v>45855.0</v>
      </c>
      <c r="L3032" s="5"/>
      <c r="M3032" s="9" t="s">
        <v>4687</v>
      </c>
      <c r="N3032" s="9" t="s">
        <v>23</v>
      </c>
      <c r="O3032" s="10">
        <f>'data on outstanding creditors'!$E3032*100/107</f>
        <v>79439.25234</v>
      </c>
      <c r="P3032" s="10">
        <f>'data on outstanding creditors'!$E3032-'data on outstanding creditors'!$O3032</f>
        <v>5560.747664</v>
      </c>
      <c r="Q3032" s="7">
        <f>DAY('data on outstanding creditors'!$B3032)</f>
        <v>21</v>
      </c>
      <c r="R3032" s="7">
        <f>MONTH('data on outstanding creditors'!$B3032)</f>
        <v>5</v>
      </c>
      <c r="S3032" s="7">
        <f>YEAR('data on outstanding creditors'!$B3032)</f>
        <v>2025</v>
      </c>
      <c r="T3032" s="11" t="str">
        <f>'data on outstanding creditors'!$C3032&amp;" "&amp;'data on outstanding creditors'!$D3032&amp;" "&amp;TEXT('data on outstanding creditors'!$E3032,"#,##0.00")</f>
        <v>บ.โมเดอร์น พริ้นเทค แอนด์ เลเบิ้ล 68155 85,000.00</v>
      </c>
      <c r="U3032" s="12"/>
    </row>
    <row r="3033" ht="13.5" customHeight="1">
      <c r="A3033" s="1"/>
      <c r="B3033" s="2">
        <v>45798.0</v>
      </c>
      <c r="C3033" s="9" t="s">
        <v>4703</v>
      </c>
      <c r="D3033" s="1" t="s">
        <v>4726</v>
      </c>
      <c r="E3033" s="4">
        <v>4500.0</v>
      </c>
      <c r="F3033" s="4"/>
      <c r="G3033" s="4"/>
      <c r="H3033" s="4">
        <f>'data on outstanding creditors'!$E3033-'data on outstanding creditors'!$F3033-'data on outstanding creditors'!$G3033</f>
        <v>4500</v>
      </c>
      <c r="I3033" s="2"/>
      <c r="J3033" s="1" t="s">
        <v>646</v>
      </c>
      <c r="K3033" s="2">
        <v>45894.0</v>
      </c>
      <c r="L3033" s="5"/>
      <c r="M3033" s="9" t="s">
        <v>4687</v>
      </c>
      <c r="N3033" s="9" t="s">
        <v>23</v>
      </c>
      <c r="O3033" s="10">
        <f>'data on outstanding creditors'!$E3033*100/107</f>
        <v>4205.607477</v>
      </c>
      <c r="P3033" s="10">
        <f>'data on outstanding creditors'!$E3033-'data on outstanding creditors'!$O3033</f>
        <v>294.3925234</v>
      </c>
      <c r="Q3033" s="7">
        <f>DAY('data on outstanding creditors'!$B3033)</f>
        <v>21</v>
      </c>
      <c r="R3033" s="7">
        <f>MONTH('data on outstanding creditors'!$B3033)</f>
        <v>5</v>
      </c>
      <c r="S3033" s="7">
        <f>YEAR('data on outstanding creditors'!$B3033)</f>
        <v>2025</v>
      </c>
      <c r="T3033" s="11" t="str">
        <f>'data on outstanding creditors'!$C3033&amp;" "&amp;'data on outstanding creditors'!$D3033&amp;" "&amp;TEXT('data on outstanding creditors'!$E3033,"#,##0.00")</f>
        <v>บ.ปัญญฤกษ์ 680522 4,500.00</v>
      </c>
      <c r="U3033" s="12"/>
    </row>
    <row r="3034" ht="13.5" customHeight="1">
      <c r="A3034" s="1"/>
      <c r="B3034" s="2">
        <v>45799.0</v>
      </c>
      <c r="C3034" s="9" t="s">
        <v>4691</v>
      </c>
      <c r="D3034" s="1" t="s">
        <v>4727</v>
      </c>
      <c r="E3034" s="4">
        <v>12000.0</v>
      </c>
      <c r="F3034" s="4"/>
      <c r="G3034" s="4"/>
      <c r="H3034" s="4">
        <f>'data on outstanding creditors'!$E3034-'data on outstanding creditors'!$F3034-'data on outstanding creditors'!$G3034</f>
        <v>12000</v>
      </c>
      <c r="I3034" s="2"/>
      <c r="J3034" s="1"/>
      <c r="K3034" s="2"/>
      <c r="L3034" s="5"/>
      <c r="M3034" s="9" t="s">
        <v>4687</v>
      </c>
      <c r="N3034" s="9" t="s">
        <v>23</v>
      </c>
      <c r="O3034" s="10">
        <f>'data on outstanding creditors'!$E3034*100/107</f>
        <v>11214.95327</v>
      </c>
      <c r="P3034" s="10">
        <f>'data on outstanding creditors'!$E3034-'data on outstanding creditors'!$O3034</f>
        <v>785.046729</v>
      </c>
      <c r="Q3034" s="7">
        <f>DAY('data on outstanding creditors'!$B3034)</f>
        <v>22</v>
      </c>
      <c r="R3034" s="7">
        <f>MONTH('data on outstanding creditors'!$B3034)</f>
        <v>5</v>
      </c>
      <c r="S3034" s="7">
        <f>YEAR('data on outstanding creditors'!$B3034)</f>
        <v>2025</v>
      </c>
      <c r="T3034" s="11" t="str">
        <f>'data on outstanding creditors'!$C3034&amp;" "&amp;'data on outstanding creditors'!$D3034&amp;" "&amp;TEXT('data on outstanding creditors'!$E3034,"#,##0.00")</f>
        <v>บ.เดอะเฟิร์สท์เฮลท์แคร์ INV2025050043 12,000.00</v>
      </c>
      <c r="U3034" s="12"/>
    </row>
    <row r="3035" ht="13.5" customHeight="1">
      <c r="A3035" s="1"/>
      <c r="B3035" s="2">
        <v>45805.0</v>
      </c>
      <c r="C3035" s="9" t="s">
        <v>401</v>
      </c>
      <c r="D3035" s="1" t="s">
        <v>4728</v>
      </c>
      <c r="E3035" s="4">
        <v>23000.0</v>
      </c>
      <c r="F3035" s="4"/>
      <c r="G3035" s="4"/>
      <c r="H3035" s="4">
        <f>'data on outstanding creditors'!$E3035-'data on outstanding creditors'!$F3035-'data on outstanding creditors'!$G3035</f>
        <v>23000</v>
      </c>
      <c r="I3035" s="2"/>
      <c r="J3035" s="1" t="s">
        <v>646</v>
      </c>
      <c r="K3035" s="2">
        <v>45843.0</v>
      </c>
      <c r="L3035" s="5"/>
      <c r="M3035" s="9" t="s">
        <v>4687</v>
      </c>
      <c r="N3035" s="9" t="s">
        <v>23</v>
      </c>
      <c r="O3035" s="10">
        <f>'data on outstanding creditors'!$E3035*100/107</f>
        <v>21495.3271</v>
      </c>
      <c r="P3035" s="10">
        <f>'data on outstanding creditors'!$E3035-'data on outstanding creditors'!$O3035</f>
        <v>1504.672897</v>
      </c>
      <c r="Q3035" s="7">
        <f>DAY('data on outstanding creditors'!$B3035)</f>
        <v>28</v>
      </c>
      <c r="R3035" s="7">
        <f>MONTH('data on outstanding creditors'!$B3035)</f>
        <v>5</v>
      </c>
      <c r="S3035" s="7">
        <f>YEAR('data on outstanding creditors'!$B3035)</f>
        <v>2025</v>
      </c>
      <c r="T3035" s="11" t="str">
        <f>'data on outstanding creditors'!$C3035&amp;" "&amp;'data on outstanding creditors'!$D3035&amp;" "&amp;TEXT('data on outstanding creditors'!$E3035,"#,##0.00")</f>
        <v>องค์การเภสัชกรรม 3001010015 23,000.00</v>
      </c>
      <c r="U3035" s="12"/>
    </row>
    <row r="3036" ht="13.5" customHeight="1">
      <c r="A3036" s="1"/>
      <c r="B3036" s="2">
        <v>45805.0</v>
      </c>
      <c r="C3036" s="9" t="s">
        <v>1320</v>
      </c>
      <c r="D3036" s="1" t="s">
        <v>4729</v>
      </c>
      <c r="E3036" s="4">
        <v>5698.82</v>
      </c>
      <c r="F3036" s="4"/>
      <c r="G3036" s="4"/>
      <c r="H3036" s="4">
        <f>'data on outstanding creditors'!$E3036-'data on outstanding creditors'!$F3036-'data on outstanding creditors'!$G3036</f>
        <v>5698.82</v>
      </c>
      <c r="I3036" s="2"/>
      <c r="J3036" s="1" t="s">
        <v>646</v>
      </c>
      <c r="K3036" s="2">
        <v>45866.0</v>
      </c>
      <c r="L3036" s="5"/>
      <c r="M3036" s="9" t="s">
        <v>4687</v>
      </c>
      <c r="N3036" s="9" t="s">
        <v>23</v>
      </c>
      <c r="O3036" s="10">
        <f>'data on outstanding creditors'!$E3036*100/107</f>
        <v>5326</v>
      </c>
      <c r="P3036" s="10">
        <f>'data on outstanding creditors'!$E3036-'data on outstanding creditors'!$O3036</f>
        <v>372.82</v>
      </c>
      <c r="Q3036" s="7">
        <f>DAY('data on outstanding creditors'!$B3036)</f>
        <v>28</v>
      </c>
      <c r="R3036" s="7">
        <f>MONTH('data on outstanding creditors'!$B3036)</f>
        <v>5</v>
      </c>
      <c r="S3036" s="7">
        <f>YEAR('data on outstanding creditors'!$B3036)</f>
        <v>2025</v>
      </c>
      <c r="T3036" s="11" t="str">
        <f>'data on outstanding creditors'!$C3036&amp;" "&amp;'data on outstanding creditors'!$D3036&amp;" "&amp;TEXT('data on outstanding creditors'!$E3036,"#,##0.00")</f>
        <v>บ.บี.เอ็ล.ฮั้ว 68017716 5,698.82</v>
      </c>
      <c r="U3036" s="12"/>
    </row>
    <row r="3037" ht="13.5" customHeight="1">
      <c r="A3037" s="1"/>
      <c r="B3037" s="2">
        <v>45807.0</v>
      </c>
      <c r="C3037" s="9" t="s">
        <v>4695</v>
      </c>
      <c r="D3037" s="1" t="s">
        <v>4730</v>
      </c>
      <c r="E3037" s="4">
        <v>6400.0</v>
      </c>
      <c r="F3037" s="4"/>
      <c r="G3037" s="4"/>
      <c r="H3037" s="4">
        <f>'data on outstanding creditors'!$E3037-'data on outstanding creditors'!$F3037-'data on outstanding creditors'!$G3037</f>
        <v>6400</v>
      </c>
      <c r="I3037" s="2"/>
      <c r="J3037" s="1" t="s">
        <v>646</v>
      </c>
      <c r="K3037" s="2">
        <v>45944.0</v>
      </c>
      <c r="L3037" s="5"/>
      <c r="M3037" s="9" t="s">
        <v>4687</v>
      </c>
      <c r="N3037" s="9" t="s">
        <v>23</v>
      </c>
      <c r="O3037" s="10">
        <f>'data on outstanding creditors'!$E3037*100/107</f>
        <v>5981.308411</v>
      </c>
      <c r="P3037" s="10">
        <f>'data on outstanding creditors'!$E3037-'data on outstanding creditors'!$O3037</f>
        <v>418.6915888</v>
      </c>
      <c r="Q3037" s="7">
        <f>DAY('data on outstanding creditors'!$B3037)</f>
        <v>30</v>
      </c>
      <c r="R3037" s="7">
        <f>MONTH('data on outstanding creditors'!$B3037)</f>
        <v>5</v>
      </c>
      <c r="S3037" s="7">
        <f>YEAR('data on outstanding creditors'!$B3037)</f>
        <v>2025</v>
      </c>
      <c r="T3037" s="11" t="str">
        <f>'data on outstanding creditors'!$C3037&amp;" "&amp;'data on outstanding creditors'!$D3037&amp;" "&amp;TEXT('data on outstanding creditors'!$E3037,"#,##0.00")</f>
        <v>บ.อัมรินทร์ มาร์เก็ตติ้ง AMH0018345 6,400.00</v>
      </c>
      <c r="U3037" s="12"/>
    </row>
    <row r="3038" ht="13.5" customHeight="1">
      <c r="A3038" s="1"/>
      <c r="B3038" s="2">
        <v>45813.0</v>
      </c>
      <c r="C3038" s="9" t="s">
        <v>4685</v>
      </c>
      <c r="D3038" s="1" t="s">
        <v>4731</v>
      </c>
      <c r="E3038" s="4">
        <v>6366.5</v>
      </c>
      <c r="F3038" s="4"/>
      <c r="G3038" s="4"/>
      <c r="H3038" s="4">
        <f>'data on outstanding creditors'!$E3038-'data on outstanding creditors'!$F3038-'data on outstanding creditors'!$G3038</f>
        <v>6366.5</v>
      </c>
      <c r="I3038" s="2"/>
      <c r="J3038" s="1" t="s">
        <v>757</v>
      </c>
      <c r="K3038" s="2">
        <v>45842.0</v>
      </c>
      <c r="L3038" s="5"/>
      <c r="M3038" s="9" t="s">
        <v>4687</v>
      </c>
      <c r="N3038" s="9" t="s">
        <v>23</v>
      </c>
      <c r="O3038" s="10">
        <f>'data on outstanding creditors'!$E3038*100/107</f>
        <v>5950</v>
      </c>
      <c r="P3038" s="10">
        <f>'data on outstanding creditors'!$E3038-'data on outstanding creditors'!$O3038</f>
        <v>416.5</v>
      </c>
      <c r="Q3038" s="7">
        <f>DAY('data on outstanding creditors'!$B3038)</f>
        <v>5</v>
      </c>
      <c r="R3038" s="7">
        <f>MONTH('data on outstanding creditors'!$B3038)</f>
        <v>6</v>
      </c>
      <c r="S3038" s="7">
        <f>YEAR('data on outstanding creditors'!$B3038)</f>
        <v>2025</v>
      </c>
      <c r="T3038" s="11" t="str">
        <f>'data on outstanding creditors'!$C3038&amp;" "&amp;'data on outstanding creditors'!$D3038&amp;" "&amp;TEXT('data on outstanding creditors'!$E3038,"#,##0.00")</f>
        <v>บ.เอกตรงเคมีภัณฑ์ (1985) 68050382 6,366.50</v>
      </c>
      <c r="U3038" s="12"/>
    </row>
    <row r="3039" ht="13.5" customHeight="1">
      <c r="A3039" s="1"/>
      <c r="B3039" s="2">
        <v>45814.0</v>
      </c>
      <c r="C3039" s="9" t="s">
        <v>4227</v>
      </c>
      <c r="D3039" s="1" t="s">
        <v>4732</v>
      </c>
      <c r="E3039" s="4">
        <v>10000.0</v>
      </c>
      <c r="F3039" s="4"/>
      <c r="G3039" s="4"/>
      <c r="H3039" s="4">
        <f>'data on outstanding creditors'!$E3039-'data on outstanding creditors'!$F3039-'data on outstanding creditors'!$G3039</f>
        <v>10000</v>
      </c>
      <c r="I3039" s="2"/>
      <c r="J3039" s="1" t="s">
        <v>646</v>
      </c>
      <c r="K3039" s="2">
        <v>45855.0</v>
      </c>
      <c r="L3039" s="5"/>
      <c r="M3039" s="9" t="s">
        <v>4687</v>
      </c>
      <c r="N3039" s="9" t="s">
        <v>23</v>
      </c>
      <c r="O3039" s="10">
        <f>'data on outstanding creditors'!$E3039*100/107</f>
        <v>9345.794393</v>
      </c>
      <c r="P3039" s="10">
        <f>'data on outstanding creditors'!$E3039-'data on outstanding creditors'!$O3039</f>
        <v>654.2056075</v>
      </c>
      <c r="Q3039" s="7">
        <f>DAY('data on outstanding creditors'!$B3039)</f>
        <v>6</v>
      </c>
      <c r="R3039" s="7">
        <f>MONTH('data on outstanding creditors'!$B3039)</f>
        <v>6</v>
      </c>
      <c r="S3039" s="7">
        <f>YEAR('data on outstanding creditors'!$B3039)</f>
        <v>2025</v>
      </c>
      <c r="T3039" s="11" t="str">
        <f>'data on outstanding creditors'!$C3039&amp;" "&amp;'data on outstanding creditors'!$D3039&amp;" "&amp;TEXT('data on outstanding creditors'!$E3039,"#,##0.00")</f>
        <v>บ.โมเดอร์น พริ้นเทค แอนด์ เลเบิ้ล 68237 10,000.00</v>
      </c>
      <c r="U3039" s="12"/>
    </row>
    <row r="3040" ht="13.5" customHeight="1">
      <c r="A3040" s="1"/>
      <c r="B3040" s="2">
        <v>45814.0</v>
      </c>
      <c r="C3040" s="9" t="s">
        <v>4695</v>
      </c>
      <c r="D3040" s="1" t="s">
        <v>4733</v>
      </c>
      <c r="E3040" s="4">
        <v>34500.0</v>
      </c>
      <c r="F3040" s="4"/>
      <c r="G3040" s="4"/>
      <c r="H3040" s="4">
        <f>'data on outstanding creditors'!$E3040-'data on outstanding creditors'!$F3040-'data on outstanding creditors'!$G3040</f>
        <v>34500</v>
      </c>
      <c r="I3040" s="2"/>
      <c r="J3040" s="1" t="s">
        <v>757</v>
      </c>
      <c r="K3040" s="2">
        <v>45874.0</v>
      </c>
      <c r="L3040" s="5"/>
      <c r="M3040" s="9" t="s">
        <v>4687</v>
      </c>
      <c r="N3040" s="9" t="s">
        <v>23</v>
      </c>
      <c r="O3040" s="10">
        <f>'data on outstanding creditors'!$E3040*100/107</f>
        <v>32242.99065</v>
      </c>
      <c r="P3040" s="10">
        <f>'data on outstanding creditors'!$E3040-'data on outstanding creditors'!$O3040</f>
        <v>2257.009346</v>
      </c>
      <c r="Q3040" s="7">
        <f>DAY('data on outstanding creditors'!$B3040)</f>
        <v>6</v>
      </c>
      <c r="R3040" s="7">
        <f>MONTH('data on outstanding creditors'!$B3040)</f>
        <v>6</v>
      </c>
      <c r="S3040" s="7">
        <f>YEAR('data on outstanding creditors'!$B3040)</f>
        <v>2025</v>
      </c>
      <c r="T3040" s="11" t="str">
        <f>'data on outstanding creditors'!$C3040&amp;" "&amp;'data on outstanding creditors'!$D3040&amp;" "&amp;TEXT('data on outstanding creditors'!$E3040,"#,##0.00")</f>
        <v>บ.อัมรินทร์ มาร์เก็ตติ้ง AMH0018378 34,500.00</v>
      </c>
      <c r="U3040" s="12"/>
    </row>
    <row r="3041" ht="13.5" customHeight="1">
      <c r="A3041" s="1"/>
      <c r="B3041" s="2">
        <v>45814.0</v>
      </c>
      <c r="C3041" s="9" t="s">
        <v>2816</v>
      </c>
      <c r="D3041" s="1" t="s">
        <v>4734</v>
      </c>
      <c r="E3041" s="4">
        <v>8625.0</v>
      </c>
      <c r="F3041" s="4"/>
      <c r="G3041" s="4"/>
      <c r="H3041" s="4">
        <f>'data on outstanding creditors'!$E3041-'data on outstanding creditors'!$F3041-'data on outstanding creditors'!$G3041</f>
        <v>8625</v>
      </c>
      <c r="I3041" s="2"/>
      <c r="J3041" s="1" t="s">
        <v>646</v>
      </c>
      <c r="K3041" s="2">
        <v>45889.0</v>
      </c>
      <c r="L3041" s="5"/>
      <c r="M3041" s="9" t="s">
        <v>4687</v>
      </c>
      <c r="N3041" s="9" t="s">
        <v>23</v>
      </c>
      <c r="O3041" s="10">
        <f>'data on outstanding creditors'!$E3041*100/107</f>
        <v>8060.747664</v>
      </c>
      <c r="P3041" s="10">
        <f>'data on outstanding creditors'!$E3041-'data on outstanding creditors'!$O3041</f>
        <v>564.2523364</v>
      </c>
      <c r="Q3041" s="7">
        <f>DAY('data on outstanding creditors'!$B3041)</f>
        <v>6</v>
      </c>
      <c r="R3041" s="7">
        <f>MONTH('data on outstanding creditors'!$B3041)</f>
        <v>6</v>
      </c>
      <c r="S3041" s="7">
        <f>YEAR('data on outstanding creditors'!$B3041)</f>
        <v>2025</v>
      </c>
      <c r="T3041" s="11" t="str">
        <f>'data on outstanding creditors'!$C3041&amp;" "&amp;'data on outstanding creditors'!$D3041&amp;" "&amp;TEXT('data on outstanding creditors'!$E3041,"#,##0.00")</f>
        <v>บ.ไทปันซัมมิท TP680602006 8,625.00</v>
      </c>
      <c r="U3041" s="12"/>
    </row>
    <row r="3042" ht="13.5" customHeight="1">
      <c r="A3042" s="1"/>
      <c r="B3042" s="2">
        <v>45826.0</v>
      </c>
      <c r="C3042" s="9" t="s">
        <v>4735</v>
      </c>
      <c r="D3042" s="1" t="s">
        <v>4736</v>
      </c>
      <c r="E3042" s="4">
        <v>18000.0</v>
      </c>
      <c r="F3042" s="4"/>
      <c r="G3042" s="4"/>
      <c r="H3042" s="4">
        <f>'data on outstanding creditors'!$E3042-'data on outstanding creditors'!$F3042-'data on outstanding creditors'!$G3042</f>
        <v>18000</v>
      </c>
      <c r="I3042" s="2"/>
      <c r="J3042" s="1" t="s">
        <v>646</v>
      </c>
      <c r="K3042" s="2">
        <v>45876.0</v>
      </c>
      <c r="L3042" s="5"/>
      <c r="M3042" s="9" t="s">
        <v>4687</v>
      </c>
      <c r="N3042" s="9" t="s">
        <v>23</v>
      </c>
      <c r="O3042" s="10">
        <f>'data on outstanding creditors'!$E3042*100/107</f>
        <v>16822.42991</v>
      </c>
      <c r="P3042" s="10">
        <f>'data on outstanding creditors'!$E3042-'data on outstanding creditors'!$O3042</f>
        <v>1177.570093</v>
      </c>
      <c r="Q3042" s="7">
        <f>DAY('data on outstanding creditors'!$B3042)</f>
        <v>18</v>
      </c>
      <c r="R3042" s="7">
        <f>MONTH('data on outstanding creditors'!$B3042)</f>
        <v>6</v>
      </c>
      <c r="S3042" s="7">
        <f>YEAR('data on outstanding creditors'!$B3042)</f>
        <v>2025</v>
      </c>
      <c r="T3042" s="11" t="str">
        <f>'data on outstanding creditors'!$C3042&amp;" "&amp;'data on outstanding creditors'!$D3042&amp;" "&amp;TEXT('data on outstanding creditors'!$E3042,"#,##0.00")</f>
        <v>บ.ออล ควอลิตี้ ซัพพลาย 67/00706 18,000.00</v>
      </c>
      <c r="U3042" s="12"/>
    </row>
    <row r="3043" ht="13.5" customHeight="1">
      <c r="A3043" s="1"/>
      <c r="B3043" s="2">
        <v>45826.0</v>
      </c>
      <c r="C3043" s="9" t="s">
        <v>4695</v>
      </c>
      <c r="D3043" s="1" t="s">
        <v>4737</v>
      </c>
      <c r="E3043" s="4">
        <v>9600.0</v>
      </c>
      <c r="F3043" s="4"/>
      <c r="G3043" s="4"/>
      <c r="H3043" s="4">
        <f>'data on outstanding creditors'!$E3043-'data on outstanding creditors'!$F3043-'data on outstanding creditors'!$G3043</f>
        <v>9600</v>
      </c>
      <c r="I3043" s="2"/>
      <c r="J3043" s="1" t="s">
        <v>757</v>
      </c>
      <c r="K3043" s="2">
        <v>45874.0</v>
      </c>
      <c r="L3043" s="5"/>
      <c r="M3043" s="9" t="s">
        <v>4687</v>
      </c>
      <c r="N3043" s="9" t="s">
        <v>23</v>
      </c>
      <c r="O3043" s="10">
        <f>'data on outstanding creditors'!$E3043*100/107</f>
        <v>8971.962617</v>
      </c>
      <c r="P3043" s="10">
        <f>'data on outstanding creditors'!$E3043-'data on outstanding creditors'!$O3043</f>
        <v>628.0373832</v>
      </c>
      <c r="Q3043" s="7">
        <f>DAY('data on outstanding creditors'!$B3043)</f>
        <v>18</v>
      </c>
      <c r="R3043" s="7">
        <f>MONTH('data on outstanding creditors'!$B3043)</f>
        <v>6</v>
      </c>
      <c r="S3043" s="7">
        <f>YEAR('data on outstanding creditors'!$B3043)</f>
        <v>2025</v>
      </c>
      <c r="T3043" s="11" t="str">
        <f>'data on outstanding creditors'!$C3043&amp;" "&amp;'data on outstanding creditors'!$D3043&amp;" "&amp;TEXT('data on outstanding creditors'!$E3043,"#,##0.00")</f>
        <v>บ.อัมรินทร์ มาร์เก็ตติ้ง AMH0018411 9,600.00</v>
      </c>
      <c r="U3043" s="12"/>
    </row>
    <row r="3044" ht="13.5" customHeight="1">
      <c r="A3044" s="1"/>
      <c r="B3044" s="2">
        <v>45828.0</v>
      </c>
      <c r="C3044" s="9" t="s">
        <v>4703</v>
      </c>
      <c r="D3044" s="1" t="s">
        <v>4738</v>
      </c>
      <c r="E3044" s="4">
        <v>23000.0</v>
      </c>
      <c r="F3044" s="4"/>
      <c r="G3044" s="4"/>
      <c r="H3044" s="4">
        <f>'data on outstanding creditors'!$E3044-'data on outstanding creditors'!$F3044-'data on outstanding creditors'!$G3044</f>
        <v>23000</v>
      </c>
      <c r="I3044" s="2"/>
      <c r="J3044" s="1" t="s">
        <v>646</v>
      </c>
      <c r="K3044" s="2">
        <v>45894.0</v>
      </c>
      <c r="L3044" s="5"/>
      <c r="M3044" s="9" t="s">
        <v>4687</v>
      </c>
      <c r="N3044" s="9" t="s">
        <v>23</v>
      </c>
      <c r="O3044" s="10">
        <f>'data on outstanding creditors'!$E3044*100/107</f>
        <v>21495.3271</v>
      </c>
      <c r="P3044" s="10">
        <f>'data on outstanding creditors'!$E3044-'data on outstanding creditors'!$O3044</f>
        <v>1504.672897</v>
      </c>
      <c r="Q3044" s="7">
        <f>DAY('data on outstanding creditors'!$B3044)</f>
        <v>20</v>
      </c>
      <c r="R3044" s="7">
        <f>MONTH('data on outstanding creditors'!$B3044)</f>
        <v>6</v>
      </c>
      <c r="S3044" s="7">
        <f>YEAR('data on outstanding creditors'!$B3044)</f>
        <v>2025</v>
      </c>
      <c r="T3044" s="11" t="str">
        <f>'data on outstanding creditors'!$C3044&amp;" "&amp;'data on outstanding creditors'!$D3044&amp;" "&amp;TEXT('data on outstanding creditors'!$E3044,"#,##0.00")</f>
        <v>บ.ปัญญฤกษ์ 680650 23,000.00</v>
      </c>
      <c r="U3044" s="12"/>
    </row>
    <row r="3045" ht="13.5" customHeight="1">
      <c r="A3045" s="1"/>
      <c r="B3045" s="2">
        <v>45828.0</v>
      </c>
      <c r="C3045" s="9" t="s">
        <v>4703</v>
      </c>
      <c r="D3045" s="1" t="s">
        <v>4739</v>
      </c>
      <c r="E3045" s="4">
        <v>23000.0</v>
      </c>
      <c r="F3045" s="4"/>
      <c r="G3045" s="4"/>
      <c r="H3045" s="4">
        <f>'data on outstanding creditors'!$E3045-'data on outstanding creditors'!$F3045-'data on outstanding creditors'!$G3045</f>
        <v>23000</v>
      </c>
      <c r="I3045" s="2"/>
      <c r="J3045" s="1" t="s">
        <v>646</v>
      </c>
      <c r="K3045" s="2">
        <v>45894.0</v>
      </c>
      <c r="L3045" s="5"/>
      <c r="M3045" s="9" t="s">
        <v>4687</v>
      </c>
      <c r="N3045" s="9" t="s">
        <v>23</v>
      </c>
      <c r="O3045" s="10">
        <f>'data on outstanding creditors'!$E3045*100/107</f>
        <v>21495.3271</v>
      </c>
      <c r="P3045" s="10">
        <f>'data on outstanding creditors'!$E3045-'data on outstanding creditors'!$O3045</f>
        <v>1504.672897</v>
      </c>
      <c r="Q3045" s="7">
        <f>DAY('data on outstanding creditors'!$B3045)</f>
        <v>20</v>
      </c>
      <c r="R3045" s="7">
        <f>MONTH('data on outstanding creditors'!$B3045)</f>
        <v>6</v>
      </c>
      <c r="S3045" s="7">
        <f>YEAR('data on outstanding creditors'!$B3045)</f>
        <v>2025</v>
      </c>
      <c r="T3045" s="11" t="str">
        <f>'data on outstanding creditors'!$C3045&amp;" "&amp;'data on outstanding creditors'!$D3045&amp;" "&amp;TEXT('data on outstanding creditors'!$E3045,"#,##0.00")</f>
        <v>บ.ปัญญฤกษ์ 680655 23,000.00</v>
      </c>
      <c r="U3045" s="12"/>
    </row>
    <row r="3046" ht="13.5" customHeight="1">
      <c r="A3046" s="1"/>
      <c r="B3046" s="2">
        <v>45833.0</v>
      </c>
      <c r="C3046" s="9" t="s">
        <v>401</v>
      </c>
      <c r="D3046" s="1" t="s">
        <v>4740</v>
      </c>
      <c r="E3046" s="4">
        <v>7704.0</v>
      </c>
      <c r="F3046" s="4"/>
      <c r="G3046" s="4"/>
      <c r="H3046" s="4">
        <f>'data on outstanding creditors'!$E3046-'data on outstanding creditors'!$F3046-'data on outstanding creditors'!$G3046</f>
        <v>7704</v>
      </c>
      <c r="I3046" s="2"/>
      <c r="J3046" s="1" t="s">
        <v>646</v>
      </c>
      <c r="K3046" s="2">
        <v>45876.0</v>
      </c>
      <c r="L3046" s="5"/>
      <c r="M3046" s="9" t="s">
        <v>4687</v>
      </c>
      <c r="N3046" s="9" t="s">
        <v>23</v>
      </c>
      <c r="O3046" s="10">
        <f>'data on outstanding creditors'!$E3046*100/107</f>
        <v>7200</v>
      </c>
      <c r="P3046" s="10">
        <f>'data on outstanding creditors'!$E3046-'data on outstanding creditors'!$O3046</f>
        <v>504</v>
      </c>
      <c r="Q3046" s="7">
        <f>DAY('data on outstanding creditors'!$B3046)</f>
        <v>25</v>
      </c>
      <c r="R3046" s="7">
        <f>MONTH('data on outstanding creditors'!$B3046)</f>
        <v>6</v>
      </c>
      <c r="S3046" s="7">
        <f>YEAR('data on outstanding creditors'!$B3046)</f>
        <v>2025</v>
      </c>
      <c r="T3046" s="11" t="str">
        <f>'data on outstanding creditors'!$C3046&amp;" "&amp;'data on outstanding creditors'!$D3046&amp;" "&amp;TEXT('data on outstanding creditors'!$E3046,"#,##0.00")</f>
        <v>องค์การเภสัชกรรม 3001027576 7,704.00</v>
      </c>
      <c r="U3046" s="12"/>
    </row>
    <row r="3047" ht="13.5" customHeight="1">
      <c r="A3047" s="1"/>
      <c r="B3047" s="2">
        <v>45839.0</v>
      </c>
      <c r="C3047" s="9" t="s">
        <v>4685</v>
      </c>
      <c r="D3047" s="1" t="s">
        <v>4741</v>
      </c>
      <c r="E3047" s="4">
        <v>11449.0</v>
      </c>
      <c r="F3047" s="4"/>
      <c r="G3047" s="4"/>
      <c r="H3047" s="4">
        <f>'data on outstanding creditors'!$E3047-'data on outstanding creditors'!$F3047-'data on outstanding creditors'!$G3047</f>
        <v>11449</v>
      </c>
      <c r="I3047" s="2"/>
      <c r="J3047" s="1" t="s">
        <v>757</v>
      </c>
      <c r="K3047" s="2">
        <v>45874.0</v>
      </c>
      <c r="L3047" s="5"/>
      <c r="M3047" s="9" t="s">
        <v>4687</v>
      </c>
      <c r="N3047" s="9" t="s">
        <v>23</v>
      </c>
      <c r="O3047" s="10">
        <f>'data on outstanding creditors'!$E3047*100/107</f>
        <v>10700</v>
      </c>
      <c r="P3047" s="10">
        <f>'data on outstanding creditors'!$E3047-'data on outstanding creditors'!$O3047</f>
        <v>749</v>
      </c>
      <c r="Q3047" s="7">
        <f>DAY('data on outstanding creditors'!$B3047)</f>
        <v>1</v>
      </c>
      <c r="R3047" s="7">
        <f>MONTH('data on outstanding creditors'!$B3047)</f>
        <v>7</v>
      </c>
      <c r="S3047" s="7">
        <f>YEAR('data on outstanding creditors'!$B3047)</f>
        <v>2025</v>
      </c>
      <c r="T3047" s="11" t="str">
        <f>'data on outstanding creditors'!$C3047&amp;" "&amp;'data on outstanding creditors'!$D3047&amp;" "&amp;TEXT('data on outstanding creditors'!$E3047,"#,##0.00")</f>
        <v>บ.เอกตรงเคมีภัณฑ์ (1985) 68060339 11,449.00</v>
      </c>
      <c r="U3047" s="12"/>
    </row>
    <row r="3048" ht="13.5" customHeight="1">
      <c r="A3048" s="1"/>
      <c r="B3048" s="2">
        <v>45840.0</v>
      </c>
      <c r="C3048" s="9" t="s">
        <v>4703</v>
      </c>
      <c r="D3048" s="1" t="s">
        <v>4742</v>
      </c>
      <c r="E3048" s="4">
        <v>4500.0</v>
      </c>
      <c r="F3048" s="4"/>
      <c r="G3048" s="4"/>
      <c r="H3048" s="4">
        <f>'data on outstanding creditors'!$E3048-'data on outstanding creditors'!$F3048-'data on outstanding creditors'!$G3048</f>
        <v>4500</v>
      </c>
      <c r="I3048" s="2"/>
      <c r="J3048" s="1" t="s">
        <v>646</v>
      </c>
      <c r="K3048" s="2">
        <v>45894.0</v>
      </c>
      <c r="L3048" s="5"/>
      <c r="M3048" s="9" t="s">
        <v>4687</v>
      </c>
      <c r="N3048" s="9" t="s">
        <v>23</v>
      </c>
      <c r="O3048" s="10">
        <f>'data on outstanding creditors'!$E3048*100/107</f>
        <v>4205.607477</v>
      </c>
      <c r="P3048" s="10">
        <f>'data on outstanding creditors'!$E3048-'data on outstanding creditors'!$O3048</f>
        <v>294.3925234</v>
      </c>
      <c r="Q3048" s="7">
        <f>DAY('data on outstanding creditors'!$B3048)</f>
        <v>2</v>
      </c>
      <c r="R3048" s="7">
        <f>MONTH('data on outstanding creditors'!$B3048)</f>
        <v>7</v>
      </c>
      <c r="S3048" s="7">
        <f>YEAR('data on outstanding creditors'!$B3048)</f>
        <v>2025</v>
      </c>
      <c r="T3048" s="11" t="str">
        <f>'data on outstanding creditors'!$C3048&amp;" "&amp;'data on outstanding creditors'!$D3048&amp;" "&amp;TEXT('data on outstanding creditors'!$E3048,"#,##0.00")</f>
        <v>บ.ปัญญฤกษ์ 680656 4,500.00</v>
      </c>
      <c r="U3048" s="12"/>
    </row>
    <row r="3049" ht="13.5" customHeight="1">
      <c r="A3049" s="1"/>
      <c r="B3049" s="2">
        <v>45841.0</v>
      </c>
      <c r="C3049" s="9" t="s">
        <v>1114</v>
      </c>
      <c r="D3049" s="1" t="s">
        <v>4743</v>
      </c>
      <c r="E3049" s="4">
        <v>30900.0</v>
      </c>
      <c r="F3049" s="4"/>
      <c r="G3049" s="4"/>
      <c r="H3049" s="4">
        <f>'data on outstanding creditors'!$E3049-'data on outstanding creditors'!$F3049-'data on outstanding creditors'!$G3049</f>
        <v>30900</v>
      </c>
      <c r="I3049" s="2"/>
      <c r="J3049" s="1" t="s">
        <v>646</v>
      </c>
      <c r="K3049" s="2">
        <v>45894.0</v>
      </c>
      <c r="L3049" s="5"/>
      <c r="M3049" s="9" t="s">
        <v>4687</v>
      </c>
      <c r="N3049" s="9" t="s">
        <v>23</v>
      </c>
      <c r="O3049" s="10">
        <f>'data on outstanding creditors'!$E3049*100/107</f>
        <v>28878.50467</v>
      </c>
      <c r="P3049" s="10">
        <f>'data on outstanding creditors'!$E3049-'data on outstanding creditors'!$O3049</f>
        <v>2021.495327</v>
      </c>
      <c r="Q3049" s="7">
        <f>DAY('data on outstanding creditors'!$B3049)</f>
        <v>3</v>
      </c>
      <c r="R3049" s="7">
        <f>MONTH('data on outstanding creditors'!$B3049)</f>
        <v>7</v>
      </c>
      <c r="S3049" s="7">
        <f>YEAR('data on outstanding creditors'!$B3049)</f>
        <v>2025</v>
      </c>
      <c r="T3049" s="11" t="str">
        <f>'data on outstanding creditors'!$C3049&amp;" "&amp;'data on outstanding creditors'!$D3049&amp;" "&amp;TEXT('data on outstanding creditors'!$E3049,"#,##0.00")</f>
        <v>หจก.อิเลฟเว่น พลัซ EL680625236 30,900.00</v>
      </c>
      <c r="U3049" s="12"/>
    </row>
    <row r="3050" ht="13.5" customHeight="1">
      <c r="A3050" s="1"/>
      <c r="B3050" s="2">
        <v>45841.0</v>
      </c>
      <c r="C3050" s="9" t="s">
        <v>2816</v>
      </c>
      <c r="D3050" s="1" t="s">
        <v>4744</v>
      </c>
      <c r="E3050" s="4">
        <v>5750.0</v>
      </c>
      <c r="F3050" s="4"/>
      <c r="G3050" s="4"/>
      <c r="H3050" s="4">
        <f>'data on outstanding creditors'!$E3050-'data on outstanding creditors'!$F3050-'data on outstanding creditors'!$G3050</f>
        <v>5750</v>
      </c>
      <c r="I3050" s="2"/>
      <c r="J3050" s="1" t="s">
        <v>646</v>
      </c>
      <c r="K3050" s="2">
        <v>45889.0</v>
      </c>
      <c r="L3050" s="5"/>
      <c r="M3050" s="9" t="s">
        <v>4687</v>
      </c>
      <c r="N3050" s="9" t="s">
        <v>23</v>
      </c>
      <c r="O3050" s="10">
        <f>'data on outstanding creditors'!$E3050*100/107</f>
        <v>5373.831776</v>
      </c>
      <c r="P3050" s="10">
        <f>'data on outstanding creditors'!$E3050-'data on outstanding creditors'!$O3050</f>
        <v>376.1682243</v>
      </c>
      <c r="Q3050" s="7">
        <f>DAY('data on outstanding creditors'!$B3050)</f>
        <v>3</v>
      </c>
      <c r="R3050" s="7">
        <f>MONTH('data on outstanding creditors'!$B3050)</f>
        <v>7</v>
      </c>
      <c r="S3050" s="7">
        <f>YEAR('data on outstanding creditors'!$B3050)</f>
        <v>2025</v>
      </c>
      <c r="T3050" s="11" t="str">
        <f>'data on outstanding creditors'!$C3050&amp;" "&amp;'data on outstanding creditors'!$D3050&amp;" "&amp;TEXT('data on outstanding creditors'!$E3050,"#,##0.00")</f>
        <v>บ.ไทปันซัมมิท TP680626105 5,750.00</v>
      </c>
      <c r="U3050" s="12"/>
    </row>
    <row r="3051" ht="13.5" customHeight="1">
      <c r="A3051" s="1"/>
      <c r="B3051" s="2">
        <v>45853.0</v>
      </c>
      <c r="C3051" s="9" t="s">
        <v>4745</v>
      </c>
      <c r="D3051" s="1" t="s">
        <v>4746</v>
      </c>
      <c r="E3051" s="4">
        <v>22500.0</v>
      </c>
      <c r="F3051" s="4"/>
      <c r="G3051" s="4"/>
      <c r="H3051" s="4">
        <f>'data on outstanding creditors'!$E3051-'data on outstanding creditors'!$F3051-'data on outstanding creditors'!$G3051</f>
        <v>22500</v>
      </c>
      <c r="I3051" s="2"/>
      <c r="J3051" s="1" t="s">
        <v>757</v>
      </c>
      <c r="K3051" s="2">
        <v>45883.0</v>
      </c>
      <c r="L3051" s="5"/>
      <c r="M3051" s="9" t="s">
        <v>4687</v>
      </c>
      <c r="N3051" s="9" t="s">
        <v>23</v>
      </c>
      <c r="O3051" s="10">
        <f>'data on outstanding creditors'!$E3051*100/107</f>
        <v>21028.03738</v>
      </c>
      <c r="P3051" s="10">
        <f>'data on outstanding creditors'!$E3051-'data on outstanding creditors'!$O3051</f>
        <v>1471.962617</v>
      </c>
      <c r="Q3051" s="7">
        <f>DAY('data on outstanding creditors'!$B3051)</f>
        <v>15</v>
      </c>
      <c r="R3051" s="7">
        <f>MONTH('data on outstanding creditors'!$B3051)</f>
        <v>7</v>
      </c>
      <c r="S3051" s="7">
        <f>YEAR('data on outstanding creditors'!$B3051)</f>
        <v>2025</v>
      </c>
      <c r="T3051" s="11" t="str">
        <f>'data on outstanding creditors'!$C3051&amp;" "&amp;'data on outstanding creditors'!$D3051&amp;" "&amp;TEXT('data on outstanding creditors'!$E3051,"#,##0.00")</f>
        <v>บ.เบทเทอร์แพ็คพลัส SV003590 22,500.00</v>
      </c>
      <c r="U3051" s="12"/>
    </row>
    <row r="3052" ht="13.5" customHeight="1">
      <c r="A3052" s="1"/>
      <c r="B3052" s="2">
        <v>45853.0</v>
      </c>
      <c r="C3052" s="9" t="s">
        <v>1320</v>
      </c>
      <c r="D3052" s="1" t="s">
        <v>4747</v>
      </c>
      <c r="E3052" s="4">
        <v>4526.1</v>
      </c>
      <c r="F3052" s="4"/>
      <c r="G3052" s="4"/>
      <c r="H3052" s="4">
        <f>'data on outstanding creditors'!$E3052-'data on outstanding creditors'!$F3052-'data on outstanding creditors'!$G3052</f>
        <v>4526.1</v>
      </c>
      <c r="I3052" s="2"/>
      <c r="J3052" s="1" t="s">
        <v>646</v>
      </c>
      <c r="K3052" s="2">
        <v>45928.0</v>
      </c>
      <c r="L3052" s="5"/>
      <c r="M3052" s="9" t="s">
        <v>4687</v>
      </c>
      <c r="N3052" s="9" t="s">
        <v>23</v>
      </c>
      <c r="O3052" s="10">
        <f>'data on outstanding creditors'!$E3052*100/107</f>
        <v>4230</v>
      </c>
      <c r="P3052" s="10">
        <f>'data on outstanding creditors'!$E3052-'data on outstanding creditors'!$O3052</f>
        <v>296.1</v>
      </c>
      <c r="Q3052" s="7">
        <f>DAY('data on outstanding creditors'!$B3052)</f>
        <v>15</v>
      </c>
      <c r="R3052" s="7">
        <f>MONTH('data on outstanding creditors'!$B3052)</f>
        <v>7</v>
      </c>
      <c r="S3052" s="7">
        <f>YEAR('data on outstanding creditors'!$B3052)</f>
        <v>2025</v>
      </c>
      <c r="T3052" s="11" t="str">
        <f>'data on outstanding creditors'!$C3052&amp;" "&amp;'data on outstanding creditors'!$D3052&amp;" "&amp;TEXT('data on outstanding creditors'!$E3052,"#,##0.00")</f>
        <v>บ.บี.เอ็ล.ฮั้ว 68023102 4,526.10</v>
      </c>
      <c r="U3052" s="12"/>
    </row>
    <row r="3053" ht="13.5" customHeight="1">
      <c r="A3053" s="1"/>
      <c r="B3053" s="2">
        <v>45853.0</v>
      </c>
      <c r="C3053" s="9" t="s">
        <v>4685</v>
      </c>
      <c r="D3053" s="1" t="s">
        <v>4748</v>
      </c>
      <c r="E3053" s="4">
        <v>3852.0</v>
      </c>
      <c r="F3053" s="4"/>
      <c r="G3053" s="4"/>
      <c r="H3053" s="4">
        <f>'data on outstanding creditors'!$E3053-'data on outstanding creditors'!$F3053-'data on outstanding creditors'!$G3053</f>
        <v>3852</v>
      </c>
      <c r="I3053" s="2"/>
      <c r="J3053" s="1" t="s">
        <v>757</v>
      </c>
      <c r="K3053" s="2">
        <v>45898.0</v>
      </c>
      <c r="L3053" s="5"/>
      <c r="M3053" s="9" t="s">
        <v>4687</v>
      </c>
      <c r="N3053" s="9" t="s">
        <v>23</v>
      </c>
      <c r="O3053" s="10">
        <f>'data on outstanding creditors'!$E3053*100/107</f>
        <v>3600</v>
      </c>
      <c r="P3053" s="10">
        <f>'data on outstanding creditors'!$E3053-'data on outstanding creditors'!$O3053</f>
        <v>252</v>
      </c>
      <c r="Q3053" s="7">
        <f>DAY('data on outstanding creditors'!$B3053)</f>
        <v>15</v>
      </c>
      <c r="R3053" s="7">
        <f>MONTH('data on outstanding creditors'!$B3053)</f>
        <v>7</v>
      </c>
      <c r="S3053" s="7">
        <f>YEAR('data on outstanding creditors'!$B3053)</f>
        <v>2025</v>
      </c>
      <c r="T3053" s="11" t="str">
        <f>'data on outstanding creditors'!$C3053&amp;" "&amp;'data on outstanding creditors'!$D3053&amp;" "&amp;TEXT('data on outstanding creditors'!$E3053,"#,##0.00")</f>
        <v>บ.เอกตรงเคมีภัณฑ์ (1985) 68070081 3,852.00</v>
      </c>
      <c r="U3053" s="12"/>
    </row>
    <row r="3054" ht="13.5" customHeight="1">
      <c r="A3054" s="1"/>
      <c r="B3054" s="2">
        <v>45856.0</v>
      </c>
      <c r="C3054" s="9" t="s">
        <v>4227</v>
      </c>
      <c r="D3054" s="1" t="s">
        <v>4749</v>
      </c>
      <c r="E3054" s="4">
        <v>32000.0</v>
      </c>
      <c r="F3054" s="4"/>
      <c r="G3054" s="4"/>
      <c r="H3054" s="4">
        <f>'data on outstanding creditors'!$E3054-'data on outstanding creditors'!$F3054-'data on outstanding creditors'!$G3054</f>
        <v>32000</v>
      </c>
      <c r="I3054" s="2"/>
      <c r="J3054" s="1" t="s">
        <v>757</v>
      </c>
      <c r="K3054" s="2">
        <v>45898.0</v>
      </c>
      <c r="L3054" s="5"/>
      <c r="M3054" s="9" t="s">
        <v>4687</v>
      </c>
      <c r="N3054" s="9" t="s">
        <v>23</v>
      </c>
      <c r="O3054" s="10">
        <f>'data on outstanding creditors'!$E3054*100/107</f>
        <v>29906.54206</v>
      </c>
      <c r="P3054" s="10">
        <f>'data on outstanding creditors'!$E3054-'data on outstanding creditors'!$O3054</f>
        <v>2093.457944</v>
      </c>
      <c r="Q3054" s="7">
        <f>DAY('data on outstanding creditors'!$B3054)</f>
        <v>18</v>
      </c>
      <c r="R3054" s="7">
        <f>MONTH('data on outstanding creditors'!$B3054)</f>
        <v>7</v>
      </c>
      <c r="S3054" s="7">
        <f>YEAR('data on outstanding creditors'!$B3054)</f>
        <v>2025</v>
      </c>
      <c r="T3054" s="11" t="str">
        <f>'data on outstanding creditors'!$C3054&amp;" "&amp;'data on outstanding creditors'!$D3054&amp;" "&amp;TEXT('data on outstanding creditors'!$E3054,"#,##0.00")</f>
        <v>บ.โมเดอร์น พริ้นเทค แอนด์ เลเบิ้ล 68498 32,000.00</v>
      </c>
      <c r="U3054" s="12"/>
    </row>
    <row r="3055" ht="13.5" customHeight="1">
      <c r="A3055" s="1"/>
      <c r="B3055" s="2">
        <v>45862.0</v>
      </c>
      <c r="C3055" s="9" t="s">
        <v>4227</v>
      </c>
      <c r="D3055" s="1" t="s">
        <v>4750</v>
      </c>
      <c r="E3055" s="4">
        <v>85000.0</v>
      </c>
      <c r="F3055" s="4"/>
      <c r="G3055" s="4"/>
      <c r="H3055" s="4">
        <f>'data on outstanding creditors'!$E3055-'data on outstanding creditors'!$F3055-'data on outstanding creditors'!$G3055</f>
        <v>85000</v>
      </c>
      <c r="I3055" s="2"/>
      <c r="J3055" s="1" t="s">
        <v>757</v>
      </c>
      <c r="K3055" s="2">
        <v>45911.0</v>
      </c>
      <c r="L3055" s="5"/>
      <c r="M3055" s="9" t="s">
        <v>4687</v>
      </c>
      <c r="N3055" s="9" t="s">
        <v>23</v>
      </c>
      <c r="O3055" s="10">
        <f>'data on outstanding creditors'!$E3055*100/107</f>
        <v>79439.25234</v>
      </c>
      <c r="P3055" s="10">
        <f>'data on outstanding creditors'!$E3055-'data on outstanding creditors'!$O3055</f>
        <v>5560.747664</v>
      </c>
      <c r="Q3055" s="7">
        <f>DAY('data on outstanding creditors'!$B3055)</f>
        <v>24</v>
      </c>
      <c r="R3055" s="7">
        <f>MONTH('data on outstanding creditors'!$B3055)</f>
        <v>7</v>
      </c>
      <c r="S3055" s="7">
        <f>YEAR('data on outstanding creditors'!$B3055)</f>
        <v>2025</v>
      </c>
      <c r="T3055" s="11" t="str">
        <f>'data on outstanding creditors'!$C3055&amp;" "&amp;'data on outstanding creditors'!$D3055&amp;" "&amp;TEXT('data on outstanding creditors'!$E3055,"#,##0.00")</f>
        <v>บ.โมเดอร์น พริ้นเทค แอนด์ เลเบิ้ล 68516 85,000.00</v>
      </c>
      <c r="U3055" s="12"/>
    </row>
    <row r="3056" ht="13.5" customHeight="1">
      <c r="A3056" s="1"/>
      <c r="B3056" s="2">
        <v>45863.0</v>
      </c>
      <c r="C3056" s="9" t="s">
        <v>4695</v>
      </c>
      <c r="D3056" s="1" t="s">
        <v>4751</v>
      </c>
      <c r="E3056" s="4">
        <v>17250.0</v>
      </c>
      <c r="F3056" s="4"/>
      <c r="G3056" s="4"/>
      <c r="H3056" s="4">
        <f>'data on outstanding creditors'!$E3056-'data on outstanding creditors'!$F3056-'data on outstanding creditors'!$G3056</f>
        <v>17250</v>
      </c>
      <c r="I3056" s="2"/>
      <c r="J3056" s="1" t="s">
        <v>757</v>
      </c>
      <c r="K3056" s="2">
        <v>45911.0</v>
      </c>
      <c r="L3056" s="5"/>
      <c r="M3056" s="9" t="s">
        <v>4687</v>
      </c>
      <c r="N3056" s="9" t="s">
        <v>23</v>
      </c>
      <c r="O3056" s="10">
        <f>'data on outstanding creditors'!$E3056*100/107</f>
        <v>16121.49533</v>
      </c>
      <c r="P3056" s="10">
        <f>'data on outstanding creditors'!$E3056-'data on outstanding creditors'!$O3056</f>
        <v>1128.504673</v>
      </c>
      <c r="Q3056" s="7">
        <f>DAY('data on outstanding creditors'!$B3056)</f>
        <v>25</v>
      </c>
      <c r="R3056" s="7">
        <f>MONTH('data on outstanding creditors'!$B3056)</f>
        <v>7</v>
      </c>
      <c r="S3056" s="7">
        <f>YEAR('data on outstanding creditors'!$B3056)</f>
        <v>2025</v>
      </c>
      <c r="T3056" s="11" t="str">
        <f>'data on outstanding creditors'!$C3056&amp;" "&amp;'data on outstanding creditors'!$D3056&amp;" "&amp;TEXT('data on outstanding creditors'!$E3056,"#,##0.00")</f>
        <v>บ.อัมรินทร์ มาร์เก็ตติ้ง AMH0018510 17,250.00</v>
      </c>
      <c r="U3056" s="12"/>
    </row>
    <row r="3057" ht="13.5" customHeight="1">
      <c r="A3057" s="1"/>
      <c r="B3057" s="2">
        <v>45863.0</v>
      </c>
      <c r="C3057" s="9" t="s">
        <v>401</v>
      </c>
      <c r="D3057" s="1" t="s">
        <v>4752</v>
      </c>
      <c r="E3057" s="4">
        <v>23000.0</v>
      </c>
      <c r="F3057" s="4"/>
      <c r="G3057" s="4"/>
      <c r="H3057" s="4">
        <f>'data on outstanding creditors'!$E3057-'data on outstanding creditors'!$F3057-'data on outstanding creditors'!$G3057</f>
        <v>23000</v>
      </c>
      <c r="I3057" s="2"/>
      <c r="J3057" s="1" t="s">
        <v>646</v>
      </c>
      <c r="K3057" s="2">
        <v>45915.0</v>
      </c>
      <c r="L3057" s="5"/>
      <c r="M3057" s="9" t="s">
        <v>4687</v>
      </c>
      <c r="N3057" s="9" t="s">
        <v>23</v>
      </c>
      <c r="O3057" s="10">
        <f>'data on outstanding creditors'!$E3057*100/107</f>
        <v>21495.3271</v>
      </c>
      <c r="P3057" s="10">
        <f>'data on outstanding creditors'!$E3057-'data on outstanding creditors'!$O3057</f>
        <v>1504.672897</v>
      </c>
      <c r="Q3057" s="7">
        <f>DAY('data on outstanding creditors'!$B3057)</f>
        <v>25</v>
      </c>
      <c r="R3057" s="7">
        <f>MONTH('data on outstanding creditors'!$B3057)</f>
        <v>7</v>
      </c>
      <c r="S3057" s="7">
        <f>YEAR('data on outstanding creditors'!$B3057)</f>
        <v>2025</v>
      </c>
      <c r="T3057" s="11" t="str">
        <f>'data on outstanding creditors'!$C3057&amp;" "&amp;'data on outstanding creditors'!$D3057&amp;" "&amp;TEXT('data on outstanding creditors'!$E3057,"#,##0.00")</f>
        <v>องค์การเภสัชกรรม 3001042227 23,000.00</v>
      </c>
      <c r="U3057" s="12"/>
    </row>
    <row r="3058" ht="13.5" customHeight="1">
      <c r="A3058" s="1"/>
      <c r="B3058" s="2">
        <v>45870.0</v>
      </c>
      <c r="C3058" s="9" t="s">
        <v>4695</v>
      </c>
      <c r="D3058" s="1" t="s">
        <v>4753</v>
      </c>
      <c r="E3058" s="4">
        <v>17250.0</v>
      </c>
      <c r="F3058" s="4"/>
      <c r="G3058" s="4"/>
      <c r="H3058" s="4">
        <f>'data on outstanding creditors'!$E3058-'data on outstanding creditors'!$F3058-'data on outstanding creditors'!$G3058</f>
        <v>17250</v>
      </c>
      <c r="I3058" s="2"/>
      <c r="J3058" s="1" t="s">
        <v>757</v>
      </c>
      <c r="K3058" s="2">
        <v>45915.0</v>
      </c>
      <c r="L3058" s="5"/>
      <c r="M3058" s="9" t="s">
        <v>4687</v>
      </c>
      <c r="N3058" s="9" t="s">
        <v>23</v>
      </c>
      <c r="O3058" s="10">
        <f>'data on outstanding creditors'!$E3058*100/107</f>
        <v>16121.49533</v>
      </c>
      <c r="P3058" s="10">
        <f>'data on outstanding creditors'!$E3058-'data on outstanding creditors'!$O3058</f>
        <v>1128.504673</v>
      </c>
      <c r="Q3058" s="7">
        <f>DAY('data on outstanding creditors'!$B3058)</f>
        <v>1</v>
      </c>
      <c r="R3058" s="7">
        <f>MONTH('data on outstanding creditors'!$B3058)</f>
        <v>8</v>
      </c>
      <c r="S3058" s="7">
        <f>YEAR('data on outstanding creditors'!$B3058)</f>
        <v>2025</v>
      </c>
      <c r="T3058" s="11" t="str">
        <f>'data on outstanding creditors'!$C3058&amp;" "&amp;'data on outstanding creditors'!$D3058&amp;" "&amp;TEXT('data on outstanding creditors'!$E3058,"#,##0.00")</f>
        <v>บ.อัมรินทร์ มาร์เก็ตติ้ง AMH0018566 17,250.00</v>
      </c>
      <c r="U3058" s="12"/>
    </row>
    <row r="3059" ht="13.5" customHeight="1">
      <c r="A3059" s="1"/>
      <c r="B3059" s="2">
        <v>45870.0</v>
      </c>
      <c r="C3059" s="9" t="s">
        <v>2816</v>
      </c>
      <c r="D3059" s="1" t="s">
        <v>4754</v>
      </c>
      <c r="E3059" s="4">
        <v>5750.0</v>
      </c>
      <c r="F3059" s="4"/>
      <c r="G3059" s="4"/>
      <c r="H3059" s="4">
        <f>'data on outstanding creditors'!$E3059-'data on outstanding creditors'!$F3059-'data on outstanding creditors'!$G3059</f>
        <v>5750</v>
      </c>
      <c r="I3059" s="2"/>
      <c r="J3059" s="1" t="s">
        <v>646</v>
      </c>
      <c r="K3059" s="2">
        <v>45952.0</v>
      </c>
      <c r="L3059" s="5"/>
      <c r="M3059" s="9" t="s">
        <v>4687</v>
      </c>
      <c r="N3059" s="9" t="s">
        <v>23</v>
      </c>
      <c r="O3059" s="10">
        <f>'data on outstanding creditors'!$E3059*100/107</f>
        <v>5373.831776</v>
      </c>
      <c r="P3059" s="10">
        <f>'data on outstanding creditors'!$E3059-'data on outstanding creditors'!$O3059</f>
        <v>376.1682243</v>
      </c>
      <c r="Q3059" s="7">
        <f>DAY('data on outstanding creditors'!$B3059)</f>
        <v>1</v>
      </c>
      <c r="R3059" s="7">
        <f>MONTH('data on outstanding creditors'!$B3059)</f>
        <v>8</v>
      </c>
      <c r="S3059" s="7">
        <f>YEAR('data on outstanding creditors'!$B3059)</f>
        <v>2025</v>
      </c>
      <c r="T3059" s="11" t="str">
        <f>'data on outstanding creditors'!$C3059&amp;" "&amp;'data on outstanding creditors'!$D3059&amp;" "&amp;TEXT('data on outstanding creditors'!$E3059,"#,##0.00")</f>
        <v>บ.ไทปันซัมมิท TP680726074 5,750.00</v>
      </c>
      <c r="U3059" s="12"/>
    </row>
    <row r="3060" ht="13.5" customHeight="1">
      <c r="A3060" s="1"/>
      <c r="B3060" s="2">
        <v>45873.0</v>
      </c>
      <c r="C3060" s="9" t="s">
        <v>4695</v>
      </c>
      <c r="D3060" s="1" t="s">
        <v>4755</v>
      </c>
      <c r="E3060" s="4">
        <v>21100.0</v>
      </c>
      <c r="F3060" s="4"/>
      <c r="G3060" s="4"/>
      <c r="H3060" s="4">
        <f>'data on outstanding creditors'!$E3060-'data on outstanding creditors'!$F3060-'data on outstanding creditors'!$G3060</f>
        <v>21100</v>
      </c>
      <c r="I3060" s="2"/>
      <c r="J3060" s="1" t="s">
        <v>757</v>
      </c>
      <c r="K3060" s="2">
        <v>45915.0</v>
      </c>
      <c r="L3060" s="5"/>
      <c r="M3060" s="9" t="s">
        <v>4687</v>
      </c>
      <c r="N3060" s="9" t="s">
        <v>23</v>
      </c>
      <c r="O3060" s="10">
        <f>'data on outstanding creditors'!$E3060*100/107</f>
        <v>19719.62617</v>
      </c>
      <c r="P3060" s="10">
        <f>'data on outstanding creditors'!$E3060-'data on outstanding creditors'!$O3060</f>
        <v>1380.373832</v>
      </c>
      <c r="Q3060" s="7">
        <f>DAY('data on outstanding creditors'!$B3060)</f>
        <v>4</v>
      </c>
      <c r="R3060" s="7">
        <f>MONTH('data on outstanding creditors'!$B3060)</f>
        <v>8</v>
      </c>
      <c r="S3060" s="7">
        <f>YEAR('data on outstanding creditors'!$B3060)</f>
        <v>2025</v>
      </c>
      <c r="T3060" s="11" t="str">
        <f>'data on outstanding creditors'!$C3060&amp;" "&amp;'data on outstanding creditors'!$D3060&amp;" "&amp;TEXT('data on outstanding creditors'!$E3060,"#,##0.00")</f>
        <v>บ.อัมรินทร์ มาร์เก็ตติ้ง AMH0018572 21,100.00</v>
      </c>
      <c r="U3060" s="12"/>
    </row>
    <row r="3061" ht="13.5" customHeight="1">
      <c r="A3061" s="1"/>
      <c r="B3061" s="2">
        <v>45874.0</v>
      </c>
      <c r="C3061" s="9" t="s">
        <v>1320</v>
      </c>
      <c r="D3061" s="1" t="s">
        <v>4756</v>
      </c>
      <c r="E3061" s="4">
        <v>7671.9</v>
      </c>
      <c r="F3061" s="4"/>
      <c r="G3061" s="4"/>
      <c r="H3061" s="4">
        <f>'data on outstanding creditors'!$E3061-'data on outstanding creditors'!$F3061-'data on outstanding creditors'!$G3061</f>
        <v>7671.9</v>
      </c>
      <c r="I3061" s="2"/>
      <c r="J3061" s="1" t="s">
        <v>646</v>
      </c>
      <c r="K3061" s="2">
        <v>45928.0</v>
      </c>
      <c r="L3061" s="5"/>
      <c r="M3061" s="9" t="s">
        <v>4687</v>
      </c>
      <c r="N3061" s="9" t="s">
        <v>23</v>
      </c>
      <c r="O3061" s="10">
        <f>'data on outstanding creditors'!$E3061*100/107</f>
        <v>7170</v>
      </c>
      <c r="P3061" s="10">
        <f>'data on outstanding creditors'!$E3061-'data on outstanding creditors'!$O3061</f>
        <v>501.9</v>
      </c>
      <c r="Q3061" s="7">
        <f>DAY('data on outstanding creditors'!$B3061)</f>
        <v>5</v>
      </c>
      <c r="R3061" s="7">
        <f>MONTH('data on outstanding creditors'!$B3061)</f>
        <v>8</v>
      </c>
      <c r="S3061" s="7">
        <f>YEAR('data on outstanding creditors'!$B3061)</f>
        <v>2025</v>
      </c>
      <c r="T3061" s="11" t="str">
        <f>'data on outstanding creditors'!$C3061&amp;" "&amp;'data on outstanding creditors'!$D3061&amp;" "&amp;TEXT('data on outstanding creditors'!$E3061,"#,##0.00")</f>
        <v>บ.บี.เอ็ล.ฮั้ว 68025142 7,671.90</v>
      </c>
      <c r="U3061" s="12"/>
    </row>
    <row r="3062" ht="13.5" customHeight="1">
      <c r="A3062" s="1"/>
      <c r="B3062" s="2">
        <v>45875.0</v>
      </c>
      <c r="C3062" s="9" t="s">
        <v>4703</v>
      </c>
      <c r="D3062" s="1" t="s">
        <v>4757</v>
      </c>
      <c r="E3062" s="4">
        <v>15000.0</v>
      </c>
      <c r="F3062" s="4"/>
      <c r="G3062" s="4"/>
      <c r="H3062" s="4">
        <f>'data on outstanding creditors'!$E3062-'data on outstanding creditors'!$F3062-'data on outstanding creditors'!$G3062</f>
        <v>15000</v>
      </c>
      <c r="I3062" s="2"/>
      <c r="J3062" s="1" t="s">
        <v>757</v>
      </c>
      <c r="K3062" s="2">
        <v>45915.0</v>
      </c>
      <c r="L3062" s="5"/>
      <c r="M3062" s="9" t="s">
        <v>4687</v>
      </c>
      <c r="N3062" s="9" t="s">
        <v>23</v>
      </c>
      <c r="O3062" s="10">
        <f>'data on outstanding creditors'!$E3062*100/107</f>
        <v>14018.69159</v>
      </c>
      <c r="P3062" s="10">
        <f>'data on outstanding creditors'!$E3062-'data on outstanding creditors'!$O3062</f>
        <v>981.3084112</v>
      </c>
      <c r="Q3062" s="7">
        <f>DAY('data on outstanding creditors'!$B3062)</f>
        <v>6</v>
      </c>
      <c r="R3062" s="7">
        <f>MONTH('data on outstanding creditors'!$B3062)</f>
        <v>8</v>
      </c>
      <c r="S3062" s="7">
        <f>YEAR('data on outstanding creditors'!$B3062)</f>
        <v>2025</v>
      </c>
      <c r="T3062" s="11" t="str">
        <f>'data on outstanding creditors'!$C3062&amp;" "&amp;'data on outstanding creditors'!$D3062&amp;" "&amp;TEXT('data on outstanding creditors'!$E3062,"#,##0.00")</f>
        <v>บ.ปัญญฤกษ์ 680803 15,000.00</v>
      </c>
      <c r="U3062" s="12"/>
    </row>
    <row r="3063" ht="13.5" customHeight="1">
      <c r="A3063" s="1"/>
      <c r="B3063" s="2">
        <v>45875.0</v>
      </c>
      <c r="C3063" s="9" t="s">
        <v>4703</v>
      </c>
      <c r="D3063" s="1" t="s">
        <v>4758</v>
      </c>
      <c r="E3063" s="4">
        <v>22080.0</v>
      </c>
      <c r="F3063" s="4"/>
      <c r="G3063" s="4"/>
      <c r="H3063" s="4">
        <f>'data on outstanding creditors'!$E3063-'data on outstanding creditors'!$F3063-'data on outstanding creditors'!$G3063</f>
        <v>22080</v>
      </c>
      <c r="I3063" s="2"/>
      <c r="J3063" s="1" t="s">
        <v>757</v>
      </c>
      <c r="K3063" s="2">
        <v>45915.0</v>
      </c>
      <c r="L3063" s="5"/>
      <c r="M3063" s="9" t="s">
        <v>4687</v>
      </c>
      <c r="N3063" s="9" t="s">
        <v>23</v>
      </c>
      <c r="O3063" s="10">
        <f>'data on outstanding creditors'!$E3063*100/107</f>
        <v>20635.51402</v>
      </c>
      <c r="P3063" s="10">
        <f>'data on outstanding creditors'!$E3063-'data on outstanding creditors'!$O3063</f>
        <v>1444.485981</v>
      </c>
      <c r="Q3063" s="7">
        <f>DAY('data on outstanding creditors'!$B3063)</f>
        <v>6</v>
      </c>
      <c r="R3063" s="7">
        <f>MONTH('data on outstanding creditors'!$B3063)</f>
        <v>8</v>
      </c>
      <c r="S3063" s="7">
        <f>YEAR('data on outstanding creditors'!$B3063)</f>
        <v>2025</v>
      </c>
      <c r="T3063" s="11" t="str">
        <f>'data on outstanding creditors'!$C3063&amp;" "&amp;'data on outstanding creditors'!$D3063&amp;" "&amp;TEXT('data on outstanding creditors'!$E3063,"#,##0.00")</f>
        <v>บ.ปัญญฤกษ์ 680804 22,080.00</v>
      </c>
      <c r="U3063" s="12"/>
    </row>
    <row r="3064" ht="13.5" customHeight="1">
      <c r="A3064" s="1"/>
      <c r="B3064" s="2">
        <v>45875.0</v>
      </c>
      <c r="C3064" s="9" t="s">
        <v>4685</v>
      </c>
      <c r="D3064" s="1" t="s">
        <v>4759</v>
      </c>
      <c r="E3064" s="4">
        <v>14937.2</v>
      </c>
      <c r="F3064" s="4"/>
      <c r="G3064" s="4"/>
      <c r="H3064" s="4">
        <f>'data on outstanding creditors'!$E3064-'data on outstanding creditors'!$F3064-'data on outstanding creditors'!$G3064</f>
        <v>14937.2</v>
      </c>
      <c r="I3064" s="2"/>
      <c r="J3064" s="1" t="s">
        <v>757</v>
      </c>
      <c r="K3064" s="2">
        <v>45915.0</v>
      </c>
      <c r="L3064" s="5"/>
      <c r="M3064" s="9" t="s">
        <v>4687</v>
      </c>
      <c r="N3064" s="9" t="s">
        <v>23</v>
      </c>
      <c r="O3064" s="10">
        <f>'data on outstanding creditors'!$E3064*100/107</f>
        <v>13960</v>
      </c>
      <c r="P3064" s="10">
        <f>'data on outstanding creditors'!$E3064-'data on outstanding creditors'!$O3064</f>
        <v>977.2</v>
      </c>
      <c r="Q3064" s="7">
        <f>DAY('data on outstanding creditors'!$B3064)</f>
        <v>6</v>
      </c>
      <c r="R3064" s="7">
        <f>MONTH('data on outstanding creditors'!$B3064)</f>
        <v>8</v>
      </c>
      <c r="S3064" s="7">
        <f>YEAR('data on outstanding creditors'!$B3064)</f>
        <v>2025</v>
      </c>
      <c r="T3064" s="11" t="str">
        <f>'data on outstanding creditors'!$C3064&amp;" "&amp;'data on outstanding creditors'!$D3064&amp;" "&amp;TEXT('data on outstanding creditors'!$E3064,"#,##0.00")</f>
        <v>บ.เอกตรงเคมีภัณฑ์ (1985) 68070538 14,937.20</v>
      </c>
      <c r="U3064" s="12"/>
    </row>
    <row r="3065" ht="13.5" customHeight="1">
      <c r="A3065" s="1"/>
      <c r="B3065" s="2">
        <v>45888.0</v>
      </c>
      <c r="C3065" s="9" t="s">
        <v>4685</v>
      </c>
      <c r="D3065" s="1" t="s">
        <v>4760</v>
      </c>
      <c r="E3065" s="4">
        <v>17441.0</v>
      </c>
      <c r="F3065" s="4"/>
      <c r="G3065" s="4"/>
      <c r="H3065" s="4">
        <f>'data on outstanding creditors'!$E3065-'data on outstanding creditors'!$F3065-'data on outstanding creditors'!$G3065</f>
        <v>17441</v>
      </c>
      <c r="I3065" s="2"/>
      <c r="J3065" s="1" t="s">
        <v>757</v>
      </c>
      <c r="K3065" s="2">
        <v>45833.0</v>
      </c>
      <c r="L3065" s="5"/>
      <c r="M3065" s="9" t="s">
        <v>4687</v>
      </c>
      <c r="N3065" s="9" t="s">
        <v>23</v>
      </c>
      <c r="O3065" s="10">
        <f>'data on outstanding creditors'!$E3065*100/107</f>
        <v>16300</v>
      </c>
      <c r="P3065" s="10">
        <f>'data on outstanding creditors'!$E3065-'data on outstanding creditors'!$O3065</f>
        <v>1141</v>
      </c>
      <c r="Q3065" s="7">
        <f>DAY('data on outstanding creditors'!$B3065)</f>
        <v>19</v>
      </c>
      <c r="R3065" s="7">
        <f>MONTH('data on outstanding creditors'!$B3065)</f>
        <v>8</v>
      </c>
      <c r="S3065" s="7">
        <f>YEAR('data on outstanding creditors'!$B3065)</f>
        <v>2025</v>
      </c>
      <c r="T3065" s="11" t="str">
        <f>'data on outstanding creditors'!$C3065&amp;" "&amp;'data on outstanding creditors'!$D3065&amp;" "&amp;TEXT('data on outstanding creditors'!$E3065,"#,##0.00")</f>
        <v>บ.เอกตรงเคมีภัณฑ์ (1985) 68080197 17,441.00</v>
      </c>
      <c r="U3065" s="12"/>
    </row>
    <row r="3066" ht="13.5" customHeight="1">
      <c r="A3066" s="1"/>
      <c r="B3066" s="2">
        <v>45895.0</v>
      </c>
      <c r="C3066" s="9" t="s">
        <v>401</v>
      </c>
      <c r="D3066" s="1" t="s">
        <v>4761</v>
      </c>
      <c r="E3066" s="4">
        <v>7704.0</v>
      </c>
      <c r="F3066" s="4"/>
      <c r="G3066" s="4"/>
      <c r="H3066" s="4">
        <f>'data on outstanding creditors'!$E3066-'data on outstanding creditors'!$F3066-'data on outstanding creditors'!$G3066</f>
        <v>7704</v>
      </c>
      <c r="I3066" s="2"/>
      <c r="J3066" s="1" t="s">
        <v>646</v>
      </c>
      <c r="K3066" s="2">
        <v>45928.0</v>
      </c>
      <c r="L3066" s="5"/>
      <c r="M3066" s="9" t="s">
        <v>4687</v>
      </c>
      <c r="N3066" s="9" t="s">
        <v>23</v>
      </c>
      <c r="O3066" s="10">
        <f>'data on outstanding creditors'!$E3066*100/107</f>
        <v>7200</v>
      </c>
      <c r="P3066" s="10">
        <f>'data on outstanding creditors'!$E3066-'data on outstanding creditors'!$O3066</f>
        <v>504</v>
      </c>
      <c r="Q3066" s="7">
        <f>DAY('data on outstanding creditors'!$B3066)</f>
        <v>26</v>
      </c>
      <c r="R3066" s="7">
        <f>MONTH('data on outstanding creditors'!$B3066)</f>
        <v>8</v>
      </c>
      <c r="S3066" s="7">
        <f>YEAR('data on outstanding creditors'!$B3066)</f>
        <v>2025</v>
      </c>
      <c r="T3066" s="11" t="str">
        <f>'data on outstanding creditors'!$C3066&amp;" "&amp;'data on outstanding creditors'!$D3066&amp;" "&amp;TEXT('data on outstanding creditors'!$E3066,"#,##0.00")</f>
        <v>องค์การเภสัชกรรม 3001056068 7,704.00</v>
      </c>
      <c r="U3066" s="12"/>
    </row>
    <row r="3067" ht="13.5" customHeight="1">
      <c r="A3067" s="1"/>
      <c r="B3067" s="2">
        <v>45895.0</v>
      </c>
      <c r="C3067" s="9" t="s">
        <v>1320</v>
      </c>
      <c r="D3067" s="1" t="s">
        <v>4762</v>
      </c>
      <c r="E3067" s="4">
        <v>6864.05</v>
      </c>
      <c r="F3067" s="4"/>
      <c r="G3067" s="4"/>
      <c r="H3067" s="4">
        <f>'data on outstanding creditors'!$E3067-'data on outstanding creditors'!$F3067-'data on outstanding creditors'!$G3067</f>
        <v>6864.05</v>
      </c>
      <c r="I3067" s="2"/>
      <c r="J3067" s="1" t="s">
        <v>757</v>
      </c>
      <c r="K3067" s="2">
        <v>45833.0</v>
      </c>
      <c r="L3067" s="5"/>
      <c r="M3067" s="9" t="s">
        <v>4687</v>
      </c>
      <c r="N3067" s="9" t="s">
        <v>23</v>
      </c>
      <c r="O3067" s="10">
        <f>'data on outstanding creditors'!$E3067*100/107</f>
        <v>6415</v>
      </c>
      <c r="P3067" s="10">
        <f>'data on outstanding creditors'!$E3067-'data on outstanding creditors'!$O3067</f>
        <v>449.05</v>
      </c>
      <c r="Q3067" s="7">
        <f>DAY('data on outstanding creditors'!$B3067)</f>
        <v>26</v>
      </c>
      <c r="R3067" s="7">
        <f>MONTH('data on outstanding creditors'!$B3067)</f>
        <v>8</v>
      </c>
      <c r="S3067" s="7">
        <f>YEAR('data on outstanding creditors'!$B3067)</f>
        <v>2025</v>
      </c>
      <c r="T3067" s="11" t="str">
        <f>'data on outstanding creditors'!$C3067&amp;" "&amp;'data on outstanding creditors'!$D3067&amp;" "&amp;TEXT('data on outstanding creditors'!$E3067,"#,##0.00")</f>
        <v>บ.บี.เอ็ล.ฮั้ว 68028245 6,864.05</v>
      </c>
      <c r="U3067" s="12"/>
    </row>
    <row r="3068" ht="13.5" customHeight="1">
      <c r="A3068" s="1"/>
      <c r="B3068" s="2">
        <v>45895.0</v>
      </c>
      <c r="C3068" s="9" t="s">
        <v>4695</v>
      </c>
      <c r="D3068" s="1" t="s">
        <v>4763</v>
      </c>
      <c r="E3068" s="4">
        <v>3800.0</v>
      </c>
      <c r="F3068" s="4"/>
      <c r="G3068" s="4"/>
      <c r="H3068" s="4">
        <f>'data on outstanding creditors'!$E3068-'data on outstanding creditors'!$F3068-'data on outstanding creditors'!$G3068</f>
        <v>3800</v>
      </c>
      <c r="I3068" s="2"/>
      <c r="J3068" s="1" t="s">
        <v>757</v>
      </c>
      <c r="K3068" s="2">
        <v>45925.0</v>
      </c>
      <c r="L3068" s="5"/>
      <c r="M3068" s="9" t="s">
        <v>4687</v>
      </c>
      <c r="N3068" s="9" t="s">
        <v>23</v>
      </c>
      <c r="O3068" s="10">
        <f>'data on outstanding creditors'!$E3068*100/107</f>
        <v>3551.401869</v>
      </c>
      <c r="P3068" s="10">
        <f>'data on outstanding creditors'!$E3068-'data on outstanding creditors'!$O3068</f>
        <v>248.5981308</v>
      </c>
      <c r="Q3068" s="7">
        <f>DAY('data on outstanding creditors'!$B3068)</f>
        <v>26</v>
      </c>
      <c r="R3068" s="7">
        <f>MONTH('data on outstanding creditors'!$B3068)</f>
        <v>8</v>
      </c>
      <c r="S3068" s="7">
        <f>YEAR('data on outstanding creditors'!$B3068)</f>
        <v>2025</v>
      </c>
      <c r="T3068" s="11" t="str">
        <f>'data on outstanding creditors'!$C3068&amp;" "&amp;'data on outstanding creditors'!$D3068&amp;" "&amp;TEXT('data on outstanding creditors'!$E3068,"#,##0.00")</f>
        <v>บ.อัมรินทร์ มาร์เก็ตติ้ง AMH0018646 3,800.00</v>
      </c>
      <c r="U3068" s="12"/>
    </row>
    <row r="3069" ht="13.5" customHeight="1">
      <c r="A3069" s="1"/>
      <c r="B3069" s="2">
        <v>45895.0</v>
      </c>
      <c r="C3069" s="9" t="s">
        <v>4695</v>
      </c>
      <c r="D3069" s="1" t="s">
        <v>4764</v>
      </c>
      <c r="E3069" s="4">
        <v>34500.0</v>
      </c>
      <c r="F3069" s="4"/>
      <c r="G3069" s="4"/>
      <c r="H3069" s="4">
        <f>'data on outstanding creditors'!$E3069-'data on outstanding creditors'!$F3069-'data on outstanding creditors'!$G3069</f>
        <v>34500</v>
      </c>
      <c r="I3069" s="2"/>
      <c r="J3069" s="1" t="s">
        <v>757</v>
      </c>
      <c r="K3069" s="2">
        <v>45833.0</v>
      </c>
      <c r="L3069" s="5"/>
      <c r="M3069" s="9" t="s">
        <v>4687</v>
      </c>
      <c r="N3069" s="9" t="s">
        <v>23</v>
      </c>
      <c r="O3069" s="10">
        <f>'data on outstanding creditors'!$E3069*100/107</f>
        <v>32242.99065</v>
      </c>
      <c r="P3069" s="10">
        <f>'data on outstanding creditors'!$E3069-'data on outstanding creditors'!$O3069</f>
        <v>2257.009346</v>
      </c>
      <c r="Q3069" s="7">
        <f>DAY('data on outstanding creditors'!$B3069)</f>
        <v>26</v>
      </c>
      <c r="R3069" s="7">
        <f>MONTH('data on outstanding creditors'!$B3069)</f>
        <v>8</v>
      </c>
      <c r="S3069" s="7">
        <f>YEAR('data on outstanding creditors'!$B3069)</f>
        <v>2025</v>
      </c>
      <c r="T3069" s="11" t="str">
        <f>'data on outstanding creditors'!$C3069&amp;" "&amp;'data on outstanding creditors'!$D3069&amp;" "&amp;TEXT('data on outstanding creditors'!$E3069,"#,##0.00")</f>
        <v>บ.อัมรินทร์ มาร์เก็ตติ้ง AMH0018647 34,500.00</v>
      </c>
      <c r="U3069" s="12"/>
    </row>
    <row r="3070" ht="13.5" customHeight="1">
      <c r="A3070" s="1"/>
      <c r="B3070" s="2">
        <v>45901.0</v>
      </c>
      <c r="C3070" s="9" t="s">
        <v>4685</v>
      </c>
      <c r="D3070" s="1" t="s">
        <v>4765</v>
      </c>
      <c r="E3070" s="4">
        <v>6195.3</v>
      </c>
      <c r="F3070" s="4"/>
      <c r="G3070" s="4"/>
      <c r="H3070" s="4">
        <f>'data on outstanding creditors'!$E3070-'data on outstanding creditors'!$F3070-'data on outstanding creditors'!$G3070</f>
        <v>6195.3</v>
      </c>
      <c r="I3070" s="2"/>
      <c r="J3070" s="1" t="s">
        <v>757</v>
      </c>
      <c r="K3070" s="2">
        <v>45833.0</v>
      </c>
      <c r="L3070" s="5"/>
      <c r="M3070" s="9" t="s">
        <v>4687</v>
      </c>
      <c r="N3070" s="9" t="s">
        <v>23</v>
      </c>
      <c r="O3070" s="10">
        <f>'data on outstanding creditors'!$E3070*100/107</f>
        <v>5790</v>
      </c>
      <c r="P3070" s="10">
        <f>'data on outstanding creditors'!$E3070-'data on outstanding creditors'!$O3070</f>
        <v>405.3</v>
      </c>
      <c r="Q3070" s="7">
        <f>DAY('data on outstanding creditors'!$B3070)</f>
        <v>1</v>
      </c>
      <c r="R3070" s="7">
        <f>MONTH('data on outstanding creditors'!$B3070)</f>
        <v>9</v>
      </c>
      <c r="S3070" s="7">
        <f>YEAR('data on outstanding creditors'!$B3070)</f>
        <v>2025</v>
      </c>
      <c r="T3070" s="11" t="str">
        <f>'data on outstanding creditors'!$C3070&amp;" "&amp;'data on outstanding creditors'!$D3070&amp;" "&amp;TEXT('data on outstanding creditors'!$E3070,"#,##0.00")</f>
        <v>บ.เอกตรงเคมีภัณฑ์ (1985) 68080355 6,195.30</v>
      </c>
      <c r="U3070" s="12"/>
    </row>
    <row r="3071" ht="13.5" customHeight="1">
      <c r="A3071" s="1"/>
      <c r="B3071" s="2">
        <v>45902.0</v>
      </c>
      <c r="C3071" s="9" t="s">
        <v>4695</v>
      </c>
      <c r="D3071" s="1" t="s">
        <v>4766</v>
      </c>
      <c r="E3071" s="4">
        <v>14000.0</v>
      </c>
      <c r="F3071" s="4"/>
      <c r="G3071" s="4"/>
      <c r="H3071" s="4">
        <f>'data on outstanding creditors'!$E3071-'data on outstanding creditors'!$F3071-'data on outstanding creditors'!$G3071</f>
        <v>14000</v>
      </c>
      <c r="I3071" s="2"/>
      <c r="J3071" s="1" t="s">
        <v>757</v>
      </c>
      <c r="K3071" s="2">
        <v>45925.0</v>
      </c>
      <c r="L3071" s="5"/>
      <c r="M3071" s="9" t="s">
        <v>4687</v>
      </c>
      <c r="N3071" s="9" t="s">
        <v>23</v>
      </c>
      <c r="O3071" s="10">
        <f>'data on outstanding creditors'!$E3071*100/107</f>
        <v>13084.11215</v>
      </c>
      <c r="P3071" s="10">
        <f>'data on outstanding creditors'!$E3071-'data on outstanding creditors'!$O3071</f>
        <v>915.8878505</v>
      </c>
      <c r="Q3071" s="7">
        <f>DAY('data on outstanding creditors'!$B3071)</f>
        <v>2</v>
      </c>
      <c r="R3071" s="7">
        <f>MONTH('data on outstanding creditors'!$B3071)</f>
        <v>9</v>
      </c>
      <c r="S3071" s="7">
        <f>YEAR('data on outstanding creditors'!$B3071)</f>
        <v>2025</v>
      </c>
      <c r="T3071" s="11" t="str">
        <f>'data on outstanding creditors'!$C3071&amp;" "&amp;'data on outstanding creditors'!$D3071&amp;" "&amp;TEXT('data on outstanding creditors'!$E3071,"#,##0.00")</f>
        <v>บ.อัมรินทร์ มาร์เก็ตติ้ง AMH0018648 14,000.00</v>
      </c>
      <c r="U3071" s="12"/>
    </row>
    <row r="3072" ht="13.5" customHeight="1">
      <c r="A3072" s="1"/>
      <c r="B3072" s="2">
        <v>45902.0</v>
      </c>
      <c r="C3072" s="9" t="s">
        <v>4695</v>
      </c>
      <c r="D3072" s="1" t="s">
        <v>4767</v>
      </c>
      <c r="E3072" s="4">
        <v>17250.0</v>
      </c>
      <c r="F3072" s="4"/>
      <c r="G3072" s="4"/>
      <c r="H3072" s="4">
        <f>'data on outstanding creditors'!$E3072-'data on outstanding creditors'!$F3072-'data on outstanding creditors'!$G3072</f>
        <v>17250</v>
      </c>
      <c r="I3072" s="2"/>
      <c r="J3072" s="1" t="s">
        <v>757</v>
      </c>
      <c r="K3072" s="2">
        <v>45833.0</v>
      </c>
      <c r="L3072" s="5"/>
      <c r="M3072" s="9" t="s">
        <v>4687</v>
      </c>
      <c r="N3072" s="9" t="s">
        <v>23</v>
      </c>
      <c r="O3072" s="10">
        <f>'data on outstanding creditors'!$E3072*100/107</f>
        <v>16121.49533</v>
      </c>
      <c r="P3072" s="10">
        <f>'data on outstanding creditors'!$E3072-'data on outstanding creditors'!$O3072</f>
        <v>1128.504673</v>
      </c>
      <c r="Q3072" s="7">
        <f>DAY('data on outstanding creditors'!$B3072)</f>
        <v>2</v>
      </c>
      <c r="R3072" s="7">
        <f>MONTH('data on outstanding creditors'!$B3072)</f>
        <v>9</v>
      </c>
      <c r="S3072" s="7">
        <f>YEAR('data on outstanding creditors'!$B3072)</f>
        <v>2025</v>
      </c>
      <c r="T3072" s="11" t="str">
        <f>'data on outstanding creditors'!$C3072&amp;" "&amp;'data on outstanding creditors'!$D3072&amp;" "&amp;TEXT('data on outstanding creditors'!$E3072,"#,##0.00")</f>
        <v>บ.อัมรินทร์ มาร์เก็ตติ้ง AMH0018678 17,250.00</v>
      </c>
      <c r="U3072" s="12"/>
    </row>
    <row r="3073" ht="13.5" customHeight="1">
      <c r="A3073" s="1"/>
      <c r="B3073" s="2">
        <v>45905.0</v>
      </c>
      <c r="C3073" s="9" t="s">
        <v>4768</v>
      </c>
      <c r="D3073" s="1" t="s">
        <v>4769</v>
      </c>
      <c r="E3073" s="4">
        <v>2800.0</v>
      </c>
      <c r="F3073" s="4"/>
      <c r="G3073" s="4"/>
      <c r="H3073" s="4">
        <f>'data on outstanding creditors'!$E3073-'data on outstanding creditors'!$F3073-'data on outstanding creditors'!$G3073</f>
        <v>2800</v>
      </c>
      <c r="I3073" s="2"/>
      <c r="J3073" s="1" t="s">
        <v>757</v>
      </c>
      <c r="K3073" s="2">
        <v>45951.0</v>
      </c>
      <c r="L3073" s="5"/>
      <c r="M3073" s="9" t="s">
        <v>4687</v>
      </c>
      <c r="N3073" s="9" t="s">
        <v>23</v>
      </c>
      <c r="O3073" s="10">
        <f>'data on outstanding creditors'!$E3073*100/107</f>
        <v>2616.82243</v>
      </c>
      <c r="P3073" s="10">
        <f>'data on outstanding creditors'!$E3073-'data on outstanding creditors'!$O3073</f>
        <v>183.1775701</v>
      </c>
      <c r="Q3073" s="7">
        <f>DAY('data on outstanding creditors'!$B3073)</f>
        <v>5</v>
      </c>
      <c r="R3073" s="7">
        <f>MONTH('data on outstanding creditors'!$B3073)</f>
        <v>9</v>
      </c>
      <c r="S3073" s="7">
        <f>YEAR('data on outstanding creditors'!$B3073)</f>
        <v>2025</v>
      </c>
      <c r="T3073" s="11" t="str">
        <f>'data on outstanding creditors'!$C3073&amp;" "&amp;'data on outstanding creditors'!$D3073&amp;" "&amp;TEXT('data on outstanding creditors'!$E3073,"#,##0.00")</f>
        <v>บ.ยู อิยดัสตรี้ IVUIS.2568/128 2,800.00</v>
      </c>
      <c r="U3073" s="12"/>
    </row>
    <row r="3074" ht="13.5" customHeight="1">
      <c r="A3074" s="1"/>
      <c r="B3074" s="2">
        <v>45911.0</v>
      </c>
      <c r="C3074" s="9" t="s">
        <v>4735</v>
      </c>
      <c r="D3074" s="1" t="s">
        <v>4770</v>
      </c>
      <c r="E3074" s="4">
        <v>9000.0</v>
      </c>
      <c r="F3074" s="4"/>
      <c r="G3074" s="4"/>
      <c r="H3074" s="4">
        <f>'data on outstanding creditors'!$E3074-'data on outstanding creditors'!$F3074-'data on outstanding creditors'!$G3074</f>
        <v>9000</v>
      </c>
      <c r="I3074" s="2"/>
      <c r="J3074" s="1" t="s">
        <v>757</v>
      </c>
      <c r="K3074" s="2">
        <v>45951.0</v>
      </c>
      <c r="L3074" s="5"/>
      <c r="M3074" s="9" t="s">
        <v>4687</v>
      </c>
      <c r="N3074" s="9" t="s">
        <v>23</v>
      </c>
      <c r="O3074" s="10">
        <f>'data on outstanding creditors'!$E3074*100/107</f>
        <v>8411.214953</v>
      </c>
      <c r="P3074" s="10">
        <f>'data on outstanding creditors'!$E3074-'data on outstanding creditors'!$O3074</f>
        <v>588.7850467</v>
      </c>
      <c r="Q3074" s="7">
        <f>DAY('data on outstanding creditors'!$B3074)</f>
        <v>11</v>
      </c>
      <c r="R3074" s="7">
        <f>MONTH('data on outstanding creditors'!$B3074)</f>
        <v>9</v>
      </c>
      <c r="S3074" s="7">
        <f>YEAR('data on outstanding creditors'!$B3074)</f>
        <v>2025</v>
      </c>
      <c r="T3074" s="11" t="str">
        <f>'data on outstanding creditors'!$C3074&amp;" "&amp;'data on outstanding creditors'!$D3074&amp;" "&amp;TEXT('data on outstanding creditors'!$E3074,"#,##0.00")</f>
        <v>บ.ออล ควอลิตี้ ซัพพลาย 67/00737 9,000.00</v>
      </c>
      <c r="U3074" s="12"/>
    </row>
    <row r="3075" ht="13.5" customHeight="1">
      <c r="A3075" s="1"/>
      <c r="B3075" s="2">
        <v>45916.0</v>
      </c>
      <c r="C3075" s="9" t="s">
        <v>4685</v>
      </c>
      <c r="D3075" s="1" t="s">
        <v>4771</v>
      </c>
      <c r="E3075" s="4">
        <v>11063.8</v>
      </c>
      <c r="F3075" s="4"/>
      <c r="G3075" s="4"/>
      <c r="H3075" s="4">
        <f>'data on outstanding creditors'!$E3075-'data on outstanding creditors'!$F3075-'data on outstanding creditors'!$G3075</f>
        <v>11063.8</v>
      </c>
      <c r="I3075" s="2"/>
      <c r="J3075" s="1" t="s">
        <v>757</v>
      </c>
      <c r="K3075" s="2">
        <v>45951.0</v>
      </c>
      <c r="L3075" s="5"/>
      <c r="M3075" s="9" t="s">
        <v>4687</v>
      </c>
      <c r="N3075" s="9" t="s">
        <v>23</v>
      </c>
      <c r="O3075" s="10">
        <f>'data on outstanding creditors'!$E3075*100/107</f>
        <v>10340</v>
      </c>
      <c r="P3075" s="10">
        <f>'data on outstanding creditors'!$E3075-'data on outstanding creditors'!$O3075</f>
        <v>723.8</v>
      </c>
      <c r="Q3075" s="7">
        <f>DAY('data on outstanding creditors'!$B3075)</f>
        <v>16</v>
      </c>
      <c r="R3075" s="7">
        <f>MONTH('data on outstanding creditors'!$B3075)</f>
        <v>9</v>
      </c>
      <c r="S3075" s="7">
        <f>YEAR('data on outstanding creditors'!$B3075)</f>
        <v>2025</v>
      </c>
      <c r="T3075" s="11" t="str">
        <f>'data on outstanding creditors'!$C3075&amp;" "&amp;'data on outstanding creditors'!$D3075&amp;" "&amp;TEXT('data on outstanding creditors'!$E3075,"#,##0.00")</f>
        <v>บ.เอกตรงเคมีภัณฑ์ (1985) 68090210 11,063.80</v>
      </c>
      <c r="U3075" s="12"/>
    </row>
    <row r="3076" ht="13.5" customHeight="1">
      <c r="A3076" s="1"/>
      <c r="B3076" s="2">
        <v>45916.0</v>
      </c>
      <c r="C3076" s="9" t="s">
        <v>4695</v>
      </c>
      <c r="D3076" s="1" t="s">
        <v>4772</v>
      </c>
      <c r="E3076" s="4">
        <v>17250.0</v>
      </c>
      <c r="F3076" s="4"/>
      <c r="G3076" s="4"/>
      <c r="H3076" s="4">
        <f>'data on outstanding creditors'!$E3076-'data on outstanding creditors'!$F3076-'data on outstanding creditors'!$G3076</f>
        <v>17250</v>
      </c>
      <c r="I3076" s="2"/>
      <c r="J3076" s="1" t="s">
        <v>757</v>
      </c>
      <c r="K3076" s="2">
        <v>45951.0</v>
      </c>
      <c r="L3076" s="5"/>
      <c r="M3076" s="9" t="s">
        <v>4687</v>
      </c>
      <c r="N3076" s="9" t="s">
        <v>23</v>
      </c>
      <c r="O3076" s="10">
        <f>'data on outstanding creditors'!$E3076*100/107</f>
        <v>16121.49533</v>
      </c>
      <c r="P3076" s="10">
        <f>'data on outstanding creditors'!$E3076-'data on outstanding creditors'!$O3076</f>
        <v>1128.504673</v>
      </c>
      <c r="Q3076" s="7">
        <f>DAY('data on outstanding creditors'!$B3076)</f>
        <v>16</v>
      </c>
      <c r="R3076" s="7">
        <f>MONTH('data on outstanding creditors'!$B3076)</f>
        <v>9</v>
      </c>
      <c r="S3076" s="7">
        <f>YEAR('data on outstanding creditors'!$B3076)</f>
        <v>2025</v>
      </c>
      <c r="T3076" s="11" t="str">
        <f>'data on outstanding creditors'!$C3076&amp;" "&amp;'data on outstanding creditors'!$D3076&amp;" "&amp;TEXT('data on outstanding creditors'!$E3076,"#,##0.00")</f>
        <v>บ.อัมรินทร์ มาร์เก็ตติ้ง AMH0018723 17,250.00</v>
      </c>
      <c r="U3076" s="12"/>
    </row>
    <row r="3077" ht="13.5" customHeight="1">
      <c r="A3077" s="1"/>
      <c r="B3077" s="2">
        <v>45916.0</v>
      </c>
      <c r="C3077" s="9" t="s">
        <v>2816</v>
      </c>
      <c r="D3077" s="1" t="s">
        <v>4773</v>
      </c>
      <c r="E3077" s="4">
        <v>5750.0</v>
      </c>
      <c r="F3077" s="4"/>
      <c r="G3077" s="4"/>
      <c r="H3077" s="4">
        <f>'data on outstanding creditors'!$E3077-'data on outstanding creditors'!$F3077-'data on outstanding creditors'!$G3077</f>
        <v>5750</v>
      </c>
      <c r="I3077" s="2"/>
      <c r="J3077" s="1" t="s">
        <v>757</v>
      </c>
      <c r="K3077" s="2">
        <v>45951.0</v>
      </c>
      <c r="L3077" s="5"/>
      <c r="M3077" s="9" t="s">
        <v>4687</v>
      </c>
      <c r="N3077" s="9" t="s">
        <v>23</v>
      </c>
      <c r="O3077" s="10">
        <f>'data on outstanding creditors'!$E3077*100/107</f>
        <v>5373.831776</v>
      </c>
      <c r="P3077" s="10">
        <f>'data on outstanding creditors'!$E3077-'data on outstanding creditors'!$O3077</f>
        <v>376.1682243</v>
      </c>
      <c r="Q3077" s="7">
        <f>DAY('data on outstanding creditors'!$B3077)</f>
        <v>16</v>
      </c>
      <c r="R3077" s="7">
        <f>MONTH('data on outstanding creditors'!$B3077)</f>
        <v>9</v>
      </c>
      <c r="S3077" s="7">
        <f>YEAR('data on outstanding creditors'!$B3077)</f>
        <v>2025</v>
      </c>
      <c r="T3077" s="11" t="str">
        <f>'data on outstanding creditors'!$C3077&amp;" "&amp;'data on outstanding creditors'!$D3077&amp;" "&amp;TEXT('data on outstanding creditors'!$E3077,"#,##0.00")</f>
        <v>บ.ไทปันซัมมิท TP680910025 5,750.00</v>
      </c>
      <c r="U3077" s="12"/>
    </row>
    <row r="3078" ht="13.5" customHeight="1">
      <c r="A3078" s="1"/>
      <c r="B3078" s="2">
        <v>45923.0</v>
      </c>
      <c r="C3078" s="9" t="s">
        <v>401</v>
      </c>
      <c r="D3078" s="1" t="s">
        <v>4774</v>
      </c>
      <c r="E3078" s="4">
        <v>23000.0</v>
      </c>
      <c r="F3078" s="4"/>
      <c r="G3078" s="4"/>
      <c r="H3078" s="4">
        <f>'data on outstanding creditors'!$E3078-'data on outstanding creditors'!$F3078-'data on outstanding creditors'!$G3078</f>
        <v>23000</v>
      </c>
      <c r="I3078" s="2"/>
      <c r="J3078" s="1" t="s">
        <v>757</v>
      </c>
      <c r="K3078" s="2">
        <v>45951.0</v>
      </c>
      <c r="L3078" s="5"/>
      <c r="M3078" s="9" t="s">
        <v>4687</v>
      </c>
      <c r="N3078" s="9" t="s">
        <v>23</v>
      </c>
      <c r="O3078" s="10">
        <f>'data on outstanding creditors'!$E3078*100/107</f>
        <v>21495.3271</v>
      </c>
      <c r="P3078" s="10">
        <f>'data on outstanding creditors'!$E3078-'data on outstanding creditors'!$O3078</f>
        <v>1504.672897</v>
      </c>
      <c r="Q3078" s="7">
        <f>DAY('data on outstanding creditors'!$B3078)</f>
        <v>23</v>
      </c>
      <c r="R3078" s="7">
        <f>MONTH('data on outstanding creditors'!$B3078)</f>
        <v>9</v>
      </c>
      <c r="S3078" s="7">
        <f>YEAR('data on outstanding creditors'!$B3078)</f>
        <v>2025</v>
      </c>
      <c r="T3078" s="11" t="str">
        <f>'data on outstanding creditors'!$C3078&amp;" "&amp;'data on outstanding creditors'!$D3078&amp;" "&amp;TEXT('data on outstanding creditors'!$E3078,"#,##0.00")</f>
        <v>องค์การเภสัชกรรม 3001070332 23,000.00</v>
      </c>
      <c r="U3078" s="12"/>
    </row>
    <row r="3079" ht="13.5" customHeight="1">
      <c r="A3079" s="1"/>
      <c r="B3079" s="2">
        <v>45924.0</v>
      </c>
      <c r="C3079" s="9" t="s">
        <v>4227</v>
      </c>
      <c r="D3079" s="1" t="s">
        <v>4775</v>
      </c>
      <c r="E3079" s="4">
        <v>85000.0</v>
      </c>
      <c r="F3079" s="4"/>
      <c r="G3079" s="4"/>
      <c r="H3079" s="4">
        <f>'data on outstanding creditors'!$E3079-'data on outstanding creditors'!$F3079-'data on outstanding creditors'!$G3079</f>
        <v>85000</v>
      </c>
      <c r="I3079" s="2"/>
      <c r="J3079" s="1" t="s">
        <v>757</v>
      </c>
      <c r="K3079" s="2">
        <v>45951.0</v>
      </c>
      <c r="L3079" s="5"/>
      <c r="M3079" s="9" t="s">
        <v>4687</v>
      </c>
      <c r="N3079" s="9" t="s">
        <v>23</v>
      </c>
      <c r="O3079" s="10">
        <f>'data on outstanding creditors'!$E3079*100/107</f>
        <v>79439.25234</v>
      </c>
      <c r="P3079" s="10">
        <f>'data on outstanding creditors'!$E3079-'data on outstanding creditors'!$O3079</f>
        <v>5560.747664</v>
      </c>
      <c r="Q3079" s="7">
        <f>DAY('data on outstanding creditors'!$B3079)</f>
        <v>24</v>
      </c>
      <c r="R3079" s="7">
        <f>MONTH('data on outstanding creditors'!$B3079)</f>
        <v>9</v>
      </c>
      <c r="S3079" s="7">
        <f>YEAR('data on outstanding creditors'!$B3079)</f>
        <v>2025</v>
      </c>
      <c r="T3079" s="11" t="str">
        <f>'data on outstanding creditors'!$C3079&amp;" "&amp;'data on outstanding creditors'!$D3079&amp;" "&amp;TEXT('data on outstanding creditors'!$E3079,"#,##0.00")</f>
        <v>บ.โมเดอร์น พริ้นเทค แอนด์ เลเบิ้ล 68900 85,000.00</v>
      </c>
      <c r="U3079" s="12"/>
    </row>
    <row r="3080" ht="13.5" customHeight="1">
      <c r="A3080" s="1"/>
      <c r="B3080" s="2">
        <v>45924.0</v>
      </c>
      <c r="C3080" s="9" t="s">
        <v>4685</v>
      </c>
      <c r="D3080" s="1" t="s">
        <v>4776</v>
      </c>
      <c r="E3080" s="4">
        <v>10336.2</v>
      </c>
      <c r="F3080" s="4"/>
      <c r="G3080" s="4"/>
      <c r="H3080" s="4">
        <f>'data on outstanding creditors'!$E3080-'data on outstanding creditors'!$F3080-'data on outstanding creditors'!$G3080</f>
        <v>10336.2</v>
      </c>
      <c r="I3080" s="2"/>
      <c r="J3080" s="1" t="s">
        <v>757</v>
      </c>
      <c r="K3080" s="2">
        <v>45951.0</v>
      </c>
      <c r="L3080" s="5"/>
      <c r="M3080" s="9" t="s">
        <v>4687</v>
      </c>
      <c r="N3080" s="9" t="s">
        <v>23</v>
      </c>
      <c r="O3080" s="10">
        <f>'data on outstanding creditors'!$E3080*100/107</f>
        <v>9660</v>
      </c>
      <c r="P3080" s="10">
        <f>'data on outstanding creditors'!$E3080-'data on outstanding creditors'!$O3080</f>
        <v>676.2</v>
      </c>
      <c r="Q3080" s="7">
        <f>DAY('data on outstanding creditors'!$B3080)</f>
        <v>24</v>
      </c>
      <c r="R3080" s="7">
        <f>MONTH('data on outstanding creditors'!$B3080)</f>
        <v>9</v>
      </c>
      <c r="S3080" s="7">
        <f>YEAR('data on outstanding creditors'!$B3080)</f>
        <v>2025</v>
      </c>
      <c r="T3080" s="11" t="str">
        <f>'data on outstanding creditors'!$C3080&amp;" "&amp;'data on outstanding creditors'!$D3080&amp;" "&amp;TEXT('data on outstanding creditors'!$E3080,"#,##0.00")</f>
        <v>บ.เอกตรงเคมีภัณฑ์ (1985) 68090392 10,336.20</v>
      </c>
      <c r="U3080" s="12"/>
    </row>
    <row r="3081" ht="13.5" customHeight="1">
      <c r="A3081" s="1"/>
      <c r="B3081" s="2">
        <v>45924.0</v>
      </c>
      <c r="C3081" s="9" t="s">
        <v>1320</v>
      </c>
      <c r="D3081" s="1" t="s">
        <v>4777</v>
      </c>
      <c r="E3081" s="4">
        <v>10368.3</v>
      </c>
      <c r="F3081" s="4"/>
      <c r="G3081" s="4"/>
      <c r="H3081" s="4">
        <f>'data on outstanding creditors'!$E3081-'data on outstanding creditors'!$F3081-'data on outstanding creditors'!$G3081</f>
        <v>10368.3</v>
      </c>
      <c r="I3081" s="2"/>
      <c r="J3081" s="1" t="s">
        <v>757</v>
      </c>
      <c r="K3081" s="2">
        <v>45951.0</v>
      </c>
      <c r="L3081" s="5"/>
      <c r="M3081" s="9" t="s">
        <v>4687</v>
      </c>
      <c r="N3081" s="9" t="s">
        <v>23</v>
      </c>
      <c r="O3081" s="10">
        <f>'data on outstanding creditors'!$E3081*100/107</f>
        <v>9690</v>
      </c>
      <c r="P3081" s="10">
        <f>'data on outstanding creditors'!$E3081-'data on outstanding creditors'!$O3081</f>
        <v>678.3</v>
      </c>
      <c r="Q3081" s="7">
        <f>DAY('data on outstanding creditors'!$B3081)</f>
        <v>24</v>
      </c>
      <c r="R3081" s="7">
        <f>MONTH('data on outstanding creditors'!$B3081)</f>
        <v>9</v>
      </c>
      <c r="S3081" s="7">
        <f>YEAR('data on outstanding creditors'!$B3081)</f>
        <v>2025</v>
      </c>
      <c r="T3081" s="11" t="str">
        <f>'data on outstanding creditors'!$C3081&amp;" "&amp;'data on outstanding creditors'!$D3081&amp;" "&amp;TEXT('data on outstanding creditors'!$E3081,"#,##0.00")</f>
        <v>บ.บี.เอ็ล.ฮั้ว 68031202 10,368.30</v>
      </c>
      <c r="U3081" s="12"/>
    </row>
    <row r="3082" ht="13.5" customHeight="1">
      <c r="A3082" s="1"/>
      <c r="B3082" s="2">
        <v>45925.0</v>
      </c>
      <c r="C3082" s="9" t="s">
        <v>4227</v>
      </c>
      <c r="D3082" s="1" t="s">
        <v>4778</v>
      </c>
      <c r="E3082" s="4">
        <v>6000.0</v>
      </c>
      <c r="F3082" s="4"/>
      <c r="G3082" s="4"/>
      <c r="H3082" s="4">
        <f>'data on outstanding creditors'!$E3082-'data on outstanding creditors'!$F3082-'data on outstanding creditors'!$G3082</f>
        <v>6000</v>
      </c>
      <c r="I3082" s="2"/>
      <c r="J3082" s="1" t="s">
        <v>757</v>
      </c>
      <c r="K3082" s="2">
        <v>45964.0</v>
      </c>
      <c r="L3082" s="5"/>
      <c r="M3082" s="9" t="s">
        <v>4687</v>
      </c>
      <c r="N3082" s="9" t="s">
        <v>23</v>
      </c>
      <c r="O3082" s="10">
        <f>'data on outstanding creditors'!$E3082*100/107</f>
        <v>5607.476636</v>
      </c>
      <c r="P3082" s="10">
        <f>'data on outstanding creditors'!$E3082-'data on outstanding creditors'!$O3082</f>
        <v>392.5233645</v>
      </c>
      <c r="Q3082" s="7">
        <f>DAY('data on outstanding creditors'!$B3082)</f>
        <v>25</v>
      </c>
      <c r="R3082" s="7">
        <f>MONTH('data on outstanding creditors'!$B3082)</f>
        <v>9</v>
      </c>
      <c r="S3082" s="7">
        <f>YEAR('data on outstanding creditors'!$B3082)</f>
        <v>2025</v>
      </c>
      <c r="T3082" s="11" t="str">
        <f>'data on outstanding creditors'!$C3082&amp;" "&amp;'data on outstanding creditors'!$D3082&amp;" "&amp;TEXT('data on outstanding creditors'!$E3082,"#,##0.00")</f>
        <v>บ.โมเดอร์น พริ้นเทค แอนด์ เลเบิ้ล 68909 6,000.00</v>
      </c>
      <c r="U3082" s="12"/>
    </row>
    <row r="3083" ht="13.5" customHeight="1">
      <c r="A3083" s="1"/>
      <c r="B3083" s="2">
        <v>45960.0</v>
      </c>
      <c r="C3083" s="9" t="s">
        <v>4685</v>
      </c>
      <c r="D3083" s="1" t="s">
        <v>4779</v>
      </c>
      <c r="E3083" s="4">
        <v>10807.0</v>
      </c>
      <c r="F3083" s="4"/>
      <c r="G3083" s="4"/>
      <c r="H3083" s="4">
        <f>'data on outstanding creditors'!$E3083-'data on outstanding creditors'!$F3083-'data on outstanding creditors'!$G3083</f>
        <v>10807</v>
      </c>
      <c r="I3083" s="2"/>
      <c r="J3083" s="1"/>
      <c r="K3083" s="2"/>
      <c r="L3083" s="5"/>
      <c r="M3083" s="9" t="s">
        <v>4687</v>
      </c>
      <c r="N3083" s="9" t="s">
        <v>23</v>
      </c>
      <c r="O3083" s="10">
        <f>'data on outstanding creditors'!$E3083*100/107</f>
        <v>10100</v>
      </c>
      <c r="P3083" s="10">
        <f>'data on outstanding creditors'!$E3083-'data on outstanding creditors'!$O3083</f>
        <v>707</v>
      </c>
      <c r="Q3083" s="7">
        <f>DAY('data on outstanding creditors'!$B3083)</f>
        <v>30</v>
      </c>
      <c r="R3083" s="7">
        <f>MONTH('data on outstanding creditors'!$B3083)</f>
        <v>10</v>
      </c>
      <c r="S3083" s="7">
        <f>YEAR('data on outstanding creditors'!$B3083)</f>
        <v>2025</v>
      </c>
      <c r="T3083" s="11" t="str">
        <f>'data on outstanding creditors'!$C3083&amp;" "&amp;'data on outstanding creditors'!$D3083&amp;" "&amp;TEXT('data on outstanding creditors'!$E3083,"#,##0.00")</f>
        <v>บ.เอกตรงเคมีภัณฑ์ (1985) 68100242 10,807.00</v>
      </c>
      <c r="U3083" s="12"/>
    </row>
    <row r="3084" ht="13.5" customHeight="1">
      <c r="A3084" s="1"/>
      <c r="B3084" s="2">
        <v>45960.0</v>
      </c>
      <c r="C3084" s="9" t="s">
        <v>4685</v>
      </c>
      <c r="D3084" s="1" t="s">
        <v>4780</v>
      </c>
      <c r="E3084" s="4">
        <v>6259.5</v>
      </c>
      <c r="F3084" s="4"/>
      <c r="G3084" s="4"/>
      <c r="H3084" s="4">
        <f>'data on outstanding creditors'!$E3084-'data on outstanding creditors'!$F3084-'data on outstanding creditors'!$G3084</f>
        <v>6259.5</v>
      </c>
      <c r="I3084" s="2"/>
      <c r="J3084" s="1"/>
      <c r="K3084" s="2"/>
      <c r="L3084" s="5"/>
      <c r="M3084" s="9" t="s">
        <v>4687</v>
      </c>
      <c r="N3084" s="9" t="s">
        <v>23</v>
      </c>
      <c r="O3084" s="10">
        <f>'data on outstanding creditors'!$E3084*100/107</f>
        <v>5850</v>
      </c>
      <c r="P3084" s="10">
        <f>'data on outstanding creditors'!$E3084-'data on outstanding creditors'!$O3084</f>
        <v>409.5</v>
      </c>
      <c r="Q3084" s="7">
        <f>DAY('data on outstanding creditors'!$B3084)</f>
        <v>30</v>
      </c>
      <c r="R3084" s="7">
        <f>MONTH('data on outstanding creditors'!$B3084)</f>
        <v>10</v>
      </c>
      <c r="S3084" s="7">
        <f>YEAR('data on outstanding creditors'!$B3084)</f>
        <v>2025</v>
      </c>
      <c r="T3084" s="11" t="str">
        <f>'data on outstanding creditors'!$C3084&amp;" "&amp;'data on outstanding creditors'!$D3084&amp;" "&amp;TEXT('data on outstanding creditors'!$E3084,"#,##0.00")</f>
        <v>บ.เอกตรงเคมีภัณฑ์ (1985) 68100245 6,259.50</v>
      </c>
      <c r="U3084" s="12"/>
    </row>
    <row r="3085" ht="13.5" customHeight="1">
      <c r="A3085" s="1"/>
      <c r="B3085" s="2">
        <v>45960.0</v>
      </c>
      <c r="C3085" s="9" t="s">
        <v>1320</v>
      </c>
      <c r="D3085" s="1" t="s">
        <v>4781</v>
      </c>
      <c r="E3085" s="4">
        <v>3483.92</v>
      </c>
      <c r="F3085" s="4"/>
      <c r="G3085" s="4"/>
      <c r="H3085" s="4">
        <f>'data on outstanding creditors'!$E3085-'data on outstanding creditors'!$F3085-'data on outstanding creditors'!$G3085</f>
        <v>3483.92</v>
      </c>
      <c r="I3085" s="2"/>
      <c r="J3085" s="1"/>
      <c r="K3085" s="2"/>
      <c r="L3085" s="5"/>
      <c r="M3085" s="9" t="s">
        <v>4687</v>
      </c>
      <c r="N3085" s="9" t="s">
        <v>23</v>
      </c>
      <c r="O3085" s="10">
        <f>'data on outstanding creditors'!$E3085*100/107</f>
        <v>3256</v>
      </c>
      <c r="P3085" s="10">
        <f>'data on outstanding creditors'!$E3085-'data on outstanding creditors'!$O3085</f>
        <v>227.92</v>
      </c>
      <c r="Q3085" s="7">
        <f>DAY('data on outstanding creditors'!$B3085)</f>
        <v>30</v>
      </c>
      <c r="R3085" s="7">
        <f>MONTH('data on outstanding creditors'!$B3085)</f>
        <v>10</v>
      </c>
      <c r="S3085" s="7">
        <f>YEAR('data on outstanding creditors'!$B3085)</f>
        <v>2025</v>
      </c>
      <c r="T3085" s="11" t="str">
        <f>'data on outstanding creditors'!$C3085&amp;" "&amp;'data on outstanding creditors'!$D3085&amp;" "&amp;TEXT('data on outstanding creditors'!$E3085,"#,##0.00")</f>
        <v>บ.บี.เอ็ล.ฮั้ว 68034545 3,483.92</v>
      </c>
      <c r="U3085" s="12"/>
    </row>
    <row r="3086" ht="13.5" customHeight="1">
      <c r="A3086" s="1"/>
      <c r="B3086" s="2">
        <v>45960.0</v>
      </c>
      <c r="C3086" s="9" t="s">
        <v>4695</v>
      </c>
      <c r="D3086" s="1" t="s">
        <v>4782</v>
      </c>
      <c r="E3086" s="4">
        <v>9600.0</v>
      </c>
      <c r="F3086" s="4"/>
      <c r="G3086" s="4"/>
      <c r="H3086" s="4">
        <f>'data on outstanding creditors'!$E3086-'data on outstanding creditors'!$F3086-'data on outstanding creditors'!$G3086</f>
        <v>9600</v>
      </c>
      <c r="I3086" s="2"/>
      <c r="J3086" s="1"/>
      <c r="K3086" s="2"/>
      <c r="L3086" s="5"/>
      <c r="M3086" s="9" t="s">
        <v>4687</v>
      </c>
      <c r="N3086" s="9" t="s">
        <v>23</v>
      </c>
      <c r="O3086" s="10">
        <f>'data on outstanding creditors'!$E3086*100/107</f>
        <v>8971.962617</v>
      </c>
      <c r="P3086" s="10">
        <f>'data on outstanding creditors'!$E3086-'data on outstanding creditors'!$O3086</f>
        <v>628.0373832</v>
      </c>
      <c r="Q3086" s="7">
        <f>DAY('data on outstanding creditors'!$B3086)</f>
        <v>30</v>
      </c>
      <c r="R3086" s="7">
        <f>MONTH('data on outstanding creditors'!$B3086)</f>
        <v>10</v>
      </c>
      <c r="S3086" s="7">
        <f>YEAR('data on outstanding creditors'!$B3086)</f>
        <v>2025</v>
      </c>
      <c r="T3086" s="11" t="str">
        <f>'data on outstanding creditors'!$C3086&amp;" "&amp;'data on outstanding creditors'!$D3086&amp;" "&amp;TEXT('data on outstanding creditors'!$E3086,"#,##0.00")</f>
        <v>บ.อัมรินทร์ มาร์เก็ตติ้ง AMH0018842 9,600.00</v>
      </c>
      <c r="U3086" s="12"/>
    </row>
    <row r="3087" ht="13.5" customHeight="1">
      <c r="A3087" s="1"/>
      <c r="B3087" s="2">
        <v>45960.0</v>
      </c>
      <c r="C3087" s="9" t="s">
        <v>4695</v>
      </c>
      <c r="D3087" s="1" t="s">
        <v>4783</v>
      </c>
      <c r="E3087" s="4">
        <v>32700.0</v>
      </c>
      <c r="F3087" s="4"/>
      <c r="G3087" s="4"/>
      <c r="H3087" s="4">
        <f>'data on outstanding creditors'!$E3087-'data on outstanding creditors'!$F3087-'data on outstanding creditors'!$G3087</f>
        <v>32700</v>
      </c>
      <c r="I3087" s="2"/>
      <c r="J3087" s="1"/>
      <c r="K3087" s="2"/>
      <c r="L3087" s="5"/>
      <c r="M3087" s="9" t="s">
        <v>4687</v>
      </c>
      <c r="N3087" s="9" t="s">
        <v>23</v>
      </c>
      <c r="O3087" s="10">
        <f>'data on outstanding creditors'!$E3087*100/107</f>
        <v>30560.74766</v>
      </c>
      <c r="P3087" s="10">
        <f>'data on outstanding creditors'!$E3087-'data on outstanding creditors'!$O3087</f>
        <v>2139.252336</v>
      </c>
      <c r="Q3087" s="7">
        <f>DAY('data on outstanding creditors'!$B3087)</f>
        <v>30</v>
      </c>
      <c r="R3087" s="7">
        <f>MONTH('data on outstanding creditors'!$B3087)</f>
        <v>10</v>
      </c>
      <c r="S3087" s="7">
        <f>YEAR('data on outstanding creditors'!$B3087)</f>
        <v>2025</v>
      </c>
      <c r="T3087" s="11" t="str">
        <f>'data on outstanding creditors'!$C3087&amp;" "&amp;'data on outstanding creditors'!$D3087&amp;" "&amp;TEXT('data on outstanding creditors'!$E3087,"#,##0.00")</f>
        <v>บ.อัมรินทร์ มาร์เก็ตติ้ง AMH0018841 32,700.00</v>
      </c>
      <c r="U3087" s="12"/>
    </row>
    <row r="3088" ht="13.5" customHeight="1">
      <c r="A3088" s="1"/>
      <c r="B3088" s="2">
        <v>45960.0</v>
      </c>
      <c r="C3088" s="9" t="s">
        <v>4227</v>
      </c>
      <c r="D3088" s="1" t="s">
        <v>4784</v>
      </c>
      <c r="E3088" s="4">
        <v>80000.0</v>
      </c>
      <c r="F3088" s="4"/>
      <c r="G3088" s="4"/>
      <c r="H3088" s="4">
        <f>'data on outstanding creditors'!$E3088-'data on outstanding creditors'!$F3088-'data on outstanding creditors'!$G3088</f>
        <v>80000</v>
      </c>
      <c r="I3088" s="2"/>
      <c r="J3088" s="1"/>
      <c r="K3088" s="2"/>
      <c r="L3088" s="5"/>
      <c r="M3088" s="9" t="s">
        <v>4687</v>
      </c>
      <c r="N3088" s="9" t="s">
        <v>23</v>
      </c>
      <c r="O3088" s="10">
        <f>'data on outstanding creditors'!$E3088*100/107</f>
        <v>74766.35514</v>
      </c>
      <c r="P3088" s="10">
        <f>'data on outstanding creditors'!$E3088-'data on outstanding creditors'!$O3088</f>
        <v>5233.64486</v>
      </c>
      <c r="Q3088" s="7">
        <f>DAY('data on outstanding creditors'!$B3088)</f>
        <v>30</v>
      </c>
      <c r="R3088" s="7">
        <f>MONTH('data on outstanding creditors'!$B3088)</f>
        <v>10</v>
      </c>
      <c r="S3088" s="7">
        <f>YEAR('data on outstanding creditors'!$B3088)</f>
        <v>2025</v>
      </c>
      <c r="T3088" s="11" t="str">
        <f>'data on outstanding creditors'!$C3088&amp;" "&amp;'data on outstanding creditors'!$D3088&amp;" "&amp;TEXT('data on outstanding creditors'!$E3088,"#,##0.00")</f>
        <v>บ.โมเดอร์น พริ้นเทค แอนด์ เลเบิ้ล 69055 80,000.00</v>
      </c>
      <c r="U3088" s="12"/>
    </row>
    <row r="3089" ht="13.5" customHeight="1">
      <c r="A3089" s="1"/>
      <c r="B3089" s="2">
        <v>45960.0</v>
      </c>
      <c r="C3089" s="9" t="s">
        <v>4695</v>
      </c>
      <c r="D3089" s="1" t="s">
        <v>4785</v>
      </c>
      <c r="E3089" s="4">
        <v>32700.0</v>
      </c>
      <c r="F3089" s="4"/>
      <c r="G3089" s="4"/>
      <c r="H3089" s="4">
        <f>'data on outstanding creditors'!$E3089-'data on outstanding creditors'!$F3089-'data on outstanding creditors'!$G3089</f>
        <v>32700</v>
      </c>
      <c r="I3089" s="2"/>
      <c r="J3089" s="1"/>
      <c r="K3089" s="2"/>
      <c r="L3089" s="5"/>
      <c r="M3089" s="9" t="s">
        <v>4687</v>
      </c>
      <c r="N3089" s="9" t="s">
        <v>23</v>
      </c>
      <c r="O3089" s="10">
        <f>'data on outstanding creditors'!$E3089*100/107</f>
        <v>30560.74766</v>
      </c>
      <c r="P3089" s="10">
        <f>'data on outstanding creditors'!$E3089-'data on outstanding creditors'!$O3089</f>
        <v>2139.252336</v>
      </c>
      <c r="Q3089" s="7">
        <f>DAY('data on outstanding creditors'!$B3089)</f>
        <v>30</v>
      </c>
      <c r="R3089" s="7">
        <f>MONTH('data on outstanding creditors'!$B3089)</f>
        <v>10</v>
      </c>
      <c r="S3089" s="7">
        <f>YEAR('data on outstanding creditors'!$B3089)</f>
        <v>2025</v>
      </c>
      <c r="T3089" s="11" t="str">
        <f>'data on outstanding creditors'!$C3089&amp;" "&amp;'data on outstanding creditors'!$D3089&amp;" "&amp;TEXT('data on outstanding creditors'!$E3089,"#,##0.00")</f>
        <v>บ.อัมรินทร์ มาร์เก็ตติ้ง AMH0018845 32,700.00</v>
      </c>
      <c r="U3089" s="12"/>
    </row>
    <row r="3090" ht="13.5" customHeight="1">
      <c r="A3090" s="1"/>
      <c r="B3090" s="2">
        <v>45960.0</v>
      </c>
      <c r="C3090" s="9" t="s">
        <v>4227</v>
      </c>
      <c r="D3090" s="1" t="s">
        <v>4786</v>
      </c>
      <c r="E3090" s="4">
        <v>10000.0</v>
      </c>
      <c r="F3090" s="4"/>
      <c r="G3090" s="4"/>
      <c r="H3090" s="4">
        <f>'data on outstanding creditors'!$E3090-'data on outstanding creditors'!$F3090-'data on outstanding creditors'!$G3090</f>
        <v>10000</v>
      </c>
      <c r="I3090" s="2"/>
      <c r="J3090" s="1"/>
      <c r="K3090" s="2"/>
      <c r="L3090" s="5"/>
      <c r="M3090" s="9" t="s">
        <v>4687</v>
      </c>
      <c r="N3090" s="9" t="s">
        <v>23</v>
      </c>
      <c r="O3090" s="10">
        <f>'data on outstanding creditors'!$E3090*100/107</f>
        <v>9345.794393</v>
      </c>
      <c r="P3090" s="10">
        <f>'data on outstanding creditors'!$E3090-'data on outstanding creditors'!$O3090</f>
        <v>654.2056075</v>
      </c>
      <c r="Q3090" s="7">
        <f>DAY('data on outstanding creditors'!$B3090)</f>
        <v>30</v>
      </c>
      <c r="R3090" s="7">
        <f>MONTH('data on outstanding creditors'!$B3090)</f>
        <v>10</v>
      </c>
      <c r="S3090" s="7">
        <f>YEAR('data on outstanding creditors'!$B3090)</f>
        <v>2025</v>
      </c>
      <c r="T3090" s="11" t="str">
        <f>'data on outstanding creditors'!$C3090&amp;" "&amp;'data on outstanding creditors'!$D3090&amp;" "&amp;TEXT('data on outstanding creditors'!$E3090,"#,##0.00")</f>
        <v>บ.โมเดอร์น พริ้นเทค แอนด์ เลเบิ้ล 69028 10,000.00</v>
      </c>
      <c r="U3090" s="12"/>
    </row>
    <row r="3091" ht="13.5" customHeight="1">
      <c r="A3091" s="1"/>
      <c r="B3091" s="2">
        <v>45961.0</v>
      </c>
      <c r="C3091" s="9" t="s">
        <v>2816</v>
      </c>
      <c r="D3091" s="1" t="s">
        <v>4787</v>
      </c>
      <c r="E3091" s="4">
        <v>11000.0</v>
      </c>
      <c r="F3091" s="4"/>
      <c r="G3091" s="4"/>
      <c r="H3091" s="4">
        <f>'data on outstanding creditors'!$E3091-'data on outstanding creditors'!$F3091-'data on outstanding creditors'!$G3091</f>
        <v>11000</v>
      </c>
      <c r="I3091" s="2"/>
      <c r="J3091" s="1"/>
      <c r="K3091" s="2"/>
      <c r="L3091" s="5"/>
      <c r="M3091" s="9" t="s">
        <v>4687</v>
      </c>
      <c r="N3091" s="9" t="s">
        <v>23</v>
      </c>
      <c r="O3091" s="10">
        <f>'data on outstanding creditors'!$E3091*100/107</f>
        <v>10280.37383</v>
      </c>
      <c r="P3091" s="10">
        <f>'data on outstanding creditors'!$E3091-'data on outstanding creditors'!$O3091</f>
        <v>719.6261682</v>
      </c>
      <c r="Q3091" s="7">
        <f>DAY('data on outstanding creditors'!$B3091)</f>
        <v>31</v>
      </c>
      <c r="R3091" s="7">
        <f>MONTH('data on outstanding creditors'!$B3091)</f>
        <v>10</v>
      </c>
      <c r="S3091" s="7">
        <f>YEAR('data on outstanding creditors'!$B3091)</f>
        <v>2025</v>
      </c>
      <c r="T3091" s="11" t="str">
        <f>'data on outstanding creditors'!$C3091&amp;" "&amp;'data on outstanding creditors'!$D3091&amp;" "&amp;TEXT('data on outstanding creditors'!$E3091,"#,##0.00")</f>
        <v>บ.ไทปันซัมมิท TP681022056 11,000.00</v>
      </c>
      <c r="U3091" s="12"/>
    </row>
    <row r="3092" ht="13.5" customHeight="1">
      <c r="A3092" s="1"/>
      <c r="B3092" s="2">
        <v>45595.0</v>
      </c>
      <c r="C3092" s="9" t="s">
        <v>4788</v>
      </c>
      <c r="D3092" s="1" t="s">
        <v>4789</v>
      </c>
      <c r="E3092" s="4">
        <v>4800.0</v>
      </c>
      <c r="F3092" s="4"/>
      <c r="G3092" s="4"/>
      <c r="H3092" s="4">
        <f>'data on outstanding creditors'!$E3092-'data on outstanding creditors'!$F3092-'data on outstanding creditors'!$G3092</f>
        <v>4800</v>
      </c>
      <c r="I3092" s="2"/>
      <c r="J3092" s="1" t="s">
        <v>646</v>
      </c>
      <c r="K3092" s="2">
        <v>45843.0</v>
      </c>
      <c r="L3092" s="5"/>
      <c r="M3092" s="9" t="s">
        <v>347</v>
      </c>
      <c r="N3092" s="9" t="s">
        <v>49</v>
      </c>
      <c r="O3092" s="10">
        <f>'data on outstanding creditors'!$E3092*100/107</f>
        <v>4485.981308</v>
      </c>
      <c r="P3092" s="10">
        <f>'data on outstanding creditors'!$E3092-'data on outstanding creditors'!$O3092</f>
        <v>314.0186916</v>
      </c>
      <c r="Q3092" s="7">
        <f>DAY('data on outstanding creditors'!$B3092)</f>
        <v>30</v>
      </c>
      <c r="R3092" s="7">
        <f>MONTH('data on outstanding creditors'!$B3092)</f>
        <v>10</v>
      </c>
      <c r="S3092" s="7">
        <f>YEAR('data on outstanding creditors'!$B3092)</f>
        <v>2024</v>
      </c>
      <c r="T3092" s="11" t="str">
        <f>'data on outstanding creditors'!$C3092&amp;" "&amp;'data on outstanding creditors'!$D3092&amp;" "&amp;TEXT('data on outstanding creditors'!$E3092,"#,##0.00")</f>
        <v>บ.วี อาร์ พี เด้นท์ 147100132 4,800.00</v>
      </c>
      <c r="U3092" s="12"/>
    </row>
    <row r="3093" ht="13.5" customHeight="1">
      <c r="A3093" s="1"/>
      <c r="B3093" s="2">
        <v>45616.0</v>
      </c>
      <c r="C3093" s="9" t="s">
        <v>4788</v>
      </c>
      <c r="D3093" s="1" t="s">
        <v>4790</v>
      </c>
      <c r="E3093" s="4">
        <v>5591.0</v>
      </c>
      <c r="F3093" s="4"/>
      <c r="G3093" s="4"/>
      <c r="H3093" s="4">
        <f>'data on outstanding creditors'!$E3093-'data on outstanding creditors'!$F3093-'data on outstanding creditors'!$G3093</f>
        <v>5591</v>
      </c>
      <c r="I3093" s="2"/>
      <c r="J3093" s="1" t="s">
        <v>646</v>
      </c>
      <c r="K3093" s="2">
        <v>45843.0</v>
      </c>
      <c r="L3093" s="5"/>
      <c r="M3093" s="9" t="s">
        <v>347</v>
      </c>
      <c r="N3093" s="9" t="s">
        <v>49</v>
      </c>
      <c r="O3093" s="10">
        <f>'data on outstanding creditors'!$E3093*100/107</f>
        <v>5225.233645</v>
      </c>
      <c r="P3093" s="10">
        <f>'data on outstanding creditors'!$E3093-'data on outstanding creditors'!$O3093</f>
        <v>365.7663551</v>
      </c>
      <c r="Q3093" s="7">
        <f>DAY('data on outstanding creditors'!$B3093)</f>
        <v>20</v>
      </c>
      <c r="R3093" s="7">
        <f>MONTH('data on outstanding creditors'!$B3093)</f>
        <v>11</v>
      </c>
      <c r="S3093" s="7">
        <f>YEAR('data on outstanding creditors'!$B3093)</f>
        <v>2024</v>
      </c>
      <c r="T3093" s="11" t="str">
        <f>'data on outstanding creditors'!$C3093&amp;" "&amp;'data on outstanding creditors'!$D3093&amp;" "&amp;TEXT('data on outstanding creditors'!$E3093,"#,##0.00")</f>
        <v>บ.วี อาร์ พี เด้นท์ 147110093 5,591.00</v>
      </c>
      <c r="U3093" s="12"/>
    </row>
    <row r="3094" ht="13.5" customHeight="1">
      <c r="A3094" s="1"/>
      <c r="B3094" s="2">
        <v>45616.0</v>
      </c>
      <c r="C3094" s="9" t="s">
        <v>4791</v>
      </c>
      <c r="D3094" s="1" t="s">
        <v>4792</v>
      </c>
      <c r="E3094" s="4">
        <v>5150.0</v>
      </c>
      <c r="F3094" s="4"/>
      <c r="G3094" s="4"/>
      <c r="H3094" s="4">
        <f>'data on outstanding creditors'!$E3094-'data on outstanding creditors'!$F3094-'data on outstanding creditors'!$G3094</f>
        <v>5150</v>
      </c>
      <c r="I3094" s="2"/>
      <c r="J3094" s="1" t="s">
        <v>646</v>
      </c>
      <c r="K3094" s="2">
        <v>45843.0</v>
      </c>
      <c r="L3094" s="5"/>
      <c r="M3094" s="9" t="s">
        <v>347</v>
      </c>
      <c r="N3094" s="9" t="s">
        <v>49</v>
      </c>
      <c r="O3094" s="10">
        <f>'data on outstanding creditors'!$E3094*100/107</f>
        <v>4813.084112</v>
      </c>
      <c r="P3094" s="10">
        <f>'data on outstanding creditors'!$E3094-'data on outstanding creditors'!$O3094</f>
        <v>336.9158879</v>
      </c>
      <c r="Q3094" s="7">
        <f>DAY('data on outstanding creditors'!$B3094)</f>
        <v>20</v>
      </c>
      <c r="R3094" s="7">
        <f>MONTH('data on outstanding creditors'!$B3094)</f>
        <v>11</v>
      </c>
      <c r="S3094" s="7">
        <f>YEAR('data on outstanding creditors'!$B3094)</f>
        <v>2024</v>
      </c>
      <c r="T3094" s="11" t="str">
        <f>'data on outstanding creditors'!$C3094&amp;" "&amp;'data on outstanding creditors'!$D3094&amp;" "&amp;TEXT('data on outstanding creditors'!$E3094,"#,##0.00")</f>
        <v>บ.ออสเทมส์ C-IMPLANT-24-0656 5,150.00</v>
      </c>
      <c r="U3094" s="12"/>
    </row>
    <row r="3095" ht="13.5" customHeight="1">
      <c r="A3095" s="1"/>
      <c r="B3095" s="2">
        <v>45616.0</v>
      </c>
      <c r="C3095" s="9" t="s">
        <v>2339</v>
      </c>
      <c r="D3095" s="1" t="s">
        <v>4793</v>
      </c>
      <c r="E3095" s="4">
        <v>5920.0</v>
      </c>
      <c r="F3095" s="4"/>
      <c r="G3095" s="4"/>
      <c r="H3095" s="4">
        <f>'data on outstanding creditors'!$E3095-'data on outstanding creditors'!$F3095-'data on outstanding creditors'!$G3095</f>
        <v>5920</v>
      </c>
      <c r="I3095" s="2"/>
      <c r="J3095" s="1" t="s">
        <v>646</v>
      </c>
      <c r="K3095" s="2">
        <v>45855.0</v>
      </c>
      <c r="L3095" s="5"/>
      <c r="M3095" s="9" t="s">
        <v>347</v>
      </c>
      <c r="N3095" s="9" t="s">
        <v>49</v>
      </c>
      <c r="O3095" s="10">
        <f>'data on outstanding creditors'!$E3095*100/107</f>
        <v>5532.71028</v>
      </c>
      <c r="P3095" s="10">
        <f>'data on outstanding creditors'!$E3095-'data on outstanding creditors'!$O3095</f>
        <v>387.2897196</v>
      </c>
      <c r="Q3095" s="7">
        <f>DAY('data on outstanding creditors'!$B3095)</f>
        <v>20</v>
      </c>
      <c r="R3095" s="7">
        <f>MONTH('data on outstanding creditors'!$B3095)</f>
        <v>11</v>
      </c>
      <c r="S3095" s="7">
        <f>YEAR('data on outstanding creditors'!$B3095)</f>
        <v>2024</v>
      </c>
      <c r="T3095" s="11" t="str">
        <f>'data on outstanding creditors'!$C3095&amp;" "&amp;'data on outstanding creditors'!$D3095&amp;" "&amp;TEXT('data on outstanding creditors'!$E3095,"#,##0.00")</f>
        <v>บ.ไอแคร์ เมดิคัล BL67-11/289 5,920.00</v>
      </c>
      <c r="U3095" s="12"/>
    </row>
    <row r="3096" ht="13.5" customHeight="1">
      <c r="A3096" s="1" t="s">
        <v>4794</v>
      </c>
      <c r="B3096" s="2">
        <v>45685.0</v>
      </c>
      <c r="C3096" s="9" t="s">
        <v>1273</v>
      </c>
      <c r="D3096" s="1" t="s">
        <v>4795</v>
      </c>
      <c r="E3096" s="4">
        <v>66500.0</v>
      </c>
      <c r="F3096" s="4"/>
      <c r="G3096" s="4"/>
      <c r="H3096" s="4">
        <f>'data on outstanding creditors'!$E3096-'data on outstanding creditors'!$F3096-'data on outstanding creditors'!$G3096</f>
        <v>66500</v>
      </c>
      <c r="I3096" s="2"/>
      <c r="J3096" s="1" t="s">
        <v>646</v>
      </c>
      <c r="K3096" s="2">
        <v>45887.0</v>
      </c>
      <c r="L3096" s="5"/>
      <c r="M3096" s="9" t="s">
        <v>347</v>
      </c>
      <c r="N3096" s="9" t="s">
        <v>49</v>
      </c>
      <c r="O3096" s="10">
        <f>'data on outstanding creditors'!$E3096*100/107</f>
        <v>62149.53271</v>
      </c>
      <c r="P3096" s="10">
        <f>'data on outstanding creditors'!$E3096-'data on outstanding creditors'!$O3096</f>
        <v>4350.46729</v>
      </c>
      <c r="Q3096" s="7">
        <f>DAY('data on outstanding creditors'!$B3096)</f>
        <v>28</v>
      </c>
      <c r="R3096" s="7">
        <f>MONTH('data on outstanding creditors'!$B3096)</f>
        <v>1</v>
      </c>
      <c r="S3096" s="7">
        <f>YEAR('data on outstanding creditors'!$B3096)</f>
        <v>2025</v>
      </c>
      <c r="T3096" s="11" t="str">
        <f>'data on outstanding creditors'!$C3096&amp;" "&amp;'data on outstanding creditors'!$D3096&amp;" "&amp;TEXT('data on outstanding creditors'!$E3096,"#,##0.00")</f>
        <v>บ.ชูมิตร 1967 IN6711-2507 66,500.00</v>
      </c>
      <c r="U3096" s="12"/>
    </row>
    <row r="3097" ht="13.5" customHeight="1">
      <c r="A3097" s="1" t="s">
        <v>4796</v>
      </c>
      <c r="B3097" s="2">
        <v>45685.0</v>
      </c>
      <c r="C3097" s="9" t="s">
        <v>4797</v>
      </c>
      <c r="D3097" s="1" t="s">
        <v>4798</v>
      </c>
      <c r="E3097" s="4">
        <v>2000.0</v>
      </c>
      <c r="F3097" s="4"/>
      <c r="G3097" s="4"/>
      <c r="H3097" s="4">
        <f>'data on outstanding creditors'!$E3097-'data on outstanding creditors'!$F3097-'data on outstanding creditors'!$G3097</f>
        <v>2000</v>
      </c>
      <c r="I3097" s="2"/>
      <c r="J3097" s="1" t="s">
        <v>757</v>
      </c>
      <c r="K3097" s="2">
        <v>45740.0</v>
      </c>
      <c r="L3097" s="5"/>
      <c r="M3097" s="9" t="s">
        <v>347</v>
      </c>
      <c r="N3097" s="9" t="s">
        <v>49</v>
      </c>
      <c r="O3097" s="10">
        <f>'data on outstanding creditors'!$E3097*100/107</f>
        <v>1869.158879</v>
      </c>
      <c r="P3097" s="10">
        <f>'data on outstanding creditors'!$E3097-'data on outstanding creditors'!$O3097</f>
        <v>130.8411215</v>
      </c>
      <c r="Q3097" s="7">
        <f>DAY('data on outstanding creditors'!$B3097)</f>
        <v>28</v>
      </c>
      <c r="R3097" s="7">
        <f>MONTH('data on outstanding creditors'!$B3097)</f>
        <v>1</v>
      </c>
      <c r="S3097" s="7">
        <f>YEAR('data on outstanding creditors'!$B3097)</f>
        <v>2025</v>
      </c>
      <c r="T3097" s="11" t="str">
        <f>'data on outstanding creditors'!$C3097&amp;" "&amp;'data on outstanding creditors'!$D3097&amp;" "&amp;TEXT('data on outstanding creditors'!$E3097,"#,##0.00")</f>
        <v>บ.ยูนิตี้ เด็นตัล IS6800082 2,000.00</v>
      </c>
      <c r="U3097" s="12"/>
    </row>
    <row r="3098" ht="13.5" customHeight="1">
      <c r="A3098" s="1" t="s">
        <v>4799</v>
      </c>
      <c r="B3098" s="2">
        <v>45685.0</v>
      </c>
      <c r="C3098" s="9" t="s">
        <v>4788</v>
      </c>
      <c r="D3098" s="1" t="s">
        <v>4800</v>
      </c>
      <c r="E3098" s="4">
        <v>9393.0</v>
      </c>
      <c r="F3098" s="4"/>
      <c r="G3098" s="4"/>
      <c r="H3098" s="4">
        <f>'data on outstanding creditors'!$E3098-'data on outstanding creditors'!$F3098-'data on outstanding creditors'!$G3098</f>
        <v>9393</v>
      </c>
      <c r="I3098" s="2"/>
      <c r="J3098" s="1" t="s">
        <v>646</v>
      </c>
      <c r="K3098" s="2">
        <v>45843.0</v>
      </c>
      <c r="L3098" s="5"/>
      <c r="M3098" s="9" t="s">
        <v>347</v>
      </c>
      <c r="N3098" s="9" t="s">
        <v>49</v>
      </c>
      <c r="O3098" s="10">
        <f>'data on outstanding creditors'!$E3098*100/107</f>
        <v>8778.504673</v>
      </c>
      <c r="P3098" s="10">
        <f>'data on outstanding creditors'!$E3098-'data on outstanding creditors'!$O3098</f>
        <v>614.4953271</v>
      </c>
      <c r="Q3098" s="7">
        <f>DAY('data on outstanding creditors'!$B3098)</f>
        <v>28</v>
      </c>
      <c r="R3098" s="7">
        <f>MONTH('data on outstanding creditors'!$B3098)</f>
        <v>1</v>
      </c>
      <c r="S3098" s="7">
        <f>YEAR('data on outstanding creditors'!$B3098)</f>
        <v>2025</v>
      </c>
      <c r="T3098" s="11" t="str">
        <f>'data on outstanding creditors'!$C3098&amp;" "&amp;'data on outstanding creditors'!$D3098&amp;" "&amp;TEXT('data on outstanding creditors'!$E3098,"#,##0.00")</f>
        <v>บ.วี อาร์ พี เด้นท์ 147120284 9,393.00</v>
      </c>
      <c r="U3098" s="12"/>
    </row>
    <row r="3099" ht="13.5" customHeight="1">
      <c r="A3099" s="1" t="s">
        <v>4801</v>
      </c>
      <c r="B3099" s="2">
        <v>45685.0</v>
      </c>
      <c r="C3099" s="9" t="s">
        <v>2752</v>
      </c>
      <c r="D3099" s="1" t="s">
        <v>4802</v>
      </c>
      <c r="E3099" s="4">
        <v>59000.0</v>
      </c>
      <c r="F3099" s="4"/>
      <c r="G3099" s="4"/>
      <c r="H3099" s="4">
        <f>'data on outstanding creditors'!$E3099-'data on outstanding creditors'!$F3099-'data on outstanding creditors'!$G3099</f>
        <v>59000</v>
      </c>
      <c r="I3099" s="2"/>
      <c r="J3099" s="1" t="s">
        <v>646</v>
      </c>
      <c r="K3099" s="2">
        <v>45843.0</v>
      </c>
      <c r="L3099" s="5"/>
      <c r="M3099" s="9" t="s">
        <v>347</v>
      </c>
      <c r="N3099" s="9" t="s">
        <v>49</v>
      </c>
      <c r="O3099" s="10">
        <f>'data on outstanding creditors'!$E3099*100/107</f>
        <v>55140.18692</v>
      </c>
      <c r="P3099" s="10">
        <f>'data on outstanding creditors'!$E3099-'data on outstanding creditors'!$O3099</f>
        <v>3859.813084</v>
      </c>
      <c r="Q3099" s="7">
        <f>DAY('data on outstanding creditors'!$B3099)</f>
        <v>28</v>
      </c>
      <c r="R3099" s="7">
        <f>MONTH('data on outstanding creditors'!$B3099)</f>
        <v>1</v>
      </c>
      <c r="S3099" s="7">
        <f>YEAR('data on outstanding creditors'!$B3099)</f>
        <v>2025</v>
      </c>
      <c r="T3099" s="11" t="str">
        <f>'data on outstanding creditors'!$C3099&amp;" "&amp;'data on outstanding creditors'!$D3099&amp;" "&amp;TEXT('data on outstanding creditors'!$E3099,"#,##0.00")</f>
        <v>หจก.เอ็มมีเน้นซ์ IVD0102846 59,000.00</v>
      </c>
      <c r="U3099" s="12"/>
    </row>
    <row r="3100" ht="13.5" customHeight="1">
      <c r="A3100" s="1" t="s">
        <v>4803</v>
      </c>
      <c r="B3100" s="2">
        <v>45716.0</v>
      </c>
      <c r="C3100" s="9" t="s">
        <v>4804</v>
      </c>
      <c r="D3100" s="1" t="s">
        <v>4805</v>
      </c>
      <c r="E3100" s="4">
        <v>9000.0</v>
      </c>
      <c r="F3100" s="4"/>
      <c r="G3100" s="4"/>
      <c r="H3100" s="4">
        <f>'data on outstanding creditors'!$E3100-'data on outstanding creditors'!$F3100-'data on outstanding creditors'!$G3100</f>
        <v>9000</v>
      </c>
      <c r="I3100" s="2"/>
      <c r="J3100" s="1" t="s">
        <v>646</v>
      </c>
      <c r="K3100" s="2">
        <v>45906.0</v>
      </c>
      <c r="L3100" s="5"/>
      <c r="M3100" s="9" t="s">
        <v>347</v>
      </c>
      <c r="N3100" s="9" t="s">
        <v>49</v>
      </c>
      <c r="O3100" s="10">
        <f>'data on outstanding creditors'!$E3100*100/107</f>
        <v>8411.214953</v>
      </c>
      <c r="P3100" s="10">
        <f>'data on outstanding creditors'!$E3100-'data on outstanding creditors'!$O3100</f>
        <v>588.7850467</v>
      </c>
      <c r="Q3100" s="7">
        <f>DAY('data on outstanding creditors'!$B3100)</f>
        <v>28</v>
      </c>
      <c r="R3100" s="7">
        <f>MONTH('data on outstanding creditors'!$B3100)</f>
        <v>2</v>
      </c>
      <c r="S3100" s="7">
        <f>YEAR('data on outstanding creditors'!$B3100)</f>
        <v>2025</v>
      </c>
      <c r="T3100" s="11" t="str">
        <f>'data on outstanding creditors'!$C3100&amp;" "&amp;'data on outstanding creditors'!$D3100&amp;" "&amp;TEXT('data on outstanding creditors'!$E3100,"#,##0.00")</f>
        <v>บ.นูโวเด้นท์ IV6801720 9,000.00</v>
      </c>
      <c r="U3100" s="12"/>
    </row>
    <row r="3101" ht="13.5" customHeight="1">
      <c r="A3101" s="1" t="s">
        <v>4806</v>
      </c>
      <c r="B3101" s="2">
        <v>45747.0</v>
      </c>
      <c r="C3101" s="9" t="s">
        <v>4797</v>
      </c>
      <c r="D3101" s="1" t="s">
        <v>4807</v>
      </c>
      <c r="E3101" s="4">
        <v>3500.0</v>
      </c>
      <c r="F3101" s="4"/>
      <c r="G3101" s="4"/>
      <c r="H3101" s="4">
        <f>'data on outstanding creditors'!$E3101-'data on outstanding creditors'!$F3101-'data on outstanding creditors'!$G3101</f>
        <v>3500</v>
      </c>
      <c r="I3101" s="2"/>
      <c r="J3101" s="1" t="s">
        <v>757</v>
      </c>
      <c r="K3101" s="2">
        <v>45796.0</v>
      </c>
      <c r="L3101" s="5"/>
      <c r="M3101" s="9" t="s">
        <v>347</v>
      </c>
      <c r="N3101" s="9" t="s">
        <v>49</v>
      </c>
      <c r="O3101" s="10">
        <f>'data on outstanding creditors'!$E3101*100/107</f>
        <v>3271.028037</v>
      </c>
      <c r="P3101" s="10">
        <f>'data on outstanding creditors'!$E3101-'data on outstanding creditors'!$O3101</f>
        <v>228.9719626</v>
      </c>
      <c r="Q3101" s="7">
        <f>DAY('data on outstanding creditors'!$B3101)</f>
        <v>31</v>
      </c>
      <c r="R3101" s="7">
        <f>MONTH('data on outstanding creditors'!$B3101)</f>
        <v>3</v>
      </c>
      <c r="S3101" s="7">
        <f>YEAR('data on outstanding creditors'!$B3101)</f>
        <v>2025</v>
      </c>
      <c r="T3101" s="11" t="str">
        <f>'data on outstanding creditors'!$C3101&amp;" "&amp;'data on outstanding creditors'!$D3101&amp;" "&amp;TEXT('data on outstanding creditors'!$E3101,"#,##0.00")</f>
        <v>บ.ยูนิตี้ เด็นตัล IS6800767 3,500.00</v>
      </c>
      <c r="U3101" s="12"/>
    </row>
    <row r="3102" ht="13.5" customHeight="1">
      <c r="A3102" s="1" t="s">
        <v>4808</v>
      </c>
      <c r="B3102" s="2">
        <v>45747.0</v>
      </c>
      <c r="C3102" s="9" t="s">
        <v>4809</v>
      </c>
      <c r="D3102" s="1" t="s">
        <v>4810</v>
      </c>
      <c r="E3102" s="4">
        <v>19370.0</v>
      </c>
      <c r="F3102" s="4"/>
      <c r="G3102" s="4"/>
      <c r="H3102" s="4">
        <f>'data on outstanding creditors'!$E3102-'data on outstanding creditors'!$F3102-'data on outstanding creditors'!$G3102</f>
        <v>19370</v>
      </c>
      <c r="I3102" s="2"/>
      <c r="J3102" s="1" t="s">
        <v>646</v>
      </c>
      <c r="K3102" s="2">
        <v>45843.0</v>
      </c>
      <c r="L3102" s="5"/>
      <c r="M3102" s="9" t="s">
        <v>347</v>
      </c>
      <c r="N3102" s="9" t="s">
        <v>49</v>
      </c>
      <c r="O3102" s="10">
        <f>'data on outstanding creditors'!$E3102*100/107</f>
        <v>18102.80374</v>
      </c>
      <c r="P3102" s="10">
        <f>'data on outstanding creditors'!$E3102-'data on outstanding creditors'!$O3102</f>
        <v>1267.196262</v>
      </c>
      <c r="Q3102" s="7">
        <f>DAY('data on outstanding creditors'!$B3102)</f>
        <v>31</v>
      </c>
      <c r="R3102" s="7">
        <f>MONTH('data on outstanding creditors'!$B3102)</f>
        <v>3</v>
      </c>
      <c r="S3102" s="7">
        <f>YEAR('data on outstanding creditors'!$B3102)</f>
        <v>2025</v>
      </c>
      <c r="T3102" s="11" t="str">
        <f>'data on outstanding creditors'!$C3102&amp;" "&amp;'data on outstanding creditors'!$D3102&amp;" "&amp;TEXT('data on outstanding creditors'!$E3102,"#,##0.00")</f>
        <v>หจก.เซี่ยงไฮ้ทันตภัณฑ์ BB256802/01594 19,370.00</v>
      </c>
      <c r="U3102" s="12"/>
    </row>
    <row r="3103" ht="13.5" customHeight="1">
      <c r="A3103" s="1" t="s">
        <v>4811</v>
      </c>
      <c r="B3103" s="2">
        <v>45747.0</v>
      </c>
      <c r="C3103" s="9" t="s">
        <v>4812</v>
      </c>
      <c r="D3103" s="1" t="s">
        <v>4813</v>
      </c>
      <c r="E3103" s="4">
        <v>2385.0</v>
      </c>
      <c r="F3103" s="4"/>
      <c r="G3103" s="4"/>
      <c r="H3103" s="4">
        <f>'data on outstanding creditors'!$E3103-'data on outstanding creditors'!$F3103-'data on outstanding creditors'!$G3103</f>
        <v>2385</v>
      </c>
      <c r="I3103" s="2"/>
      <c r="J3103" s="1" t="s">
        <v>757</v>
      </c>
      <c r="K3103" s="2">
        <v>45796.0</v>
      </c>
      <c r="L3103" s="5"/>
      <c r="M3103" s="9" t="s">
        <v>347</v>
      </c>
      <c r="N3103" s="9" t="s">
        <v>49</v>
      </c>
      <c r="O3103" s="10">
        <f>'data on outstanding creditors'!$E3103*100/107</f>
        <v>2228.971963</v>
      </c>
      <c r="P3103" s="10">
        <f>'data on outstanding creditors'!$E3103-'data on outstanding creditors'!$O3103</f>
        <v>156.0280374</v>
      </c>
      <c r="Q3103" s="7">
        <f>DAY('data on outstanding creditors'!$B3103)</f>
        <v>31</v>
      </c>
      <c r="R3103" s="7">
        <f>MONTH('data on outstanding creditors'!$B3103)</f>
        <v>3</v>
      </c>
      <c r="S3103" s="7">
        <f>YEAR('data on outstanding creditors'!$B3103)</f>
        <v>2025</v>
      </c>
      <c r="T3103" s="11" t="str">
        <f>'data on outstanding creditors'!$C3103&amp;" "&amp;'data on outstanding creditors'!$D3103&amp;" "&amp;TEXT('data on outstanding creditors'!$E3103,"#,##0.00")</f>
        <v>บ.เด็นท์-เมท IVG00071009 2,385.00</v>
      </c>
      <c r="U3103" s="12"/>
    </row>
    <row r="3104" ht="13.5" customHeight="1">
      <c r="A3104" s="1" t="s">
        <v>4814</v>
      </c>
      <c r="B3104" s="2">
        <v>45777.0</v>
      </c>
      <c r="C3104" s="9" t="s">
        <v>4815</v>
      </c>
      <c r="D3104" s="1" t="s">
        <v>4816</v>
      </c>
      <c r="E3104" s="4">
        <v>4300.0</v>
      </c>
      <c r="F3104" s="4"/>
      <c r="G3104" s="4"/>
      <c r="H3104" s="4">
        <f>'data on outstanding creditors'!$E3104-'data on outstanding creditors'!$F3104-'data on outstanding creditors'!$G3104</f>
        <v>4300</v>
      </c>
      <c r="I3104" s="2"/>
      <c r="J3104" s="1" t="s">
        <v>646</v>
      </c>
      <c r="K3104" s="2">
        <v>45843.0</v>
      </c>
      <c r="L3104" s="5"/>
      <c r="M3104" s="9" t="s">
        <v>347</v>
      </c>
      <c r="N3104" s="9" t="s">
        <v>49</v>
      </c>
      <c r="O3104" s="10">
        <f>'data on outstanding creditors'!$E3104*100/107</f>
        <v>4018.691589</v>
      </c>
      <c r="P3104" s="10">
        <f>'data on outstanding creditors'!$E3104-'data on outstanding creditors'!$O3104</f>
        <v>281.3084112</v>
      </c>
      <c r="Q3104" s="7">
        <f>DAY('data on outstanding creditors'!$B3104)</f>
        <v>30</v>
      </c>
      <c r="R3104" s="7">
        <f>MONTH('data on outstanding creditors'!$B3104)</f>
        <v>4</v>
      </c>
      <c r="S3104" s="7">
        <f>YEAR('data on outstanding creditors'!$B3104)</f>
        <v>2025</v>
      </c>
      <c r="T3104" s="11" t="str">
        <f>'data on outstanding creditors'!$C3104&amp;" "&amp;'data on outstanding creditors'!$D3104&amp;" "&amp;TEXT('data on outstanding creditors'!$E3104,"#,##0.00")</f>
        <v>บ.แอดวานซ์ เมดิคอล คอร์ปอเรชั่น IV6803181 4,300.00</v>
      </c>
      <c r="U3104" s="12"/>
    </row>
    <row r="3105" ht="13.5" customHeight="1">
      <c r="A3105" s="1" t="s">
        <v>4817</v>
      </c>
      <c r="B3105" s="2">
        <v>45777.0</v>
      </c>
      <c r="C3105" s="9" t="s">
        <v>4815</v>
      </c>
      <c r="D3105" s="1" t="s">
        <v>4818</v>
      </c>
      <c r="E3105" s="4">
        <v>900.0</v>
      </c>
      <c r="F3105" s="4"/>
      <c r="G3105" s="4"/>
      <c r="H3105" s="4">
        <f>'data on outstanding creditors'!$E3105-'data on outstanding creditors'!$F3105-'data on outstanding creditors'!$G3105</f>
        <v>900</v>
      </c>
      <c r="I3105" s="2"/>
      <c r="J3105" s="1" t="s">
        <v>646</v>
      </c>
      <c r="K3105" s="2">
        <v>45843.0</v>
      </c>
      <c r="L3105" s="5"/>
      <c r="M3105" s="9" t="s">
        <v>347</v>
      </c>
      <c r="N3105" s="9" t="s">
        <v>49</v>
      </c>
      <c r="O3105" s="10">
        <f>'data on outstanding creditors'!$E3105*100/107</f>
        <v>841.1214953</v>
      </c>
      <c r="P3105" s="10">
        <f>'data on outstanding creditors'!$E3105-'data on outstanding creditors'!$O3105</f>
        <v>58.87850467</v>
      </c>
      <c r="Q3105" s="7">
        <f>DAY('data on outstanding creditors'!$B3105)</f>
        <v>30</v>
      </c>
      <c r="R3105" s="7">
        <f>MONTH('data on outstanding creditors'!$B3105)</f>
        <v>4</v>
      </c>
      <c r="S3105" s="7">
        <f>YEAR('data on outstanding creditors'!$B3105)</f>
        <v>2025</v>
      </c>
      <c r="T3105" s="11" t="str">
        <f>'data on outstanding creditors'!$C3105&amp;" "&amp;'data on outstanding creditors'!$D3105&amp;" "&amp;TEXT('data on outstanding creditors'!$E3105,"#,##0.00")</f>
        <v>บ.แอดวานซ์ เมดิคอล คอร์ปอเรชั่น IV6803180 900.00</v>
      </c>
      <c r="U3105" s="12"/>
    </row>
    <row r="3106" ht="13.5" customHeight="1">
      <c r="A3106" s="1" t="s">
        <v>4819</v>
      </c>
      <c r="B3106" s="2">
        <v>45777.0</v>
      </c>
      <c r="C3106" s="9" t="s">
        <v>4820</v>
      </c>
      <c r="D3106" s="1" t="s">
        <v>4821</v>
      </c>
      <c r="E3106" s="4">
        <v>75000.0</v>
      </c>
      <c r="F3106" s="4"/>
      <c r="G3106" s="4"/>
      <c r="H3106" s="4">
        <f>'data on outstanding creditors'!$E3106-'data on outstanding creditors'!$F3106-'data on outstanding creditors'!$G3106</f>
        <v>75000</v>
      </c>
      <c r="I3106" s="2"/>
      <c r="J3106" s="1" t="s">
        <v>646</v>
      </c>
      <c r="K3106" s="2">
        <v>45843.0</v>
      </c>
      <c r="L3106" s="5"/>
      <c r="M3106" s="9" t="s">
        <v>347</v>
      </c>
      <c r="N3106" s="9" t="s">
        <v>49</v>
      </c>
      <c r="O3106" s="10">
        <f>'data on outstanding creditors'!$E3106*100/107</f>
        <v>70093.45794</v>
      </c>
      <c r="P3106" s="10">
        <f>'data on outstanding creditors'!$E3106-'data on outstanding creditors'!$O3106</f>
        <v>4906.542056</v>
      </c>
      <c r="Q3106" s="7">
        <f>DAY('data on outstanding creditors'!$B3106)</f>
        <v>30</v>
      </c>
      <c r="R3106" s="7">
        <f>MONTH('data on outstanding creditors'!$B3106)</f>
        <v>4</v>
      </c>
      <c r="S3106" s="7">
        <f>YEAR('data on outstanding creditors'!$B3106)</f>
        <v>2025</v>
      </c>
      <c r="T3106" s="11" t="str">
        <f>'data on outstanding creditors'!$C3106&amp;" "&amp;'data on outstanding creditors'!$D3106&amp;" "&amp;TEXT('data on outstanding creditors'!$E3106,"#,##0.00")</f>
        <v>บ.แปดสิบแปด อินเตอร์กรุ๊ป IV068/04/005 75,000.00</v>
      </c>
      <c r="U3106" s="12"/>
    </row>
    <row r="3107" ht="13.5" customHeight="1">
      <c r="A3107" s="1" t="s">
        <v>4822</v>
      </c>
      <c r="B3107" s="2">
        <v>45777.0</v>
      </c>
      <c r="C3107" s="9" t="s">
        <v>4823</v>
      </c>
      <c r="D3107" s="1" t="s">
        <v>4824</v>
      </c>
      <c r="E3107" s="4">
        <v>7660.0</v>
      </c>
      <c r="F3107" s="4"/>
      <c r="G3107" s="4"/>
      <c r="H3107" s="4">
        <f>'data on outstanding creditors'!$E3107-'data on outstanding creditors'!$F3107-'data on outstanding creditors'!$G3107</f>
        <v>7660</v>
      </c>
      <c r="I3107" s="2"/>
      <c r="J3107" s="1" t="s">
        <v>757</v>
      </c>
      <c r="K3107" s="2">
        <v>45831.0</v>
      </c>
      <c r="L3107" s="5"/>
      <c r="M3107" s="9" t="s">
        <v>347</v>
      </c>
      <c r="N3107" s="9" t="s">
        <v>49</v>
      </c>
      <c r="O3107" s="10">
        <f>'data on outstanding creditors'!$E3107*100/107</f>
        <v>7158.878505</v>
      </c>
      <c r="P3107" s="10">
        <f>'data on outstanding creditors'!$E3107-'data on outstanding creditors'!$O3107</f>
        <v>501.1214953</v>
      </c>
      <c r="Q3107" s="7">
        <f>DAY('data on outstanding creditors'!$B3107)</f>
        <v>30</v>
      </c>
      <c r="R3107" s="7">
        <f>MONTH('data on outstanding creditors'!$B3107)</f>
        <v>4</v>
      </c>
      <c r="S3107" s="7">
        <f>YEAR('data on outstanding creditors'!$B3107)</f>
        <v>2025</v>
      </c>
      <c r="T3107" s="11" t="str">
        <f>'data on outstanding creditors'!$C3107&amp;" "&amp;'data on outstanding creditors'!$D3107&amp;" "&amp;TEXT('data on outstanding creditors'!$E3107,"#,##0.00")</f>
        <v>บ.ไดรว์ เด็นทั่ล อินคอร์ปอเรชั่น IN-200641 7,660.00</v>
      </c>
      <c r="U3107" s="12"/>
    </row>
    <row r="3108" ht="13.5" customHeight="1">
      <c r="A3108" s="1" t="s">
        <v>4825</v>
      </c>
      <c r="B3108" s="2">
        <v>45777.0</v>
      </c>
      <c r="C3108" s="9" t="s">
        <v>4826</v>
      </c>
      <c r="D3108" s="1" t="s">
        <v>4827</v>
      </c>
      <c r="E3108" s="4">
        <v>3500.0</v>
      </c>
      <c r="F3108" s="4"/>
      <c r="G3108" s="4"/>
      <c r="H3108" s="4">
        <f>'data on outstanding creditors'!$E3108-'data on outstanding creditors'!$F3108-'data on outstanding creditors'!$G3108</f>
        <v>3500</v>
      </c>
      <c r="I3108" s="2"/>
      <c r="J3108" s="1" t="s">
        <v>757</v>
      </c>
      <c r="K3108" s="2">
        <v>45831.0</v>
      </c>
      <c r="L3108" s="5"/>
      <c r="M3108" s="9" t="s">
        <v>347</v>
      </c>
      <c r="N3108" s="9" t="s">
        <v>49</v>
      </c>
      <c r="O3108" s="10">
        <f>'data on outstanding creditors'!$E3108*100/107</f>
        <v>3271.028037</v>
      </c>
      <c r="P3108" s="10">
        <f>'data on outstanding creditors'!$E3108-'data on outstanding creditors'!$O3108</f>
        <v>228.9719626</v>
      </c>
      <c r="Q3108" s="7">
        <f>DAY('data on outstanding creditors'!$B3108)</f>
        <v>30</v>
      </c>
      <c r="R3108" s="7">
        <f>MONTH('data on outstanding creditors'!$B3108)</f>
        <v>4</v>
      </c>
      <c r="S3108" s="7">
        <f>YEAR('data on outstanding creditors'!$B3108)</f>
        <v>2025</v>
      </c>
      <c r="T3108" s="11" t="str">
        <f>'data on outstanding creditors'!$C3108&amp;" "&amp;'data on outstanding creditors'!$D3108&amp;" "&amp;TEXT('data on outstanding creditors'!$E3108,"#,##0.00")</f>
        <v>บ.โฮมเด้นท์ กรุ๊ป IV0002294 3,500.00</v>
      </c>
      <c r="U3108" s="12"/>
    </row>
    <row r="3109" ht="13.5" customHeight="1">
      <c r="A3109" s="1" t="s">
        <v>4828</v>
      </c>
      <c r="B3109" s="2">
        <v>45777.0</v>
      </c>
      <c r="C3109" s="9" t="s">
        <v>4829</v>
      </c>
      <c r="D3109" s="1" t="s">
        <v>4830</v>
      </c>
      <c r="E3109" s="4">
        <v>45730.0</v>
      </c>
      <c r="F3109" s="4"/>
      <c r="G3109" s="4"/>
      <c r="H3109" s="4">
        <f>'data on outstanding creditors'!$E3109-'data on outstanding creditors'!$F3109-'data on outstanding creditors'!$G3109</f>
        <v>45730</v>
      </c>
      <c r="I3109" s="2"/>
      <c r="J3109" s="1" t="s">
        <v>646</v>
      </c>
      <c r="K3109" s="2">
        <v>45843.0</v>
      </c>
      <c r="L3109" s="5"/>
      <c r="M3109" s="9" t="s">
        <v>347</v>
      </c>
      <c r="N3109" s="9" t="s">
        <v>49</v>
      </c>
      <c r="O3109" s="10">
        <f>'data on outstanding creditors'!$E3109*100/107</f>
        <v>42738.31776</v>
      </c>
      <c r="P3109" s="10">
        <f>'data on outstanding creditors'!$E3109-'data on outstanding creditors'!$O3109</f>
        <v>2991.682243</v>
      </c>
      <c r="Q3109" s="7">
        <f>DAY('data on outstanding creditors'!$B3109)</f>
        <v>30</v>
      </c>
      <c r="R3109" s="7">
        <f>MONTH('data on outstanding creditors'!$B3109)</f>
        <v>4</v>
      </c>
      <c r="S3109" s="7">
        <f>YEAR('data on outstanding creditors'!$B3109)</f>
        <v>2025</v>
      </c>
      <c r="T3109" s="11" t="str">
        <f>'data on outstanding creditors'!$C3109&amp;" "&amp;'data on outstanding creditors'!$D3109&amp;" "&amp;TEXT('data on outstanding creditors'!$E3109,"#,##0.00")</f>
        <v>บ.เอส.ดี.ทันตเวช(1988) A2503-1289 45,730.00</v>
      </c>
      <c r="U3109" s="12"/>
    </row>
    <row r="3110" ht="13.5" customHeight="1">
      <c r="A3110" s="1" t="s">
        <v>4831</v>
      </c>
      <c r="B3110" s="2">
        <v>45777.0</v>
      </c>
      <c r="C3110" s="9" t="s">
        <v>4788</v>
      </c>
      <c r="D3110" s="1" t="s">
        <v>4832</v>
      </c>
      <c r="E3110" s="4">
        <v>9200.0</v>
      </c>
      <c r="F3110" s="4"/>
      <c r="G3110" s="4"/>
      <c r="H3110" s="4">
        <f>'data on outstanding creditors'!$E3110-'data on outstanding creditors'!$F3110-'data on outstanding creditors'!$G3110</f>
        <v>9200</v>
      </c>
      <c r="I3110" s="2"/>
      <c r="J3110" s="1" t="s">
        <v>646</v>
      </c>
      <c r="K3110" s="2">
        <v>45843.0</v>
      </c>
      <c r="L3110" s="5"/>
      <c r="M3110" s="9" t="s">
        <v>347</v>
      </c>
      <c r="N3110" s="9" t="s">
        <v>49</v>
      </c>
      <c r="O3110" s="10">
        <f>'data on outstanding creditors'!$E3110*100/107</f>
        <v>8598.130841</v>
      </c>
      <c r="P3110" s="10">
        <f>'data on outstanding creditors'!$E3110-'data on outstanding creditors'!$O3110</f>
        <v>601.8691589</v>
      </c>
      <c r="Q3110" s="7">
        <f>DAY('data on outstanding creditors'!$B3110)</f>
        <v>30</v>
      </c>
      <c r="R3110" s="7">
        <f>MONTH('data on outstanding creditors'!$B3110)</f>
        <v>4</v>
      </c>
      <c r="S3110" s="7">
        <f>YEAR('data on outstanding creditors'!$B3110)</f>
        <v>2025</v>
      </c>
      <c r="T3110" s="11" t="str">
        <f>'data on outstanding creditors'!$C3110&amp;" "&amp;'data on outstanding creditors'!$D3110&amp;" "&amp;TEXT('data on outstanding creditors'!$E3110,"#,##0.00")</f>
        <v>บ.วี อาร์ พี เด้นท์ 148030053 9,200.00</v>
      </c>
      <c r="U3110" s="12"/>
    </row>
    <row r="3111" ht="13.5" customHeight="1">
      <c r="A3111" s="1" t="s">
        <v>4833</v>
      </c>
      <c r="B3111" s="2">
        <v>45777.0</v>
      </c>
      <c r="C3111" s="9" t="s">
        <v>4834</v>
      </c>
      <c r="D3111" s="1" t="s">
        <v>4835</v>
      </c>
      <c r="E3111" s="4">
        <v>6400.0</v>
      </c>
      <c r="F3111" s="4"/>
      <c r="G3111" s="4"/>
      <c r="H3111" s="4">
        <f>'data on outstanding creditors'!$E3111-'data on outstanding creditors'!$F3111-'data on outstanding creditors'!$G3111</f>
        <v>6400</v>
      </c>
      <c r="I3111" s="2"/>
      <c r="J3111" s="1" t="s">
        <v>757</v>
      </c>
      <c r="K3111" s="2">
        <v>45831.0</v>
      </c>
      <c r="L3111" s="5"/>
      <c r="M3111" s="9" t="s">
        <v>347</v>
      </c>
      <c r="N3111" s="9" t="s">
        <v>49</v>
      </c>
      <c r="O3111" s="10">
        <f>'data on outstanding creditors'!$E3111*100/107</f>
        <v>5981.308411</v>
      </c>
      <c r="P3111" s="10">
        <f>'data on outstanding creditors'!$E3111-'data on outstanding creditors'!$O3111</f>
        <v>418.6915888</v>
      </c>
      <c r="Q3111" s="7">
        <f>DAY('data on outstanding creditors'!$B3111)</f>
        <v>30</v>
      </c>
      <c r="R3111" s="7">
        <f>MONTH('data on outstanding creditors'!$B3111)</f>
        <v>4</v>
      </c>
      <c r="S3111" s="7">
        <f>YEAR('data on outstanding creditors'!$B3111)</f>
        <v>2025</v>
      </c>
      <c r="T3111" s="11" t="str">
        <f>'data on outstanding creditors'!$C3111&amp;" "&amp;'data on outstanding creditors'!$D3111&amp;" "&amp;TEXT('data on outstanding creditors'!$E3111,"#,##0.00")</f>
        <v>บ.ซีทีเอ็ม โกลเบิล IV8040191 6,400.00</v>
      </c>
      <c r="U3111" s="12"/>
    </row>
    <row r="3112" ht="13.5" customHeight="1">
      <c r="A3112" s="1" t="s">
        <v>4836</v>
      </c>
      <c r="B3112" s="2">
        <v>45777.0</v>
      </c>
      <c r="C3112" s="9" t="s">
        <v>4837</v>
      </c>
      <c r="D3112" s="1" t="s">
        <v>4838</v>
      </c>
      <c r="E3112" s="4">
        <v>2675.0</v>
      </c>
      <c r="F3112" s="4"/>
      <c r="G3112" s="4"/>
      <c r="H3112" s="4">
        <f>'data on outstanding creditors'!$E3112-'data on outstanding creditors'!$F3112-'data on outstanding creditors'!$G3112</f>
        <v>2675</v>
      </c>
      <c r="I3112" s="2"/>
      <c r="J3112" s="1" t="s">
        <v>646</v>
      </c>
      <c r="K3112" s="2">
        <v>45928.0</v>
      </c>
      <c r="L3112" s="5"/>
      <c r="M3112" s="9" t="s">
        <v>347</v>
      </c>
      <c r="N3112" s="9" t="s">
        <v>49</v>
      </c>
      <c r="O3112" s="10">
        <f>'data on outstanding creditors'!$E3112*100/107</f>
        <v>2500</v>
      </c>
      <c r="P3112" s="10">
        <f>'data on outstanding creditors'!$E3112-'data on outstanding creditors'!$O3112</f>
        <v>175</v>
      </c>
      <c r="Q3112" s="7">
        <f>DAY('data on outstanding creditors'!$B3112)</f>
        <v>30</v>
      </c>
      <c r="R3112" s="7">
        <f>MONTH('data on outstanding creditors'!$B3112)</f>
        <v>4</v>
      </c>
      <c r="S3112" s="7">
        <f>YEAR('data on outstanding creditors'!$B3112)</f>
        <v>2025</v>
      </c>
      <c r="T3112" s="11" t="str">
        <f>'data on outstanding creditors'!$C3112&amp;" "&amp;'data on outstanding creditors'!$D3112&amp;" "&amp;TEXT('data on outstanding creditors'!$E3112,"#,##0.00")</f>
        <v>บ.บีดีเอช เมดิคอล ซัพพลาย BDHT-202504090 2,675.00</v>
      </c>
      <c r="U3112" s="12"/>
    </row>
    <row r="3113" ht="13.5" customHeight="1">
      <c r="A3113" s="1" t="s">
        <v>4839</v>
      </c>
      <c r="B3113" s="2">
        <v>45777.0</v>
      </c>
      <c r="C3113" s="9" t="s">
        <v>4797</v>
      </c>
      <c r="D3113" s="1" t="s">
        <v>4840</v>
      </c>
      <c r="E3113" s="4">
        <v>2000.0</v>
      </c>
      <c r="F3113" s="4"/>
      <c r="G3113" s="4"/>
      <c r="H3113" s="4">
        <f>'data on outstanding creditors'!$E3113-'data on outstanding creditors'!$F3113-'data on outstanding creditors'!$G3113</f>
        <v>2000</v>
      </c>
      <c r="I3113" s="2"/>
      <c r="J3113" s="1" t="s">
        <v>757</v>
      </c>
      <c r="K3113" s="2">
        <v>45831.0</v>
      </c>
      <c r="L3113" s="5"/>
      <c r="M3113" s="9" t="s">
        <v>347</v>
      </c>
      <c r="N3113" s="9" t="s">
        <v>49</v>
      </c>
      <c r="O3113" s="10">
        <f>'data on outstanding creditors'!$E3113*100/107</f>
        <v>1869.158879</v>
      </c>
      <c r="P3113" s="10">
        <f>'data on outstanding creditors'!$E3113-'data on outstanding creditors'!$O3113</f>
        <v>130.8411215</v>
      </c>
      <c r="Q3113" s="7">
        <f>DAY('data on outstanding creditors'!$B3113)</f>
        <v>30</v>
      </c>
      <c r="R3113" s="7">
        <f>MONTH('data on outstanding creditors'!$B3113)</f>
        <v>4</v>
      </c>
      <c r="S3113" s="7">
        <f>YEAR('data on outstanding creditors'!$B3113)</f>
        <v>2025</v>
      </c>
      <c r="T3113" s="11" t="str">
        <f>'data on outstanding creditors'!$C3113&amp;" "&amp;'data on outstanding creditors'!$D3113&amp;" "&amp;TEXT('data on outstanding creditors'!$E3113,"#,##0.00")</f>
        <v>บ.ยูนิตี้ เด็นตัล IS6801267 2,000.00</v>
      </c>
      <c r="U3113" s="12"/>
    </row>
    <row r="3114" ht="13.5" customHeight="1">
      <c r="A3114" s="1" t="s">
        <v>4841</v>
      </c>
      <c r="B3114" s="2">
        <v>45777.0</v>
      </c>
      <c r="C3114" s="9" t="s">
        <v>4809</v>
      </c>
      <c r="D3114" s="1" t="s">
        <v>4842</v>
      </c>
      <c r="E3114" s="4">
        <v>2570.0</v>
      </c>
      <c r="F3114" s="4"/>
      <c r="G3114" s="4"/>
      <c r="H3114" s="4">
        <f>'data on outstanding creditors'!$E3114-'data on outstanding creditors'!$F3114-'data on outstanding creditors'!$G3114</f>
        <v>2570</v>
      </c>
      <c r="I3114" s="2"/>
      <c r="J3114" s="1" t="s">
        <v>757</v>
      </c>
      <c r="K3114" s="2">
        <v>45831.0</v>
      </c>
      <c r="L3114" s="5"/>
      <c r="M3114" s="9" t="s">
        <v>347</v>
      </c>
      <c r="N3114" s="9" t="s">
        <v>49</v>
      </c>
      <c r="O3114" s="10">
        <f>'data on outstanding creditors'!$E3114*100/107</f>
        <v>2401.869159</v>
      </c>
      <c r="P3114" s="10">
        <f>'data on outstanding creditors'!$E3114-'data on outstanding creditors'!$O3114</f>
        <v>168.1308411</v>
      </c>
      <c r="Q3114" s="7">
        <f>DAY('data on outstanding creditors'!$B3114)</f>
        <v>30</v>
      </c>
      <c r="R3114" s="7">
        <f>MONTH('data on outstanding creditors'!$B3114)</f>
        <v>4</v>
      </c>
      <c r="S3114" s="7">
        <f>YEAR('data on outstanding creditors'!$B3114)</f>
        <v>2025</v>
      </c>
      <c r="T3114" s="11" t="str">
        <f>'data on outstanding creditors'!$C3114&amp;" "&amp;'data on outstanding creditors'!$D3114&amp;" "&amp;TEXT('data on outstanding creditors'!$E3114,"#,##0.00")</f>
        <v>หจก.เซี่ยงไฮ้ทันตภัณฑ์ BB256804/00341 2,570.00</v>
      </c>
      <c r="U3114" s="12"/>
    </row>
    <row r="3115" ht="13.5" customHeight="1">
      <c r="A3115" s="1" t="s">
        <v>4843</v>
      </c>
      <c r="B3115" s="2">
        <v>45777.0</v>
      </c>
      <c r="C3115" s="9" t="s">
        <v>4829</v>
      </c>
      <c r="D3115" s="1" t="s">
        <v>4844</v>
      </c>
      <c r="E3115" s="4">
        <v>22960.0</v>
      </c>
      <c r="F3115" s="4"/>
      <c r="G3115" s="4"/>
      <c r="H3115" s="4">
        <f>'data on outstanding creditors'!$E3115-'data on outstanding creditors'!$F3115-'data on outstanding creditors'!$G3115</f>
        <v>22960</v>
      </c>
      <c r="I3115" s="2"/>
      <c r="J3115" s="1" t="s">
        <v>646</v>
      </c>
      <c r="K3115" s="2">
        <v>45855.0</v>
      </c>
      <c r="L3115" s="5"/>
      <c r="M3115" s="9" t="s">
        <v>347</v>
      </c>
      <c r="N3115" s="9" t="s">
        <v>49</v>
      </c>
      <c r="O3115" s="10">
        <f>'data on outstanding creditors'!$E3115*100/107</f>
        <v>21457.94393</v>
      </c>
      <c r="P3115" s="10">
        <f>'data on outstanding creditors'!$E3115-'data on outstanding creditors'!$O3115</f>
        <v>1502.056075</v>
      </c>
      <c r="Q3115" s="7">
        <f>DAY('data on outstanding creditors'!$B3115)</f>
        <v>30</v>
      </c>
      <c r="R3115" s="7">
        <f>MONTH('data on outstanding creditors'!$B3115)</f>
        <v>4</v>
      </c>
      <c r="S3115" s="7">
        <f>YEAR('data on outstanding creditors'!$B3115)</f>
        <v>2025</v>
      </c>
      <c r="T3115" s="11" t="str">
        <f>'data on outstanding creditors'!$C3115&amp;" "&amp;'data on outstanding creditors'!$D3115&amp;" "&amp;TEXT('data on outstanding creditors'!$E3115,"#,##0.00")</f>
        <v>บ.เอส.ดี.ทันตเวช(1988) A2504-0453 22,960.00</v>
      </c>
      <c r="U3115" s="12"/>
    </row>
    <row r="3116" ht="13.5" customHeight="1">
      <c r="A3116" s="1" t="s">
        <v>4845</v>
      </c>
      <c r="B3116" s="2">
        <v>45777.0</v>
      </c>
      <c r="C3116" s="9" t="s">
        <v>2339</v>
      </c>
      <c r="D3116" s="1" t="s">
        <v>4846</v>
      </c>
      <c r="E3116" s="4">
        <v>2960.0</v>
      </c>
      <c r="F3116" s="4"/>
      <c r="G3116" s="4"/>
      <c r="H3116" s="4">
        <f>'data on outstanding creditors'!$E3116-'data on outstanding creditors'!$F3116-'data on outstanding creditors'!$G3116</f>
        <v>2960</v>
      </c>
      <c r="I3116" s="2"/>
      <c r="J3116" s="1" t="s">
        <v>646</v>
      </c>
      <c r="K3116" s="2">
        <v>45855.0</v>
      </c>
      <c r="L3116" s="5"/>
      <c r="M3116" s="9" t="s">
        <v>347</v>
      </c>
      <c r="N3116" s="9" t="s">
        <v>49</v>
      </c>
      <c r="O3116" s="10">
        <f>'data on outstanding creditors'!$E3116*100/107</f>
        <v>2766.35514</v>
      </c>
      <c r="P3116" s="10">
        <f>'data on outstanding creditors'!$E3116-'data on outstanding creditors'!$O3116</f>
        <v>193.6448598</v>
      </c>
      <c r="Q3116" s="7">
        <f>DAY('data on outstanding creditors'!$B3116)</f>
        <v>30</v>
      </c>
      <c r="R3116" s="7">
        <f>MONTH('data on outstanding creditors'!$B3116)</f>
        <v>4</v>
      </c>
      <c r="S3116" s="7">
        <f>YEAR('data on outstanding creditors'!$B3116)</f>
        <v>2025</v>
      </c>
      <c r="T3116" s="11" t="str">
        <f>'data on outstanding creditors'!$C3116&amp;" "&amp;'data on outstanding creditors'!$D3116&amp;" "&amp;TEXT('data on outstanding creditors'!$E3116,"#,##0.00")</f>
        <v>บ.ไอแคร์ เมดิคัล Bl68-04/306 2,960.00</v>
      </c>
      <c r="U3116" s="12"/>
    </row>
    <row r="3117" ht="13.5" customHeight="1">
      <c r="A3117" s="1" t="s">
        <v>4847</v>
      </c>
      <c r="B3117" s="2">
        <v>45777.0</v>
      </c>
      <c r="C3117" s="9" t="s">
        <v>1273</v>
      </c>
      <c r="D3117" s="1" t="s">
        <v>4848</v>
      </c>
      <c r="E3117" s="4">
        <v>35500.0</v>
      </c>
      <c r="F3117" s="4"/>
      <c r="G3117" s="4"/>
      <c r="H3117" s="4">
        <f>'data on outstanding creditors'!$E3117-'data on outstanding creditors'!$F3117-'data on outstanding creditors'!$G3117</f>
        <v>35500</v>
      </c>
      <c r="I3117" s="2"/>
      <c r="J3117" s="1" t="s">
        <v>646</v>
      </c>
      <c r="K3117" s="2">
        <v>45887.0</v>
      </c>
      <c r="L3117" s="5"/>
      <c r="M3117" s="9" t="s">
        <v>347</v>
      </c>
      <c r="N3117" s="9" t="s">
        <v>49</v>
      </c>
      <c r="O3117" s="10">
        <f>'data on outstanding creditors'!$E3117*100/107</f>
        <v>33177.57009</v>
      </c>
      <c r="P3117" s="10">
        <f>'data on outstanding creditors'!$E3117-'data on outstanding creditors'!$O3117</f>
        <v>2322.429907</v>
      </c>
      <c r="Q3117" s="7">
        <f>DAY('data on outstanding creditors'!$B3117)</f>
        <v>30</v>
      </c>
      <c r="R3117" s="7">
        <f>MONTH('data on outstanding creditors'!$B3117)</f>
        <v>4</v>
      </c>
      <c r="S3117" s="7">
        <f>YEAR('data on outstanding creditors'!$B3117)</f>
        <v>2025</v>
      </c>
      <c r="T3117" s="11" t="str">
        <f>'data on outstanding creditors'!$C3117&amp;" "&amp;'data on outstanding creditors'!$D3117&amp;" "&amp;TEXT('data on outstanding creditors'!$E3117,"#,##0.00")</f>
        <v>บ.ชูมิตร 1967 IN6804-1081 35,500.00</v>
      </c>
      <c r="U3117" s="12"/>
    </row>
    <row r="3118" ht="13.5" customHeight="1">
      <c r="A3118" s="1" t="s">
        <v>4849</v>
      </c>
      <c r="B3118" s="2">
        <v>45777.0</v>
      </c>
      <c r="C3118" s="9" t="s">
        <v>4823</v>
      </c>
      <c r="D3118" s="1" t="s">
        <v>4850</v>
      </c>
      <c r="E3118" s="4">
        <v>3000.0</v>
      </c>
      <c r="F3118" s="4"/>
      <c r="G3118" s="4"/>
      <c r="H3118" s="4">
        <f>'data on outstanding creditors'!$E3118-'data on outstanding creditors'!$F3118-'data on outstanding creditors'!$G3118</f>
        <v>3000</v>
      </c>
      <c r="I3118" s="2"/>
      <c r="J3118" s="1" t="s">
        <v>757</v>
      </c>
      <c r="K3118" s="2">
        <v>45831.0</v>
      </c>
      <c r="L3118" s="5"/>
      <c r="M3118" s="9" t="s">
        <v>347</v>
      </c>
      <c r="N3118" s="9" t="s">
        <v>49</v>
      </c>
      <c r="O3118" s="10">
        <f>'data on outstanding creditors'!$E3118*100/107</f>
        <v>2803.738318</v>
      </c>
      <c r="P3118" s="10">
        <f>'data on outstanding creditors'!$E3118-'data on outstanding creditors'!$O3118</f>
        <v>196.2616822</v>
      </c>
      <c r="Q3118" s="7">
        <f>DAY('data on outstanding creditors'!$B3118)</f>
        <v>30</v>
      </c>
      <c r="R3118" s="7">
        <f>MONTH('data on outstanding creditors'!$B3118)</f>
        <v>4</v>
      </c>
      <c r="S3118" s="7">
        <f>YEAR('data on outstanding creditors'!$B3118)</f>
        <v>2025</v>
      </c>
      <c r="T3118" s="11" t="str">
        <f>'data on outstanding creditors'!$C3118&amp;" "&amp;'data on outstanding creditors'!$D3118&amp;" "&amp;TEXT('data on outstanding creditors'!$E3118,"#,##0.00")</f>
        <v>บ.ไดรว์ เด็นทั่ล อินคอร์ปอเรชั่น IN-200476 3,000.00</v>
      </c>
      <c r="U3118" s="12"/>
    </row>
    <row r="3119" ht="13.5" customHeight="1">
      <c r="A3119" s="1" t="s">
        <v>4851</v>
      </c>
      <c r="B3119" s="2">
        <v>45807.0</v>
      </c>
      <c r="C3119" s="9" t="s">
        <v>4852</v>
      </c>
      <c r="D3119" s="1" t="s">
        <v>4853</v>
      </c>
      <c r="E3119" s="4">
        <v>4800.0</v>
      </c>
      <c r="F3119" s="4"/>
      <c r="G3119" s="4"/>
      <c r="H3119" s="4">
        <f>'data on outstanding creditors'!$E3119-'data on outstanding creditors'!$F3119-'data on outstanding creditors'!$G3119</f>
        <v>4800</v>
      </c>
      <c r="I3119" s="2"/>
      <c r="J3119" s="1" t="s">
        <v>646</v>
      </c>
      <c r="K3119" s="2">
        <v>45887.0</v>
      </c>
      <c r="L3119" s="5"/>
      <c r="M3119" s="9" t="s">
        <v>347</v>
      </c>
      <c r="N3119" s="9" t="s">
        <v>49</v>
      </c>
      <c r="O3119" s="10">
        <f>'data on outstanding creditors'!$E3119*100/107</f>
        <v>4485.981308</v>
      </c>
      <c r="P3119" s="10">
        <f>'data on outstanding creditors'!$E3119-'data on outstanding creditors'!$O3119</f>
        <v>314.0186916</v>
      </c>
      <c r="Q3119" s="7">
        <f>DAY('data on outstanding creditors'!$B3119)</f>
        <v>30</v>
      </c>
      <c r="R3119" s="7">
        <f>MONTH('data on outstanding creditors'!$B3119)</f>
        <v>5</v>
      </c>
      <c r="S3119" s="7">
        <f>YEAR('data on outstanding creditors'!$B3119)</f>
        <v>2025</v>
      </c>
      <c r="T3119" s="11" t="str">
        <f>'data on outstanding creditors'!$C3119&amp;" "&amp;'data on outstanding creditors'!$D3119&amp;" "&amp;TEXT('data on outstanding creditors'!$E3119,"#,##0.00")</f>
        <v>บ.มิด-เวสต์ เด็นตอลกรุ๊ป IV6805-0015 4,800.00</v>
      </c>
      <c r="U3119" s="12"/>
    </row>
    <row r="3120" ht="13.5" customHeight="1">
      <c r="A3120" s="1" t="s">
        <v>4854</v>
      </c>
      <c r="B3120" s="2">
        <v>45807.0</v>
      </c>
      <c r="C3120" s="9" t="s">
        <v>4791</v>
      </c>
      <c r="D3120" s="1" t="s">
        <v>4855</v>
      </c>
      <c r="E3120" s="4">
        <v>36670.0</v>
      </c>
      <c r="F3120" s="4"/>
      <c r="G3120" s="4"/>
      <c r="H3120" s="4">
        <f>'data on outstanding creditors'!$E3120-'data on outstanding creditors'!$F3120-'data on outstanding creditors'!$G3120</f>
        <v>36670</v>
      </c>
      <c r="I3120" s="2"/>
      <c r="J3120" s="1" t="s">
        <v>646</v>
      </c>
      <c r="K3120" s="2">
        <v>45952.0</v>
      </c>
      <c r="L3120" s="5"/>
      <c r="M3120" s="9" t="s">
        <v>347</v>
      </c>
      <c r="N3120" s="9" t="s">
        <v>49</v>
      </c>
      <c r="O3120" s="10">
        <f>'data on outstanding creditors'!$E3120*100/107</f>
        <v>34271.02804</v>
      </c>
      <c r="P3120" s="10">
        <f>'data on outstanding creditors'!$E3120-'data on outstanding creditors'!$O3120</f>
        <v>2398.971963</v>
      </c>
      <c r="Q3120" s="7">
        <f>DAY('data on outstanding creditors'!$B3120)</f>
        <v>30</v>
      </c>
      <c r="R3120" s="7">
        <f>MONTH('data on outstanding creditors'!$B3120)</f>
        <v>5</v>
      </c>
      <c r="S3120" s="7">
        <f>YEAR('data on outstanding creditors'!$B3120)</f>
        <v>2025</v>
      </c>
      <c r="T3120" s="11" t="str">
        <f>'data on outstanding creditors'!$C3120&amp;" "&amp;'data on outstanding creditors'!$D3120&amp;" "&amp;TEXT('data on outstanding creditors'!$E3120,"#,##0.00")</f>
        <v>บ.ออสเทมส์ C-IMPLANT-25-0291 36,670.00</v>
      </c>
      <c r="U3120" s="12"/>
    </row>
    <row r="3121" ht="13.5" customHeight="1">
      <c r="A3121" s="1" t="s">
        <v>4856</v>
      </c>
      <c r="B3121" s="2">
        <v>45807.0</v>
      </c>
      <c r="C3121" s="9" t="s">
        <v>4791</v>
      </c>
      <c r="D3121" s="1" t="s">
        <v>4857</v>
      </c>
      <c r="E3121" s="4">
        <v>35120.0</v>
      </c>
      <c r="F3121" s="4"/>
      <c r="G3121" s="4"/>
      <c r="H3121" s="4">
        <f>'data on outstanding creditors'!$E3121-'data on outstanding creditors'!$F3121-'data on outstanding creditors'!$G3121</f>
        <v>35120</v>
      </c>
      <c r="I3121" s="2"/>
      <c r="J3121" s="1" t="s">
        <v>646</v>
      </c>
      <c r="K3121" s="2">
        <v>45952.0</v>
      </c>
      <c r="L3121" s="5"/>
      <c r="M3121" s="9" t="s">
        <v>347</v>
      </c>
      <c r="N3121" s="9" t="s">
        <v>49</v>
      </c>
      <c r="O3121" s="10">
        <f>'data on outstanding creditors'!$E3121*100/107</f>
        <v>32822.42991</v>
      </c>
      <c r="P3121" s="10">
        <f>'data on outstanding creditors'!$E3121-'data on outstanding creditors'!$O3121</f>
        <v>2297.570093</v>
      </c>
      <c r="Q3121" s="7">
        <f>DAY('data on outstanding creditors'!$B3121)</f>
        <v>30</v>
      </c>
      <c r="R3121" s="7">
        <f>MONTH('data on outstanding creditors'!$B3121)</f>
        <v>5</v>
      </c>
      <c r="S3121" s="7">
        <f>YEAR('data on outstanding creditors'!$B3121)</f>
        <v>2025</v>
      </c>
      <c r="T3121" s="11" t="str">
        <f>'data on outstanding creditors'!$C3121&amp;" "&amp;'data on outstanding creditors'!$D3121&amp;" "&amp;TEXT('data on outstanding creditors'!$E3121,"#,##0.00")</f>
        <v>บ.ออสเทมส์ C-IMPLANT-25-0281 35,120.00</v>
      </c>
      <c r="U3121" s="12"/>
    </row>
    <row r="3122" ht="13.5" customHeight="1">
      <c r="A3122" s="1" t="s">
        <v>4858</v>
      </c>
      <c r="B3122" s="2">
        <v>45838.0</v>
      </c>
      <c r="C3122" s="9" t="s">
        <v>4823</v>
      </c>
      <c r="D3122" s="1" t="s">
        <v>4859</v>
      </c>
      <c r="E3122" s="4">
        <v>17900.0</v>
      </c>
      <c r="F3122" s="4"/>
      <c r="G3122" s="4"/>
      <c r="H3122" s="4">
        <f>'data on outstanding creditors'!$E3122-'data on outstanding creditors'!$F3122-'data on outstanding creditors'!$G3122</f>
        <v>17900</v>
      </c>
      <c r="I3122" s="2"/>
      <c r="J3122" s="1" t="s">
        <v>757</v>
      </c>
      <c r="K3122" s="2">
        <v>45890.0</v>
      </c>
      <c r="L3122" s="5"/>
      <c r="M3122" s="9" t="s">
        <v>347</v>
      </c>
      <c r="N3122" s="9" t="s">
        <v>49</v>
      </c>
      <c r="O3122" s="10">
        <f>'data on outstanding creditors'!$E3122*100/107</f>
        <v>16728.97196</v>
      </c>
      <c r="P3122" s="10">
        <f>'data on outstanding creditors'!$E3122-'data on outstanding creditors'!$O3122</f>
        <v>1171.028037</v>
      </c>
      <c r="Q3122" s="7">
        <f>DAY('data on outstanding creditors'!$B3122)</f>
        <v>30</v>
      </c>
      <c r="R3122" s="7">
        <f>MONTH('data on outstanding creditors'!$B3122)</f>
        <v>6</v>
      </c>
      <c r="S3122" s="7">
        <f>YEAR('data on outstanding creditors'!$B3122)</f>
        <v>2025</v>
      </c>
      <c r="T3122" s="11" t="str">
        <f>'data on outstanding creditors'!$C3122&amp;" "&amp;'data on outstanding creditors'!$D3122&amp;" "&amp;TEXT('data on outstanding creditors'!$E3122,"#,##0.00")</f>
        <v>บ.ไดรว์ เด็นทั่ล อินคอร์ปอเรชั่น IN-202354 17,900.00</v>
      </c>
      <c r="U3122" s="12"/>
    </row>
    <row r="3123" ht="13.5" customHeight="1">
      <c r="A3123" s="1" t="s">
        <v>4860</v>
      </c>
      <c r="B3123" s="2">
        <v>45838.0</v>
      </c>
      <c r="C3123" s="9" t="s">
        <v>4823</v>
      </c>
      <c r="D3123" s="1" t="s">
        <v>4861</v>
      </c>
      <c r="E3123" s="4">
        <v>4650.0</v>
      </c>
      <c r="F3123" s="4"/>
      <c r="G3123" s="4"/>
      <c r="H3123" s="4">
        <f>'data on outstanding creditors'!$E3123-'data on outstanding creditors'!$F3123-'data on outstanding creditors'!$G3123</f>
        <v>4650</v>
      </c>
      <c r="I3123" s="2"/>
      <c r="J3123" s="1" t="s">
        <v>757</v>
      </c>
      <c r="K3123" s="2">
        <v>45882.0</v>
      </c>
      <c r="L3123" s="5"/>
      <c r="M3123" s="9" t="s">
        <v>347</v>
      </c>
      <c r="N3123" s="9" t="s">
        <v>49</v>
      </c>
      <c r="O3123" s="10">
        <f>'data on outstanding creditors'!$E3123*100/107</f>
        <v>4345.794393</v>
      </c>
      <c r="P3123" s="10">
        <f>'data on outstanding creditors'!$E3123-'data on outstanding creditors'!$O3123</f>
        <v>304.2056075</v>
      </c>
      <c r="Q3123" s="7">
        <f>DAY('data on outstanding creditors'!$B3123)</f>
        <v>30</v>
      </c>
      <c r="R3123" s="7">
        <f>MONTH('data on outstanding creditors'!$B3123)</f>
        <v>6</v>
      </c>
      <c r="S3123" s="7">
        <f>YEAR('data on outstanding creditors'!$B3123)</f>
        <v>2025</v>
      </c>
      <c r="T3123" s="11" t="str">
        <f>'data on outstanding creditors'!$C3123&amp;" "&amp;'data on outstanding creditors'!$D3123&amp;" "&amp;TEXT('data on outstanding creditors'!$E3123,"#,##0.00")</f>
        <v>บ.ไดรว์ เด็นทั่ล อินคอร์ปอเรชั่น IN-202267 4,650.00</v>
      </c>
      <c r="U3123" s="12"/>
    </row>
    <row r="3124" ht="13.5" customHeight="1">
      <c r="A3124" s="1" t="s">
        <v>4862</v>
      </c>
      <c r="B3124" s="2">
        <v>45838.0</v>
      </c>
      <c r="C3124" s="9" t="s">
        <v>4809</v>
      </c>
      <c r="D3124" s="1" t="s">
        <v>4863</v>
      </c>
      <c r="E3124" s="4">
        <v>2950.0</v>
      </c>
      <c r="F3124" s="4"/>
      <c r="G3124" s="4"/>
      <c r="H3124" s="4">
        <f>'data on outstanding creditors'!$E3124-'data on outstanding creditors'!$F3124-'data on outstanding creditors'!$G3124</f>
        <v>2950</v>
      </c>
      <c r="I3124" s="2"/>
      <c r="J3124" s="1" t="s">
        <v>757</v>
      </c>
      <c r="K3124" s="2">
        <v>45882.0</v>
      </c>
      <c r="L3124" s="5"/>
      <c r="M3124" s="9" t="s">
        <v>347</v>
      </c>
      <c r="N3124" s="9" t="s">
        <v>49</v>
      </c>
      <c r="O3124" s="10">
        <f>'data on outstanding creditors'!$E3124*100/107</f>
        <v>2757.009346</v>
      </c>
      <c r="P3124" s="10">
        <f>'data on outstanding creditors'!$E3124-'data on outstanding creditors'!$O3124</f>
        <v>192.9906542</v>
      </c>
      <c r="Q3124" s="7">
        <f>DAY('data on outstanding creditors'!$B3124)</f>
        <v>30</v>
      </c>
      <c r="R3124" s="7">
        <f>MONTH('data on outstanding creditors'!$B3124)</f>
        <v>6</v>
      </c>
      <c r="S3124" s="7">
        <f>YEAR('data on outstanding creditors'!$B3124)</f>
        <v>2025</v>
      </c>
      <c r="T3124" s="11" t="str">
        <f>'data on outstanding creditors'!$C3124&amp;" "&amp;'data on outstanding creditors'!$D3124&amp;" "&amp;TEXT('data on outstanding creditors'!$E3124,"#,##0.00")</f>
        <v>หจก.เซี่ยงไฮ้ทันตภัณฑ์ BB256805/00470 2,950.00</v>
      </c>
      <c r="U3124" s="12"/>
    </row>
    <row r="3125" ht="13.5" customHeight="1">
      <c r="A3125" s="1" t="s">
        <v>4864</v>
      </c>
      <c r="B3125" s="2">
        <v>45838.0</v>
      </c>
      <c r="C3125" s="9" t="s">
        <v>4865</v>
      </c>
      <c r="D3125" s="1" t="s">
        <v>4866</v>
      </c>
      <c r="E3125" s="4">
        <v>2160.0</v>
      </c>
      <c r="F3125" s="4"/>
      <c r="G3125" s="4"/>
      <c r="H3125" s="4">
        <f>'data on outstanding creditors'!$E3125-'data on outstanding creditors'!$F3125-'data on outstanding creditors'!$G3125</f>
        <v>2160</v>
      </c>
      <c r="I3125" s="2"/>
      <c r="J3125" s="1" t="s">
        <v>757</v>
      </c>
      <c r="K3125" s="2">
        <v>45882.0</v>
      </c>
      <c r="L3125" s="5"/>
      <c r="M3125" s="9" t="s">
        <v>347</v>
      </c>
      <c r="N3125" s="9" t="s">
        <v>49</v>
      </c>
      <c r="O3125" s="10">
        <f>'data on outstanding creditors'!$E3125*100/107</f>
        <v>2018.691589</v>
      </c>
      <c r="P3125" s="10">
        <f>'data on outstanding creditors'!$E3125-'data on outstanding creditors'!$O3125</f>
        <v>141.3084112</v>
      </c>
      <c r="Q3125" s="7">
        <f>DAY('data on outstanding creditors'!$B3125)</f>
        <v>30</v>
      </c>
      <c r="R3125" s="7">
        <f>MONTH('data on outstanding creditors'!$B3125)</f>
        <v>6</v>
      </c>
      <c r="S3125" s="7">
        <f>YEAR('data on outstanding creditors'!$B3125)</f>
        <v>2025</v>
      </c>
      <c r="T3125" s="11" t="str">
        <f>'data on outstanding creditors'!$C3125&amp;" "&amp;'data on outstanding creditors'!$D3125&amp;" "&amp;TEXT('data on outstanding creditors'!$E3125,"#,##0.00")</f>
        <v>บ.เดนทัล วิชั่น (ประเทสไทย) SI2505-00408 2,160.00</v>
      </c>
      <c r="U3125" s="12"/>
    </row>
    <row r="3126" ht="13.5" customHeight="1">
      <c r="A3126" s="1" t="s">
        <v>4867</v>
      </c>
      <c r="B3126" s="2">
        <v>45838.0</v>
      </c>
      <c r="C3126" s="9" t="s">
        <v>4823</v>
      </c>
      <c r="D3126" s="1" t="s">
        <v>4868</v>
      </c>
      <c r="E3126" s="4">
        <v>5400.0</v>
      </c>
      <c r="F3126" s="4"/>
      <c r="G3126" s="4"/>
      <c r="H3126" s="4">
        <f>'data on outstanding creditors'!$E3126-'data on outstanding creditors'!$F3126-'data on outstanding creditors'!$G3126</f>
        <v>5400</v>
      </c>
      <c r="I3126" s="2"/>
      <c r="J3126" s="1" t="s">
        <v>757</v>
      </c>
      <c r="K3126" s="2">
        <v>45890.0</v>
      </c>
      <c r="L3126" s="5"/>
      <c r="M3126" s="9" t="s">
        <v>347</v>
      </c>
      <c r="N3126" s="9" t="s">
        <v>49</v>
      </c>
      <c r="O3126" s="10">
        <f>'data on outstanding creditors'!$E3126*100/107</f>
        <v>5046.728972</v>
      </c>
      <c r="P3126" s="10">
        <f>'data on outstanding creditors'!$E3126-'data on outstanding creditors'!$O3126</f>
        <v>353.271028</v>
      </c>
      <c r="Q3126" s="7">
        <f>DAY('data on outstanding creditors'!$B3126)</f>
        <v>30</v>
      </c>
      <c r="R3126" s="7">
        <f>MONTH('data on outstanding creditors'!$B3126)</f>
        <v>6</v>
      </c>
      <c r="S3126" s="7">
        <f>YEAR('data on outstanding creditors'!$B3126)</f>
        <v>2025</v>
      </c>
      <c r="T3126" s="11" t="str">
        <f>'data on outstanding creditors'!$C3126&amp;" "&amp;'data on outstanding creditors'!$D3126&amp;" "&amp;TEXT('data on outstanding creditors'!$E3126,"#,##0.00")</f>
        <v>บ.ไดรว์ เด็นทั่ล อินคอร์ปอเรชั่น IN-203510 5,400.00</v>
      </c>
      <c r="U3126" s="12"/>
    </row>
    <row r="3127" ht="13.5" customHeight="1">
      <c r="A3127" s="1" t="s">
        <v>4869</v>
      </c>
      <c r="B3127" s="2">
        <v>45838.0</v>
      </c>
      <c r="C3127" s="9" t="s">
        <v>345</v>
      </c>
      <c r="D3127" s="1" t="s">
        <v>4870</v>
      </c>
      <c r="E3127" s="4">
        <v>4500.0</v>
      </c>
      <c r="F3127" s="4"/>
      <c r="G3127" s="4"/>
      <c r="H3127" s="4">
        <f>'data on outstanding creditors'!$E3127-'data on outstanding creditors'!$F3127-'data on outstanding creditors'!$G3127</f>
        <v>4500</v>
      </c>
      <c r="I3127" s="2"/>
      <c r="J3127" s="1" t="s">
        <v>646</v>
      </c>
      <c r="K3127" s="2">
        <v>45944.0</v>
      </c>
      <c r="L3127" s="5"/>
      <c r="M3127" s="9" t="s">
        <v>347</v>
      </c>
      <c r="N3127" s="9" t="s">
        <v>49</v>
      </c>
      <c r="O3127" s="10">
        <f>'data on outstanding creditors'!$E3127*100/107</f>
        <v>4205.607477</v>
      </c>
      <c r="P3127" s="10">
        <f>'data on outstanding creditors'!$E3127-'data on outstanding creditors'!$O3127</f>
        <v>294.3925234</v>
      </c>
      <c r="Q3127" s="7">
        <f>DAY('data on outstanding creditors'!$B3127)</f>
        <v>30</v>
      </c>
      <c r="R3127" s="7">
        <f>MONTH('data on outstanding creditors'!$B3127)</f>
        <v>6</v>
      </c>
      <c r="S3127" s="7">
        <f>YEAR('data on outstanding creditors'!$B3127)</f>
        <v>2025</v>
      </c>
      <c r="T3127" s="11" t="str">
        <f>'data on outstanding creditors'!$C3127&amp;" "&amp;'data on outstanding creditors'!$D3127&amp;" "&amp;TEXT('data on outstanding creditors'!$E3127,"#,##0.00")</f>
        <v>บ.แอคคอร์ด คอร์ปอเรชั่น IV2505103296 4,500.00</v>
      </c>
      <c r="U3127" s="12"/>
    </row>
    <row r="3128" ht="13.5" customHeight="1">
      <c r="A3128" s="1" t="s">
        <v>4871</v>
      </c>
      <c r="B3128" s="2">
        <v>45838.0</v>
      </c>
      <c r="C3128" s="9" t="s">
        <v>4872</v>
      </c>
      <c r="D3128" s="1" t="s">
        <v>4873</v>
      </c>
      <c r="E3128" s="4">
        <v>7700.0</v>
      </c>
      <c r="F3128" s="4"/>
      <c r="G3128" s="4"/>
      <c r="H3128" s="4">
        <f>'data on outstanding creditors'!$E3128-'data on outstanding creditors'!$F3128-'data on outstanding creditors'!$G3128</f>
        <v>7700</v>
      </c>
      <c r="I3128" s="2"/>
      <c r="J3128" s="1" t="s">
        <v>646</v>
      </c>
      <c r="K3128" s="2">
        <v>45954.0</v>
      </c>
      <c r="L3128" s="5"/>
      <c r="M3128" s="9" t="s">
        <v>347</v>
      </c>
      <c r="N3128" s="9" t="s">
        <v>49</v>
      </c>
      <c r="O3128" s="10">
        <f>'data on outstanding creditors'!$E3128*100/107</f>
        <v>7196.261682</v>
      </c>
      <c r="P3128" s="10">
        <f>'data on outstanding creditors'!$E3128-'data on outstanding creditors'!$O3128</f>
        <v>503.7383178</v>
      </c>
      <c r="Q3128" s="7">
        <f>DAY('data on outstanding creditors'!$B3128)</f>
        <v>30</v>
      </c>
      <c r="R3128" s="7">
        <f>MONTH('data on outstanding creditors'!$B3128)</f>
        <v>6</v>
      </c>
      <c r="S3128" s="7">
        <f>YEAR('data on outstanding creditors'!$B3128)</f>
        <v>2025</v>
      </c>
      <c r="T3128" s="11" t="str">
        <f>'data on outstanding creditors'!$C3128&amp;" "&amp;'data on outstanding creditors'!$D3128&amp;" "&amp;TEXT('data on outstanding creditors'!$E3128,"#,##0.00")</f>
        <v>บ.อุดม เมดิคอล อิควิปเม้นท์ GU125060491 7,700.00</v>
      </c>
      <c r="U3128" s="12"/>
    </row>
    <row r="3129" ht="13.5" customHeight="1">
      <c r="A3129" s="1" t="s">
        <v>4874</v>
      </c>
      <c r="B3129" s="2">
        <v>45838.0</v>
      </c>
      <c r="C3129" s="9" t="s">
        <v>4875</v>
      </c>
      <c r="D3129" s="1" t="s">
        <v>4876</v>
      </c>
      <c r="E3129" s="4">
        <v>12000.0</v>
      </c>
      <c r="F3129" s="4"/>
      <c r="G3129" s="4"/>
      <c r="H3129" s="4">
        <f>'data on outstanding creditors'!$E3129-'data on outstanding creditors'!$F3129-'data on outstanding creditors'!$G3129</f>
        <v>12000</v>
      </c>
      <c r="I3129" s="2"/>
      <c r="J3129" s="1" t="s">
        <v>757</v>
      </c>
      <c r="K3129" s="2">
        <v>45923.0</v>
      </c>
      <c r="L3129" s="5"/>
      <c r="M3129" s="9" t="s">
        <v>347</v>
      </c>
      <c r="N3129" s="9" t="s">
        <v>49</v>
      </c>
      <c r="O3129" s="10">
        <f>'data on outstanding creditors'!$E3129*100/107</f>
        <v>11214.95327</v>
      </c>
      <c r="P3129" s="10">
        <f>'data on outstanding creditors'!$E3129-'data on outstanding creditors'!$O3129</f>
        <v>785.046729</v>
      </c>
      <c r="Q3129" s="7">
        <f>DAY('data on outstanding creditors'!$B3129)</f>
        <v>30</v>
      </c>
      <c r="R3129" s="7">
        <f>MONTH('data on outstanding creditors'!$B3129)</f>
        <v>6</v>
      </c>
      <c r="S3129" s="7">
        <f>YEAR('data on outstanding creditors'!$B3129)</f>
        <v>2025</v>
      </c>
      <c r="T3129" s="11" t="str">
        <f>'data on outstanding creditors'!$C3129&amp;" "&amp;'data on outstanding creditors'!$D3129&amp;" "&amp;TEXT('data on outstanding creditors'!$E3129,"#,##0.00")</f>
        <v>บ.พรีเมียร์ เมดสพลาย IV6806164 12,000.00</v>
      </c>
      <c r="U3129" s="12"/>
    </row>
    <row r="3130" ht="13.5" customHeight="1">
      <c r="A3130" s="1" t="s">
        <v>4877</v>
      </c>
      <c r="B3130" s="2">
        <v>45868.0</v>
      </c>
      <c r="C3130" s="9" t="s">
        <v>4791</v>
      </c>
      <c r="D3130" s="1" t="s">
        <v>4878</v>
      </c>
      <c r="E3130" s="4">
        <v>14820.0</v>
      </c>
      <c r="F3130" s="4"/>
      <c r="G3130" s="4"/>
      <c r="H3130" s="4">
        <f>'data on outstanding creditors'!$E3130-'data on outstanding creditors'!$F3130-'data on outstanding creditors'!$G3130</f>
        <v>14820</v>
      </c>
      <c r="I3130" s="2"/>
      <c r="J3130" s="1"/>
      <c r="K3130" s="2"/>
      <c r="L3130" s="5"/>
      <c r="M3130" s="9" t="s">
        <v>347</v>
      </c>
      <c r="N3130" s="9" t="s">
        <v>49</v>
      </c>
      <c r="O3130" s="10">
        <f>'data on outstanding creditors'!$E3130*100/107</f>
        <v>13850.46729</v>
      </c>
      <c r="P3130" s="10">
        <f>'data on outstanding creditors'!$E3130-'data on outstanding creditors'!$O3130</f>
        <v>969.5327103</v>
      </c>
      <c r="Q3130" s="7">
        <f>DAY('data on outstanding creditors'!$B3130)</f>
        <v>30</v>
      </c>
      <c r="R3130" s="7">
        <f>MONTH('data on outstanding creditors'!$B3130)</f>
        <v>7</v>
      </c>
      <c r="S3130" s="7">
        <f>YEAR('data on outstanding creditors'!$B3130)</f>
        <v>2025</v>
      </c>
      <c r="T3130" s="11" t="str">
        <f>'data on outstanding creditors'!$C3130&amp;" "&amp;'data on outstanding creditors'!$D3130&amp;" "&amp;TEXT('data on outstanding creditors'!$E3130,"#,##0.00")</f>
        <v>บ.ออสเทมส์ C-MATERIAL-25-0375 14,820.00</v>
      </c>
      <c r="U3130" s="12"/>
    </row>
    <row r="3131" ht="13.5" customHeight="1">
      <c r="A3131" s="1" t="s">
        <v>4879</v>
      </c>
      <c r="B3131" s="2">
        <v>45868.0</v>
      </c>
      <c r="C3131" s="9" t="s">
        <v>4829</v>
      </c>
      <c r="D3131" s="1" t="s">
        <v>4880</v>
      </c>
      <c r="E3131" s="4">
        <v>16500.0</v>
      </c>
      <c r="F3131" s="4"/>
      <c r="G3131" s="4"/>
      <c r="H3131" s="4">
        <f>'data on outstanding creditors'!$E3131-'data on outstanding creditors'!$F3131-'data on outstanding creditors'!$G3131</f>
        <v>16500</v>
      </c>
      <c r="I3131" s="2"/>
      <c r="J3131" s="1" t="s">
        <v>646</v>
      </c>
      <c r="K3131" s="2">
        <v>45944.0</v>
      </c>
      <c r="L3131" s="5"/>
      <c r="M3131" s="9" t="s">
        <v>347</v>
      </c>
      <c r="N3131" s="9" t="s">
        <v>49</v>
      </c>
      <c r="O3131" s="10">
        <f>'data on outstanding creditors'!$E3131*100/107</f>
        <v>15420.56075</v>
      </c>
      <c r="P3131" s="10">
        <f>'data on outstanding creditors'!$E3131-'data on outstanding creditors'!$O3131</f>
        <v>1079.439252</v>
      </c>
      <c r="Q3131" s="7">
        <f>DAY('data on outstanding creditors'!$B3131)</f>
        <v>30</v>
      </c>
      <c r="R3131" s="7">
        <f>MONTH('data on outstanding creditors'!$B3131)</f>
        <v>7</v>
      </c>
      <c r="S3131" s="7">
        <f>YEAR('data on outstanding creditors'!$B3131)</f>
        <v>2025</v>
      </c>
      <c r="T3131" s="11" t="str">
        <f>'data on outstanding creditors'!$C3131&amp;" "&amp;'data on outstanding creditors'!$D3131&amp;" "&amp;TEXT('data on outstanding creditors'!$E3131,"#,##0.00")</f>
        <v>บ.เอส.ดี.ทันตเวช(1988) A2507-0582 16,500.00</v>
      </c>
      <c r="U3131" s="12"/>
    </row>
    <row r="3132" ht="13.5" customHeight="1">
      <c r="A3132" s="1" t="s">
        <v>4881</v>
      </c>
      <c r="B3132" s="2">
        <v>45868.0</v>
      </c>
      <c r="C3132" s="9" t="s">
        <v>4875</v>
      </c>
      <c r="D3132" s="1" t="s">
        <v>4882</v>
      </c>
      <c r="E3132" s="4">
        <v>1819.0</v>
      </c>
      <c r="F3132" s="4"/>
      <c r="G3132" s="4"/>
      <c r="H3132" s="4">
        <f>'data on outstanding creditors'!$E3132-'data on outstanding creditors'!$F3132-'data on outstanding creditors'!$G3132</f>
        <v>1819</v>
      </c>
      <c r="I3132" s="2"/>
      <c r="J3132" s="1" t="s">
        <v>757</v>
      </c>
      <c r="K3132" s="2">
        <v>45923.0</v>
      </c>
      <c r="L3132" s="5"/>
      <c r="M3132" s="9" t="s">
        <v>347</v>
      </c>
      <c r="N3132" s="9" t="s">
        <v>49</v>
      </c>
      <c r="O3132" s="10">
        <f>'data on outstanding creditors'!$E3132*100/107</f>
        <v>1700</v>
      </c>
      <c r="P3132" s="10">
        <f>'data on outstanding creditors'!$E3132-'data on outstanding creditors'!$O3132</f>
        <v>119</v>
      </c>
      <c r="Q3132" s="7">
        <f>DAY('data on outstanding creditors'!$B3132)</f>
        <v>30</v>
      </c>
      <c r="R3132" s="7">
        <f>MONTH('data on outstanding creditors'!$B3132)</f>
        <v>7</v>
      </c>
      <c r="S3132" s="7">
        <f>YEAR('data on outstanding creditors'!$B3132)</f>
        <v>2025</v>
      </c>
      <c r="T3132" s="11" t="str">
        <f>'data on outstanding creditors'!$C3132&amp;" "&amp;'data on outstanding creditors'!$D3132&amp;" "&amp;TEXT('data on outstanding creditors'!$E3132,"#,##0.00")</f>
        <v>บ.พรีเมียร์ เมดสพลาย IV6807266 1,819.00</v>
      </c>
      <c r="U3132" s="12"/>
    </row>
    <row r="3133" ht="13.5" customHeight="1">
      <c r="A3133" s="1" t="s">
        <v>4883</v>
      </c>
      <c r="B3133" s="2">
        <v>45868.0</v>
      </c>
      <c r="C3133" s="9" t="s">
        <v>4829</v>
      </c>
      <c r="D3133" s="1" t="s">
        <v>4884</v>
      </c>
      <c r="E3133" s="4">
        <v>1975.0</v>
      </c>
      <c r="F3133" s="4"/>
      <c r="G3133" s="4"/>
      <c r="H3133" s="4">
        <f>'data on outstanding creditors'!$E3133-'data on outstanding creditors'!$F3133-'data on outstanding creditors'!$G3133</f>
        <v>1975</v>
      </c>
      <c r="I3133" s="2"/>
      <c r="J3133" s="1" t="s">
        <v>646</v>
      </c>
      <c r="K3133" s="2">
        <v>45928.0</v>
      </c>
      <c r="L3133" s="5"/>
      <c r="M3133" s="9" t="s">
        <v>347</v>
      </c>
      <c r="N3133" s="9" t="s">
        <v>49</v>
      </c>
      <c r="O3133" s="10">
        <f>'data on outstanding creditors'!$E3133*100/107</f>
        <v>1845.794393</v>
      </c>
      <c r="P3133" s="10">
        <f>'data on outstanding creditors'!$E3133-'data on outstanding creditors'!$O3133</f>
        <v>129.2056075</v>
      </c>
      <c r="Q3133" s="7">
        <f>DAY('data on outstanding creditors'!$B3133)</f>
        <v>30</v>
      </c>
      <c r="R3133" s="7">
        <f>MONTH('data on outstanding creditors'!$B3133)</f>
        <v>7</v>
      </c>
      <c r="S3133" s="7">
        <f>YEAR('data on outstanding creditors'!$B3133)</f>
        <v>2025</v>
      </c>
      <c r="T3133" s="11" t="str">
        <f>'data on outstanding creditors'!$C3133&amp;" "&amp;'data on outstanding creditors'!$D3133&amp;" "&amp;TEXT('data on outstanding creditors'!$E3133,"#,##0.00")</f>
        <v>บ.เอส.ดี.ทันตเวช(1988) A2506-1663 1,975.00</v>
      </c>
      <c r="U3133" s="12"/>
    </row>
    <row r="3134" ht="13.5" customHeight="1">
      <c r="A3134" s="1" t="s">
        <v>4885</v>
      </c>
      <c r="B3134" s="2">
        <v>45868.0</v>
      </c>
      <c r="C3134" s="9" t="s">
        <v>4797</v>
      </c>
      <c r="D3134" s="1" t="s">
        <v>4886</v>
      </c>
      <c r="E3134" s="4">
        <v>3700.0</v>
      </c>
      <c r="F3134" s="4"/>
      <c r="G3134" s="4"/>
      <c r="H3134" s="4">
        <f>'data on outstanding creditors'!$E3134-'data on outstanding creditors'!$F3134-'data on outstanding creditors'!$G3134</f>
        <v>3700</v>
      </c>
      <c r="I3134" s="2"/>
      <c r="J3134" s="1" t="s">
        <v>757</v>
      </c>
      <c r="K3134" s="2">
        <v>45923.0</v>
      </c>
      <c r="L3134" s="5"/>
      <c r="M3134" s="9" t="s">
        <v>347</v>
      </c>
      <c r="N3134" s="9" t="s">
        <v>49</v>
      </c>
      <c r="O3134" s="10">
        <f>'data on outstanding creditors'!$E3134*100/107</f>
        <v>3457.943925</v>
      </c>
      <c r="P3134" s="10">
        <f>'data on outstanding creditors'!$E3134-'data on outstanding creditors'!$O3134</f>
        <v>242.0560748</v>
      </c>
      <c r="Q3134" s="7">
        <f>DAY('data on outstanding creditors'!$B3134)</f>
        <v>30</v>
      </c>
      <c r="R3134" s="7">
        <f>MONTH('data on outstanding creditors'!$B3134)</f>
        <v>7</v>
      </c>
      <c r="S3134" s="7">
        <f>YEAR('data on outstanding creditors'!$B3134)</f>
        <v>2025</v>
      </c>
      <c r="T3134" s="11" t="str">
        <f>'data on outstanding creditors'!$C3134&amp;" "&amp;'data on outstanding creditors'!$D3134&amp;" "&amp;TEXT('data on outstanding creditors'!$E3134,"#,##0.00")</f>
        <v>บ.ยูนิตี้ เด็นตัล UIS6802533 3,700.00</v>
      </c>
      <c r="U3134" s="12"/>
    </row>
    <row r="3135" ht="13.5" customHeight="1">
      <c r="A3135" s="1" t="s">
        <v>4887</v>
      </c>
      <c r="B3135" s="2">
        <v>45868.0</v>
      </c>
      <c r="C3135" s="9" t="s">
        <v>4829</v>
      </c>
      <c r="D3135" s="1" t="s">
        <v>4888</v>
      </c>
      <c r="E3135" s="4">
        <v>16400.0</v>
      </c>
      <c r="F3135" s="4"/>
      <c r="G3135" s="4"/>
      <c r="H3135" s="4">
        <f>'data on outstanding creditors'!$E3135-'data on outstanding creditors'!$F3135-'data on outstanding creditors'!$G3135</f>
        <v>16400</v>
      </c>
      <c r="I3135" s="2"/>
      <c r="J3135" s="1" t="s">
        <v>757</v>
      </c>
      <c r="K3135" s="2">
        <v>45965.0</v>
      </c>
      <c r="L3135" s="5"/>
      <c r="M3135" s="9" t="s">
        <v>347</v>
      </c>
      <c r="N3135" s="9" t="s">
        <v>49</v>
      </c>
      <c r="O3135" s="10">
        <f>'data on outstanding creditors'!$E3135*100/107</f>
        <v>15327.1028</v>
      </c>
      <c r="P3135" s="10">
        <f>'data on outstanding creditors'!$E3135-'data on outstanding creditors'!$O3135</f>
        <v>1072.897196</v>
      </c>
      <c r="Q3135" s="7">
        <f>DAY('data on outstanding creditors'!$B3135)</f>
        <v>30</v>
      </c>
      <c r="R3135" s="7">
        <f>MONTH('data on outstanding creditors'!$B3135)</f>
        <v>7</v>
      </c>
      <c r="S3135" s="7">
        <f>YEAR('data on outstanding creditors'!$B3135)</f>
        <v>2025</v>
      </c>
      <c r="T3135" s="11" t="str">
        <f>'data on outstanding creditors'!$C3135&amp;" "&amp;'data on outstanding creditors'!$D3135&amp;" "&amp;TEXT('data on outstanding creditors'!$E3135,"#,##0.00")</f>
        <v>บ.เอส.ดี.ทันตเวช(1988) A2506-1676 16,400.00</v>
      </c>
      <c r="U3135" s="12"/>
    </row>
    <row r="3136" ht="13.5" customHeight="1">
      <c r="A3136" s="1" t="s">
        <v>4889</v>
      </c>
      <c r="B3136" s="2">
        <v>45868.0</v>
      </c>
      <c r="C3136" s="9" t="s">
        <v>4890</v>
      </c>
      <c r="D3136" s="1" t="s">
        <v>4891</v>
      </c>
      <c r="E3136" s="4">
        <v>9000.0</v>
      </c>
      <c r="F3136" s="4"/>
      <c r="G3136" s="4"/>
      <c r="H3136" s="4">
        <f>'data on outstanding creditors'!$E3136-'data on outstanding creditors'!$F3136-'data on outstanding creditors'!$G3136</f>
        <v>9000</v>
      </c>
      <c r="I3136" s="2"/>
      <c r="J3136" s="1" t="s">
        <v>646</v>
      </c>
      <c r="K3136" s="2">
        <v>45928.0</v>
      </c>
      <c r="L3136" s="5"/>
      <c r="M3136" s="9" t="s">
        <v>347</v>
      </c>
      <c r="N3136" s="9" t="s">
        <v>49</v>
      </c>
      <c r="O3136" s="10">
        <f>'data on outstanding creditors'!$E3136*100/107</f>
        <v>8411.214953</v>
      </c>
      <c r="P3136" s="10">
        <f>'data on outstanding creditors'!$E3136-'data on outstanding creditors'!$O3136</f>
        <v>588.7850467</v>
      </c>
      <c r="Q3136" s="7">
        <f>DAY('data on outstanding creditors'!$B3136)</f>
        <v>30</v>
      </c>
      <c r="R3136" s="7">
        <f>MONTH('data on outstanding creditors'!$B3136)</f>
        <v>7</v>
      </c>
      <c r="S3136" s="7">
        <f>YEAR('data on outstanding creditors'!$B3136)</f>
        <v>2025</v>
      </c>
      <c r="T3136" s="11" t="str">
        <f>'data on outstanding creditors'!$C3136&amp;" "&amp;'data on outstanding creditors'!$D3136&amp;" "&amp;TEXT('data on outstanding creditors'!$E3136,"#,##0.00")</f>
        <v>บ.พร้อมท์ เดนทัล แอนด์ เมดิคอล ซัพพลาย IV2025050375 9,000.00</v>
      </c>
      <c r="U3136" s="12"/>
    </row>
    <row r="3137" ht="13.5" customHeight="1">
      <c r="A3137" s="1" t="s">
        <v>4892</v>
      </c>
      <c r="B3137" s="2">
        <v>45868.0</v>
      </c>
      <c r="C3137" s="9" t="s">
        <v>4834</v>
      </c>
      <c r="D3137" s="1" t="s">
        <v>4893</v>
      </c>
      <c r="E3137" s="4">
        <v>20504.0</v>
      </c>
      <c r="F3137" s="4"/>
      <c r="G3137" s="4"/>
      <c r="H3137" s="4">
        <f>'data on outstanding creditors'!$E3137-'data on outstanding creditors'!$F3137-'data on outstanding creditors'!$G3137</f>
        <v>20504</v>
      </c>
      <c r="I3137" s="2"/>
      <c r="J3137" s="1" t="s">
        <v>757</v>
      </c>
      <c r="K3137" s="2">
        <v>45923.0</v>
      </c>
      <c r="L3137" s="5"/>
      <c r="M3137" s="9" t="s">
        <v>347</v>
      </c>
      <c r="N3137" s="9" t="s">
        <v>49</v>
      </c>
      <c r="O3137" s="10">
        <f>'data on outstanding creditors'!$E3137*100/107</f>
        <v>19162.61682</v>
      </c>
      <c r="P3137" s="10">
        <f>'data on outstanding creditors'!$E3137-'data on outstanding creditors'!$O3137</f>
        <v>1341.383178</v>
      </c>
      <c r="Q3137" s="7">
        <f>DAY('data on outstanding creditors'!$B3137)</f>
        <v>30</v>
      </c>
      <c r="R3137" s="7">
        <f>MONTH('data on outstanding creditors'!$B3137)</f>
        <v>7</v>
      </c>
      <c r="S3137" s="7">
        <f>YEAR('data on outstanding creditors'!$B3137)</f>
        <v>2025</v>
      </c>
      <c r="T3137" s="11" t="str">
        <f>'data on outstanding creditors'!$C3137&amp;" "&amp;'data on outstanding creditors'!$D3137&amp;" "&amp;TEXT('data on outstanding creditors'!$E3137,"#,##0.00")</f>
        <v>บ.ซีทีเอ็ม โกลเบิล IV8061934 20,504.00</v>
      </c>
      <c r="U3137" s="12"/>
    </row>
    <row r="3138" ht="13.5" customHeight="1">
      <c r="A3138" s="1" t="s">
        <v>4894</v>
      </c>
      <c r="B3138" s="2">
        <v>45868.0</v>
      </c>
      <c r="C3138" s="9" t="s">
        <v>4815</v>
      </c>
      <c r="D3138" s="1" t="s">
        <v>4895</v>
      </c>
      <c r="E3138" s="4">
        <v>1400.0</v>
      </c>
      <c r="F3138" s="4"/>
      <c r="G3138" s="4"/>
      <c r="H3138" s="4">
        <f>'data on outstanding creditors'!$E3138-'data on outstanding creditors'!$F3138-'data on outstanding creditors'!$G3138</f>
        <v>1400</v>
      </c>
      <c r="I3138" s="2"/>
      <c r="J3138" s="1" t="s">
        <v>757</v>
      </c>
      <c r="K3138" s="2">
        <v>45923.0</v>
      </c>
      <c r="L3138" s="5"/>
      <c r="M3138" s="9" t="s">
        <v>347</v>
      </c>
      <c r="N3138" s="9" t="s">
        <v>49</v>
      </c>
      <c r="O3138" s="10">
        <f>'data on outstanding creditors'!$E3138*100/107</f>
        <v>1308.411215</v>
      </c>
      <c r="P3138" s="10">
        <f>'data on outstanding creditors'!$E3138-'data on outstanding creditors'!$O3138</f>
        <v>91.58878505</v>
      </c>
      <c r="Q3138" s="7">
        <f>DAY('data on outstanding creditors'!$B3138)</f>
        <v>30</v>
      </c>
      <c r="R3138" s="7">
        <f>MONTH('data on outstanding creditors'!$B3138)</f>
        <v>7</v>
      </c>
      <c r="S3138" s="7">
        <f>YEAR('data on outstanding creditors'!$B3138)</f>
        <v>2025</v>
      </c>
      <c r="T3138" s="11" t="str">
        <f>'data on outstanding creditors'!$C3138&amp;" "&amp;'data on outstanding creditors'!$D3138&amp;" "&amp;TEXT('data on outstanding creditors'!$E3138,"#,##0.00")</f>
        <v>บ.แอดวานซ์ เมดิคอล คอร์ปอเรชั่น IV6807132 1,400.00</v>
      </c>
      <c r="U3138" s="12"/>
    </row>
    <row r="3139" ht="13.5" customHeight="1">
      <c r="A3139" s="1" t="s">
        <v>4896</v>
      </c>
      <c r="B3139" s="2">
        <v>45868.0</v>
      </c>
      <c r="C3139" s="9" t="s">
        <v>4823</v>
      </c>
      <c r="D3139" s="1" t="s">
        <v>4897</v>
      </c>
      <c r="E3139" s="4">
        <v>2700.0</v>
      </c>
      <c r="F3139" s="4"/>
      <c r="G3139" s="4"/>
      <c r="H3139" s="4">
        <f>'data on outstanding creditors'!$E3139-'data on outstanding creditors'!$F3139-'data on outstanding creditors'!$G3139</f>
        <v>2700</v>
      </c>
      <c r="I3139" s="2"/>
      <c r="J3139" s="1" t="s">
        <v>757</v>
      </c>
      <c r="K3139" s="2">
        <v>45923.0</v>
      </c>
      <c r="L3139" s="5"/>
      <c r="M3139" s="9" t="s">
        <v>347</v>
      </c>
      <c r="N3139" s="9" t="s">
        <v>49</v>
      </c>
      <c r="O3139" s="10">
        <f>'data on outstanding creditors'!$E3139*100/107</f>
        <v>2523.364486</v>
      </c>
      <c r="P3139" s="10">
        <f>'data on outstanding creditors'!$E3139-'data on outstanding creditors'!$O3139</f>
        <v>176.635514</v>
      </c>
      <c r="Q3139" s="7">
        <f>DAY('data on outstanding creditors'!$B3139)</f>
        <v>30</v>
      </c>
      <c r="R3139" s="7">
        <f>MONTH('data on outstanding creditors'!$B3139)</f>
        <v>7</v>
      </c>
      <c r="S3139" s="7">
        <f>YEAR('data on outstanding creditors'!$B3139)</f>
        <v>2025</v>
      </c>
      <c r="T3139" s="11" t="str">
        <f>'data on outstanding creditors'!$C3139&amp;" "&amp;'data on outstanding creditors'!$D3139&amp;" "&amp;TEXT('data on outstanding creditors'!$E3139,"#,##0.00")</f>
        <v>บ.ไดรว์ เด็นทั่ล อินคอร์ปอเรชั่น IN-205744 2,700.00</v>
      </c>
      <c r="U3139" s="12"/>
    </row>
    <row r="3140" ht="13.5" customHeight="1">
      <c r="A3140" s="1" t="s">
        <v>4898</v>
      </c>
      <c r="B3140" s="2">
        <v>45898.0</v>
      </c>
      <c r="C3140" s="9" t="s">
        <v>399</v>
      </c>
      <c r="D3140" s="1" t="s">
        <v>4899</v>
      </c>
      <c r="E3140" s="4">
        <v>21400.0</v>
      </c>
      <c r="F3140" s="4"/>
      <c r="G3140" s="4"/>
      <c r="H3140" s="4">
        <f>'data on outstanding creditors'!$E3140-'data on outstanding creditors'!$F3140-'data on outstanding creditors'!$G3140</f>
        <v>21400</v>
      </c>
      <c r="I3140" s="2"/>
      <c r="J3140" s="1"/>
      <c r="K3140" s="2"/>
      <c r="L3140" s="5"/>
      <c r="M3140" s="9" t="s">
        <v>347</v>
      </c>
      <c r="N3140" s="9" t="s">
        <v>49</v>
      </c>
      <c r="O3140" s="10">
        <f>'data on outstanding creditors'!$E3140*100/107</f>
        <v>20000</v>
      </c>
      <c r="P3140" s="10">
        <f>'data on outstanding creditors'!$E3140-'data on outstanding creditors'!$O3140</f>
        <v>1400</v>
      </c>
      <c r="Q3140" s="7">
        <f>DAY('data on outstanding creditors'!$B3140)</f>
        <v>29</v>
      </c>
      <c r="R3140" s="7">
        <f>MONTH('data on outstanding creditors'!$B3140)</f>
        <v>8</v>
      </c>
      <c r="S3140" s="7">
        <f>YEAR('data on outstanding creditors'!$B3140)</f>
        <v>2025</v>
      </c>
      <c r="T3140" s="11" t="str">
        <f>'data on outstanding creditors'!$C3140&amp;" "&amp;'data on outstanding creditors'!$D3140&amp;" "&amp;TEXT('data on outstanding creditors'!$E3140,"#,##0.00")</f>
        <v>บ.ดีเคเอสเอช(ประเทศไทย) 5344082891 21,400.00</v>
      </c>
      <c r="U3140" s="12"/>
    </row>
    <row r="3141" ht="13.5" customHeight="1">
      <c r="A3141" s="1" t="s">
        <v>4900</v>
      </c>
      <c r="B3141" s="2">
        <v>45898.0</v>
      </c>
      <c r="C3141" s="9" t="s">
        <v>4901</v>
      </c>
      <c r="D3141" s="1" t="s">
        <v>4902</v>
      </c>
      <c r="E3141" s="4">
        <v>2040.0</v>
      </c>
      <c r="F3141" s="4"/>
      <c r="G3141" s="4"/>
      <c r="H3141" s="4">
        <f>'data on outstanding creditors'!$E3141-'data on outstanding creditors'!$F3141-'data on outstanding creditors'!$G3141</f>
        <v>2040</v>
      </c>
      <c r="I3141" s="2"/>
      <c r="J3141" s="1"/>
      <c r="K3141" s="2"/>
      <c r="L3141" s="5"/>
      <c r="M3141" s="9" t="s">
        <v>347</v>
      </c>
      <c r="N3141" s="9" t="s">
        <v>49</v>
      </c>
      <c r="O3141" s="10">
        <f>'data on outstanding creditors'!$E3141*100/107</f>
        <v>1906.542056</v>
      </c>
      <c r="P3141" s="10">
        <f>'data on outstanding creditors'!$E3141-'data on outstanding creditors'!$O3141</f>
        <v>133.4579439</v>
      </c>
      <c r="Q3141" s="7">
        <f>DAY('data on outstanding creditors'!$B3141)</f>
        <v>29</v>
      </c>
      <c r="R3141" s="7">
        <f>MONTH('data on outstanding creditors'!$B3141)</f>
        <v>8</v>
      </c>
      <c r="S3141" s="7">
        <f>YEAR('data on outstanding creditors'!$B3141)</f>
        <v>2025</v>
      </c>
      <c r="T3141" s="11" t="str">
        <f>'data on outstanding creditors'!$C3141&amp;" "&amp;'data on outstanding creditors'!$D3141&amp;" "&amp;TEXT('data on outstanding creditors'!$E3141,"#,##0.00")</f>
        <v>บ.โอดอนเท็กซ์ IV6802671 2,040.00</v>
      </c>
      <c r="U3141" s="12"/>
    </row>
    <row r="3142" ht="13.5" customHeight="1">
      <c r="A3142" s="1" t="s">
        <v>4903</v>
      </c>
      <c r="B3142" s="2">
        <v>45909.0</v>
      </c>
      <c r="C3142" s="9" t="s">
        <v>4797</v>
      </c>
      <c r="D3142" s="1" t="s">
        <v>4904</v>
      </c>
      <c r="E3142" s="4">
        <v>2000.0</v>
      </c>
      <c r="F3142" s="4"/>
      <c r="G3142" s="4"/>
      <c r="H3142" s="4">
        <f>'data on outstanding creditors'!$E3142-'data on outstanding creditors'!$F3142-'data on outstanding creditors'!$G3142</f>
        <v>2000</v>
      </c>
      <c r="I3142" s="2"/>
      <c r="J3142" s="1"/>
      <c r="K3142" s="2"/>
      <c r="L3142" s="5"/>
      <c r="M3142" s="9" t="s">
        <v>347</v>
      </c>
      <c r="N3142" s="9" t="s">
        <v>49</v>
      </c>
      <c r="O3142" s="10">
        <f>'data on outstanding creditors'!$E3142*100/107</f>
        <v>1869.158879</v>
      </c>
      <c r="P3142" s="10">
        <f>'data on outstanding creditors'!$E3142-'data on outstanding creditors'!$O3142</f>
        <v>130.8411215</v>
      </c>
      <c r="Q3142" s="7">
        <f>DAY('data on outstanding creditors'!$B3142)</f>
        <v>9</v>
      </c>
      <c r="R3142" s="7">
        <f>MONTH('data on outstanding creditors'!$B3142)</f>
        <v>9</v>
      </c>
      <c r="S3142" s="7">
        <f>YEAR('data on outstanding creditors'!$B3142)</f>
        <v>2025</v>
      </c>
      <c r="T3142" s="11" t="str">
        <f>'data on outstanding creditors'!$C3142&amp;" "&amp;'data on outstanding creditors'!$D3142&amp;" "&amp;TEXT('data on outstanding creditors'!$E3142,"#,##0.00")</f>
        <v>บ.ยูนิตี้ เด็นตัล IS6803015 2,000.00</v>
      </c>
      <c r="U3142" s="12"/>
    </row>
    <row r="3143" ht="13.5" customHeight="1">
      <c r="A3143" s="1" t="s">
        <v>4905</v>
      </c>
      <c r="B3143" s="2">
        <v>45909.0</v>
      </c>
      <c r="C3143" s="9" t="s">
        <v>399</v>
      </c>
      <c r="D3143" s="1" t="s">
        <v>4906</v>
      </c>
      <c r="E3143" s="4">
        <v>42586.0</v>
      </c>
      <c r="F3143" s="4"/>
      <c r="G3143" s="4"/>
      <c r="H3143" s="4">
        <f>'data on outstanding creditors'!$E3143-'data on outstanding creditors'!$F3143-'data on outstanding creditors'!$G3143</f>
        <v>42586</v>
      </c>
      <c r="I3143" s="2"/>
      <c r="J3143" s="1"/>
      <c r="K3143" s="2"/>
      <c r="L3143" s="5"/>
      <c r="M3143" s="9" t="s">
        <v>347</v>
      </c>
      <c r="N3143" s="9" t="s">
        <v>49</v>
      </c>
      <c r="O3143" s="10">
        <f>'data on outstanding creditors'!$E3143*100/107</f>
        <v>39800</v>
      </c>
      <c r="P3143" s="10">
        <f>'data on outstanding creditors'!$E3143-'data on outstanding creditors'!$O3143</f>
        <v>2786</v>
      </c>
      <c r="Q3143" s="7">
        <f>DAY('data on outstanding creditors'!$B3143)</f>
        <v>9</v>
      </c>
      <c r="R3143" s="7">
        <f>MONTH('data on outstanding creditors'!$B3143)</f>
        <v>9</v>
      </c>
      <c r="S3143" s="7">
        <f>YEAR('data on outstanding creditors'!$B3143)</f>
        <v>2025</v>
      </c>
      <c r="T3143" s="11" t="str">
        <f>'data on outstanding creditors'!$C3143&amp;" "&amp;'data on outstanding creditors'!$D3143&amp;" "&amp;TEXT('data on outstanding creditors'!$E3143,"#,##0.00")</f>
        <v>บ.ดีเคเอสเอช(ประเทศไทย) 5343690941 42,586.00</v>
      </c>
      <c r="U3143" s="12"/>
    </row>
    <row r="3144" ht="13.5" customHeight="1">
      <c r="A3144" s="1" t="s">
        <v>4907</v>
      </c>
      <c r="B3144" s="2">
        <v>45909.0</v>
      </c>
      <c r="C3144" s="9" t="s">
        <v>4788</v>
      </c>
      <c r="D3144" s="1" t="s">
        <v>4908</v>
      </c>
      <c r="E3144" s="4">
        <v>2716.0</v>
      </c>
      <c r="F3144" s="4"/>
      <c r="G3144" s="4"/>
      <c r="H3144" s="4">
        <f>'data on outstanding creditors'!$E3144-'data on outstanding creditors'!$F3144-'data on outstanding creditors'!$G3144</f>
        <v>2716</v>
      </c>
      <c r="I3144" s="2"/>
      <c r="J3144" s="1"/>
      <c r="K3144" s="2"/>
      <c r="L3144" s="5"/>
      <c r="M3144" s="9" t="s">
        <v>347</v>
      </c>
      <c r="N3144" s="9" t="s">
        <v>49</v>
      </c>
      <c r="O3144" s="10">
        <f>'data on outstanding creditors'!$E3144*100/107</f>
        <v>2538.317757</v>
      </c>
      <c r="P3144" s="10">
        <f>'data on outstanding creditors'!$E3144-'data on outstanding creditors'!$O3144</f>
        <v>177.682243</v>
      </c>
      <c r="Q3144" s="7">
        <f>DAY('data on outstanding creditors'!$B3144)</f>
        <v>9</v>
      </c>
      <c r="R3144" s="7">
        <f>MONTH('data on outstanding creditors'!$B3144)</f>
        <v>9</v>
      </c>
      <c r="S3144" s="7">
        <f>YEAR('data on outstanding creditors'!$B3144)</f>
        <v>2025</v>
      </c>
      <c r="T3144" s="11" t="str">
        <f>'data on outstanding creditors'!$C3144&amp;" "&amp;'data on outstanding creditors'!$D3144&amp;" "&amp;TEXT('data on outstanding creditors'!$E3144,"#,##0.00")</f>
        <v>บ.วี อาร์ พี เด้นท์ 148060256 2,716.00</v>
      </c>
      <c r="U3144" s="12"/>
    </row>
    <row r="3145" ht="13.5" customHeight="1">
      <c r="A3145" s="1" t="s">
        <v>4909</v>
      </c>
      <c r="B3145" s="2">
        <v>45909.0</v>
      </c>
      <c r="C3145" s="9" t="s">
        <v>4812</v>
      </c>
      <c r="D3145" s="1" t="s">
        <v>4910</v>
      </c>
      <c r="E3145" s="4">
        <v>5575.0</v>
      </c>
      <c r="F3145" s="4"/>
      <c r="G3145" s="4"/>
      <c r="H3145" s="4">
        <f>'data on outstanding creditors'!$E3145-'data on outstanding creditors'!$F3145-'data on outstanding creditors'!$G3145</f>
        <v>5575</v>
      </c>
      <c r="I3145" s="2"/>
      <c r="J3145" s="1"/>
      <c r="K3145" s="2"/>
      <c r="L3145" s="5"/>
      <c r="M3145" s="9" t="s">
        <v>347</v>
      </c>
      <c r="N3145" s="9" t="s">
        <v>49</v>
      </c>
      <c r="O3145" s="10">
        <f>'data on outstanding creditors'!$E3145*100/107</f>
        <v>5210.280374</v>
      </c>
      <c r="P3145" s="10">
        <f>'data on outstanding creditors'!$E3145-'data on outstanding creditors'!$O3145</f>
        <v>364.7196262</v>
      </c>
      <c r="Q3145" s="7">
        <f>DAY('data on outstanding creditors'!$B3145)</f>
        <v>9</v>
      </c>
      <c r="R3145" s="7">
        <f>MONTH('data on outstanding creditors'!$B3145)</f>
        <v>9</v>
      </c>
      <c r="S3145" s="7">
        <f>YEAR('data on outstanding creditors'!$B3145)</f>
        <v>2025</v>
      </c>
      <c r="T3145" s="11" t="str">
        <f>'data on outstanding creditors'!$C3145&amp;" "&amp;'data on outstanding creditors'!$D3145&amp;" "&amp;TEXT('data on outstanding creditors'!$E3145,"#,##0.00")</f>
        <v>บ.เด็นท์-เมท IVG00072877 5,575.00</v>
      </c>
      <c r="U3145" s="12"/>
    </row>
    <row r="3146" ht="13.5" customHeight="1">
      <c r="A3146" s="1" t="s">
        <v>4911</v>
      </c>
      <c r="B3146" s="2">
        <v>45909.0</v>
      </c>
      <c r="C3146" s="9" t="s">
        <v>4912</v>
      </c>
      <c r="D3146" s="1" t="s">
        <v>4913</v>
      </c>
      <c r="E3146" s="4">
        <v>2734.0</v>
      </c>
      <c r="F3146" s="4"/>
      <c r="G3146" s="4"/>
      <c r="H3146" s="4">
        <f>'data on outstanding creditors'!$E3146-'data on outstanding creditors'!$F3146-'data on outstanding creditors'!$G3146</f>
        <v>2734</v>
      </c>
      <c r="I3146" s="2"/>
      <c r="J3146" s="1"/>
      <c r="K3146" s="2"/>
      <c r="L3146" s="5"/>
      <c r="M3146" s="9" t="s">
        <v>347</v>
      </c>
      <c r="N3146" s="9" t="s">
        <v>49</v>
      </c>
      <c r="O3146" s="10">
        <f>'data on outstanding creditors'!$E3146*100/107</f>
        <v>2555.140187</v>
      </c>
      <c r="P3146" s="10">
        <f>'data on outstanding creditors'!$E3146-'data on outstanding creditors'!$O3146</f>
        <v>178.8598131</v>
      </c>
      <c r="Q3146" s="7">
        <f>DAY('data on outstanding creditors'!$B3146)</f>
        <v>9</v>
      </c>
      <c r="R3146" s="7">
        <f>MONTH('data on outstanding creditors'!$B3146)</f>
        <v>9</v>
      </c>
      <c r="S3146" s="7">
        <f>YEAR('data on outstanding creditors'!$B3146)</f>
        <v>2025</v>
      </c>
      <c r="T3146" s="11" t="str">
        <f>'data on outstanding creditors'!$C3146&amp;" "&amp;'data on outstanding creditors'!$D3146&amp;" "&amp;TEXT('data on outstanding creditors'!$E3146,"#,##0.00")</f>
        <v>บ.พรอมมิ เน้นซ์ IV6812859 2,734.00</v>
      </c>
      <c r="U3146" s="12"/>
    </row>
    <row r="3147" ht="13.5" customHeight="1">
      <c r="A3147" s="1" t="s">
        <v>4914</v>
      </c>
      <c r="B3147" s="2">
        <v>45909.0</v>
      </c>
      <c r="C3147" s="9" t="s">
        <v>4915</v>
      </c>
      <c r="D3147" s="1" t="s">
        <v>4916</v>
      </c>
      <c r="E3147" s="4">
        <v>3715.0</v>
      </c>
      <c r="F3147" s="4"/>
      <c r="G3147" s="4"/>
      <c r="H3147" s="4">
        <f>'data on outstanding creditors'!$E3147-'data on outstanding creditors'!$F3147-'data on outstanding creditors'!$G3147</f>
        <v>3715</v>
      </c>
      <c r="I3147" s="2"/>
      <c r="J3147" s="1"/>
      <c r="K3147" s="2"/>
      <c r="L3147" s="5"/>
      <c r="M3147" s="9" t="s">
        <v>347</v>
      </c>
      <c r="N3147" s="9" t="s">
        <v>49</v>
      </c>
      <c r="O3147" s="10">
        <f>'data on outstanding creditors'!$E3147*100/107</f>
        <v>3471.962617</v>
      </c>
      <c r="P3147" s="10">
        <f>'data on outstanding creditors'!$E3147-'data on outstanding creditors'!$O3147</f>
        <v>243.0373832</v>
      </c>
      <c r="Q3147" s="7">
        <f>DAY('data on outstanding creditors'!$B3147)</f>
        <v>9</v>
      </c>
      <c r="R3147" s="7">
        <f>MONTH('data on outstanding creditors'!$B3147)</f>
        <v>9</v>
      </c>
      <c r="S3147" s="7">
        <f>YEAR('data on outstanding creditors'!$B3147)</f>
        <v>2025</v>
      </c>
      <c r="T3147" s="11" t="str">
        <f>'data on outstanding creditors'!$C3147&amp;" "&amp;'data on outstanding creditors'!$D3147&amp;" "&amp;TEXT('data on outstanding creditors'!$E3147,"#,##0.00")</f>
        <v>บ.นูเด้นท์ DS6808/0256 3,715.00</v>
      </c>
      <c r="U3147" s="12"/>
    </row>
    <row r="3148" ht="13.5" customHeight="1">
      <c r="A3148" s="1" t="s">
        <v>4917</v>
      </c>
      <c r="B3148" s="2">
        <v>45909.0</v>
      </c>
      <c r="C3148" s="9" t="s">
        <v>4834</v>
      </c>
      <c r="D3148" s="1" t="s">
        <v>4918</v>
      </c>
      <c r="E3148" s="4">
        <v>5720.0</v>
      </c>
      <c r="F3148" s="4"/>
      <c r="G3148" s="4"/>
      <c r="H3148" s="4">
        <f>'data on outstanding creditors'!$E3148-'data on outstanding creditors'!$F3148-'data on outstanding creditors'!$G3148</f>
        <v>5720</v>
      </c>
      <c r="I3148" s="2"/>
      <c r="J3148" s="1"/>
      <c r="K3148" s="2"/>
      <c r="L3148" s="5"/>
      <c r="M3148" s="9" t="s">
        <v>347</v>
      </c>
      <c r="N3148" s="9" t="s">
        <v>49</v>
      </c>
      <c r="O3148" s="10">
        <f>'data on outstanding creditors'!$E3148*100/107</f>
        <v>5345.794393</v>
      </c>
      <c r="P3148" s="10">
        <f>'data on outstanding creditors'!$E3148-'data on outstanding creditors'!$O3148</f>
        <v>374.2056075</v>
      </c>
      <c r="Q3148" s="7">
        <f>DAY('data on outstanding creditors'!$B3148)</f>
        <v>9</v>
      </c>
      <c r="R3148" s="7">
        <f>MONTH('data on outstanding creditors'!$B3148)</f>
        <v>9</v>
      </c>
      <c r="S3148" s="7">
        <f>YEAR('data on outstanding creditors'!$B3148)</f>
        <v>2025</v>
      </c>
      <c r="T3148" s="11" t="str">
        <f>'data on outstanding creditors'!$C3148&amp;" "&amp;'data on outstanding creditors'!$D3148&amp;" "&amp;TEXT('data on outstanding creditors'!$E3148,"#,##0.00")</f>
        <v>บ.ซีทีเอ็ม โกลเบิล IV8080884 5,720.00</v>
      </c>
      <c r="U3148" s="12"/>
    </row>
    <row r="3149" ht="13.5" customHeight="1">
      <c r="A3149" s="1" t="s">
        <v>4919</v>
      </c>
      <c r="B3149" s="2">
        <v>45909.0</v>
      </c>
      <c r="C3149" s="9" t="s">
        <v>399</v>
      </c>
      <c r="D3149" s="1" t="s">
        <v>4920</v>
      </c>
      <c r="E3149" s="4">
        <v>12267.55</v>
      </c>
      <c r="F3149" s="4"/>
      <c r="G3149" s="4"/>
      <c r="H3149" s="4">
        <f>'data on outstanding creditors'!$E3149-'data on outstanding creditors'!$F3149-'data on outstanding creditors'!$G3149</f>
        <v>12267.55</v>
      </c>
      <c r="I3149" s="2"/>
      <c r="J3149" s="1"/>
      <c r="K3149" s="2"/>
      <c r="L3149" s="5"/>
      <c r="M3149" s="9" t="s">
        <v>347</v>
      </c>
      <c r="N3149" s="9" t="s">
        <v>49</v>
      </c>
      <c r="O3149" s="10">
        <f>'data on outstanding creditors'!$E3149*100/107</f>
        <v>11465</v>
      </c>
      <c r="P3149" s="10">
        <f>'data on outstanding creditors'!$E3149-'data on outstanding creditors'!$O3149</f>
        <v>802.55</v>
      </c>
      <c r="Q3149" s="7">
        <f>DAY('data on outstanding creditors'!$B3149)</f>
        <v>9</v>
      </c>
      <c r="R3149" s="7">
        <f>MONTH('data on outstanding creditors'!$B3149)</f>
        <v>9</v>
      </c>
      <c r="S3149" s="7">
        <f>YEAR('data on outstanding creditors'!$B3149)</f>
        <v>2025</v>
      </c>
      <c r="T3149" s="11" t="str">
        <f>'data on outstanding creditors'!$C3149&amp;" "&amp;'data on outstanding creditors'!$D3149&amp;" "&amp;TEXT('data on outstanding creditors'!$E3149,"#,##0.00")</f>
        <v>บ.ดีเคเอสเอช(ประเทศไทย) 5344150462 12,267.55</v>
      </c>
      <c r="U3149" s="12"/>
    </row>
    <row r="3150" ht="13.5" customHeight="1">
      <c r="A3150" s="1" t="s">
        <v>4921</v>
      </c>
      <c r="B3150" s="2">
        <v>45909.0</v>
      </c>
      <c r="C3150" s="9" t="s">
        <v>399</v>
      </c>
      <c r="D3150" s="1" t="s">
        <v>4922</v>
      </c>
      <c r="E3150" s="4">
        <v>4280.0</v>
      </c>
      <c r="F3150" s="4"/>
      <c r="G3150" s="4"/>
      <c r="H3150" s="4">
        <f>'data on outstanding creditors'!$E3150-'data on outstanding creditors'!$F3150-'data on outstanding creditors'!$G3150</f>
        <v>4280</v>
      </c>
      <c r="I3150" s="2"/>
      <c r="J3150" s="1"/>
      <c r="K3150" s="2"/>
      <c r="L3150" s="5"/>
      <c r="M3150" s="9" t="s">
        <v>347</v>
      </c>
      <c r="N3150" s="9" t="s">
        <v>49</v>
      </c>
      <c r="O3150" s="10">
        <f>'data on outstanding creditors'!$E3150*100/107</f>
        <v>4000</v>
      </c>
      <c r="P3150" s="10">
        <f>'data on outstanding creditors'!$E3150-'data on outstanding creditors'!$O3150</f>
        <v>280</v>
      </c>
      <c r="Q3150" s="7">
        <f>DAY('data on outstanding creditors'!$B3150)</f>
        <v>9</v>
      </c>
      <c r="R3150" s="7">
        <f>MONTH('data on outstanding creditors'!$B3150)</f>
        <v>9</v>
      </c>
      <c r="S3150" s="7">
        <f>YEAR('data on outstanding creditors'!$B3150)</f>
        <v>2025</v>
      </c>
      <c r="T3150" s="11" t="str">
        <f>'data on outstanding creditors'!$C3150&amp;" "&amp;'data on outstanding creditors'!$D3150&amp;" "&amp;TEXT('data on outstanding creditors'!$E3150,"#,##0.00")</f>
        <v>บ.ดีเคเอสเอช(ประเทศไทย) 5344150989 4,280.00</v>
      </c>
      <c r="U3150" s="12"/>
    </row>
    <row r="3151" ht="13.5" customHeight="1">
      <c r="A3151" s="1" t="s">
        <v>4923</v>
      </c>
      <c r="B3151" s="2">
        <v>45909.0</v>
      </c>
      <c r="C3151" s="9" t="s">
        <v>4829</v>
      </c>
      <c r="D3151" s="1" t="s">
        <v>4924</v>
      </c>
      <c r="E3151" s="4">
        <v>92815.0</v>
      </c>
      <c r="F3151" s="4"/>
      <c r="G3151" s="4"/>
      <c r="H3151" s="4">
        <f>'data on outstanding creditors'!$E3151-'data on outstanding creditors'!$F3151-'data on outstanding creditors'!$G3151</f>
        <v>92815</v>
      </c>
      <c r="I3151" s="2"/>
      <c r="J3151" s="1"/>
      <c r="K3151" s="2"/>
      <c r="L3151" s="5"/>
      <c r="M3151" s="9" t="s">
        <v>347</v>
      </c>
      <c r="N3151" s="9" t="s">
        <v>49</v>
      </c>
      <c r="O3151" s="10">
        <f>'data on outstanding creditors'!$E3151*100/107</f>
        <v>86742.99065</v>
      </c>
      <c r="P3151" s="10">
        <f>'data on outstanding creditors'!$E3151-'data on outstanding creditors'!$O3151</f>
        <v>6072.009346</v>
      </c>
      <c r="Q3151" s="7">
        <f>DAY('data on outstanding creditors'!$B3151)</f>
        <v>9</v>
      </c>
      <c r="R3151" s="7">
        <f>MONTH('data on outstanding creditors'!$B3151)</f>
        <v>9</v>
      </c>
      <c r="S3151" s="7">
        <f>YEAR('data on outstanding creditors'!$B3151)</f>
        <v>2025</v>
      </c>
      <c r="T3151" s="11" t="str">
        <f>'data on outstanding creditors'!$C3151&amp;" "&amp;'data on outstanding creditors'!$D3151&amp;" "&amp;TEXT('data on outstanding creditors'!$E3151,"#,##0.00")</f>
        <v>บ.เอส.ดี.ทันตเวช(1988) A2508-0984 92,815.00</v>
      </c>
      <c r="U3151" s="12"/>
    </row>
    <row r="3152" ht="13.5" customHeight="1">
      <c r="A3152" s="1" t="s">
        <v>4925</v>
      </c>
      <c r="B3152" s="2">
        <v>45909.0</v>
      </c>
      <c r="C3152" s="9" t="s">
        <v>4797</v>
      </c>
      <c r="D3152" s="1" t="s">
        <v>4926</v>
      </c>
      <c r="E3152" s="4">
        <v>3500.0</v>
      </c>
      <c r="F3152" s="4"/>
      <c r="G3152" s="4"/>
      <c r="H3152" s="4">
        <f>'data on outstanding creditors'!$E3152-'data on outstanding creditors'!$F3152-'data on outstanding creditors'!$G3152</f>
        <v>3500</v>
      </c>
      <c r="I3152" s="2"/>
      <c r="J3152" s="1"/>
      <c r="K3152" s="2"/>
      <c r="L3152" s="5"/>
      <c r="M3152" s="9" t="s">
        <v>347</v>
      </c>
      <c r="N3152" s="9" t="s">
        <v>49</v>
      </c>
      <c r="O3152" s="10">
        <f>'data on outstanding creditors'!$E3152*100/107</f>
        <v>3271.028037</v>
      </c>
      <c r="P3152" s="10">
        <f>'data on outstanding creditors'!$E3152-'data on outstanding creditors'!$O3152</f>
        <v>228.9719626</v>
      </c>
      <c r="Q3152" s="7">
        <f>DAY('data on outstanding creditors'!$B3152)</f>
        <v>9</v>
      </c>
      <c r="R3152" s="7">
        <f>MONTH('data on outstanding creditors'!$B3152)</f>
        <v>9</v>
      </c>
      <c r="S3152" s="7">
        <f>YEAR('data on outstanding creditors'!$B3152)</f>
        <v>2025</v>
      </c>
      <c r="T3152" s="11" t="str">
        <f>'data on outstanding creditors'!$C3152&amp;" "&amp;'data on outstanding creditors'!$D3152&amp;" "&amp;TEXT('data on outstanding creditors'!$E3152,"#,##0.00")</f>
        <v>บ.ยูนิตี้ เด็นตัล IS6803145 3,500.00</v>
      </c>
      <c r="U3152" s="12"/>
    </row>
    <row r="3153" ht="13.5" customHeight="1">
      <c r="A3153" s="1" t="s">
        <v>4927</v>
      </c>
      <c r="B3153" s="2">
        <v>45909.0</v>
      </c>
      <c r="C3153" s="9" t="s">
        <v>4823</v>
      </c>
      <c r="D3153" s="1" t="s">
        <v>4928</v>
      </c>
      <c r="E3153" s="4">
        <v>8640.0</v>
      </c>
      <c r="F3153" s="4"/>
      <c r="G3153" s="4"/>
      <c r="H3153" s="4">
        <f>'data on outstanding creditors'!$E3153-'data on outstanding creditors'!$F3153-'data on outstanding creditors'!$G3153</f>
        <v>8640</v>
      </c>
      <c r="I3153" s="2"/>
      <c r="J3153" s="1"/>
      <c r="K3153" s="2"/>
      <c r="L3153" s="5"/>
      <c r="M3153" s="9" t="s">
        <v>347</v>
      </c>
      <c r="N3153" s="9" t="s">
        <v>49</v>
      </c>
      <c r="O3153" s="10">
        <f>'data on outstanding creditors'!$E3153*100/107</f>
        <v>8074.766355</v>
      </c>
      <c r="P3153" s="10">
        <f>'data on outstanding creditors'!$E3153-'data on outstanding creditors'!$O3153</f>
        <v>565.2336449</v>
      </c>
      <c r="Q3153" s="7">
        <f>DAY('data on outstanding creditors'!$B3153)</f>
        <v>9</v>
      </c>
      <c r="R3153" s="7">
        <f>MONTH('data on outstanding creditors'!$B3153)</f>
        <v>9</v>
      </c>
      <c r="S3153" s="7">
        <f>YEAR('data on outstanding creditors'!$B3153)</f>
        <v>2025</v>
      </c>
      <c r="T3153" s="11" t="str">
        <f>'data on outstanding creditors'!$C3153&amp;" "&amp;'data on outstanding creditors'!$D3153&amp;" "&amp;TEXT('data on outstanding creditors'!$E3153,"#,##0.00")</f>
        <v>บ.ไดรว์ เด็นทั่ล อินคอร์ปอเรชั่น IN-2085114 8,640.00</v>
      </c>
      <c r="U3153" s="12"/>
    </row>
    <row r="3154" ht="13.5" customHeight="1">
      <c r="A3154" s="1" t="s">
        <v>4929</v>
      </c>
      <c r="B3154" s="2">
        <v>45909.0</v>
      </c>
      <c r="C3154" s="9" t="s">
        <v>4804</v>
      </c>
      <c r="D3154" s="1" t="s">
        <v>4930</v>
      </c>
      <c r="E3154" s="4">
        <v>12600.0</v>
      </c>
      <c r="F3154" s="4"/>
      <c r="G3154" s="4"/>
      <c r="H3154" s="4">
        <f>'data on outstanding creditors'!$E3154-'data on outstanding creditors'!$F3154-'data on outstanding creditors'!$G3154</f>
        <v>12600</v>
      </c>
      <c r="I3154" s="2"/>
      <c r="J3154" s="1"/>
      <c r="K3154" s="2"/>
      <c r="L3154" s="5"/>
      <c r="M3154" s="9" t="s">
        <v>347</v>
      </c>
      <c r="N3154" s="9" t="s">
        <v>49</v>
      </c>
      <c r="O3154" s="10">
        <f>'data on outstanding creditors'!$E3154*100/107</f>
        <v>11775.70093</v>
      </c>
      <c r="P3154" s="10">
        <f>'data on outstanding creditors'!$E3154-'data on outstanding creditors'!$O3154</f>
        <v>824.2990654</v>
      </c>
      <c r="Q3154" s="7">
        <f>DAY('data on outstanding creditors'!$B3154)</f>
        <v>9</v>
      </c>
      <c r="R3154" s="7">
        <f>MONTH('data on outstanding creditors'!$B3154)</f>
        <v>9</v>
      </c>
      <c r="S3154" s="7">
        <f>YEAR('data on outstanding creditors'!$B3154)</f>
        <v>2025</v>
      </c>
      <c r="T3154" s="11" t="str">
        <f>'data on outstanding creditors'!$C3154&amp;" "&amp;'data on outstanding creditors'!$D3154&amp;" "&amp;TEXT('data on outstanding creditors'!$E3154,"#,##0.00")</f>
        <v>บ.นูโวเด้นท์ IV6808323 12,600.00</v>
      </c>
      <c r="U3154" s="12"/>
    </row>
    <row r="3155" ht="13.5" customHeight="1">
      <c r="A3155" s="1" t="s">
        <v>4931</v>
      </c>
      <c r="B3155" s="2">
        <v>45909.0</v>
      </c>
      <c r="C3155" s="9" t="s">
        <v>399</v>
      </c>
      <c r="D3155" s="1" t="s">
        <v>4932</v>
      </c>
      <c r="E3155" s="4">
        <v>7222.5</v>
      </c>
      <c r="F3155" s="4"/>
      <c r="G3155" s="4"/>
      <c r="H3155" s="4">
        <f>'data on outstanding creditors'!$E3155-'data on outstanding creditors'!$F3155-'data on outstanding creditors'!$G3155</f>
        <v>7222.5</v>
      </c>
      <c r="I3155" s="2"/>
      <c r="J3155" s="1"/>
      <c r="K3155" s="2"/>
      <c r="L3155" s="5"/>
      <c r="M3155" s="9" t="s">
        <v>347</v>
      </c>
      <c r="N3155" s="9" t="s">
        <v>49</v>
      </c>
      <c r="O3155" s="10">
        <f>'data on outstanding creditors'!$E3155*100/107</f>
        <v>6750</v>
      </c>
      <c r="P3155" s="10">
        <f>'data on outstanding creditors'!$E3155-'data on outstanding creditors'!$O3155</f>
        <v>472.5</v>
      </c>
      <c r="Q3155" s="7">
        <f>DAY('data on outstanding creditors'!$B3155)</f>
        <v>9</v>
      </c>
      <c r="R3155" s="7">
        <f>MONTH('data on outstanding creditors'!$B3155)</f>
        <v>9</v>
      </c>
      <c r="S3155" s="7">
        <f>YEAR('data on outstanding creditors'!$B3155)</f>
        <v>2025</v>
      </c>
      <c r="T3155" s="11" t="str">
        <f>'data on outstanding creditors'!$C3155&amp;" "&amp;'data on outstanding creditors'!$D3155&amp;" "&amp;TEXT('data on outstanding creditors'!$E3155,"#,##0.00")</f>
        <v>บ.ดีเคเอสเอช(ประเทศไทย) 5344137936 7,222.50</v>
      </c>
      <c r="U3155" s="12"/>
    </row>
    <row r="3156" ht="13.5" customHeight="1">
      <c r="A3156" s="1" t="s">
        <v>4933</v>
      </c>
      <c r="B3156" s="2">
        <v>45909.0</v>
      </c>
      <c r="C3156" s="9" t="s">
        <v>4890</v>
      </c>
      <c r="D3156" s="1" t="s">
        <v>4934</v>
      </c>
      <c r="E3156" s="4">
        <v>3000.0</v>
      </c>
      <c r="F3156" s="4"/>
      <c r="G3156" s="4"/>
      <c r="H3156" s="4">
        <f>'data on outstanding creditors'!$E3156-'data on outstanding creditors'!$F3156-'data on outstanding creditors'!$G3156</f>
        <v>3000</v>
      </c>
      <c r="I3156" s="2"/>
      <c r="J3156" s="1"/>
      <c r="K3156" s="2"/>
      <c r="L3156" s="5"/>
      <c r="M3156" s="9" t="s">
        <v>347</v>
      </c>
      <c r="N3156" s="9" t="s">
        <v>49</v>
      </c>
      <c r="O3156" s="10">
        <f>'data on outstanding creditors'!$E3156*100/107</f>
        <v>2803.738318</v>
      </c>
      <c r="P3156" s="10">
        <f>'data on outstanding creditors'!$E3156-'data on outstanding creditors'!$O3156</f>
        <v>196.2616822</v>
      </c>
      <c r="Q3156" s="7">
        <f>DAY('data on outstanding creditors'!$B3156)</f>
        <v>9</v>
      </c>
      <c r="R3156" s="7">
        <f>MONTH('data on outstanding creditors'!$B3156)</f>
        <v>9</v>
      </c>
      <c r="S3156" s="7">
        <f>YEAR('data on outstanding creditors'!$B3156)</f>
        <v>2025</v>
      </c>
      <c r="T3156" s="11" t="str">
        <f>'data on outstanding creditors'!$C3156&amp;" "&amp;'data on outstanding creditors'!$D3156&amp;" "&amp;TEXT('data on outstanding creditors'!$E3156,"#,##0.00")</f>
        <v>บ.พร้อมท์ เดนทัล แอนด์ เมดิคอล ซัพพลาย IV2025080088 3,000.00</v>
      </c>
      <c r="U3156" s="12"/>
    </row>
    <row r="3157" ht="13.5" customHeight="1">
      <c r="A3157" s="1" t="s">
        <v>4935</v>
      </c>
      <c r="B3157" s="2">
        <v>45909.0</v>
      </c>
      <c r="C3157" s="9" t="s">
        <v>4834</v>
      </c>
      <c r="D3157" s="1" t="s">
        <v>4936</v>
      </c>
      <c r="E3157" s="4">
        <v>5600.0</v>
      </c>
      <c r="F3157" s="4"/>
      <c r="G3157" s="4"/>
      <c r="H3157" s="4">
        <f>'data on outstanding creditors'!$E3157-'data on outstanding creditors'!$F3157-'data on outstanding creditors'!$G3157</f>
        <v>5600</v>
      </c>
      <c r="I3157" s="2"/>
      <c r="J3157" s="1"/>
      <c r="K3157" s="2"/>
      <c r="L3157" s="5"/>
      <c r="M3157" s="9" t="s">
        <v>347</v>
      </c>
      <c r="N3157" s="9" t="s">
        <v>49</v>
      </c>
      <c r="O3157" s="10">
        <f>'data on outstanding creditors'!$E3157*100/107</f>
        <v>5233.64486</v>
      </c>
      <c r="P3157" s="10">
        <f>'data on outstanding creditors'!$E3157-'data on outstanding creditors'!$O3157</f>
        <v>366.3551402</v>
      </c>
      <c r="Q3157" s="7">
        <f>DAY('data on outstanding creditors'!$B3157)</f>
        <v>9</v>
      </c>
      <c r="R3157" s="7">
        <f>MONTH('data on outstanding creditors'!$B3157)</f>
        <v>9</v>
      </c>
      <c r="S3157" s="7">
        <f>YEAR('data on outstanding creditors'!$B3157)</f>
        <v>2025</v>
      </c>
      <c r="T3157" s="11" t="str">
        <f>'data on outstanding creditors'!$C3157&amp;" "&amp;'data on outstanding creditors'!$D3157&amp;" "&amp;TEXT('data on outstanding creditors'!$E3157,"#,##0.00")</f>
        <v>บ.ซีทีเอ็ม โกลเบิล IV68080690 5,600.00</v>
      </c>
      <c r="U3157" s="12"/>
    </row>
    <row r="3158" ht="13.5" customHeight="1">
      <c r="A3158" s="1" t="s">
        <v>4937</v>
      </c>
      <c r="B3158" s="2">
        <v>45909.0</v>
      </c>
      <c r="C3158" s="9" t="s">
        <v>4788</v>
      </c>
      <c r="D3158" s="1" t="s">
        <v>4938</v>
      </c>
      <c r="E3158" s="4">
        <v>14100.0</v>
      </c>
      <c r="F3158" s="4"/>
      <c r="G3158" s="4"/>
      <c r="H3158" s="4">
        <f>'data on outstanding creditors'!$E3158-'data on outstanding creditors'!$F3158-'data on outstanding creditors'!$G3158</f>
        <v>14100</v>
      </c>
      <c r="I3158" s="2"/>
      <c r="J3158" s="1"/>
      <c r="K3158" s="2"/>
      <c r="L3158" s="5"/>
      <c r="M3158" s="9" t="s">
        <v>347</v>
      </c>
      <c r="N3158" s="9" t="s">
        <v>49</v>
      </c>
      <c r="O3158" s="10">
        <f>'data on outstanding creditors'!$E3158*100/107</f>
        <v>13177.57009</v>
      </c>
      <c r="P3158" s="10">
        <f>'data on outstanding creditors'!$E3158-'data on outstanding creditors'!$O3158</f>
        <v>922.4299065</v>
      </c>
      <c r="Q3158" s="7">
        <f>DAY('data on outstanding creditors'!$B3158)</f>
        <v>9</v>
      </c>
      <c r="R3158" s="7">
        <f>MONTH('data on outstanding creditors'!$B3158)</f>
        <v>9</v>
      </c>
      <c r="S3158" s="7">
        <f>YEAR('data on outstanding creditors'!$B3158)</f>
        <v>2025</v>
      </c>
      <c r="T3158" s="11" t="str">
        <f>'data on outstanding creditors'!$C3158&amp;" "&amp;'data on outstanding creditors'!$D3158&amp;" "&amp;TEXT('data on outstanding creditors'!$E3158,"#,##0.00")</f>
        <v>บ.วี อาร์ พี เด้นท์ 148090021 14,100.00</v>
      </c>
      <c r="U3158" s="12"/>
    </row>
    <row r="3159" ht="13.5" customHeight="1">
      <c r="A3159" s="1" t="s">
        <v>4939</v>
      </c>
      <c r="B3159" s="2">
        <v>45909.0</v>
      </c>
      <c r="C3159" s="9" t="s">
        <v>345</v>
      </c>
      <c r="D3159" s="1" t="s">
        <v>4940</v>
      </c>
      <c r="E3159" s="4">
        <v>30800.0</v>
      </c>
      <c r="F3159" s="4"/>
      <c r="G3159" s="4"/>
      <c r="H3159" s="4">
        <f>'data on outstanding creditors'!$E3159-'data on outstanding creditors'!$F3159-'data on outstanding creditors'!$G3159</f>
        <v>30800</v>
      </c>
      <c r="I3159" s="2"/>
      <c r="J3159" s="1"/>
      <c r="K3159" s="2"/>
      <c r="L3159" s="5"/>
      <c r="M3159" s="9" t="s">
        <v>347</v>
      </c>
      <c r="N3159" s="9" t="s">
        <v>49</v>
      </c>
      <c r="O3159" s="10">
        <f>'data on outstanding creditors'!$E3159*100/107</f>
        <v>28785.04673</v>
      </c>
      <c r="P3159" s="10">
        <f>'data on outstanding creditors'!$E3159-'data on outstanding creditors'!$O3159</f>
        <v>2014.953271</v>
      </c>
      <c r="Q3159" s="7">
        <f>DAY('data on outstanding creditors'!$B3159)</f>
        <v>9</v>
      </c>
      <c r="R3159" s="7">
        <f>MONTH('data on outstanding creditors'!$B3159)</f>
        <v>9</v>
      </c>
      <c r="S3159" s="7">
        <f>YEAR('data on outstanding creditors'!$B3159)</f>
        <v>2025</v>
      </c>
      <c r="T3159" s="11" t="str">
        <f>'data on outstanding creditors'!$C3159&amp;" "&amp;'data on outstanding creditors'!$D3159&amp;" "&amp;TEXT('data on outstanding creditors'!$E3159,"#,##0.00")</f>
        <v>บ.แอคคอร์ด คอร์ปอเรชั่น IV25080101123 30,800.00</v>
      </c>
      <c r="U3159" s="12"/>
    </row>
    <row r="3160" ht="13.5" customHeight="1">
      <c r="A3160" s="1" t="s">
        <v>4941</v>
      </c>
      <c r="B3160" s="2">
        <v>45909.0</v>
      </c>
      <c r="C3160" s="9" t="s">
        <v>399</v>
      </c>
      <c r="D3160" s="1" t="s">
        <v>4942</v>
      </c>
      <c r="E3160" s="4">
        <v>5136.0</v>
      </c>
      <c r="F3160" s="4"/>
      <c r="G3160" s="4"/>
      <c r="H3160" s="4">
        <f>'data on outstanding creditors'!$E3160-'data on outstanding creditors'!$F3160-'data on outstanding creditors'!$G3160</f>
        <v>5136</v>
      </c>
      <c r="I3160" s="2"/>
      <c r="J3160" s="1"/>
      <c r="K3160" s="2"/>
      <c r="L3160" s="5"/>
      <c r="M3160" s="9" t="s">
        <v>347</v>
      </c>
      <c r="N3160" s="9" t="s">
        <v>49</v>
      </c>
      <c r="O3160" s="10">
        <f>'data on outstanding creditors'!$E3160*100/107</f>
        <v>4800</v>
      </c>
      <c r="P3160" s="10">
        <f>'data on outstanding creditors'!$E3160-'data on outstanding creditors'!$O3160</f>
        <v>336</v>
      </c>
      <c r="Q3160" s="7">
        <f>DAY('data on outstanding creditors'!$B3160)</f>
        <v>9</v>
      </c>
      <c r="R3160" s="7">
        <f>MONTH('data on outstanding creditors'!$B3160)</f>
        <v>9</v>
      </c>
      <c r="S3160" s="7">
        <f>YEAR('data on outstanding creditors'!$B3160)</f>
        <v>2025</v>
      </c>
      <c r="T3160" s="11" t="str">
        <f>'data on outstanding creditors'!$C3160&amp;" "&amp;'data on outstanding creditors'!$D3160&amp;" "&amp;TEXT('data on outstanding creditors'!$E3160,"#,##0.00")</f>
        <v>บ.ดีเคเอสเอช(ประเทศไทย) 5344072886 5,136.00</v>
      </c>
      <c r="U3160" s="12"/>
    </row>
    <row r="3161" ht="13.5" customHeight="1">
      <c r="A3161" s="1" t="s">
        <v>4943</v>
      </c>
      <c r="B3161" s="2">
        <v>45909.0</v>
      </c>
      <c r="C3161" s="9" t="s">
        <v>399</v>
      </c>
      <c r="D3161" s="1" t="s">
        <v>4944</v>
      </c>
      <c r="E3161" s="4">
        <v>11957.25</v>
      </c>
      <c r="F3161" s="4"/>
      <c r="G3161" s="4"/>
      <c r="H3161" s="4">
        <f>'data on outstanding creditors'!$E3161-'data on outstanding creditors'!$F3161-'data on outstanding creditors'!$G3161</f>
        <v>11957.25</v>
      </c>
      <c r="I3161" s="2"/>
      <c r="J3161" s="1"/>
      <c r="K3161" s="2"/>
      <c r="L3161" s="5"/>
      <c r="M3161" s="9" t="s">
        <v>347</v>
      </c>
      <c r="N3161" s="9" t="s">
        <v>49</v>
      </c>
      <c r="O3161" s="10">
        <f>'data on outstanding creditors'!$E3161*100/107</f>
        <v>11175</v>
      </c>
      <c r="P3161" s="10">
        <f>'data on outstanding creditors'!$E3161-'data on outstanding creditors'!$O3161</f>
        <v>782.25</v>
      </c>
      <c r="Q3161" s="7">
        <f>DAY('data on outstanding creditors'!$B3161)</f>
        <v>9</v>
      </c>
      <c r="R3161" s="7">
        <f>MONTH('data on outstanding creditors'!$B3161)</f>
        <v>9</v>
      </c>
      <c r="S3161" s="7">
        <f>YEAR('data on outstanding creditors'!$B3161)</f>
        <v>2025</v>
      </c>
      <c r="T3161" s="11" t="str">
        <f>'data on outstanding creditors'!$C3161&amp;" "&amp;'data on outstanding creditors'!$D3161&amp;" "&amp;TEXT('data on outstanding creditors'!$E3161,"#,##0.00")</f>
        <v>บ.ดีเคเอสเอช(ประเทศไทย) 5344155603 11,957.25</v>
      </c>
      <c r="U3161" s="12"/>
    </row>
    <row r="3162" ht="13.5" customHeight="1">
      <c r="A3162" s="1" t="s">
        <v>4945</v>
      </c>
      <c r="B3162" s="2">
        <v>45909.0</v>
      </c>
      <c r="C3162" s="9" t="s">
        <v>399</v>
      </c>
      <c r="D3162" s="1" t="s">
        <v>4946</v>
      </c>
      <c r="E3162" s="4">
        <v>39483.0</v>
      </c>
      <c r="F3162" s="4"/>
      <c r="G3162" s="4"/>
      <c r="H3162" s="4">
        <f>'data on outstanding creditors'!$E3162-'data on outstanding creditors'!$F3162-'data on outstanding creditors'!$G3162</f>
        <v>39483</v>
      </c>
      <c r="I3162" s="2"/>
      <c r="J3162" s="1"/>
      <c r="K3162" s="2"/>
      <c r="L3162" s="5"/>
      <c r="M3162" s="9" t="s">
        <v>347</v>
      </c>
      <c r="N3162" s="9" t="s">
        <v>49</v>
      </c>
      <c r="O3162" s="10">
        <f>'data on outstanding creditors'!$E3162*100/107</f>
        <v>36900</v>
      </c>
      <c r="P3162" s="10">
        <f>'data on outstanding creditors'!$E3162-'data on outstanding creditors'!$O3162</f>
        <v>2583</v>
      </c>
      <c r="Q3162" s="7">
        <f>DAY('data on outstanding creditors'!$B3162)</f>
        <v>9</v>
      </c>
      <c r="R3162" s="7">
        <f>MONTH('data on outstanding creditors'!$B3162)</f>
        <v>9</v>
      </c>
      <c r="S3162" s="7">
        <f>YEAR('data on outstanding creditors'!$B3162)</f>
        <v>2025</v>
      </c>
      <c r="T3162" s="11" t="str">
        <f>'data on outstanding creditors'!$C3162&amp;" "&amp;'data on outstanding creditors'!$D3162&amp;" "&amp;TEXT('data on outstanding creditors'!$E3162,"#,##0.00")</f>
        <v>บ.ดีเคเอสเอช(ประเทศไทย) 5344148071 39,483.00</v>
      </c>
      <c r="U3162" s="12"/>
    </row>
    <row r="3163" ht="13.5" customHeight="1">
      <c r="A3163" s="1" t="s">
        <v>4947</v>
      </c>
      <c r="B3163" s="2">
        <v>45909.0</v>
      </c>
      <c r="C3163" s="9" t="s">
        <v>2339</v>
      </c>
      <c r="D3163" s="1" t="s">
        <v>4948</v>
      </c>
      <c r="E3163" s="4">
        <v>740.0</v>
      </c>
      <c r="F3163" s="4"/>
      <c r="G3163" s="4"/>
      <c r="H3163" s="4">
        <f>'data on outstanding creditors'!$E3163-'data on outstanding creditors'!$F3163-'data on outstanding creditors'!$G3163</f>
        <v>740</v>
      </c>
      <c r="I3163" s="2"/>
      <c r="J3163" s="1"/>
      <c r="K3163" s="2"/>
      <c r="L3163" s="5"/>
      <c r="M3163" s="9" t="s">
        <v>347</v>
      </c>
      <c r="N3163" s="9" t="s">
        <v>49</v>
      </c>
      <c r="O3163" s="10">
        <f>'data on outstanding creditors'!$E3163*100/107</f>
        <v>691.588785</v>
      </c>
      <c r="P3163" s="10">
        <f>'data on outstanding creditors'!$E3163-'data on outstanding creditors'!$O3163</f>
        <v>48.41121495</v>
      </c>
      <c r="Q3163" s="7">
        <f>DAY('data on outstanding creditors'!$B3163)</f>
        <v>9</v>
      </c>
      <c r="R3163" s="7">
        <f>MONTH('data on outstanding creditors'!$B3163)</f>
        <v>9</v>
      </c>
      <c r="S3163" s="7">
        <f>YEAR('data on outstanding creditors'!$B3163)</f>
        <v>2025</v>
      </c>
      <c r="T3163" s="11" t="str">
        <f>'data on outstanding creditors'!$C3163&amp;" "&amp;'data on outstanding creditors'!$D3163&amp;" "&amp;TEXT('data on outstanding creditors'!$E3163,"#,##0.00")</f>
        <v>บ.ไอแคร์ เมดิคัล BL68-07/263 740.00</v>
      </c>
      <c r="U3163" s="12"/>
    </row>
    <row r="3164" ht="13.5" customHeight="1">
      <c r="A3164" s="1" t="s">
        <v>4949</v>
      </c>
      <c r="B3164" s="2">
        <v>45909.0</v>
      </c>
      <c r="C3164" s="9" t="s">
        <v>1273</v>
      </c>
      <c r="D3164" s="1" t="s">
        <v>4950</v>
      </c>
      <c r="E3164" s="4">
        <v>52300.0</v>
      </c>
      <c r="F3164" s="4"/>
      <c r="G3164" s="4"/>
      <c r="H3164" s="4">
        <f>'data on outstanding creditors'!$E3164-'data on outstanding creditors'!$F3164-'data on outstanding creditors'!$G3164</f>
        <v>52300</v>
      </c>
      <c r="I3164" s="2"/>
      <c r="J3164" s="1"/>
      <c r="K3164" s="2"/>
      <c r="L3164" s="5"/>
      <c r="M3164" s="9" t="s">
        <v>347</v>
      </c>
      <c r="N3164" s="9" t="s">
        <v>49</v>
      </c>
      <c r="O3164" s="10">
        <f>'data on outstanding creditors'!$E3164*100/107</f>
        <v>48878.50467</v>
      </c>
      <c r="P3164" s="10">
        <f>'data on outstanding creditors'!$E3164-'data on outstanding creditors'!$O3164</f>
        <v>3421.495327</v>
      </c>
      <c r="Q3164" s="7">
        <f>DAY('data on outstanding creditors'!$B3164)</f>
        <v>9</v>
      </c>
      <c r="R3164" s="7">
        <f>MONTH('data on outstanding creditors'!$B3164)</f>
        <v>9</v>
      </c>
      <c r="S3164" s="7">
        <f>YEAR('data on outstanding creditors'!$B3164)</f>
        <v>2025</v>
      </c>
      <c r="T3164" s="11" t="str">
        <f>'data on outstanding creditors'!$C3164&amp;" "&amp;'data on outstanding creditors'!$D3164&amp;" "&amp;TEXT('data on outstanding creditors'!$E3164,"#,##0.00")</f>
        <v>บ.ชูมิตร 1967 IN6806-2698 52,300.00</v>
      </c>
      <c r="U3164" s="12"/>
    </row>
    <row r="3165" ht="13.5" customHeight="1">
      <c r="A3165" s="1" t="s">
        <v>4951</v>
      </c>
      <c r="B3165" s="2">
        <v>45909.0</v>
      </c>
      <c r="C3165" s="9" t="s">
        <v>4829</v>
      </c>
      <c r="D3165" s="1" t="s">
        <v>4952</v>
      </c>
      <c r="E3165" s="4">
        <v>3960.0</v>
      </c>
      <c r="F3165" s="4"/>
      <c r="G3165" s="4"/>
      <c r="H3165" s="4">
        <f>'data on outstanding creditors'!$E3165-'data on outstanding creditors'!$F3165-'data on outstanding creditors'!$G3165</f>
        <v>3960</v>
      </c>
      <c r="I3165" s="2"/>
      <c r="J3165" s="1"/>
      <c r="K3165" s="2"/>
      <c r="L3165" s="5"/>
      <c r="M3165" s="9" t="s">
        <v>347</v>
      </c>
      <c r="N3165" s="9" t="s">
        <v>49</v>
      </c>
      <c r="O3165" s="10">
        <f>'data on outstanding creditors'!$E3165*100/107</f>
        <v>3700.934579</v>
      </c>
      <c r="P3165" s="10">
        <f>'data on outstanding creditors'!$E3165-'data on outstanding creditors'!$O3165</f>
        <v>259.0654206</v>
      </c>
      <c r="Q3165" s="7">
        <f>DAY('data on outstanding creditors'!$B3165)</f>
        <v>9</v>
      </c>
      <c r="R3165" s="7">
        <f>MONTH('data on outstanding creditors'!$B3165)</f>
        <v>9</v>
      </c>
      <c r="S3165" s="7">
        <f>YEAR('data on outstanding creditors'!$B3165)</f>
        <v>2025</v>
      </c>
      <c r="T3165" s="11" t="str">
        <f>'data on outstanding creditors'!$C3165&amp;" "&amp;'data on outstanding creditors'!$D3165&amp;" "&amp;TEXT('data on outstanding creditors'!$E3165,"#,##0.00")</f>
        <v>บ.เอส.ดี.ทันตเวช(1988) A2507-1084 3,960.00</v>
      </c>
      <c r="U3165" s="12"/>
    </row>
    <row r="3166" ht="13.5" customHeight="1">
      <c r="A3166" s="1" t="s">
        <v>4953</v>
      </c>
      <c r="B3166" s="2">
        <v>45909.0</v>
      </c>
      <c r="C3166" s="9" t="s">
        <v>4954</v>
      </c>
      <c r="D3166" s="1" t="s">
        <v>4955</v>
      </c>
      <c r="E3166" s="4">
        <v>10350.0</v>
      </c>
      <c r="F3166" s="4"/>
      <c r="G3166" s="4"/>
      <c r="H3166" s="4">
        <f>'data on outstanding creditors'!$E3166-'data on outstanding creditors'!$F3166-'data on outstanding creditors'!$G3166</f>
        <v>10350</v>
      </c>
      <c r="I3166" s="2"/>
      <c r="J3166" s="1"/>
      <c r="K3166" s="2"/>
      <c r="L3166" s="5"/>
      <c r="M3166" s="9" t="s">
        <v>347</v>
      </c>
      <c r="N3166" s="9" t="s">
        <v>49</v>
      </c>
      <c r="O3166" s="10">
        <f>'data on outstanding creditors'!$E3166*100/107</f>
        <v>9672.897196</v>
      </c>
      <c r="P3166" s="10">
        <f>'data on outstanding creditors'!$E3166-'data on outstanding creditors'!$O3166</f>
        <v>677.1028037</v>
      </c>
      <c r="Q3166" s="7">
        <f>DAY('data on outstanding creditors'!$B3166)</f>
        <v>9</v>
      </c>
      <c r="R3166" s="7">
        <f>MONTH('data on outstanding creditors'!$B3166)</f>
        <v>9</v>
      </c>
      <c r="S3166" s="7">
        <f>YEAR('data on outstanding creditors'!$B3166)</f>
        <v>2025</v>
      </c>
      <c r="T3166" s="11" t="str">
        <f>'data on outstanding creditors'!$C3166&amp;" "&amp;'data on outstanding creditors'!$D3166&amp;" "&amp;TEXT('data on outstanding creditors'!$E3166,"#,##0.00")</f>
        <v>บ.ซีเอสโซลูชั่น 2020 IV-6807004 10,350.00</v>
      </c>
      <c r="U3166" s="12"/>
    </row>
    <row r="3167" ht="13.5" customHeight="1">
      <c r="A3167" s="1" t="s">
        <v>4956</v>
      </c>
      <c r="B3167" s="2">
        <v>45909.0</v>
      </c>
      <c r="C3167" s="9" t="s">
        <v>4809</v>
      </c>
      <c r="D3167" s="1" t="s">
        <v>4957</v>
      </c>
      <c r="E3167" s="4">
        <v>900.0</v>
      </c>
      <c r="F3167" s="4"/>
      <c r="G3167" s="4"/>
      <c r="H3167" s="4">
        <f>'data on outstanding creditors'!$E3167-'data on outstanding creditors'!$F3167-'data on outstanding creditors'!$G3167</f>
        <v>900</v>
      </c>
      <c r="I3167" s="2"/>
      <c r="J3167" s="1"/>
      <c r="K3167" s="2"/>
      <c r="L3167" s="5"/>
      <c r="M3167" s="9" t="s">
        <v>347</v>
      </c>
      <c r="N3167" s="9" t="s">
        <v>49</v>
      </c>
      <c r="O3167" s="10">
        <f>'data on outstanding creditors'!$E3167*100/107</f>
        <v>841.1214953</v>
      </c>
      <c r="P3167" s="10">
        <f>'data on outstanding creditors'!$E3167-'data on outstanding creditors'!$O3167</f>
        <v>58.87850467</v>
      </c>
      <c r="Q3167" s="7">
        <f>DAY('data on outstanding creditors'!$B3167)</f>
        <v>9</v>
      </c>
      <c r="R3167" s="7">
        <f>MONTH('data on outstanding creditors'!$B3167)</f>
        <v>9</v>
      </c>
      <c r="S3167" s="7">
        <f>YEAR('data on outstanding creditors'!$B3167)</f>
        <v>2025</v>
      </c>
      <c r="T3167" s="11" t="str">
        <f>'data on outstanding creditors'!$C3167&amp;" "&amp;'data on outstanding creditors'!$D3167&amp;" "&amp;TEXT('data on outstanding creditors'!$E3167,"#,##0.00")</f>
        <v>หจก.เซี่ยงไฮ้ทันตภัณฑ์ BB256806/00622 900.00</v>
      </c>
      <c r="U3167" s="12"/>
    </row>
    <row r="3168" ht="13.5" customHeight="1">
      <c r="A3168" s="1" t="s">
        <v>4958</v>
      </c>
      <c r="B3168" s="2">
        <v>45925.0</v>
      </c>
      <c r="C3168" s="9" t="s">
        <v>4901</v>
      </c>
      <c r="D3168" s="1" t="s">
        <v>4959</v>
      </c>
      <c r="E3168" s="4">
        <v>1400.0</v>
      </c>
      <c r="F3168" s="4"/>
      <c r="G3168" s="4"/>
      <c r="H3168" s="4">
        <f>'data on outstanding creditors'!$E3168-'data on outstanding creditors'!$F3168-'data on outstanding creditors'!$G3168</f>
        <v>1400</v>
      </c>
      <c r="I3168" s="2"/>
      <c r="J3168" s="1"/>
      <c r="K3168" s="2"/>
      <c r="L3168" s="5"/>
      <c r="M3168" s="9" t="s">
        <v>347</v>
      </c>
      <c r="N3168" s="9" t="s">
        <v>49</v>
      </c>
      <c r="O3168" s="10">
        <f>'data on outstanding creditors'!$E3168*100/107</f>
        <v>1308.411215</v>
      </c>
      <c r="P3168" s="10">
        <f>'data on outstanding creditors'!$E3168-'data on outstanding creditors'!$O3168</f>
        <v>91.58878505</v>
      </c>
      <c r="Q3168" s="7">
        <f>DAY('data on outstanding creditors'!$B3168)</f>
        <v>25</v>
      </c>
      <c r="R3168" s="7">
        <f>MONTH('data on outstanding creditors'!$B3168)</f>
        <v>9</v>
      </c>
      <c r="S3168" s="7">
        <f>YEAR('data on outstanding creditors'!$B3168)</f>
        <v>2025</v>
      </c>
      <c r="T3168" s="11" t="str">
        <f>'data on outstanding creditors'!$C3168&amp;" "&amp;'data on outstanding creditors'!$D3168&amp;" "&amp;TEXT('data on outstanding creditors'!$E3168,"#,##0.00")</f>
        <v>บ.โอดอนเท็กซ์ IV6803341 1,400.00</v>
      </c>
      <c r="U3168" s="12"/>
    </row>
    <row r="3169" ht="13.5" customHeight="1">
      <c r="A3169" s="1" t="s">
        <v>4960</v>
      </c>
      <c r="B3169" s="2">
        <v>45925.0</v>
      </c>
      <c r="C3169" s="9" t="s">
        <v>4829</v>
      </c>
      <c r="D3169" s="1" t="s">
        <v>4961</v>
      </c>
      <c r="E3169" s="4">
        <v>13400.0</v>
      </c>
      <c r="F3169" s="4"/>
      <c r="G3169" s="4"/>
      <c r="H3169" s="4">
        <f>'data on outstanding creditors'!$E3169-'data on outstanding creditors'!$F3169-'data on outstanding creditors'!$G3169</f>
        <v>13400</v>
      </c>
      <c r="I3169" s="2"/>
      <c r="J3169" s="1"/>
      <c r="K3169" s="2"/>
      <c r="L3169" s="5"/>
      <c r="M3169" s="9" t="s">
        <v>347</v>
      </c>
      <c r="N3169" s="9" t="s">
        <v>49</v>
      </c>
      <c r="O3169" s="10">
        <f>'data on outstanding creditors'!$E3169*100/107</f>
        <v>12523.36449</v>
      </c>
      <c r="P3169" s="10">
        <f>'data on outstanding creditors'!$E3169-'data on outstanding creditors'!$O3169</f>
        <v>876.635514</v>
      </c>
      <c r="Q3169" s="7">
        <f>DAY('data on outstanding creditors'!$B3169)</f>
        <v>25</v>
      </c>
      <c r="R3169" s="7">
        <f>MONTH('data on outstanding creditors'!$B3169)</f>
        <v>9</v>
      </c>
      <c r="S3169" s="7">
        <f>YEAR('data on outstanding creditors'!$B3169)</f>
        <v>2025</v>
      </c>
      <c r="T3169" s="11" t="str">
        <f>'data on outstanding creditors'!$C3169&amp;" "&amp;'data on outstanding creditors'!$D3169&amp;" "&amp;TEXT('data on outstanding creditors'!$E3169,"#,##0.00")</f>
        <v>บ.เอส.ดี.ทันตเวช(1988) A2509-1097 13,400.00</v>
      </c>
      <c r="U3169" s="12"/>
    </row>
    <row r="3170" ht="13.5" customHeight="1">
      <c r="A3170" s="1" t="s">
        <v>4962</v>
      </c>
      <c r="B3170" s="2">
        <v>45925.0</v>
      </c>
      <c r="C3170" s="9" t="s">
        <v>4815</v>
      </c>
      <c r="D3170" s="1" t="s">
        <v>4963</v>
      </c>
      <c r="E3170" s="4">
        <v>4900.0</v>
      </c>
      <c r="F3170" s="4"/>
      <c r="G3170" s="4"/>
      <c r="H3170" s="4">
        <f>'data on outstanding creditors'!$E3170-'data on outstanding creditors'!$F3170-'data on outstanding creditors'!$G3170</f>
        <v>4900</v>
      </c>
      <c r="I3170" s="2"/>
      <c r="J3170" s="1"/>
      <c r="K3170" s="2"/>
      <c r="L3170" s="5"/>
      <c r="M3170" s="9" t="s">
        <v>347</v>
      </c>
      <c r="N3170" s="9" t="s">
        <v>49</v>
      </c>
      <c r="O3170" s="10">
        <f>'data on outstanding creditors'!$E3170*100/107</f>
        <v>4579.439252</v>
      </c>
      <c r="P3170" s="10">
        <f>'data on outstanding creditors'!$E3170-'data on outstanding creditors'!$O3170</f>
        <v>320.5607477</v>
      </c>
      <c r="Q3170" s="7">
        <f>DAY('data on outstanding creditors'!$B3170)</f>
        <v>25</v>
      </c>
      <c r="R3170" s="7">
        <f>MONTH('data on outstanding creditors'!$B3170)</f>
        <v>9</v>
      </c>
      <c r="S3170" s="7">
        <f>YEAR('data on outstanding creditors'!$B3170)</f>
        <v>2025</v>
      </c>
      <c r="T3170" s="11" t="str">
        <f>'data on outstanding creditors'!$C3170&amp;" "&amp;'data on outstanding creditors'!$D3170&amp;" "&amp;TEXT('data on outstanding creditors'!$E3170,"#,##0.00")</f>
        <v>บ.แอดวานซ์ เมดิคอล คอร์ปอเรชั่น IV6809028 4,900.00</v>
      </c>
      <c r="U3170" s="12"/>
    </row>
    <row r="3171" ht="13.5" customHeight="1">
      <c r="A3171" s="1" t="s">
        <v>4964</v>
      </c>
      <c r="B3171" s="2">
        <v>45925.0</v>
      </c>
      <c r="C3171" s="9" t="s">
        <v>4865</v>
      </c>
      <c r="D3171" s="1" t="s">
        <v>4965</v>
      </c>
      <c r="E3171" s="4">
        <v>13350.0</v>
      </c>
      <c r="F3171" s="4"/>
      <c r="G3171" s="4"/>
      <c r="H3171" s="4">
        <f>'data on outstanding creditors'!$E3171-'data on outstanding creditors'!$F3171-'data on outstanding creditors'!$G3171</f>
        <v>13350</v>
      </c>
      <c r="I3171" s="2"/>
      <c r="J3171" s="1"/>
      <c r="K3171" s="2"/>
      <c r="L3171" s="5"/>
      <c r="M3171" s="9" t="s">
        <v>347</v>
      </c>
      <c r="N3171" s="9" t="s">
        <v>49</v>
      </c>
      <c r="O3171" s="10">
        <f>'data on outstanding creditors'!$E3171*100/107</f>
        <v>12476.63551</v>
      </c>
      <c r="P3171" s="10">
        <f>'data on outstanding creditors'!$E3171-'data on outstanding creditors'!$O3171</f>
        <v>873.364486</v>
      </c>
      <c r="Q3171" s="7">
        <f>DAY('data on outstanding creditors'!$B3171)</f>
        <v>25</v>
      </c>
      <c r="R3171" s="7">
        <f>MONTH('data on outstanding creditors'!$B3171)</f>
        <v>9</v>
      </c>
      <c r="S3171" s="7">
        <f>YEAR('data on outstanding creditors'!$B3171)</f>
        <v>2025</v>
      </c>
      <c r="T3171" s="11" t="str">
        <f>'data on outstanding creditors'!$C3171&amp;" "&amp;'data on outstanding creditors'!$D3171&amp;" "&amp;TEXT('data on outstanding creditors'!$E3171,"#,##0.00")</f>
        <v>บ.เดนทัล วิชั่น (ประเทสไทย) SI2509-00176 13,350.00</v>
      </c>
      <c r="U3171" s="12"/>
    </row>
    <row r="3172" ht="13.5" customHeight="1">
      <c r="A3172" s="1" t="s">
        <v>4966</v>
      </c>
      <c r="B3172" s="2">
        <v>45925.0</v>
      </c>
      <c r="C3172" s="9" t="s">
        <v>4804</v>
      </c>
      <c r="D3172" s="1" t="s">
        <v>3697</v>
      </c>
      <c r="E3172" s="4">
        <v>7200.0</v>
      </c>
      <c r="F3172" s="4"/>
      <c r="G3172" s="4"/>
      <c r="H3172" s="4">
        <f>'data on outstanding creditors'!$E3172-'data on outstanding creditors'!$F3172-'data on outstanding creditors'!$G3172</f>
        <v>7200</v>
      </c>
      <c r="I3172" s="2"/>
      <c r="J3172" s="1"/>
      <c r="K3172" s="2"/>
      <c r="L3172" s="5"/>
      <c r="M3172" s="9" t="s">
        <v>347</v>
      </c>
      <c r="N3172" s="9" t="s">
        <v>49</v>
      </c>
      <c r="O3172" s="10">
        <f>'data on outstanding creditors'!$E3172*100/107</f>
        <v>6728.971963</v>
      </c>
      <c r="P3172" s="10">
        <f>'data on outstanding creditors'!$E3172-'data on outstanding creditors'!$O3172</f>
        <v>471.0280374</v>
      </c>
      <c r="Q3172" s="7">
        <f>DAY('data on outstanding creditors'!$B3172)</f>
        <v>25</v>
      </c>
      <c r="R3172" s="7">
        <f>MONTH('data on outstanding creditors'!$B3172)</f>
        <v>9</v>
      </c>
      <c r="S3172" s="7">
        <f>YEAR('data on outstanding creditors'!$B3172)</f>
        <v>2025</v>
      </c>
      <c r="T3172" s="11" t="str">
        <f>'data on outstanding creditors'!$C3172&amp;" "&amp;'data on outstanding creditors'!$D3172&amp;" "&amp;TEXT('data on outstanding creditors'!$E3172,"#,##0.00")</f>
        <v>บ.นูโวเด้นท์ IV6809590 7,200.00</v>
      </c>
      <c r="U3172" s="12"/>
    </row>
    <row r="3173" ht="13.5" customHeight="1">
      <c r="A3173" s="1" t="s">
        <v>4967</v>
      </c>
      <c r="B3173" s="2">
        <v>45925.0</v>
      </c>
      <c r="C3173" s="9" t="s">
        <v>4809</v>
      </c>
      <c r="D3173" s="1" t="s">
        <v>4968</v>
      </c>
      <c r="E3173" s="4">
        <v>1900.0</v>
      </c>
      <c r="F3173" s="4"/>
      <c r="G3173" s="4"/>
      <c r="H3173" s="4">
        <f>'data on outstanding creditors'!$E3173-'data on outstanding creditors'!$F3173-'data on outstanding creditors'!$G3173</f>
        <v>1900</v>
      </c>
      <c r="I3173" s="2"/>
      <c r="J3173" s="1"/>
      <c r="K3173" s="2"/>
      <c r="L3173" s="5"/>
      <c r="M3173" s="9" t="s">
        <v>347</v>
      </c>
      <c r="N3173" s="9" t="s">
        <v>49</v>
      </c>
      <c r="O3173" s="10">
        <f>'data on outstanding creditors'!$E3173*100/107</f>
        <v>1775.700935</v>
      </c>
      <c r="P3173" s="10">
        <f>'data on outstanding creditors'!$E3173-'data on outstanding creditors'!$O3173</f>
        <v>124.2990654</v>
      </c>
      <c r="Q3173" s="7">
        <f>DAY('data on outstanding creditors'!$B3173)</f>
        <v>25</v>
      </c>
      <c r="R3173" s="7">
        <f>MONTH('data on outstanding creditors'!$B3173)</f>
        <v>9</v>
      </c>
      <c r="S3173" s="7">
        <f>YEAR('data on outstanding creditors'!$B3173)</f>
        <v>2025</v>
      </c>
      <c r="T3173" s="11" t="str">
        <f>'data on outstanding creditors'!$C3173&amp;" "&amp;'data on outstanding creditors'!$D3173&amp;" "&amp;TEXT('data on outstanding creditors'!$E3173,"#,##0.00")</f>
        <v>หจก.เซี่ยงไฮ้ทันตภัณฑ์ BB256808/00975 1,900.00</v>
      </c>
      <c r="U3173" s="12"/>
    </row>
    <row r="3174" ht="13.5" customHeight="1">
      <c r="A3174" s="1" t="s">
        <v>4969</v>
      </c>
      <c r="B3174" s="2">
        <v>45925.0</v>
      </c>
      <c r="C3174" s="9" t="s">
        <v>4815</v>
      </c>
      <c r="D3174" s="1" t="s">
        <v>4970</v>
      </c>
      <c r="E3174" s="4">
        <v>3600.0</v>
      </c>
      <c r="F3174" s="4"/>
      <c r="G3174" s="4"/>
      <c r="H3174" s="4">
        <f>'data on outstanding creditors'!$E3174-'data on outstanding creditors'!$F3174-'data on outstanding creditors'!$G3174</f>
        <v>3600</v>
      </c>
      <c r="I3174" s="2"/>
      <c r="J3174" s="1"/>
      <c r="K3174" s="2"/>
      <c r="L3174" s="5"/>
      <c r="M3174" s="9" t="s">
        <v>347</v>
      </c>
      <c r="N3174" s="9" t="s">
        <v>49</v>
      </c>
      <c r="O3174" s="10">
        <f>'data on outstanding creditors'!$E3174*100/107</f>
        <v>3364.485981</v>
      </c>
      <c r="P3174" s="10">
        <f>'data on outstanding creditors'!$E3174-'data on outstanding creditors'!$O3174</f>
        <v>235.5140187</v>
      </c>
      <c r="Q3174" s="7">
        <f>DAY('data on outstanding creditors'!$B3174)</f>
        <v>25</v>
      </c>
      <c r="R3174" s="7">
        <f>MONTH('data on outstanding creditors'!$B3174)</f>
        <v>9</v>
      </c>
      <c r="S3174" s="7">
        <f>YEAR('data on outstanding creditors'!$B3174)</f>
        <v>2025</v>
      </c>
      <c r="T3174" s="11" t="str">
        <f>'data on outstanding creditors'!$C3174&amp;" "&amp;'data on outstanding creditors'!$D3174&amp;" "&amp;TEXT('data on outstanding creditors'!$E3174,"#,##0.00")</f>
        <v>บ.แอดวานซ์ เมดิคอล คอร์ปอเรชั่น IV6807098 3,600.00</v>
      </c>
      <c r="U3174" s="12"/>
    </row>
    <row r="3175" ht="13.5" customHeight="1">
      <c r="A3175" s="1" t="s">
        <v>4971</v>
      </c>
      <c r="B3175" s="2">
        <v>45925.0</v>
      </c>
      <c r="C3175" s="9" t="s">
        <v>4823</v>
      </c>
      <c r="D3175" s="1" t="s">
        <v>4972</v>
      </c>
      <c r="E3175" s="4">
        <v>1840.0</v>
      </c>
      <c r="F3175" s="4"/>
      <c r="G3175" s="4"/>
      <c r="H3175" s="4">
        <f>'data on outstanding creditors'!$E3175-'data on outstanding creditors'!$F3175-'data on outstanding creditors'!$G3175</f>
        <v>1840</v>
      </c>
      <c r="I3175" s="2"/>
      <c r="J3175" s="1"/>
      <c r="K3175" s="2"/>
      <c r="L3175" s="5"/>
      <c r="M3175" s="9" t="s">
        <v>347</v>
      </c>
      <c r="N3175" s="9" t="s">
        <v>49</v>
      </c>
      <c r="O3175" s="10">
        <f>'data on outstanding creditors'!$E3175*100/107</f>
        <v>1719.626168</v>
      </c>
      <c r="P3175" s="10">
        <f>'data on outstanding creditors'!$E3175-'data on outstanding creditors'!$O3175</f>
        <v>120.3738318</v>
      </c>
      <c r="Q3175" s="7">
        <f>DAY('data on outstanding creditors'!$B3175)</f>
        <v>25</v>
      </c>
      <c r="R3175" s="7">
        <f>MONTH('data on outstanding creditors'!$B3175)</f>
        <v>9</v>
      </c>
      <c r="S3175" s="7">
        <f>YEAR('data on outstanding creditors'!$B3175)</f>
        <v>2025</v>
      </c>
      <c r="T3175" s="11" t="str">
        <f>'data on outstanding creditors'!$C3175&amp;" "&amp;'data on outstanding creditors'!$D3175&amp;" "&amp;TEXT('data on outstanding creditors'!$E3175,"#,##0.00")</f>
        <v>บ.ไดรว์ เด็นทั่ล อินคอร์ปอเรชั่น IN-209370 1,840.00</v>
      </c>
      <c r="U3175" s="12"/>
    </row>
    <row r="3176" ht="13.5" customHeight="1">
      <c r="A3176" s="1" t="s">
        <v>4973</v>
      </c>
      <c r="B3176" s="2">
        <v>45925.0</v>
      </c>
      <c r="C3176" s="9" t="s">
        <v>399</v>
      </c>
      <c r="D3176" s="1" t="s">
        <v>4974</v>
      </c>
      <c r="E3176" s="4">
        <v>10700.0</v>
      </c>
      <c r="F3176" s="4"/>
      <c r="G3176" s="4"/>
      <c r="H3176" s="4">
        <f>'data on outstanding creditors'!$E3176-'data on outstanding creditors'!$F3176-'data on outstanding creditors'!$G3176</f>
        <v>10700</v>
      </c>
      <c r="I3176" s="2"/>
      <c r="J3176" s="1"/>
      <c r="K3176" s="2"/>
      <c r="L3176" s="5"/>
      <c r="M3176" s="9" t="s">
        <v>347</v>
      </c>
      <c r="N3176" s="9" t="s">
        <v>49</v>
      </c>
      <c r="O3176" s="10">
        <f>'data on outstanding creditors'!$E3176*100/107</f>
        <v>10000</v>
      </c>
      <c r="P3176" s="10">
        <f>'data on outstanding creditors'!$E3176-'data on outstanding creditors'!$O3176</f>
        <v>700</v>
      </c>
      <c r="Q3176" s="7">
        <f>DAY('data on outstanding creditors'!$B3176)</f>
        <v>25</v>
      </c>
      <c r="R3176" s="7">
        <f>MONTH('data on outstanding creditors'!$B3176)</f>
        <v>9</v>
      </c>
      <c r="S3176" s="7">
        <f>YEAR('data on outstanding creditors'!$B3176)</f>
        <v>2025</v>
      </c>
      <c r="T3176" s="11" t="str">
        <f>'data on outstanding creditors'!$C3176&amp;" "&amp;'data on outstanding creditors'!$D3176&amp;" "&amp;TEXT('data on outstanding creditors'!$E3176,"#,##0.00")</f>
        <v>บ.ดีเคเอสเอช(ประเทศไทย) 5344227232 10,700.00</v>
      </c>
      <c r="U3176" s="12"/>
    </row>
    <row r="3177" ht="13.5" customHeight="1">
      <c r="A3177" s="1" t="s">
        <v>4975</v>
      </c>
      <c r="B3177" s="2">
        <v>45925.0</v>
      </c>
      <c r="C3177" s="9" t="s">
        <v>1273</v>
      </c>
      <c r="D3177" s="1" t="s">
        <v>4976</v>
      </c>
      <c r="E3177" s="4">
        <v>35500.0</v>
      </c>
      <c r="F3177" s="4"/>
      <c r="G3177" s="4"/>
      <c r="H3177" s="4">
        <f>'data on outstanding creditors'!$E3177-'data on outstanding creditors'!$F3177-'data on outstanding creditors'!$G3177</f>
        <v>35500</v>
      </c>
      <c r="I3177" s="2"/>
      <c r="J3177" s="1"/>
      <c r="K3177" s="2"/>
      <c r="L3177" s="5"/>
      <c r="M3177" s="9" t="s">
        <v>347</v>
      </c>
      <c r="N3177" s="9" t="s">
        <v>49</v>
      </c>
      <c r="O3177" s="10">
        <f>'data on outstanding creditors'!$E3177*100/107</f>
        <v>33177.57009</v>
      </c>
      <c r="P3177" s="10">
        <f>'data on outstanding creditors'!$E3177-'data on outstanding creditors'!$O3177</f>
        <v>2322.429907</v>
      </c>
      <c r="Q3177" s="7">
        <f>DAY('data on outstanding creditors'!$B3177)</f>
        <v>25</v>
      </c>
      <c r="R3177" s="7">
        <f>MONTH('data on outstanding creditors'!$B3177)</f>
        <v>9</v>
      </c>
      <c r="S3177" s="7">
        <f>YEAR('data on outstanding creditors'!$B3177)</f>
        <v>2025</v>
      </c>
      <c r="T3177" s="11" t="str">
        <f>'data on outstanding creditors'!$C3177&amp;" "&amp;'data on outstanding creditors'!$D3177&amp;" "&amp;TEXT('data on outstanding creditors'!$E3177,"#,##0.00")</f>
        <v>บ.ชูมิตร 1967 IN6808-1270 35,500.00</v>
      </c>
      <c r="U3177" s="12"/>
    </row>
    <row r="3178" ht="13.5" customHeight="1">
      <c r="A3178" s="1" t="s">
        <v>4977</v>
      </c>
      <c r="B3178" s="2">
        <v>45925.0</v>
      </c>
      <c r="C3178" s="9" t="s">
        <v>399</v>
      </c>
      <c r="D3178" s="1" t="s">
        <v>4978</v>
      </c>
      <c r="E3178" s="4">
        <v>7062.0</v>
      </c>
      <c r="F3178" s="4"/>
      <c r="G3178" s="4"/>
      <c r="H3178" s="4">
        <f>'data on outstanding creditors'!$E3178-'data on outstanding creditors'!$F3178-'data on outstanding creditors'!$G3178</f>
        <v>7062</v>
      </c>
      <c r="I3178" s="2"/>
      <c r="J3178" s="1"/>
      <c r="K3178" s="2"/>
      <c r="L3178" s="5"/>
      <c r="M3178" s="9" t="s">
        <v>347</v>
      </c>
      <c r="N3178" s="9" t="s">
        <v>49</v>
      </c>
      <c r="O3178" s="10">
        <f>'data on outstanding creditors'!$E3178*100/107</f>
        <v>6600</v>
      </c>
      <c r="P3178" s="10">
        <f>'data on outstanding creditors'!$E3178-'data on outstanding creditors'!$O3178</f>
        <v>462</v>
      </c>
      <c r="Q3178" s="7">
        <f>DAY('data on outstanding creditors'!$B3178)</f>
        <v>25</v>
      </c>
      <c r="R3178" s="7">
        <f>MONTH('data on outstanding creditors'!$B3178)</f>
        <v>9</v>
      </c>
      <c r="S3178" s="7">
        <f>YEAR('data on outstanding creditors'!$B3178)</f>
        <v>2025</v>
      </c>
      <c r="T3178" s="11" t="str">
        <f>'data on outstanding creditors'!$C3178&amp;" "&amp;'data on outstanding creditors'!$D3178&amp;" "&amp;TEXT('data on outstanding creditors'!$E3178,"#,##0.00")</f>
        <v>บ.ดีเคเอสเอช(ประเทศไทย) 5343950130 7,062.00</v>
      </c>
      <c r="U3178" s="12"/>
    </row>
    <row r="3179" ht="13.5" customHeight="1">
      <c r="A3179" s="1" t="s">
        <v>4979</v>
      </c>
      <c r="B3179" s="2">
        <v>45925.0</v>
      </c>
      <c r="C3179" s="9" t="s">
        <v>399</v>
      </c>
      <c r="D3179" s="1" t="s">
        <v>4980</v>
      </c>
      <c r="E3179" s="4">
        <v>75542.0</v>
      </c>
      <c r="F3179" s="4"/>
      <c r="G3179" s="4"/>
      <c r="H3179" s="4">
        <f>'data on outstanding creditors'!$E3179-'data on outstanding creditors'!$F3179-'data on outstanding creditors'!$G3179</f>
        <v>75542</v>
      </c>
      <c r="I3179" s="2"/>
      <c r="J3179" s="1"/>
      <c r="K3179" s="2"/>
      <c r="L3179" s="5"/>
      <c r="M3179" s="9" t="s">
        <v>347</v>
      </c>
      <c r="N3179" s="9" t="s">
        <v>49</v>
      </c>
      <c r="O3179" s="10">
        <f>'data on outstanding creditors'!$E3179*100/107</f>
        <v>70600</v>
      </c>
      <c r="P3179" s="10">
        <f>'data on outstanding creditors'!$E3179-'data on outstanding creditors'!$O3179</f>
        <v>4942</v>
      </c>
      <c r="Q3179" s="7">
        <f>DAY('data on outstanding creditors'!$B3179)</f>
        <v>25</v>
      </c>
      <c r="R3179" s="7">
        <f>MONTH('data on outstanding creditors'!$B3179)</f>
        <v>9</v>
      </c>
      <c r="S3179" s="7">
        <f>YEAR('data on outstanding creditors'!$B3179)</f>
        <v>2025</v>
      </c>
      <c r="T3179" s="11" t="str">
        <f>'data on outstanding creditors'!$C3179&amp;" "&amp;'data on outstanding creditors'!$D3179&amp;" "&amp;TEXT('data on outstanding creditors'!$E3179,"#,##0.00")</f>
        <v>บ.ดีเคเอสเอช(ประเทศไทย) 5344202761 75,542.00</v>
      </c>
      <c r="U3179" s="12"/>
    </row>
    <row r="3180" ht="13.5" customHeight="1">
      <c r="A3180" s="1" t="s">
        <v>4981</v>
      </c>
      <c r="B3180" s="2">
        <v>45925.0</v>
      </c>
      <c r="C3180" s="9" t="s">
        <v>4982</v>
      </c>
      <c r="D3180" s="1" t="s">
        <v>4983</v>
      </c>
      <c r="E3180" s="4">
        <v>5080.0</v>
      </c>
      <c r="F3180" s="4"/>
      <c r="G3180" s="4"/>
      <c r="H3180" s="4">
        <f>'data on outstanding creditors'!$E3180-'data on outstanding creditors'!$F3180-'data on outstanding creditors'!$G3180</f>
        <v>5080</v>
      </c>
      <c r="I3180" s="2"/>
      <c r="J3180" s="1"/>
      <c r="K3180" s="2"/>
      <c r="L3180" s="5"/>
      <c r="M3180" s="9" t="s">
        <v>347</v>
      </c>
      <c r="N3180" s="9" t="s">
        <v>49</v>
      </c>
      <c r="O3180" s="10">
        <f>'data on outstanding creditors'!$E3180*100/107</f>
        <v>4747.663551</v>
      </c>
      <c r="P3180" s="10">
        <f>'data on outstanding creditors'!$E3180-'data on outstanding creditors'!$O3180</f>
        <v>332.3364486</v>
      </c>
      <c r="Q3180" s="7">
        <f>DAY('data on outstanding creditors'!$B3180)</f>
        <v>25</v>
      </c>
      <c r="R3180" s="7">
        <f>MONTH('data on outstanding creditors'!$B3180)</f>
        <v>9</v>
      </c>
      <c r="S3180" s="7">
        <f>YEAR('data on outstanding creditors'!$B3180)</f>
        <v>2025</v>
      </c>
      <c r="T3180" s="11" t="str">
        <f>'data on outstanding creditors'!$C3180&amp;" "&amp;'data on outstanding creditors'!$D3180&amp;" "&amp;TEXT('data on outstanding creditors'!$E3180,"#,##0.00")</f>
        <v>บ.ดี บัดดี้ 2022 INV2025090046 5,080.00</v>
      </c>
      <c r="U3180" s="12"/>
    </row>
    <row r="3181" ht="13.5" customHeight="1">
      <c r="A3181" s="1" t="s">
        <v>4984</v>
      </c>
      <c r="B3181" s="2">
        <v>45925.0</v>
      </c>
      <c r="C3181" s="9" t="s">
        <v>4809</v>
      </c>
      <c r="D3181" s="1" t="s">
        <v>4985</v>
      </c>
      <c r="E3181" s="4">
        <v>11150.0</v>
      </c>
      <c r="F3181" s="4"/>
      <c r="G3181" s="4"/>
      <c r="H3181" s="4">
        <f>'data on outstanding creditors'!$E3181-'data on outstanding creditors'!$F3181-'data on outstanding creditors'!$G3181</f>
        <v>11150</v>
      </c>
      <c r="I3181" s="2"/>
      <c r="J3181" s="1"/>
      <c r="K3181" s="2"/>
      <c r="L3181" s="5"/>
      <c r="M3181" s="9" t="s">
        <v>347</v>
      </c>
      <c r="N3181" s="9" t="s">
        <v>49</v>
      </c>
      <c r="O3181" s="10">
        <f>'data on outstanding creditors'!$E3181*100/107</f>
        <v>10420.56075</v>
      </c>
      <c r="P3181" s="10">
        <f>'data on outstanding creditors'!$E3181-'data on outstanding creditors'!$O3181</f>
        <v>729.4392523</v>
      </c>
      <c r="Q3181" s="7">
        <f>DAY('data on outstanding creditors'!$B3181)</f>
        <v>25</v>
      </c>
      <c r="R3181" s="7">
        <f>MONTH('data on outstanding creditors'!$B3181)</f>
        <v>9</v>
      </c>
      <c r="S3181" s="7">
        <f>YEAR('data on outstanding creditors'!$B3181)</f>
        <v>2025</v>
      </c>
      <c r="T3181" s="11" t="str">
        <f>'data on outstanding creditors'!$C3181&amp;" "&amp;'data on outstanding creditors'!$D3181&amp;" "&amp;TEXT('data on outstanding creditors'!$E3181,"#,##0.00")</f>
        <v>หจก.เซี่ยงไฮ้ทันตภัณฑ์ BB256808/01839 11,150.00</v>
      </c>
      <c r="U3181" s="12"/>
    </row>
    <row r="3182" ht="13.5" customHeight="1">
      <c r="A3182" s="1" t="s">
        <v>4986</v>
      </c>
      <c r="B3182" s="2">
        <v>45925.0</v>
      </c>
      <c r="C3182" s="9" t="s">
        <v>399</v>
      </c>
      <c r="D3182" s="1" t="s">
        <v>4987</v>
      </c>
      <c r="E3182" s="4">
        <v>23026.4</v>
      </c>
      <c r="F3182" s="4"/>
      <c r="G3182" s="4"/>
      <c r="H3182" s="4">
        <f>'data on outstanding creditors'!$E3182-'data on outstanding creditors'!$F3182-'data on outstanding creditors'!$G3182</f>
        <v>23026.4</v>
      </c>
      <c r="I3182" s="2"/>
      <c r="J3182" s="1"/>
      <c r="K3182" s="2"/>
      <c r="L3182" s="5"/>
      <c r="M3182" s="9" t="s">
        <v>347</v>
      </c>
      <c r="N3182" s="9" t="s">
        <v>49</v>
      </c>
      <c r="O3182" s="10">
        <f>'data on outstanding creditors'!$E3182*100/107</f>
        <v>21520</v>
      </c>
      <c r="P3182" s="10">
        <f>'data on outstanding creditors'!$E3182-'data on outstanding creditors'!$O3182</f>
        <v>1506.4</v>
      </c>
      <c r="Q3182" s="7">
        <f>DAY('data on outstanding creditors'!$B3182)</f>
        <v>25</v>
      </c>
      <c r="R3182" s="7">
        <f>MONTH('data on outstanding creditors'!$B3182)</f>
        <v>9</v>
      </c>
      <c r="S3182" s="7">
        <f>YEAR('data on outstanding creditors'!$B3182)</f>
        <v>2025</v>
      </c>
      <c r="T3182" s="11" t="str">
        <f>'data on outstanding creditors'!$C3182&amp;" "&amp;'data on outstanding creditors'!$D3182&amp;" "&amp;TEXT('data on outstanding creditors'!$E3182,"#,##0.00")</f>
        <v>บ.ดีเคเอสเอช(ประเทศไทย) 5344406193 23,026.40</v>
      </c>
      <c r="U3182" s="12"/>
    </row>
    <row r="3183" ht="13.5" customHeight="1">
      <c r="A3183" s="1" t="s">
        <v>4988</v>
      </c>
      <c r="B3183" s="2">
        <v>45925.0</v>
      </c>
      <c r="C3183" s="9" t="s">
        <v>399</v>
      </c>
      <c r="D3183" s="1" t="s">
        <v>4989</v>
      </c>
      <c r="E3183" s="4">
        <v>2675.0</v>
      </c>
      <c r="F3183" s="4"/>
      <c r="G3183" s="4"/>
      <c r="H3183" s="4">
        <f>'data on outstanding creditors'!$E3183-'data on outstanding creditors'!$F3183-'data on outstanding creditors'!$G3183</f>
        <v>2675</v>
      </c>
      <c r="I3183" s="2"/>
      <c r="J3183" s="1"/>
      <c r="K3183" s="2"/>
      <c r="L3183" s="5"/>
      <c r="M3183" s="9" t="s">
        <v>347</v>
      </c>
      <c r="N3183" s="9" t="s">
        <v>49</v>
      </c>
      <c r="O3183" s="10">
        <f>'data on outstanding creditors'!$E3183*100/107</f>
        <v>2500</v>
      </c>
      <c r="P3183" s="10">
        <f>'data on outstanding creditors'!$E3183-'data on outstanding creditors'!$O3183</f>
        <v>175</v>
      </c>
      <c r="Q3183" s="7">
        <f>DAY('data on outstanding creditors'!$B3183)</f>
        <v>25</v>
      </c>
      <c r="R3183" s="7">
        <f>MONTH('data on outstanding creditors'!$B3183)</f>
        <v>9</v>
      </c>
      <c r="S3183" s="7">
        <f>YEAR('data on outstanding creditors'!$B3183)</f>
        <v>2025</v>
      </c>
      <c r="T3183" s="11" t="str">
        <f>'data on outstanding creditors'!$C3183&amp;" "&amp;'data on outstanding creditors'!$D3183&amp;" "&amp;TEXT('data on outstanding creditors'!$E3183,"#,##0.00")</f>
        <v>บ.ดีเคเอสเอช(ประเทศไทย) 5344399643 2,675.00</v>
      </c>
      <c r="U3183" s="12"/>
    </row>
    <row r="3184" ht="13.5" customHeight="1">
      <c r="A3184" s="1" t="s">
        <v>4990</v>
      </c>
      <c r="B3184" s="2">
        <v>45925.0</v>
      </c>
      <c r="C3184" s="9" t="s">
        <v>399</v>
      </c>
      <c r="D3184" s="1" t="s">
        <v>4991</v>
      </c>
      <c r="E3184" s="4">
        <v>4314.24</v>
      </c>
      <c r="F3184" s="4"/>
      <c r="G3184" s="4"/>
      <c r="H3184" s="4">
        <f>'data on outstanding creditors'!$E3184-'data on outstanding creditors'!$F3184-'data on outstanding creditors'!$G3184</f>
        <v>4314.24</v>
      </c>
      <c r="I3184" s="2"/>
      <c r="J3184" s="1"/>
      <c r="K3184" s="2"/>
      <c r="L3184" s="5"/>
      <c r="M3184" s="9" t="s">
        <v>347</v>
      </c>
      <c r="N3184" s="9" t="s">
        <v>49</v>
      </c>
      <c r="O3184" s="10">
        <f>'data on outstanding creditors'!$E3184*100/107</f>
        <v>4032</v>
      </c>
      <c r="P3184" s="10">
        <f>'data on outstanding creditors'!$E3184-'data on outstanding creditors'!$O3184</f>
        <v>282.24</v>
      </c>
      <c r="Q3184" s="7">
        <f>DAY('data on outstanding creditors'!$B3184)</f>
        <v>25</v>
      </c>
      <c r="R3184" s="7">
        <f>MONTH('data on outstanding creditors'!$B3184)</f>
        <v>9</v>
      </c>
      <c r="S3184" s="7">
        <f>YEAR('data on outstanding creditors'!$B3184)</f>
        <v>2025</v>
      </c>
      <c r="T3184" s="11" t="str">
        <f>'data on outstanding creditors'!$C3184&amp;" "&amp;'data on outstanding creditors'!$D3184&amp;" "&amp;TEXT('data on outstanding creditors'!$E3184,"#,##0.00")</f>
        <v>บ.ดีเคเอสเอช(ประเทศไทย) 5344147072 4,314.24</v>
      </c>
      <c r="U3184" s="12"/>
    </row>
    <row r="3185" ht="13.5" customHeight="1">
      <c r="A3185" s="1" t="s">
        <v>4992</v>
      </c>
      <c r="B3185" s="2">
        <v>45925.0</v>
      </c>
      <c r="C3185" s="9" t="s">
        <v>345</v>
      </c>
      <c r="D3185" s="1" t="s">
        <v>4993</v>
      </c>
      <c r="E3185" s="4">
        <v>3500.0</v>
      </c>
      <c r="F3185" s="4"/>
      <c r="G3185" s="4"/>
      <c r="H3185" s="4">
        <f>'data on outstanding creditors'!$E3185-'data on outstanding creditors'!$F3185-'data on outstanding creditors'!$G3185</f>
        <v>3500</v>
      </c>
      <c r="I3185" s="2"/>
      <c r="J3185" s="1"/>
      <c r="K3185" s="2"/>
      <c r="L3185" s="5"/>
      <c r="M3185" s="9" t="s">
        <v>347</v>
      </c>
      <c r="N3185" s="9" t="s">
        <v>49</v>
      </c>
      <c r="O3185" s="10">
        <f>'data on outstanding creditors'!$E3185*100/107</f>
        <v>3271.028037</v>
      </c>
      <c r="P3185" s="10">
        <f>'data on outstanding creditors'!$E3185-'data on outstanding creditors'!$O3185</f>
        <v>228.9719626</v>
      </c>
      <c r="Q3185" s="7">
        <f>DAY('data on outstanding creditors'!$B3185)</f>
        <v>25</v>
      </c>
      <c r="R3185" s="7">
        <f>MONTH('data on outstanding creditors'!$B3185)</f>
        <v>9</v>
      </c>
      <c r="S3185" s="7">
        <f>YEAR('data on outstanding creditors'!$B3185)</f>
        <v>2025</v>
      </c>
      <c r="T3185" s="11" t="str">
        <f>'data on outstanding creditors'!$C3185&amp;" "&amp;'data on outstanding creditors'!$D3185&amp;" "&amp;TEXT('data on outstanding creditors'!$E3185,"#,##0.00")</f>
        <v>บ.แอคคอร์ด คอร์ปอเรชั่น IV2509102512 3,500.00</v>
      </c>
      <c r="U3185" s="12"/>
    </row>
    <row r="3186" ht="13.5" customHeight="1">
      <c r="A3186" s="1"/>
      <c r="B3186" s="2">
        <v>45637.0</v>
      </c>
      <c r="C3186" s="9" t="s">
        <v>4994</v>
      </c>
      <c r="D3186" s="1" t="s">
        <v>4995</v>
      </c>
      <c r="E3186" s="4">
        <v>180830.0</v>
      </c>
      <c r="F3186" s="4"/>
      <c r="G3186" s="4"/>
      <c r="H3186" s="4">
        <f>'data on outstanding creditors'!$E3186-'data on outstanding creditors'!$F3186-'data on outstanding creditors'!$G3186</f>
        <v>180830</v>
      </c>
      <c r="I3186" s="2"/>
      <c r="J3186" s="1" t="s">
        <v>646</v>
      </c>
      <c r="K3186" s="2">
        <v>45954.0</v>
      </c>
      <c r="L3186" s="5"/>
      <c r="M3186" s="9" t="s">
        <v>170</v>
      </c>
      <c r="N3186" s="9" t="s">
        <v>49</v>
      </c>
      <c r="O3186" s="10">
        <f>'data on outstanding creditors'!$E3186*100/107</f>
        <v>169000</v>
      </c>
      <c r="P3186" s="10">
        <f>'data on outstanding creditors'!$E3186-'data on outstanding creditors'!$O3186</f>
        <v>11830</v>
      </c>
      <c r="Q3186" s="7">
        <f>DAY('data on outstanding creditors'!$B3186)</f>
        <v>11</v>
      </c>
      <c r="R3186" s="7">
        <f>MONTH('data on outstanding creditors'!$B3186)</f>
        <v>12</v>
      </c>
      <c r="S3186" s="7">
        <f>YEAR('data on outstanding creditors'!$B3186)</f>
        <v>2024</v>
      </c>
      <c r="T3186" s="11" t="str">
        <f>'data on outstanding creditors'!$C3186&amp;" "&amp;'data on outstanding creditors'!$D3186&amp;" "&amp;TEXT('data on outstanding creditors'!$E3186,"#,##0.00")</f>
        <v>บ.ลิฟท์ไทยเทค LT-671654 180,830.00</v>
      </c>
      <c r="U3186" s="12"/>
    </row>
    <row r="3187" ht="13.5" customHeight="1">
      <c r="A3187" s="1"/>
      <c r="B3187" s="2">
        <v>45638.0</v>
      </c>
      <c r="C3187" s="9" t="s">
        <v>1186</v>
      </c>
      <c r="D3187" s="1" t="s">
        <v>4996</v>
      </c>
      <c r="E3187" s="4">
        <v>41730.0</v>
      </c>
      <c r="F3187" s="4"/>
      <c r="G3187" s="4"/>
      <c r="H3187" s="4">
        <f>'data on outstanding creditors'!$E3187-'data on outstanding creditors'!$F3187-'data on outstanding creditors'!$G3187</f>
        <v>41730</v>
      </c>
      <c r="I3187" s="2"/>
      <c r="J3187" s="1" t="s">
        <v>646</v>
      </c>
      <c r="K3187" s="2">
        <v>45843.0</v>
      </c>
      <c r="L3187" s="5"/>
      <c r="M3187" s="9" t="s">
        <v>170</v>
      </c>
      <c r="N3187" s="9" t="s">
        <v>49</v>
      </c>
      <c r="O3187" s="10">
        <f>'data on outstanding creditors'!$E3187*100/107</f>
        <v>39000</v>
      </c>
      <c r="P3187" s="10">
        <f>'data on outstanding creditors'!$E3187-'data on outstanding creditors'!$O3187</f>
        <v>2730</v>
      </c>
      <c r="Q3187" s="7">
        <f>DAY('data on outstanding creditors'!$B3187)</f>
        <v>12</v>
      </c>
      <c r="R3187" s="7">
        <f>MONTH('data on outstanding creditors'!$B3187)</f>
        <v>12</v>
      </c>
      <c r="S3187" s="7">
        <f>YEAR('data on outstanding creditors'!$B3187)</f>
        <v>2024</v>
      </c>
      <c r="T3187" s="11" t="str">
        <f>'data on outstanding creditors'!$C3187&amp;" "&amp;'data on outstanding creditors'!$D3187&amp;" "&amp;TEXT('data on outstanding creditors'!$E3187,"#,##0.00")</f>
        <v>บ.ธเนศพัฒนา I6711075 41,730.00</v>
      </c>
      <c r="U3187" s="12"/>
    </row>
    <row r="3188" ht="13.5" customHeight="1">
      <c r="A3188" s="1"/>
      <c r="B3188" s="2">
        <v>45651.0</v>
      </c>
      <c r="C3188" s="9" t="s">
        <v>1211</v>
      </c>
      <c r="D3188" s="1" t="s">
        <v>4997</v>
      </c>
      <c r="E3188" s="4">
        <v>6700.0</v>
      </c>
      <c r="F3188" s="4"/>
      <c r="G3188" s="4"/>
      <c r="H3188" s="4">
        <f>'data on outstanding creditors'!$E3188-'data on outstanding creditors'!$F3188-'data on outstanding creditors'!$G3188</f>
        <v>6700</v>
      </c>
      <c r="I3188" s="2"/>
      <c r="J3188" s="1" t="s">
        <v>646</v>
      </c>
      <c r="K3188" s="2">
        <v>45928.0</v>
      </c>
      <c r="L3188" s="5"/>
      <c r="M3188" s="9" t="s">
        <v>170</v>
      </c>
      <c r="N3188" s="9" t="s">
        <v>49</v>
      </c>
      <c r="O3188" s="10">
        <f>'data on outstanding creditors'!$E3188*100/107</f>
        <v>6261.682243</v>
      </c>
      <c r="P3188" s="10">
        <f>'data on outstanding creditors'!$E3188-'data on outstanding creditors'!$O3188</f>
        <v>438.317757</v>
      </c>
      <c r="Q3188" s="7">
        <f>DAY('data on outstanding creditors'!$B3188)</f>
        <v>25</v>
      </c>
      <c r="R3188" s="7">
        <f>MONTH('data on outstanding creditors'!$B3188)</f>
        <v>12</v>
      </c>
      <c r="S3188" s="7">
        <f>YEAR('data on outstanding creditors'!$B3188)</f>
        <v>2024</v>
      </c>
      <c r="T3188" s="11" t="str">
        <f>'data on outstanding creditors'!$C3188&amp;" "&amp;'data on outstanding creditors'!$D3188&amp;" "&amp;TEXT('data on outstanding creditors'!$E3188,"#,##0.00")</f>
        <v>บ.เอน-ไซน์ เอ็นจิเนียริง 20241801 6,700.00</v>
      </c>
      <c r="U3188" s="12"/>
    </row>
    <row r="3189" ht="13.5" customHeight="1">
      <c r="A3189" s="1"/>
      <c r="B3189" s="2">
        <v>45723.0</v>
      </c>
      <c r="C3189" s="9" t="s">
        <v>354</v>
      </c>
      <c r="D3189" s="1" t="s">
        <v>4998</v>
      </c>
      <c r="E3189" s="4">
        <v>10165.0</v>
      </c>
      <c r="F3189" s="4"/>
      <c r="G3189" s="4"/>
      <c r="H3189" s="4">
        <f>'data on outstanding creditors'!$E3189-'data on outstanding creditors'!$F3189-'data on outstanding creditors'!$G3189</f>
        <v>10165</v>
      </c>
      <c r="I3189" s="2"/>
      <c r="J3189" s="1"/>
      <c r="K3189" s="2"/>
      <c r="L3189" s="5"/>
      <c r="M3189" s="9" t="s">
        <v>170</v>
      </c>
      <c r="N3189" s="9" t="s">
        <v>49</v>
      </c>
      <c r="O3189" s="10">
        <f>'data on outstanding creditors'!$E3189*100/107</f>
        <v>9500</v>
      </c>
      <c r="P3189" s="10">
        <f>'data on outstanding creditors'!$E3189-'data on outstanding creditors'!$O3189</f>
        <v>665</v>
      </c>
      <c r="Q3189" s="7">
        <f>DAY('data on outstanding creditors'!$B3189)</f>
        <v>7</v>
      </c>
      <c r="R3189" s="7">
        <f>MONTH('data on outstanding creditors'!$B3189)</f>
        <v>3</v>
      </c>
      <c r="S3189" s="7">
        <f>YEAR('data on outstanding creditors'!$B3189)</f>
        <v>2025</v>
      </c>
      <c r="T3189" s="11" t="str">
        <f>'data on outstanding creditors'!$C3189&amp;" "&amp;'data on outstanding creditors'!$D3189&amp;" "&amp;TEXT('data on outstanding creditors'!$E3189,"#,##0.00")</f>
        <v>บ. แม็กเทค เอลลิเวเตอร์ แอรด์ เซอร์วิส MT2568-0094 10,165.00</v>
      </c>
      <c r="U3189" s="12"/>
    </row>
    <row r="3190" ht="13.5" customHeight="1">
      <c r="A3190" s="1"/>
      <c r="B3190" s="2">
        <v>45729.0</v>
      </c>
      <c r="C3190" s="9" t="s">
        <v>354</v>
      </c>
      <c r="D3190" s="1" t="s">
        <v>4999</v>
      </c>
      <c r="E3190" s="4">
        <v>46545.0</v>
      </c>
      <c r="F3190" s="4"/>
      <c r="G3190" s="4"/>
      <c r="H3190" s="4">
        <f>'data on outstanding creditors'!$E3190-'data on outstanding creditors'!$F3190-'data on outstanding creditors'!$G3190</f>
        <v>46545</v>
      </c>
      <c r="I3190" s="2"/>
      <c r="J3190" s="1" t="s">
        <v>757</v>
      </c>
      <c r="K3190" s="2">
        <v>45959.0</v>
      </c>
      <c r="L3190" s="5"/>
      <c r="M3190" s="9" t="s">
        <v>170</v>
      </c>
      <c r="N3190" s="9" t="s">
        <v>49</v>
      </c>
      <c r="O3190" s="10">
        <f>'data on outstanding creditors'!$E3190*100/107</f>
        <v>43500</v>
      </c>
      <c r="P3190" s="10">
        <f>'data on outstanding creditors'!$E3190-'data on outstanding creditors'!$O3190</f>
        <v>3045</v>
      </c>
      <c r="Q3190" s="7">
        <f>DAY('data on outstanding creditors'!$B3190)</f>
        <v>13</v>
      </c>
      <c r="R3190" s="7">
        <f>MONTH('data on outstanding creditors'!$B3190)</f>
        <v>3</v>
      </c>
      <c r="S3190" s="7">
        <f>YEAR('data on outstanding creditors'!$B3190)</f>
        <v>2025</v>
      </c>
      <c r="T3190" s="11" t="str">
        <f>'data on outstanding creditors'!$C3190&amp;" "&amp;'data on outstanding creditors'!$D3190&amp;" "&amp;TEXT('data on outstanding creditors'!$E3190,"#,##0.00")</f>
        <v>บ. แม็กเทค เอลลิเวเตอร์ แอรด์ เซอร์วิส MT2568-0096 46,545.00</v>
      </c>
      <c r="U3190" s="12"/>
    </row>
    <row r="3191" ht="13.5" customHeight="1">
      <c r="A3191" s="1" t="s">
        <v>5000</v>
      </c>
      <c r="B3191" s="2">
        <v>45877.0</v>
      </c>
      <c r="C3191" s="9" t="s">
        <v>354</v>
      </c>
      <c r="D3191" s="1" t="s">
        <v>5001</v>
      </c>
      <c r="E3191" s="4">
        <v>5671.0</v>
      </c>
      <c r="F3191" s="4"/>
      <c r="G3191" s="4"/>
      <c r="H3191" s="4">
        <f>'data on outstanding creditors'!$E3191-'data on outstanding creditors'!$F3191-'data on outstanding creditors'!$G3191</f>
        <v>5671</v>
      </c>
      <c r="I3191" s="2"/>
      <c r="J3191" s="1" t="s">
        <v>757</v>
      </c>
      <c r="K3191" s="2">
        <v>45940.0</v>
      </c>
      <c r="L3191" s="5"/>
      <c r="M3191" s="9" t="s">
        <v>170</v>
      </c>
      <c r="N3191" s="9" t="s">
        <v>49</v>
      </c>
      <c r="O3191" s="10">
        <f>'data on outstanding creditors'!$E3191*100/107</f>
        <v>5300</v>
      </c>
      <c r="P3191" s="10">
        <f>'data on outstanding creditors'!$E3191-'data on outstanding creditors'!$O3191</f>
        <v>371</v>
      </c>
      <c r="Q3191" s="7">
        <f>DAY('data on outstanding creditors'!$B3191)</f>
        <v>8</v>
      </c>
      <c r="R3191" s="7">
        <f>MONTH('data on outstanding creditors'!$B3191)</f>
        <v>8</v>
      </c>
      <c r="S3191" s="7">
        <f>YEAR('data on outstanding creditors'!$B3191)</f>
        <v>2025</v>
      </c>
      <c r="T3191" s="11" t="str">
        <f>'data on outstanding creditors'!$C3191&amp;" "&amp;'data on outstanding creditors'!$D3191&amp;" "&amp;TEXT('data on outstanding creditors'!$E3191,"#,##0.00")</f>
        <v>บ. แม็กเทค เอลลิเวเตอร์ แอรด์ เซอร์วิส MT2568-0253 5,671.00</v>
      </c>
      <c r="U3191" s="12"/>
    </row>
    <row r="3192" ht="13.5" customHeight="1">
      <c r="A3192" s="1" t="s">
        <v>5002</v>
      </c>
      <c r="B3192" s="2">
        <v>45919.0</v>
      </c>
      <c r="C3192" s="9" t="s">
        <v>4578</v>
      </c>
      <c r="D3192" s="1" t="s">
        <v>5003</v>
      </c>
      <c r="E3192" s="4">
        <v>6000.0</v>
      </c>
      <c r="F3192" s="4"/>
      <c r="G3192" s="4"/>
      <c r="H3192" s="4">
        <f>'data on outstanding creditors'!$E3192-'data on outstanding creditors'!$F3192-'data on outstanding creditors'!$G3192</f>
        <v>6000</v>
      </c>
      <c r="I3192" s="2"/>
      <c r="J3192" s="1"/>
      <c r="K3192" s="2"/>
      <c r="L3192" s="5"/>
      <c r="M3192" s="9" t="s">
        <v>170</v>
      </c>
      <c r="N3192" s="9" t="s">
        <v>49</v>
      </c>
      <c r="O3192" s="10">
        <f>'data on outstanding creditors'!$E3192*100/107</f>
        <v>5607.476636</v>
      </c>
      <c r="P3192" s="10">
        <f>'data on outstanding creditors'!$E3192-'data on outstanding creditors'!$O3192</f>
        <v>392.5233645</v>
      </c>
      <c r="Q3192" s="7">
        <f>DAY('data on outstanding creditors'!$B3192)</f>
        <v>19</v>
      </c>
      <c r="R3192" s="7">
        <f>MONTH('data on outstanding creditors'!$B3192)</f>
        <v>9</v>
      </c>
      <c r="S3192" s="7">
        <f>YEAR('data on outstanding creditors'!$B3192)</f>
        <v>2025</v>
      </c>
      <c r="T3192" s="11" t="str">
        <f>'data on outstanding creditors'!$C3192&amp;" "&amp;'data on outstanding creditors'!$D3192&amp;" "&amp;TEXT('data on outstanding creditors'!$E3192,"#,##0.00")</f>
        <v>ร้าน ปวีณ24 2/4 6,000.00</v>
      </c>
      <c r="U3192" s="12"/>
    </row>
    <row r="3193" ht="13.5" customHeight="1">
      <c r="A3193" s="1" t="s">
        <v>5004</v>
      </c>
      <c r="B3193" s="2">
        <v>45926.0</v>
      </c>
      <c r="C3193" s="9" t="s">
        <v>4578</v>
      </c>
      <c r="D3193" s="1" t="s">
        <v>5005</v>
      </c>
      <c r="E3193" s="4">
        <v>1000.0</v>
      </c>
      <c r="F3193" s="4"/>
      <c r="G3193" s="4"/>
      <c r="H3193" s="4">
        <f>'data on outstanding creditors'!$E3193-'data on outstanding creditors'!$F3193-'data on outstanding creditors'!$G3193</f>
        <v>1000</v>
      </c>
      <c r="I3193" s="2"/>
      <c r="J3193" s="1"/>
      <c r="K3193" s="2"/>
      <c r="L3193" s="5"/>
      <c r="M3193" s="9" t="s">
        <v>170</v>
      </c>
      <c r="N3193" s="9" t="s">
        <v>49</v>
      </c>
      <c r="O3193" s="10">
        <f>'data on outstanding creditors'!$E3193*100/107</f>
        <v>934.5794393</v>
      </c>
      <c r="P3193" s="10">
        <f>'data on outstanding creditors'!$E3193-'data on outstanding creditors'!$O3193</f>
        <v>65.42056075</v>
      </c>
      <c r="Q3193" s="7">
        <f>DAY('data on outstanding creditors'!$B3193)</f>
        <v>26</v>
      </c>
      <c r="R3193" s="7">
        <f>MONTH('data on outstanding creditors'!$B3193)</f>
        <v>9</v>
      </c>
      <c r="S3193" s="7">
        <f>YEAR('data on outstanding creditors'!$B3193)</f>
        <v>2025</v>
      </c>
      <c r="T3193" s="11" t="str">
        <f>'data on outstanding creditors'!$C3193&amp;" "&amp;'data on outstanding creditors'!$D3193&amp;" "&amp;TEXT('data on outstanding creditors'!$E3193,"#,##0.00")</f>
        <v>ร้าน ปวีณ24 2/7 1,000.00</v>
      </c>
      <c r="U3193" s="12"/>
    </row>
    <row r="3194" ht="13.5" customHeight="1">
      <c r="A3194" s="1" t="s">
        <v>5006</v>
      </c>
      <c r="B3194" s="2">
        <v>45783.0</v>
      </c>
      <c r="C3194" s="9" t="s">
        <v>1202</v>
      </c>
      <c r="D3194" s="1" t="s">
        <v>5007</v>
      </c>
      <c r="E3194" s="4">
        <v>4601.0</v>
      </c>
      <c r="F3194" s="4"/>
      <c r="G3194" s="4"/>
      <c r="H3194" s="4">
        <f>'data on outstanding creditors'!$E3194-'data on outstanding creditors'!$F3194-'data on outstanding creditors'!$G3194</f>
        <v>4601</v>
      </c>
      <c r="I3194" s="2"/>
      <c r="J3194" s="1" t="s">
        <v>646</v>
      </c>
      <c r="K3194" s="2">
        <v>45960.0</v>
      </c>
      <c r="L3194" s="5"/>
      <c r="M3194" s="9" t="s">
        <v>5008</v>
      </c>
      <c r="N3194" s="9" t="s">
        <v>49</v>
      </c>
      <c r="O3194" s="10">
        <f>'data on outstanding creditors'!$E3194*100/107</f>
        <v>4300</v>
      </c>
      <c r="P3194" s="10">
        <f>'data on outstanding creditors'!$E3194-'data on outstanding creditors'!$O3194</f>
        <v>301</v>
      </c>
      <c r="Q3194" s="7">
        <f>DAY('data on outstanding creditors'!$B3194)</f>
        <v>6</v>
      </c>
      <c r="R3194" s="7">
        <f>MONTH('data on outstanding creditors'!$B3194)</f>
        <v>5</v>
      </c>
      <c r="S3194" s="7">
        <f>YEAR('data on outstanding creditors'!$B3194)</f>
        <v>2025</v>
      </c>
      <c r="T3194" s="11" t="str">
        <f>'data on outstanding creditors'!$C3194&amp;" "&amp;'data on outstanding creditors'!$D3194&amp;" "&amp;TEXT('data on outstanding creditors'!$E3194,"#,##0.00")</f>
        <v>หจก.นางรองเจริญยางยนต์ 6805000090 4,601.00</v>
      </c>
      <c r="U3194" s="12"/>
    </row>
    <row r="3195" ht="13.5" customHeight="1">
      <c r="A3195" s="1" t="s">
        <v>5009</v>
      </c>
      <c r="B3195" s="2">
        <v>45783.0</v>
      </c>
      <c r="C3195" s="9" t="s">
        <v>1202</v>
      </c>
      <c r="D3195" s="1" t="s">
        <v>5010</v>
      </c>
      <c r="E3195" s="4">
        <v>1626.4</v>
      </c>
      <c r="F3195" s="4"/>
      <c r="G3195" s="4"/>
      <c r="H3195" s="4">
        <f>'data on outstanding creditors'!$E3195-'data on outstanding creditors'!$F3195-'data on outstanding creditors'!$G3195</f>
        <v>1626.4</v>
      </c>
      <c r="I3195" s="2"/>
      <c r="J3195" s="1" t="s">
        <v>646</v>
      </c>
      <c r="K3195" s="2">
        <v>45960.0</v>
      </c>
      <c r="L3195" s="5"/>
      <c r="M3195" s="9" t="s">
        <v>5008</v>
      </c>
      <c r="N3195" s="9" t="s">
        <v>49</v>
      </c>
      <c r="O3195" s="10">
        <f>'data on outstanding creditors'!$E3195*100/107</f>
        <v>1520</v>
      </c>
      <c r="P3195" s="10">
        <f>'data on outstanding creditors'!$E3195-'data on outstanding creditors'!$O3195</f>
        <v>106.4</v>
      </c>
      <c r="Q3195" s="7">
        <f>DAY('data on outstanding creditors'!$B3195)</f>
        <v>6</v>
      </c>
      <c r="R3195" s="7">
        <f>MONTH('data on outstanding creditors'!$B3195)</f>
        <v>5</v>
      </c>
      <c r="S3195" s="7">
        <f>YEAR('data on outstanding creditors'!$B3195)</f>
        <v>2025</v>
      </c>
      <c r="T3195" s="11" t="str">
        <f>'data on outstanding creditors'!$C3195&amp;" "&amp;'data on outstanding creditors'!$D3195&amp;" "&amp;TEXT('data on outstanding creditors'!$E3195,"#,##0.00")</f>
        <v>หจก.นางรองเจริญยางยนต์ 6805000012 1,626.40</v>
      </c>
      <c r="U3195" s="12"/>
    </row>
    <row r="3196" ht="13.5" customHeight="1">
      <c r="A3196" s="1" t="s">
        <v>5011</v>
      </c>
      <c r="B3196" s="2">
        <v>45783.0</v>
      </c>
      <c r="C3196" s="9" t="s">
        <v>1202</v>
      </c>
      <c r="D3196" s="1" t="s">
        <v>5012</v>
      </c>
      <c r="E3196" s="4">
        <v>1626.4</v>
      </c>
      <c r="F3196" s="4"/>
      <c r="G3196" s="4"/>
      <c r="H3196" s="4">
        <f>'data on outstanding creditors'!$E3196-'data on outstanding creditors'!$F3196-'data on outstanding creditors'!$G3196</f>
        <v>1626.4</v>
      </c>
      <c r="I3196" s="2"/>
      <c r="J3196" s="1" t="s">
        <v>646</v>
      </c>
      <c r="K3196" s="2">
        <v>45960.0</v>
      </c>
      <c r="L3196" s="5"/>
      <c r="M3196" s="9" t="s">
        <v>5008</v>
      </c>
      <c r="N3196" s="9" t="s">
        <v>49</v>
      </c>
      <c r="O3196" s="10">
        <f>'data on outstanding creditors'!$E3196*100/107</f>
        <v>1520</v>
      </c>
      <c r="P3196" s="10">
        <f>'data on outstanding creditors'!$E3196-'data on outstanding creditors'!$O3196</f>
        <v>106.4</v>
      </c>
      <c r="Q3196" s="7">
        <f>DAY('data on outstanding creditors'!$B3196)</f>
        <v>6</v>
      </c>
      <c r="R3196" s="7">
        <f>MONTH('data on outstanding creditors'!$B3196)</f>
        <v>5</v>
      </c>
      <c r="S3196" s="7">
        <f>YEAR('data on outstanding creditors'!$B3196)</f>
        <v>2025</v>
      </c>
      <c r="T3196" s="11" t="str">
        <f>'data on outstanding creditors'!$C3196&amp;" "&amp;'data on outstanding creditors'!$D3196&amp;" "&amp;TEXT('data on outstanding creditors'!$E3196,"#,##0.00")</f>
        <v>หจก.นางรองเจริญยางยนต์ 6805000091 1,626.40</v>
      </c>
      <c r="U3196" s="12"/>
    </row>
    <row r="3197" ht="13.5" customHeight="1">
      <c r="A3197" s="1" t="s">
        <v>5013</v>
      </c>
      <c r="B3197" s="2">
        <v>45798.0</v>
      </c>
      <c r="C3197" s="9" t="s">
        <v>1202</v>
      </c>
      <c r="D3197" s="1" t="s">
        <v>5014</v>
      </c>
      <c r="E3197" s="4">
        <v>2268.4</v>
      </c>
      <c r="F3197" s="4"/>
      <c r="G3197" s="4"/>
      <c r="H3197" s="4">
        <f>'data on outstanding creditors'!$E3197-'data on outstanding creditors'!$F3197-'data on outstanding creditors'!$G3197</f>
        <v>2268.4</v>
      </c>
      <c r="I3197" s="2"/>
      <c r="J3197" s="1" t="s">
        <v>646</v>
      </c>
      <c r="K3197" s="2">
        <v>45960.0</v>
      </c>
      <c r="L3197" s="5"/>
      <c r="M3197" s="9" t="s">
        <v>5008</v>
      </c>
      <c r="N3197" s="9" t="s">
        <v>49</v>
      </c>
      <c r="O3197" s="10">
        <f>'data on outstanding creditors'!$E3197*100/107</f>
        <v>2120</v>
      </c>
      <c r="P3197" s="10">
        <f>'data on outstanding creditors'!$E3197-'data on outstanding creditors'!$O3197</f>
        <v>148.4</v>
      </c>
      <c r="Q3197" s="7">
        <f>DAY('data on outstanding creditors'!$B3197)</f>
        <v>21</v>
      </c>
      <c r="R3197" s="7">
        <f>MONTH('data on outstanding creditors'!$B3197)</f>
        <v>5</v>
      </c>
      <c r="S3197" s="7">
        <f>YEAR('data on outstanding creditors'!$B3197)</f>
        <v>2025</v>
      </c>
      <c r="T3197" s="11" t="str">
        <f>'data on outstanding creditors'!$C3197&amp;" "&amp;'data on outstanding creditors'!$D3197&amp;" "&amp;TEXT('data on outstanding creditors'!$E3197,"#,##0.00")</f>
        <v>หจก.นางรองเจริญยางยนต์ 6805000351 2,268.40</v>
      </c>
      <c r="U3197" s="12"/>
    </row>
    <row r="3198" ht="13.5" customHeight="1">
      <c r="A3198" s="1" t="s">
        <v>5015</v>
      </c>
      <c r="B3198" s="2">
        <v>45800.0</v>
      </c>
      <c r="C3198" s="9" t="s">
        <v>1202</v>
      </c>
      <c r="D3198" s="1" t="s">
        <v>5016</v>
      </c>
      <c r="E3198" s="4">
        <v>11770.0</v>
      </c>
      <c r="F3198" s="4"/>
      <c r="G3198" s="4"/>
      <c r="H3198" s="4">
        <f>'data on outstanding creditors'!$E3198-'data on outstanding creditors'!$F3198-'data on outstanding creditors'!$G3198</f>
        <v>11770</v>
      </c>
      <c r="I3198" s="2"/>
      <c r="J3198" s="1" t="s">
        <v>646</v>
      </c>
      <c r="K3198" s="2">
        <v>45960.0</v>
      </c>
      <c r="L3198" s="5"/>
      <c r="M3198" s="9" t="s">
        <v>5008</v>
      </c>
      <c r="N3198" s="9" t="s">
        <v>49</v>
      </c>
      <c r="O3198" s="10">
        <f>'data on outstanding creditors'!$E3198*100/107</f>
        <v>11000</v>
      </c>
      <c r="P3198" s="10">
        <f>'data on outstanding creditors'!$E3198-'data on outstanding creditors'!$O3198</f>
        <v>770</v>
      </c>
      <c r="Q3198" s="7">
        <f>DAY('data on outstanding creditors'!$B3198)</f>
        <v>23</v>
      </c>
      <c r="R3198" s="7">
        <f>MONTH('data on outstanding creditors'!$B3198)</f>
        <v>5</v>
      </c>
      <c r="S3198" s="7">
        <f>YEAR('data on outstanding creditors'!$B3198)</f>
        <v>2025</v>
      </c>
      <c r="T3198" s="11" t="str">
        <f>'data on outstanding creditors'!$C3198&amp;" "&amp;'data on outstanding creditors'!$D3198&amp;" "&amp;TEXT('data on outstanding creditors'!$E3198,"#,##0.00")</f>
        <v>หจก.นางรองเจริญยางยนต์ 6805000430 11,770.00</v>
      </c>
      <c r="U3198" s="12"/>
    </row>
    <row r="3199" ht="13.5" customHeight="1">
      <c r="A3199" s="1" t="s">
        <v>5017</v>
      </c>
      <c r="B3199" s="2">
        <v>45812.0</v>
      </c>
      <c r="C3199" s="9" t="s">
        <v>1202</v>
      </c>
      <c r="D3199" s="1" t="s">
        <v>5018</v>
      </c>
      <c r="E3199" s="4">
        <v>1626.4</v>
      </c>
      <c r="F3199" s="4"/>
      <c r="G3199" s="4"/>
      <c r="H3199" s="4">
        <f>'data on outstanding creditors'!$E3199-'data on outstanding creditors'!$F3199-'data on outstanding creditors'!$G3199</f>
        <v>1626.4</v>
      </c>
      <c r="I3199" s="2"/>
      <c r="J3199" s="1" t="s">
        <v>646</v>
      </c>
      <c r="K3199" s="2">
        <v>45960.0</v>
      </c>
      <c r="L3199" s="5"/>
      <c r="M3199" s="9" t="s">
        <v>5008</v>
      </c>
      <c r="N3199" s="9" t="s">
        <v>49</v>
      </c>
      <c r="O3199" s="10">
        <f>'data on outstanding creditors'!$E3199*100/107</f>
        <v>1520</v>
      </c>
      <c r="P3199" s="10">
        <f>'data on outstanding creditors'!$E3199-'data on outstanding creditors'!$O3199</f>
        <v>106.4</v>
      </c>
      <c r="Q3199" s="7">
        <f>DAY('data on outstanding creditors'!$B3199)</f>
        <v>4</v>
      </c>
      <c r="R3199" s="7">
        <f>MONTH('data on outstanding creditors'!$B3199)</f>
        <v>6</v>
      </c>
      <c r="S3199" s="7">
        <f>YEAR('data on outstanding creditors'!$B3199)</f>
        <v>2025</v>
      </c>
      <c r="T3199" s="11" t="str">
        <f>'data on outstanding creditors'!$C3199&amp;" "&amp;'data on outstanding creditors'!$D3199&amp;" "&amp;TEXT('data on outstanding creditors'!$E3199,"#,##0.00")</f>
        <v>หจก.นางรองเจริญยางยนต์ 6806000001 1,626.40</v>
      </c>
      <c r="U3199" s="12"/>
    </row>
    <row r="3200" ht="13.5" customHeight="1">
      <c r="A3200" s="1" t="s">
        <v>5019</v>
      </c>
      <c r="B3200" s="2">
        <v>45812.0</v>
      </c>
      <c r="C3200" s="9" t="s">
        <v>1202</v>
      </c>
      <c r="D3200" s="1" t="s">
        <v>5020</v>
      </c>
      <c r="E3200" s="4">
        <v>4868.5</v>
      </c>
      <c r="F3200" s="4"/>
      <c r="G3200" s="4"/>
      <c r="H3200" s="4">
        <f>'data on outstanding creditors'!$E3200-'data on outstanding creditors'!$F3200-'data on outstanding creditors'!$G3200</f>
        <v>4868.5</v>
      </c>
      <c r="I3200" s="2"/>
      <c r="J3200" s="1" t="s">
        <v>646</v>
      </c>
      <c r="K3200" s="2">
        <v>45960.0</v>
      </c>
      <c r="L3200" s="5"/>
      <c r="M3200" s="9" t="s">
        <v>5008</v>
      </c>
      <c r="N3200" s="9" t="s">
        <v>49</v>
      </c>
      <c r="O3200" s="10">
        <f>'data on outstanding creditors'!$E3200*100/107</f>
        <v>4550</v>
      </c>
      <c r="P3200" s="10">
        <f>'data on outstanding creditors'!$E3200-'data on outstanding creditors'!$O3200</f>
        <v>318.5</v>
      </c>
      <c r="Q3200" s="7">
        <f>DAY('data on outstanding creditors'!$B3200)</f>
        <v>4</v>
      </c>
      <c r="R3200" s="7">
        <f>MONTH('data on outstanding creditors'!$B3200)</f>
        <v>6</v>
      </c>
      <c r="S3200" s="7">
        <f>YEAR('data on outstanding creditors'!$B3200)</f>
        <v>2025</v>
      </c>
      <c r="T3200" s="11" t="str">
        <f>'data on outstanding creditors'!$C3200&amp;" "&amp;'data on outstanding creditors'!$D3200&amp;" "&amp;TEXT('data on outstanding creditors'!$E3200,"#,##0.00")</f>
        <v>หจก.นางรองเจริญยางยนต์ 6806000003 4,868.50</v>
      </c>
      <c r="U3200" s="12"/>
    </row>
    <row r="3201" ht="13.5" customHeight="1">
      <c r="A3201" s="1" t="s">
        <v>5021</v>
      </c>
      <c r="B3201" s="2">
        <v>45812.0</v>
      </c>
      <c r="C3201" s="9" t="s">
        <v>1202</v>
      </c>
      <c r="D3201" s="1" t="s">
        <v>5022</v>
      </c>
      <c r="E3201" s="4">
        <v>3424.0</v>
      </c>
      <c r="F3201" s="4"/>
      <c r="G3201" s="4"/>
      <c r="H3201" s="4">
        <f>'data on outstanding creditors'!$E3201-'data on outstanding creditors'!$F3201-'data on outstanding creditors'!$G3201</f>
        <v>3424</v>
      </c>
      <c r="I3201" s="2"/>
      <c r="J3201" s="1"/>
      <c r="K3201" s="2"/>
      <c r="L3201" s="5"/>
      <c r="M3201" s="9" t="s">
        <v>5008</v>
      </c>
      <c r="N3201" s="9" t="s">
        <v>49</v>
      </c>
      <c r="O3201" s="10">
        <f>'data on outstanding creditors'!$E3201*100/107</f>
        <v>3200</v>
      </c>
      <c r="P3201" s="10">
        <f>'data on outstanding creditors'!$E3201-'data on outstanding creditors'!$O3201</f>
        <v>224</v>
      </c>
      <c r="Q3201" s="7">
        <f>DAY('data on outstanding creditors'!$B3201)</f>
        <v>4</v>
      </c>
      <c r="R3201" s="7">
        <f>MONTH('data on outstanding creditors'!$B3201)</f>
        <v>6</v>
      </c>
      <c r="S3201" s="7">
        <f>YEAR('data on outstanding creditors'!$B3201)</f>
        <v>2025</v>
      </c>
      <c r="T3201" s="11" t="str">
        <f>'data on outstanding creditors'!$C3201&amp;" "&amp;'data on outstanding creditors'!$D3201&amp;" "&amp;TEXT('data on outstanding creditors'!$E3201,"#,##0.00")</f>
        <v>หจก.นางรองเจริญยางยนต์ 6806000002 3,424.00</v>
      </c>
      <c r="U3201" s="12"/>
    </row>
    <row r="3202" ht="13.5" customHeight="1">
      <c r="A3202" s="1" t="s">
        <v>5023</v>
      </c>
      <c r="B3202" s="2">
        <v>45825.0</v>
      </c>
      <c r="C3202" s="9" t="s">
        <v>1202</v>
      </c>
      <c r="D3202" s="1" t="s">
        <v>5024</v>
      </c>
      <c r="E3202" s="4">
        <v>2503.8</v>
      </c>
      <c r="F3202" s="4"/>
      <c r="G3202" s="4"/>
      <c r="H3202" s="4">
        <f>'data on outstanding creditors'!$E3202-'data on outstanding creditors'!$F3202-'data on outstanding creditors'!$G3202</f>
        <v>2503.8</v>
      </c>
      <c r="I3202" s="2"/>
      <c r="J3202" s="1" t="s">
        <v>646</v>
      </c>
      <c r="K3202" s="2">
        <v>45960.0</v>
      </c>
      <c r="L3202" s="5"/>
      <c r="M3202" s="9" t="s">
        <v>5008</v>
      </c>
      <c r="N3202" s="9" t="s">
        <v>49</v>
      </c>
      <c r="O3202" s="10">
        <f>'data on outstanding creditors'!$E3202*100/107</f>
        <v>2340</v>
      </c>
      <c r="P3202" s="10">
        <f>'data on outstanding creditors'!$E3202-'data on outstanding creditors'!$O3202</f>
        <v>163.8</v>
      </c>
      <c r="Q3202" s="7">
        <f>DAY('data on outstanding creditors'!$B3202)</f>
        <v>17</v>
      </c>
      <c r="R3202" s="7">
        <f>MONTH('data on outstanding creditors'!$B3202)</f>
        <v>6</v>
      </c>
      <c r="S3202" s="7">
        <f>YEAR('data on outstanding creditors'!$B3202)</f>
        <v>2025</v>
      </c>
      <c r="T3202" s="11" t="str">
        <f>'data on outstanding creditors'!$C3202&amp;" "&amp;'data on outstanding creditors'!$D3202&amp;" "&amp;TEXT('data on outstanding creditors'!$E3202,"#,##0.00")</f>
        <v>หจก.นางรองเจริญยางยนต์ 6806000230 2,503.80</v>
      </c>
      <c r="U3202" s="12"/>
    </row>
    <row r="3203" ht="13.5" customHeight="1">
      <c r="A3203" s="1" t="s">
        <v>5025</v>
      </c>
      <c r="B3203" s="2">
        <v>45826.0</v>
      </c>
      <c r="C3203" s="9" t="s">
        <v>1202</v>
      </c>
      <c r="D3203" s="1" t="s">
        <v>5026</v>
      </c>
      <c r="E3203" s="4">
        <v>3659.4</v>
      </c>
      <c r="F3203" s="4"/>
      <c r="G3203" s="4"/>
      <c r="H3203" s="4">
        <f>'data on outstanding creditors'!$E3203-'data on outstanding creditors'!$F3203-'data on outstanding creditors'!$G3203</f>
        <v>3659.4</v>
      </c>
      <c r="I3203" s="2"/>
      <c r="J3203" s="1" t="s">
        <v>646</v>
      </c>
      <c r="K3203" s="2">
        <v>45960.0</v>
      </c>
      <c r="L3203" s="5"/>
      <c r="M3203" s="9" t="s">
        <v>5008</v>
      </c>
      <c r="N3203" s="9" t="s">
        <v>49</v>
      </c>
      <c r="O3203" s="10">
        <f>'data on outstanding creditors'!$E3203*100/107</f>
        <v>3420</v>
      </c>
      <c r="P3203" s="10">
        <f>'data on outstanding creditors'!$E3203-'data on outstanding creditors'!$O3203</f>
        <v>239.4</v>
      </c>
      <c r="Q3203" s="7">
        <f>DAY('data on outstanding creditors'!$B3203)</f>
        <v>18</v>
      </c>
      <c r="R3203" s="7">
        <f>MONTH('data on outstanding creditors'!$B3203)</f>
        <v>6</v>
      </c>
      <c r="S3203" s="7">
        <f>YEAR('data on outstanding creditors'!$B3203)</f>
        <v>2025</v>
      </c>
      <c r="T3203" s="11" t="str">
        <f>'data on outstanding creditors'!$C3203&amp;" "&amp;'data on outstanding creditors'!$D3203&amp;" "&amp;TEXT('data on outstanding creditors'!$E3203,"#,##0.00")</f>
        <v>หจก.นางรองเจริญยางยนต์ 6806000250 3,659.40</v>
      </c>
      <c r="U3203" s="12"/>
    </row>
    <row r="3204" ht="13.5" customHeight="1">
      <c r="A3204" s="1" t="s">
        <v>5027</v>
      </c>
      <c r="B3204" s="2">
        <v>45852.0</v>
      </c>
      <c r="C3204" s="9" t="s">
        <v>1202</v>
      </c>
      <c r="D3204" s="1" t="s">
        <v>5028</v>
      </c>
      <c r="E3204" s="4">
        <v>1861.8</v>
      </c>
      <c r="F3204" s="4"/>
      <c r="G3204" s="4"/>
      <c r="H3204" s="4">
        <f>'data on outstanding creditors'!$E3204-'data on outstanding creditors'!$F3204-'data on outstanding creditors'!$G3204</f>
        <v>1861.8</v>
      </c>
      <c r="I3204" s="2"/>
      <c r="J3204" s="1" t="s">
        <v>646</v>
      </c>
      <c r="K3204" s="2">
        <v>45960.0</v>
      </c>
      <c r="L3204" s="5"/>
      <c r="M3204" s="9" t="s">
        <v>5008</v>
      </c>
      <c r="N3204" s="9" t="s">
        <v>49</v>
      </c>
      <c r="O3204" s="10">
        <f>'data on outstanding creditors'!$E3204*100/107</f>
        <v>1740</v>
      </c>
      <c r="P3204" s="10">
        <f>'data on outstanding creditors'!$E3204-'data on outstanding creditors'!$O3204</f>
        <v>121.8</v>
      </c>
      <c r="Q3204" s="7">
        <f>DAY('data on outstanding creditors'!$B3204)</f>
        <v>14</v>
      </c>
      <c r="R3204" s="7">
        <f>MONTH('data on outstanding creditors'!$B3204)</f>
        <v>7</v>
      </c>
      <c r="S3204" s="7">
        <f>YEAR('data on outstanding creditors'!$B3204)</f>
        <v>2025</v>
      </c>
      <c r="T3204" s="11" t="str">
        <f>'data on outstanding creditors'!$C3204&amp;" "&amp;'data on outstanding creditors'!$D3204&amp;" "&amp;TEXT('data on outstanding creditors'!$E3204,"#,##0.00")</f>
        <v>หจก.นางรองเจริญยางยนต์ 6807000214 1,861.80</v>
      </c>
      <c r="U3204" s="12"/>
    </row>
    <row r="3205" ht="13.5" customHeight="1">
      <c r="A3205" s="1" t="s">
        <v>5029</v>
      </c>
      <c r="B3205" s="2">
        <v>45856.0</v>
      </c>
      <c r="C3205" s="9" t="s">
        <v>1202</v>
      </c>
      <c r="D3205" s="1" t="s">
        <v>5030</v>
      </c>
      <c r="E3205" s="4">
        <v>2268.4</v>
      </c>
      <c r="F3205" s="4"/>
      <c r="G3205" s="4"/>
      <c r="H3205" s="4">
        <f>'data on outstanding creditors'!$E3205-'data on outstanding creditors'!$F3205-'data on outstanding creditors'!$G3205</f>
        <v>2268.4</v>
      </c>
      <c r="I3205" s="2"/>
      <c r="J3205" s="1" t="s">
        <v>646</v>
      </c>
      <c r="K3205" s="2">
        <v>45960.0</v>
      </c>
      <c r="L3205" s="5"/>
      <c r="M3205" s="9" t="s">
        <v>5008</v>
      </c>
      <c r="N3205" s="9" t="s">
        <v>49</v>
      </c>
      <c r="O3205" s="10">
        <f>'data on outstanding creditors'!$E3205*100/107</f>
        <v>2120</v>
      </c>
      <c r="P3205" s="10">
        <f>'data on outstanding creditors'!$E3205-'data on outstanding creditors'!$O3205</f>
        <v>148.4</v>
      </c>
      <c r="Q3205" s="7">
        <f>DAY('data on outstanding creditors'!$B3205)</f>
        <v>18</v>
      </c>
      <c r="R3205" s="7">
        <f>MONTH('data on outstanding creditors'!$B3205)</f>
        <v>7</v>
      </c>
      <c r="S3205" s="7">
        <f>YEAR('data on outstanding creditors'!$B3205)</f>
        <v>2025</v>
      </c>
      <c r="T3205" s="11" t="str">
        <f>'data on outstanding creditors'!$C3205&amp;" "&amp;'data on outstanding creditors'!$D3205&amp;" "&amp;TEXT('data on outstanding creditors'!$E3205,"#,##0.00")</f>
        <v>หจก.นางรองเจริญยางยนต์ 6807000275 2,268.40</v>
      </c>
      <c r="U3205" s="12"/>
    </row>
    <row r="3206" ht="13.5" customHeight="1">
      <c r="A3206" s="1" t="s">
        <v>5031</v>
      </c>
      <c r="B3206" s="2">
        <v>45860.0</v>
      </c>
      <c r="C3206" s="9" t="s">
        <v>1202</v>
      </c>
      <c r="D3206" s="1" t="s">
        <v>5032</v>
      </c>
      <c r="E3206" s="4">
        <v>1658.5</v>
      </c>
      <c r="F3206" s="4"/>
      <c r="G3206" s="4"/>
      <c r="H3206" s="4">
        <f>'data on outstanding creditors'!$E3206-'data on outstanding creditors'!$F3206-'data on outstanding creditors'!$G3206</f>
        <v>1658.5</v>
      </c>
      <c r="I3206" s="2"/>
      <c r="J3206" s="1" t="s">
        <v>646</v>
      </c>
      <c r="K3206" s="2">
        <v>45960.0</v>
      </c>
      <c r="L3206" s="5"/>
      <c r="M3206" s="9" t="s">
        <v>5008</v>
      </c>
      <c r="N3206" s="9" t="s">
        <v>49</v>
      </c>
      <c r="O3206" s="10">
        <f>'data on outstanding creditors'!$E3206*100/107</f>
        <v>1550</v>
      </c>
      <c r="P3206" s="10">
        <f>'data on outstanding creditors'!$E3206-'data on outstanding creditors'!$O3206</f>
        <v>108.5</v>
      </c>
      <c r="Q3206" s="7">
        <f>DAY('data on outstanding creditors'!$B3206)</f>
        <v>22</v>
      </c>
      <c r="R3206" s="7">
        <f>MONTH('data on outstanding creditors'!$B3206)</f>
        <v>7</v>
      </c>
      <c r="S3206" s="7">
        <f>YEAR('data on outstanding creditors'!$B3206)</f>
        <v>2025</v>
      </c>
      <c r="T3206" s="11" t="str">
        <f>'data on outstanding creditors'!$C3206&amp;" "&amp;'data on outstanding creditors'!$D3206&amp;" "&amp;TEXT('data on outstanding creditors'!$E3206,"#,##0.00")</f>
        <v>หจก.นางรองเจริญยางยนต์ 6807000335 1,658.50</v>
      </c>
      <c r="U3206" s="12"/>
    </row>
    <row r="3207" ht="13.5" customHeight="1">
      <c r="A3207" s="1" t="s">
        <v>5033</v>
      </c>
      <c r="B3207" s="2">
        <v>45860.0</v>
      </c>
      <c r="C3207" s="9" t="s">
        <v>1202</v>
      </c>
      <c r="D3207" s="1" t="s">
        <v>5034</v>
      </c>
      <c r="E3207" s="4">
        <v>2535.9</v>
      </c>
      <c r="F3207" s="4"/>
      <c r="G3207" s="4"/>
      <c r="H3207" s="4">
        <f>'data on outstanding creditors'!$E3207-'data on outstanding creditors'!$F3207-'data on outstanding creditors'!$G3207</f>
        <v>2535.9</v>
      </c>
      <c r="I3207" s="2"/>
      <c r="J3207" s="1" t="s">
        <v>646</v>
      </c>
      <c r="K3207" s="2">
        <v>45960.0</v>
      </c>
      <c r="L3207" s="5"/>
      <c r="M3207" s="9" t="s">
        <v>5008</v>
      </c>
      <c r="N3207" s="9" t="s">
        <v>49</v>
      </c>
      <c r="O3207" s="10">
        <f>'data on outstanding creditors'!$E3207*100/107</f>
        <v>2370</v>
      </c>
      <c r="P3207" s="10">
        <f>'data on outstanding creditors'!$E3207-'data on outstanding creditors'!$O3207</f>
        <v>165.9</v>
      </c>
      <c r="Q3207" s="7">
        <f>DAY('data on outstanding creditors'!$B3207)</f>
        <v>22</v>
      </c>
      <c r="R3207" s="7">
        <f>MONTH('data on outstanding creditors'!$B3207)</f>
        <v>7</v>
      </c>
      <c r="S3207" s="7">
        <f>YEAR('data on outstanding creditors'!$B3207)</f>
        <v>2025</v>
      </c>
      <c r="T3207" s="11" t="str">
        <f>'data on outstanding creditors'!$C3207&amp;" "&amp;'data on outstanding creditors'!$D3207&amp;" "&amp;TEXT('data on outstanding creditors'!$E3207,"#,##0.00")</f>
        <v>หจก.นางรองเจริญยางยนต์ 6807000333 2,535.90</v>
      </c>
      <c r="U3207" s="12"/>
    </row>
    <row r="3208" ht="13.5" customHeight="1">
      <c r="A3208" s="1" t="s">
        <v>5035</v>
      </c>
      <c r="B3208" s="2">
        <v>45876.0</v>
      </c>
      <c r="C3208" s="9" t="s">
        <v>1202</v>
      </c>
      <c r="D3208" s="1" t="s">
        <v>5036</v>
      </c>
      <c r="E3208" s="4">
        <v>3959.0</v>
      </c>
      <c r="F3208" s="4"/>
      <c r="G3208" s="4"/>
      <c r="H3208" s="4">
        <f>'data on outstanding creditors'!$E3208-'data on outstanding creditors'!$F3208-'data on outstanding creditors'!$G3208</f>
        <v>3959</v>
      </c>
      <c r="I3208" s="2"/>
      <c r="J3208" s="1"/>
      <c r="K3208" s="2"/>
      <c r="L3208" s="5"/>
      <c r="M3208" s="9" t="s">
        <v>5008</v>
      </c>
      <c r="N3208" s="9" t="s">
        <v>49</v>
      </c>
      <c r="O3208" s="10">
        <f>'data on outstanding creditors'!$E3208*100/107</f>
        <v>3700</v>
      </c>
      <c r="P3208" s="10">
        <f>'data on outstanding creditors'!$E3208-'data on outstanding creditors'!$O3208</f>
        <v>259</v>
      </c>
      <c r="Q3208" s="7">
        <f>DAY('data on outstanding creditors'!$B3208)</f>
        <v>7</v>
      </c>
      <c r="R3208" s="7">
        <f>MONTH('data on outstanding creditors'!$B3208)</f>
        <v>8</v>
      </c>
      <c r="S3208" s="7">
        <f>YEAR('data on outstanding creditors'!$B3208)</f>
        <v>2025</v>
      </c>
      <c r="T3208" s="11" t="str">
        <f>'data on outstanding creditors'!$C3208&amp;" "&amp;'data on outstanding creditors'!$D3208&amp;" "&amp;TEXT('data on outstanding creditors'!$E3208,"#,##0.00")</f>
        <v>หจก.นางรองเจริญยางยนต์ 6807000336 3,959.00</v>
      </c>
      <c r="U3208" s="12"/>
    </row>
    <row r="3209" ht="13.5" customHeight="1">
      <c r="A3209" s="1" t="s">
        <v>5037</v>
      </c>
      <c r="B3209" s="2">
        <v>45882.0</v>
      </c>
      <c r="C3209" s="9" t="s">
        <v>1202</v>
      </c>
      <c r="D3209" s="1" t="s">
        <v>5038</v>
      </c>
      <c r="E3209" s="4">
        <v>4601.0</v>
      </c>
      <c r="F3209" s="4"/>
      <c r="G3209" s="4"/>
      <c r="H3209" s="4">
        <f>'data on outstanding creditors'!$E3209-'data on outstanding creditors'!$F3209-'data on outstanding creditors'!$G3209</f>
        <v>4601</v>
      </c>
      <c r="I3209" s="2"/>
      <c r="J3209" s="1"/>
      <c r="K3209" s="2"/>
      <c r="L3209" s="5"/>
      <c r="M3209" s="9" t="s">
        <v>5008</v>
      </c>
      <c r="N3209" s="9" t="s">
        <v>49</v>
      </c>
      <c r="O3209" s="10">
        <f>'data on outstanding creditors'!$E3209*100/107</f>
        <v>4300</v>
      </c>
      <c r="P3209" s="10">
        <f>'data on outstanding creditors'!$E3209-'data on outstanding creditors'!$O3209</f>
        <v>301</v>
      </c>
      <c r="Q3209" s="7">
        <f>DAY('data on outstanding creditors'!$B3209)</f>
        <v>13</v>
      </c>
      <c r="R3209" s="7">
        <f>MONTH('data on outstanding creditors'!$B3209)</f>
        <v>8</v>
      </c>
      <c r="S3209" s="7">
        <f>YEAR('data on outstanding creditors'!$B3209)</f>
        <v>2025</v>
      </c>
      <c r="T3209" s="11" t="str">
        <f>'data on outstanding creditors'!$C3209&amp;" "&amp;'data on outstanding creditors'!$D3209&amp;" "&amp;TEXT('data on outstanding creditors'!$E3209,"#,##0.00")</f>
        <v>หจก.นางรองเจริญยางยนต์ 6808000200 4,601.00</v>
      </c>
      <c r="U3209" s="12"/>
    </row>
    <row r="3210" ht="13.5" customHeight="1">
      <c r="A3210" s="1" t="s">
        <v>5039</v>
      </c>
      <c r="B3210" s="2">
        <v>45882.0</v>
      </c>
      <c r="C3210" s="9" t="s">
        <v>5040</v>
      </c>
      <c r="D3210" s="1" t="s">
        <v>5041</v>
      </c>
      <c r="E3210" s="4">
        <v>4396.0</v>
      </c>
      <c r="F3210" s="4"/>
      <c r="G3210" s="4"/>
      <c r="H3210" s="4">
        <f>'data on outstanding creditors'!$E3210-'data on outstanding creditors'!$F3210-'data on outstanding creditors'!$G3210</f>
        <v>4396</v>
      </c>
      <c r="I3210" s="2"/>
      <c r="J3210" s="1" t="s">
        <v>646</v>
      </c>
      <c r="K3210" s="2">
        <v>45951.0</v>
      </c>
      <c r="L3210" s="5"/>
      <c r="M3210" s="9" t="s">
        <v>5008</v>
      </c>
      <c r="N3210" s="9" t="s">
        <v>49</v>
      </c>
      <c r="O3210" s="10">
        <f>'data on outstanding creditors'!$E3210*100/107</f>
        <v>4108.411215</v>
      </c>
      <c r="P3210" s="10">
        <f>'data on outstanding creditors'!$E3210-'data on outstanding creditors'!$O3210</f>
        <v>287.588785</v>
      </c>
      <c r="Q3210" s="7">
        <f>DAY('data on outstanding creditors'!$B3210)</f>
        <v>13</v>
      </c>
      <c r="R3210" s="7">
        <f>MONTH('data on outstanding creditors'!$B3210)</f>
        <v>8</v>
      </c>
      <c r="S3210" s="7">
        <f>YEAR('data on outstanding creditors'!$B3210)</f>
        <v>2025</v>
      </c>
      <c r="T3210" s="11" t="str">
        <f>'data on outstanding creditors'!$C3210&amp;" "&amp;'data on outstanding creditors'!$D3210&amp;" "&amp;TEXT('data on outstanding creditors'!$E3210,"#,##0.00")</f>
        <v>บ.มิดซู แสนรุ่งเรือง บุรีรัมย์ B680813003 4,396.00</v>
      </c>
      <c r="U3210" s="12"/>
    </row>
    <row r="3211" ht="13.5" customHeight="1">
      <c r="A3211" s="1" t="s">
        <v>5042</v>
      </c>
      <c r="B3211" s="2">
        <v>45883.0</v>
      </c>
      <c r="C3211" s="9" t="s">
        <v>1202</v>
      </c>
      <c r="D3211" s="1" t="s">
        <v>5043</v>
      </c>
      <c r="E3211" s="4">
        <v>2771.3</v>
      </c>
      <c r="F3211" s="4"/>
      <c r="G3211" s="4"/>
      <c r="H3211" s="4">
        <f>'data on outstanding creditors'!$E3211-'data on outstanding creditors'!$F3211-'data on outstanding creditors'!$G3211</f>
        <v>2771.3</v>
      </c>
      <c r="I3211" s="2"/>
      <c r="J3211" s="1"/>
      <c r="K3211" s="2"/>
      <c r="L3211" s="5"/>
      <c r="M3211" s="9" t="s">
        <v>5008</v>
      </c>
      <c r="N3211" s="9" t="s">
        <v>49</v>
      </c>
      <c r="O3211" s="10">
        <f>'data on outstanding creditors'!$E3211*100/107</f>
        <v>2590</v>
      </c>
      <c r="P3211" s="10">
        <f>'data on outstanding creditors'!$E3211-'data on outstanding creditors'!$O3211</f>
        <v>181.3</v>
      </c>
      <c r="Q3211" s="7">
        <f>DAY('data on outstanding creditors'!$B3211)</f>
        <v>14</v>
      </c>
      <c r="R3211" s="7">
        <f>MONTH('data on outstanding creditors'!$B3211)</f>
        <v>8</v>
      </c>
      <c r="S3211" s="7">
        <f>YEAR('data on outstanding creditors'!$B3211)</f>
        <v>2025</v>
      </c>
      <c r="T3211" s="11" t="str">
        <f>'data on outstanding creditors'!$C3211&amp;" "&amp;'data on outstanding creditors'!$D3211&amp;" "&amp;TEXT('data on outstanding creditors'!$E3211,"#,##0.00")</f>
        <v>หจก.นางรองเจริญยางยนต์ 6808000206 2,771.30</v>
      </c>
      <c r="U3211" s="12"/>
    </row>
    <row r="3212" ht="13.5" customHeight="1">
      <c r="A3212" s="1" t="s">
        <v>5044</v>
      </c>
      <c r="B3212" s="2">
        <v>45894.0</v>
      </c>
      <c r="C3212" s="9" t="s">
        <v>1202</v>
      </c>
      <c r="D3212" s="1" t="s">
        <v>5045</v>
      </c>
      <c r="E3212" s="4">
        <v>2717.8</v>
      </c>
      <c r="F3212" s="4"/>
      <c r="G3212" s="4"/>
      <c r="H3212" s="4">
        <f>'data on outstanding creditors'!$E3212-'data on outstanding creditors'!$F3212-'data on outstanding creditors'!$G3212</f>
        <v>2717.8</v>
      </c>
      <c r="I3212" s="2"/>
      <c r="J3212" s="1"/>
      <c r="K3212" s="2"/>
      <c r="L3212" s="5"/>
      <c r="M3212" s="9" t="s">
        <v>5008</v>
      </c>
      <c r="N3212" s="9" t="s">
        <v>49</v>
      </c>
      <c r="O3212" s="10">
        <f>'data on outstanding creditors'!$E3212*100/107</f>
        <v>2540</v>
      </c>
      <c r="P3212" s="10">
        <f>'data on outstanding creditors'!$E3212-'data on outstanding creditors'!$O3212</f>
        <v>177.8</v>
      </c>
      <c r="Q3212" s="7">
        <f>DAY('data on outstanding creditors'!$B3212)</f>
        <v>25</v>
      </c>
      <c r="R3212" s="7">
        <f>MONTH('data on outstanding creditors'!$B3212)</f>
        <v>8</v>
      </c>
      <c r="S3212" s="7">
        <f>YEAR('data on outstanding creditors'!$B3212)</f>
        <v>2025</v>
      </c>
      <c r="T3212" s="11" t="str">
        <f>'data on outstanding creditors'!$C3212&amp;" "&amp;'data on outstanding creditors'!$D3212&amp;" "&amp;TEXT('data on outstanding creditors'!$E3212,"#,##0.00")</f>
        <v>หจก.นางรองเจริญยางยนต์ 6808000360 2,717.80</v>
      </c>
      <c r="U3212" s="12"/>
    </row>
    <row r="3213" ht="13.5" customHeight="1">
      <c r="A3213" s="1" t="s">
        <v>5046</v>
      </c>
      <c r="B3213" s="2">
        <v>45905.0</v>
      </c>
      <c r="C3213" s="9" t="s">
        <v>1202</v>
      </c>
      <c r="D3213" s="1" t="s">
        <v>5047</v>
      </c>
      <c r="E3213" s="4">
        <v>4601.0</v>
      </c>
      <c r="F3213" s="4"/>
      <c r="G3213" s="4"/>
      <c r="H3213" s="4">
        <f>'data on outstanding creditors'!$E3213-'data on outstanding creditors'!$F3213-'data on outstanding creditors'!$G3213</f>
        <v>4601</v>
      </c>
      <c r="I3213" s="2"/>
      <c r="J3213" s="1"/>
      <c r="K3213" s="2"/>
      <c r="L3213" s="5"/>
      <c r="M3213" s="9" t="s">
        <v>5008</v>
      </c>
      <c r="N3213" s="9" t="s">
        <v>49</v>
      </c>
      <c r="O3213" s="10">
        <f>'data on outstanding creditors'!$E3213*100/107</f>
        <v>4300</v>
      </c>
      <c r="P3213" s="10">
        <f>'data on outstanding creditors'!$E3213-'data on outstanding creditors'!$O3213</f>
        <v>301</v>
      </c>
      <c r="Q3213" s="7">
        <f>DAY('data on outstanding creditors'!$B3213)</f>
        <v>5</v>
      </c>
      <c r="R3213" s="7">
        <f>MONTH('data on outstanding creditors'!$B3213)</f>
        <v>9</v>
      </c>
      <c r="S3213" s="7">
        <f>YEAR('data on outstanding creditors'!$B3213)</f>
        <v>2025</v>
      </c>
      <c r="T3213" s="11" t="str">
        <f>'data on outstanding creditors'!$C3213&amp;" "&amp;'data on outstanding creditors'!$D3213&amp;" "&amp;TEXT('data on outstanding creditors'!$E3213,"#,##0.00")</f>
        <v>หจก.นางรองเจริญยางยนต์ 6809000087 4,601.00</v>
      </c>
      <c r="U3213" s="12"/>
    </row>
    <row r="3214" ht="13.5" customHeight="1">
      <c r="A3214" s="1" t="s">
        <v>5048</v>
      </c>
      <c r="B3214" s="2">
        <v>45905.0</v>
      </c>
      <c r="C3214" s="9" t="s">
        <v>1202</v>
      </c>
      <c r="D3214" s="1" t="s">
        <v>5049</v>
      </c>
      <c r="E3214" s="4">
        <v>2942.5</v>
      </c>
      <c r="F3214" s="4"/>
      <c r="G3214" s="4"/>
      <c r="H3214" s="4">
        <f>'data on outstanding creditors'!$E3214-'data on outstanding creditors'!$F3214-'data on outstanding creditors'!$G3214</f>
        <v>2942.5</v>
      </c>
      <c r="I3214" s="2"/>
      <c r="J3214" s="1"/>
      <c r="K3214" s="2"/>
      <c r="L3214" s="5"/>
      <c r="M3214" s="9" t="s">
        <v>5008</v>
      </c>
      <c r="N3214" s="9" t="s">
        <v>49</v>
      </c>
      <c r="O3214" s="10">
        <f>'data on outstanding creditors'!$E3214*100/107</f>
        <v>2750</v>
      </c>
      <c r="P3214" s="10">
        <f>'data on outstanding creditors'!$E3214-'data on outstanding creditors'!$O3214</f>
        <v>192.5</v>
      </c>
      <c r="Q3214" s="7">
        <f>DAY('data on outstanding creditors'!$B3214)</f>
        <v>5</v>
      </c>
      <c r="R3214" s="7">
        <f>MONTH('data on outstanding creditors'!$B3214)</f>
        <v>9</v>
      </c>
      <c r="S3214" s="7">
        <f>YEAR('data on outstanding creditors'!$B3214)</f>
        <v>2025</v>
      </c>
      <c r="T3214" s="11" t="str">
        <f>'data on outstanding creditors'!$C3214&amp;" "&amp;'data on outstanding creditors'!$D3214&amp;" "&amp;TEXT('data on outstanding creditors'!$E3214,"#,##0.00")</f>
        <v>หจก.นางรองเจริญยางยนต์ 6809000088 2,942.50</v>
      </c>
      <c r="U3214" s="12"/>
    </row>
    <row r="3215" ht="13.5" customHeight="1">
      <c r="A3215" s="1" t="s">
        <v>5050</v>
      </c>
      <c r="B3215" s="2">
        <v>45917.0</v>
      </c>
      <c r="C3215" s="9" t="s">
        <v>1202</v>
      </c>
      <c r="D3215" s="1" t="s">
        <v>5051</v>
      </c>
      <c r="E3215" s="4">
        <v>2107.9</v>
      </c>
      <c r="F3215" s="4"/>
      <c r="G3215" s="4"/>
      <c r="H3215" s="4">
        <f>'data on outstanding creditors'!$E3215-'data on outstanding creditors'!$F3215-'data on outstanding creditors'!$G3215</f>
        <v>2107.9</v>
      </c>
      <c r="I3215" s="2"/>
      <c r="J3215" s="1"/>
      <c r="K3215" s="2"/>
      <c r="L3215" s="5"/>
      <c r="M3215" s="9" t="s">
        <v>5008</v>
      </c>
      <c r="N3215" s="9" t="s">
        <v>49</v>
      </c>
      <c r="O3215" s="10">
        <f>'data on outstanding creditors'!$E3215*100/107</f>
        <v>1970</v>
      </c>
      <c r="P3215" s="10">
        <f>'data on outstanding creditors'!$E3215-'data on outstanding creditors'!$O3215</f>
        <v>137.9</v>
      </c>
      <c r="Q3215" s="7">
        <f>DAY('data on outstanding creditors'!$B3215)</f>
        <v>17</v>
      </c>
      <c r="R3215" s="7">
        <f>MONTH('data on outstanding creditors'!$B3215)</f>
        <v>9</v>
      </c>
      <c r="S3215" s="7">
        <f>YEAR('data on outstanding creditors'!$B3215)</f>
        <v>2025</v>
      </c>
      <c r="T3215" s="11" t="str">
        <f>'data on outstanding creditors'!$C3215&amp;" "&amp;'data on outstanding creditors'!$D3215&amp;" "&amp;TEXT('data on outstanding creditors'!$E3215,"#,##0.00")</f>
        <v>หจก.นางรองเจริญยางยนต์ 6809000238 2,107.90</v>
      </c>
      <c r="U3215" s="12"/>
    </row>
    <row r="3216" ht="13.5" customHeight="1">
      <c r="A3216" s="1" t="s">
        <v>5052</v>
      </c>
      <c r="B3216" s="2">
        <v>45918.0</v>
      </c>
      <c r="C3216" s="9" t="s">
        <v>1202</v>
      </c>
      <c r="D3216" s="1" t="s">
        <v>5053</v>
      </c>
      <c r="E3216" s="4">
        <v>3177.9</v>
      </c>
      <c r="F3216" s="4"/>
      <c r="G3216" s="4"/>
      <c r="H3216" s="4">
        <f>'data on outstanding creditors'!$E3216-'data on outstanding creditors'!$F3216-'data on outstanding creditors'!$G3216</f>
        <v>3177.9</v>
      </c>
      <c r="I3216" s="2"/>
      <c r="J3216" s="1"/>
      <c r="K3216" s="2"/>
      <c r="L3216" s="5"/>
      <c r="M3216" s="9" t="s">
        <v>5008</v>
      </c>
      <c r="N3216" s="9" t="s">
        <v>49</v>
      </c>
      <c r="O3216" s="10">
        <f>'data on outstanding creditors'!$E3216*100/107</f>
        <v>2970</v>
      </c>
      <c r="P3216" s="10">
        <f>'data on outstanding creditors'!$E3216-'data on outstanding creditors'!$O3216</f>
        <v>207.9</v>
      </c>
      <c r="Q3216" s="7">
        <f>DAY('data on outstanding creditors'!$B3216)</f>
        <v>18</v>
      </c>
      <c r="R3216" s="7">
        <f>MONTH('data on outstanding creditors'!$B3216)</f>
        <v>9</v>
      </c>
      <c r="S3216" s="7">
        <f>YEAR('data on outstanding creditors'!$B3216)</f>
        <v>2025</v>
      </c>
      <c r="T3216" s="11" t="str">
        <f>'data on outstanding creditors'!$C3216&amp;" "&amp;'data on outstanding creditors'!$D3216&amp;" "&amp;TEXT('data on outstanding creditors'!$E3216,"#,##0.00")</f>
        <v>หจก.นางรองเจริญยางยนต์ 6809000262 3,177.90</v>
      </c>
      <c r="U3216" s="12"/>
    </row>
    <row r="3217" ht="13.5" customHeight="1">
      <c r="A3217" s="1" t="s">
        <v>5054</v>
      </c>
      <c r="B3217" s="2">
        <v>45926.0</v>
      </c>
      <c r="C3217" s="9" t="s">
        <v>1202</v>
      </c>
      <c r="D3217" s="1" t="s">
        <v>5055</v>
      </c>
      <c r="E3217" s="4">
        <v>11085.2</v>
      </c>
      <c r="F3217" s="4"/>
      <c r="G3217" s="4"/>
      <c r="H3217" s="4">
        <f>'data on outstanding creditors'!$E3217-'data on outstanding creditors'!$F3217-'data on outstanding creditors'!$G3217</f>
        <v>11085.2</v>
      </c>
      <c r="I3217" s="2"/>
      <c r="J3217" s="1"/>
      <c r="K3217" s="2"/>
      <c r="L3217" s="5"/>
      <c r="M3217" s="9" t="s">
        <v>5008</v>
      </c>
      <c r="N3217" s="9" t="s">
        <v>49</v>
      </c>
      <c r="O3217" s="10">
        <f>'data on outstanding creditors'!$E3217*100/107</f>
        <v>10360</v>
      </c>
      <c r="P3217" s="10">
        <f>'data on outstanding creditors'!$E3217-'data on outstanding creditors'!$O3217</f>
        <v>725.2</v>
      </c>
      <c r="Q3217" s="7">
        <f>DAY('data on outstanding creditors'!$B3217)</f>
        <v>26</v>
      </c>
      <c r="R3217" s="7">
        <f>MONTH('data on outstanding creditors'!$B3217)</f>
        <v>9</v>
      </c>
      <c r="S3217" s="7">
        <f>YEAR('data on outstanding creditors'!$B3217)</f>
        <v>2025</v>
      </c>
      <c r="T3217" s="11" t="str">
        <f>'data on outstanding creditors'!$C3217&amp;" "&amp;'data on outstanding creditors'!$D3217&amp;" "&amp;TEXT('data on outstanding creditors'!$E3217,"#,##0.00")</f>
        <v>หจก.นางรองเจริญยางยนต์ 6809000394 11,085.20</v>
      </c>
      <c r="U3217" s="12"/>
    </row>
    <row r="3218" ht="13.5" customHeight="1">
      <c r="A3218" s="1" t="s">
        <v>5056</v>
      </c>
      <c r="B3218" s="2">
        <v>45932.0</v>
      </c>
      <c r="C3218" s="9" t="s">
        <v>1202</v>
      </c>
      <c r="D3218" s="1" t="s">
        <v>5057</v>
      </c>
      <c r="E3218" s="4">
        <v>6066.9</v>
      </c>
      <c r="F3218" s="4"/>
      <c r="G3218" s="4"/>
      <c r="H3218" s="4">
        <f>'data on outstanding creditors'!$E3218-'data on outstanding creditors'!$F3218-'data on outstanding creditors'!$G3218</f>
        <v>6066.9</v>
      </c>
      <c r="I3218" s="2"/>
      <c r="J3218" s="1"/>
      <c r="K3218" s="2"/>
      <c r="L3218" s="5"/>
      <c r="M3218" s="9" t="s">
        <v>5008</v>
      </c>
      <c r="N3218" s="9" t="s">
        <v>49</v>
      </c>
      <c r="O3218" s="10">
        <f>'data on outstanding creditors'!$E3218*100/107</f>
        <v>5670</v>
      </c>
      <c r="P3218" s="10">
        <f>'data on outstanding creditors'!$E3218-'data on outstanding creditors'!$O3218</f>
        <v>396.9</v>
      </c>
      <c r="Q3218" s="7">
        <f>DAY('data on outstanding creditors'!$B3218)</f>
        <v>2</v>
      </c>
      <c r="R3218" s="7">
        <f>MONTH('data on outstanding creditors'!$B3218)</f>
        <v>10</v>
      </c>
      <c r="S3218" s="7">
        <f>YEAR('data on outstanding creditors'!$B3218)</f>
        <v>2025</v>
      </c>
      <c r="T3218" s="11" t="str">
        <f>'data on outstanding creditors'!$C3218&amp;" "&amp;'data on outstanding creditors'!$D3218&amp;" "&amp;TEXT('data on outstanding creditors'!$E3218,"#,##0.00")</f>
        <v>หจก.นางรองเจริญยางยนต์ 6810000048 6,066.90</v>
      </c>
      <c r="U3218" s="12"/>
    </row>
    <row r="3219" ht="13.5" customHeight="1">
      <c r="A3219" s="1" t="s">
        <v>5058</v>
      </c>
      <c r="B3219" s="2">
        <v>45932.0</v>
      </c>
      <c r="C3219" s="9" t="s">
        <v>1202</v>
      </c>
      <c r="D3219" s="1" t="s">
        <v>5059</v>
      </c>
      <c r="E3219" s="4">
        <v>4708.0</v>
      </c>
      <c r="F3219" s="4"/>
      <c r="G3219" s="4"/>
      <c r="H3219" s="4">
        <f>'data on outstanding creditors'!$E3219-'data on outstanding creditors'!$F3219-'data on outstanding creditors'!$G3219</f>
        <v>4708</v>
      </c>
      <c r="I3219" s="2"/>
      <c r="J3219" s="1"/>
      <c r="K3219" s="2"/>
      <c r="L3219" s="5"/>
      <c r="M3219" s="9" t="s">
        <v>5008</v>
      </c>
      <c r="N3219" s="9" t="s">
        <v>49</v>
      </c>
      <c r="O3219" s="10">
        <f>'data on outstanding creditors'!$E3219*100/107</f>
        <v>4400</v>
      </c>
      <c r="P3219" s="10">
        <f>'data on outstanding creditors'!$E3219-'data on outstanding creditors'!$O3219</f>
        <v>308</v>
      </c>
      <c r="Q3219" s="7">
        <f>DAY('data on outstanding creditors'!$B3219)</f>
        <v>2</v>
      </c>
      <c r="R3219" s="7">
        <f>MONTH('data on outstanding creditors'!$B3219)</f>
        <v>10</v>
      </c>
      <c r="S3219" s="7">
        <f>YEAR('data on outstanding creditors'!$B3219)</f>
        <v>2025</v>
      </c>
      <c r="T3219" s="11" t="str">
        <f>'data on outstanding creditors'!$C3219&amp;" "&amp;'data on outstanding creditors'!$D3219&amp;" "&amp;TEXT('data on outstanding creditors'!$E3219,"#,##0.00")</f>
        <v>หจก.นางรองเจริญยางยนต์ 6810000049 4,708.00</v>
      </c>
      <c r="U3219" s="12"/>
    </row>
    <row r="3220" ht="13.5" customHeight="1">
      <c r="A3220" s="1" t="s">
        <v>5060</v>
      </c>
      <c r="B3220" s="2">
        <v>45939.0</v>
      </c>
      <c r="C3220" s="9" t="s">
        <v>1202</v>
      </c>
      <c r="D3220" s="1" t="s">
        <v>5061</v>
      </c>
      <c r="E3220" s="4">
        <v>15996.5</v>
      </c>
      <c r="F3220" s="4"/>
      <c r="G3220" s="4"/>
      <c r="H3220" s="4">
        <f>'data on outstanding creditors'!$E3220-'data on outstanding creditors'!$F3220-'data on outstanding creditors'!$G3220</f>
        <v>15996.5</v>
      </c>
      <c r="I3220" s="2"/>
      <c r="J3220" s="1"/>
      <c r="K3220" s="2"/>
      <c r="L3220" s="5"/>
      <c r="M3220" s="9" t="s">
        <v>5008</v>
      </c>
      <c r="N3220" s="9" t="s">
        <v>49</v>
      </c>
      <c r="O3220" s="10">
        <f>'data on outstanding creditors'!$E3220*100/107</f>
        <v>14950</v>
      </c>
      <c r="P3220" s="10">
        <f>'data on outstanding creditors'!$E3220-'data on outstanding creditors'!$O3220</f>
        <v>1046.5</v>
      </c>
      <c r="Q3220" s="7">
        <f>DAY('data on outstanding creditors'!$B3220)</f>
        <v>9</v>
      </c>
      <c r="R3220" s="7">
        <f>MONTH('data on outstanding creditors'!$B3220)</f>
        <v>10</v>
      </c>
      <c r="S3220" s="7">
        <f>YEAR('data on outstanding creditors'!$B3220)</f>
        <v>2025</v>
      </c>
      <c r="T3220" s="11" t="str">
        <f>'data on outstanding creditors'!$C3220&amp;" "&amp;'data on outstanding creditors'!$D3220&amp;" "&amp;TEXT('data on outstanding creditors'!$E3220,"#,##0.00")</f>
        <v>หจก.นางรองเจริญยางยนต์ 6810000178 15,996.50</v>
      </c>
      <c r="U3220" s="12"/>
    </row>
    <row r="3221" ht="13.5" customHeight="1">
      <c r="A3221" s="1" t="s">
        <v>5062</v>
      </c>
      <c r="B3221" s="2">
        <v>45939.0</v>
      </c>
      <c r="C3221" s="9" t="s">
        <v>1202</v>
      </c>
      <c r="D3221" s="1" t="s">
        <v>5063</v>
      </c>
      <c r="E3221" s="4">
        <v>3745.0</v>
      </c>
      <c r="F3221" s="4"/>
      <c r="G3221" s="4"/>
      <c r="H3221" s="4">
        <f>'data on outstanding creditors'!$E3221-'data on outstanding creditors'!$F3221-'data on outstanding creditors'!$G3221</f>
        <v>3745</v>
      </c>
      <c r="I3221" s="2"/>
      <c r="J3221" s="1"/>
      <c r="K3221" s="2"/>
      <c r="L3221" s="5"/>
      <c r="M3221" s="9" t="s">
        <v>5008</v>
      </c>
      <c r="N3221" s="9" t="s">
        <v>49</v>
      </c>
      <c r="O3221" s="10">
        <f>'data on outstanding creditors'!$E3221*100/107</f>
        <v>3500</v>
      </c>
      <c r="P3221" s="10">
        <f>'data on outstanding creditors'!$E3221-'data on outstanding creditors'!$O3221</f>
        <v>245</v>
      </c>
      <c r="Q3221" s="7">
        <f>DAY('data on outstanding creditors'!$B3221)</f>
        <v>9</v>
      </c>
      <c r="R3221" s="7">
        <f>MONTH('data on outstanding creditors'!$B3221)</f>
        <v>10</v>
      </c>
      <c r="S3221" s="7">
        <f>YEAR('data on outstanding creditors'!$B3221)</f>
        <v>2025</v>
      </c>
      <c r="T3221" s="11" t="str">
        <f>'data on outstanding creditors'!$C3221&amp;" "&amp;'data on outstanding creditors'!$D3221&amp;" "&amp;TEXT('data on outstanding creditors'!$E3221,"#,##0.00")</f>
        <v>หจก.นางรองเจริญยางยนต์ 6810000176 3,745.00</v>
      </c>
      <c r="U3221" s="12"/>
    </row>
    <row r="3222" ht="13.5" customHeight="1">
      <c r="A3222" s="1" t="s">
        <v>5064</v>
      </c>
      <c r="B3222" s="2">
        <v>45939.0</v>
      </c>
      <c r="C3222" s="9" t="s">
        <v>1202</v>
      </c>
      <c r="D3222" s="1" t="s">
        <v>5065</v>
      </c>
      <c r="E3222" s="4">
        <v>7211.8</v>
      </c>
      <c r="F3222" s="4"/>
      <c r="G3222" s="4"/>
      <c r="H3222" s="4">
        <f>'data on outstanding creditors'!$E3222-'data on outstanding creditors'!$F3222-'data on outstanding creditors'!$G3222</f>
        <v>7211.8</v>
      </c>
      <c r="I3222" s="2"/>
      <c r="J3222" s="1"/>
      <c r="K3222" s="2"/>
      <c r="L3222" s="5"/>
      <c r="M3222" s="9" t="s">
        <v>5008</v>
      </c>
      <c r="N3222" s="9" t="s">
        <v>49</v>
      </c>
      <c r="O3222" s="10">
        <f>'data on outstanding creditors'!$E3222*100/107</f>
        <v>6740</v>
      </c>
      <c r="P3222" s="10">
        <f>'data on outstanding creditors'!$E3222-'data on outstanding creditors'!$O3222</f>
        <v>471.8</v>
      </c>
      <c r="Q3222" s="7">
        <f>DAY('data on outstanding creditors'!$B3222)</f>
        <v>9</v>
      </c>
      <c r="R3222" s="7">
        <f>MONTH('data on outstanding creditors'!$B3222)</f>
        <v>10</v>
      </c>
      <c r="S3222" s="7">
        <f>YEAR('data on outstanding creditors'!$B3222)</f>
        <v>2025</v>
      </c>
      <c r="T3222" s="11" t="str">
        <f>'data on outstanding creditors'!$C3222&amp;" "&amp;'data on outstanding creditors'!$D3222&amp;" "&amp;TEXT('data on outstanding creditors'!$E3222,"#,##0.00")</f>
        <v>หจก.นางรองเจริญยางยนต์ 6810000175 7,211.80</v>
      </c>
      <c r="U3222" s="12"/>
    </row>
    <row r="3223" ht="13.5" customHeight="1">
      <c r="A3223" s="1" t="s">
        <v>5066</v>
      </c>
      <c r="B3223" s="2">
        <v>45944.0</v>
      </c>
      <c r="C3223" s="9" t="s">
        <v>1202</v>
      </c>
      <c r="D3223" s="1" t="s">
        <v>5067</v>
      </c>
      <c r="E3223" s="4">
        <v>1626.4</v>
      </c>
      <c r="F3223" s="4"/>
      <c r="G3223" s="4"/>
      <c r="H3223" s="4">
        <f>'data on outstanding creditors'!$E3223-'data on outstanding creditors'!$F3223-'data on outstanding creditors'!$G3223</f>
        <v>1626.4</v>
      </c>
      <c r="I3223" s="2"/>
      <c r="J3223" s="1"/>
      <c r="K3223" s="2"/>
      <c r="L3223" s="5"/>
      <c r="M3223" s="9" t="s">
        <v>5008</v>
      </c>
      <c r="N3223" s="9" t="s">
        <v>49</v>
      </c>
      <c r="O3223" s="10">
        <f>'data on outstanding creditors'!$E3223*100/107</f>
        <v>1520</v>
      </c>
      <c r="P3223" s="10">
        <f>'data on outstanding creditors'!$E3223-'data on outstanding creditors'!$O3223</f>
        <v>106.4</v>
      </c>
      <c r="Q3223" s="7">
        <f>DAY('data on outstanding creditors'!$B3223)</f>
        <v>14</v>
      </c>
      <c r="R3223" s="7">
        <f>MONTH('data on outstanding creditors'!$B3223)</f>
        <v>10</v>
      </c>
      <c r="S3223" s="7">
        <f>YEAR('data on outstanding creditors'!$B3223)</f>
        <v>2025</v>
      </c>
      <c r="T3223" s="11" t="str">
        <f>'data on outstanding creditors'!$C3223&amp;" "&amp;'data on outstanding creditors'!$D3223&amp;" "&amp;TEXT('data on outstanding creditors'!$E3223,"#,##0.00")</f>
        <v>หจก.นางรองเจริญยางยนต์ 6810000268 1,626.40</v>
      </c>
      <c r="U3223" s="12"/>
    </row>
    <row r="3224" ht="13.5" customHeight="1">
      <c r="A3224" s="1" t="s">
        <v>5068</v>
      </c>
      <c r="B3224" s="2">
        <v>45944.0</v>
      </c>
      <c r="C3224" s="9" t="s">
        <v>1202</v>
      </c>
      <c r="D3224" s="1" t="s">
        <v>5069</v>
      </c>
      <c r="E3224" s="4">
        <v>34668.0</v>
      </c>
      <c r="F3224" s="4"/>
      <c r="G3224" s="4"/>
      <c r="H3224" s="4">
        <f>'data on outstanding creditors'!$E3224-'data on outstanding creditors'!$F3224-'data on outstanding creditors'!$G3224</f>
        <v>34668</v>
      </c>
      <c r="I3224" s="2"/>
      <c r="J3224" s="1"/>
      <c r="K3224" s="2"/>
      <c r="L3224" s="5"/>
      <c r="M3224" s="9" t="s">
        <v>5008</v>
      </c>
      <c r="N3224" s="9" t="s">
        <v>49</v>
      </c>
      <c r="O3224" s="10">
        <f>'data on outstanding creditors'!$E3224*100/107</f>
        <v>32400</v>
      </c>
      <c r="P3224" s="10">
        <f>'data on outstanding creditors'!$E3224-'data on outstanding creditors'!$O3224</f>
        <v>2268</v>
      </c>
      <c r="Q3224" s="7">
        <f>DAY('data on outstanding creditors'!$B3224)</f>
        <v>14</v>
      </c>
      <c r="R3224" s="7">
        <f>MONTH('data on outstanding creditors'!$B3224)</f>
        <v>10</v>
      </c>
      <c r="S3224" s="7">
        <f>YEAR('data on outstanding creditors'!$B3224)</f>
        <v>2025</v>
      </c>
      <c r="T3224" s="11" t="str">
        <f>'data on outstanding creditors'!$C3224&amp;" "&amp;'data on outstanding creditors'!$D3224&amp;" "&amp;TEXT('data on outstanding creditors'!$E3224,"#,##0.00")</f>
        <v>หจก.นางรองเจริญยางยนต์ 6810000262 34,668.00</v>
      </c>
      <c r="U3224" s="12"/>
    </row>
    <row r="3225" ht="13.5" customHeight="1">
      <c r="A3225" s="1" t="s">
        <v>5070</v>
      </c>
      <c r="B3225" s="2">
        <v>45945.0</v>
      </c>
      <c r="C3225" s="9" t="s">
        <v>5071</v>
      </c>
      <c r="D3225" s="1" t="s">
        <v>5072</v>
      </c>
      <c r="E3225" s="4">
        <v>6393.25</v>
      </c>
      <c r="F3225" s="4"/>
      <c r="G3225" s="4"/>
      <c r="H3225" s="4">
        <f>'data on outstanding creditors'!$E3225-'data on outstanding creditors'!$F3225-'data on outstanding creditors'!$G3225</f>
        <v>6393.25</v>
      </c>
      <c r="I3225" s="2"/>
      <c r="J3225" s="1"/>
      <c r="K3225" s="2"/>
      <c r="L3225" s="5"/>
      <c r="M3225" s="9" t="s">
        <v>5008</v>
      </c>
      <c r="N3225" s="9" t="s">
        <v>49</v>
      </c>
      <c r="O3225" s="10">
        <f>'data on outstanding creditors'!$E3225*100/107</f>
        <v>5975</v>
      </c>
      <c r="P3225" s="10">
        <f>'data on outstanding creditors'!$E3225-'data on outstanding creditors'!$O3225</f>
        <v>418.25</v>
      </c>
      <c r="Q3225" s="7">
        <f>DAY('data on outstanding creditors'!$B3225)</f>
        <v>15</v>
      </c>
      <c r="R3225" s="7">
        <f>MONTH('data on outstanding creditors'!$B3225)</f>
        <v>10</v>
      </c>
      <c r="S3225" s="7">
        <f>YEAR('data on outstanding creditors'!$B3225)</f>
        <v>2025</v>
      </c>
      <c r="T3225" s="11" t="str">
        <f>'data on outstanding creditors'!$C3225&amp;" "&amp;'data on outstanding creditors'!$D3225&amp;" "&amp;TEXT('data on outstanding creditors'!$E3225,"#,##0.00")</f>
        <v>บ.เทพนครคาร์ A24AT0400225100124C 6,393.25</v>
      </c>
      <c r="U3225" s="12"/>
    </row>
    <row r="3226" ht="13.5" customHeight="1">
      <c r="A3226" s="1"/>
      <c r="B3226" s="2">
        <v>45638.0</v>
      </c>
      <c r="C3226" s="9" t="s">
        <v>1211</v>
      </c>
      <c r="D3226" s="1" t="s">
        <v>5073</v>
      </c>
      <c r="E3226" s="4">
        <v>14445.0</v>
      </c>
      <c r="F3226" s="4"/>
      <c r="G3226" s="4"/>
      <c r="H3226" s="4">
        <f>'data on outstanding creditors'!$E3226-'data on outstanding creditors'!$F3226-'data on outstanding creditors'!$G3226</f>
        <v>14445</v>
      </c>
      <c r="I3226" s="2"/>
      <c r="J3226" s="1" t="s">
        <v>646</v>
      </c>
      <c r="K3226" s="2">
        <v>45928.0</v>
      </c>
      <c r="L3226" s="5"/>
      <c r="M3226" s="9" t="s">
        <v>362</v>
      </c>
      <c r="N3226" s="9" t="s">
        <v>49</v>
      </c>
      <c r="O3226" s="10">
        <f>'data on outstanding creditors'!$E3226*100/107</f>
        <v>13500</v>
      </c>
      <c r="P3226" s="10">
        <f>'data on outstanding creditors'!$E3226-'data on outstanding creditors'!$O3226</f>
        <v>945</v>
      </c>
      <c r="Q3226" s="7">
        <f>DAY('data on outstanding creditors'!$B3226)</f>
        <v>12</v>
      </c>
      <c r="R3226" s="7">
        <f>MONTH('data on outstanding creditors'!$B3226)</f>
        <v>12</v>
      </c>
      <c r="S3226" s="7">
        <f>YEAR('data on outstanding creditors'!$B3226)</f>
        <v>2024</v>
      </c>
      <c r="T3226" s="11" t="str">
        <f>'data on outstanding creditors'!$C3226&amp;" "&amp;'data on outstanding creditors'!$D3226&amp;" "&amp;TEXT('data on outstanding creditors'!$E3226,"#,##0.00")</f>
        <v>บ.เอน-ไซน์ เอ็นจิเนียริง 2023985 14,445.00</v>
      </c>
      <c r="U3226" s="12"/>
    </row>
    <row r="3227" ht="13.5" customHeight="1">
      <c r="A3227" s="1"/>
      <c r="B3227" s="2">
        <v>45651.0</v>
      </c>
      <c r="C3227" s="9" t="s">
        <v>1183</v>
      </c>
      <c r="D3227" s="1" t="s">
        <v>5074</v>
      </c>
      <c r="E3227" s="4">
        <v>71800.0</v>
      </c>
      <c r="F3227" s="4"/>
      <c r="G3227" s="4"/>
      <c r="H3227" s="4">
        <f>'data on outstanding creditors'!$E3227-'data on outstanding creditors'!$F3227-'data on outstanding creditors'!$G3227</f>
        <v>71800</v>
      </c>
      <c r="I3227" s="2"/>
      <c r="J3227" s="1" t="s">
        <v>646</v>
      </c>
      <c r="K3227" s="2">
        <v>45894.0</v>
      </c>
      <c r="L3227" s="5"/>
      <c r="M3227" s="9" t="s">
        <v>362</v>
      </c>
      <c r="N3227" s="9" t="s">
        <v>49</v>
      </c>
      <c r="O3227" s="10">
        <f>'data on outstanding creditors'!$E3227*100/107</f>
        <v>67102.80374</v>
      </c>
      <c r="P3227" s="10">
        <f>'data on outstanding creditors'!$E3227-'data on outstanding creditors'!$O3227</f>
        <v>4697.196262</v>
      </c>
      <c r="Q3227" s="7">
        <f>DAY('data on outstanding creditors'!$B3227)</f>
        <v>25</v>
      </c>
      <c r="R3227" s="7">
        <f>MONTH('data on outstanding creditors'!$B3227)</f>
        <v>12</v>
      </c>
      <c r="S3227" s="7">
        <f>YEAR('data on outstanding creditors'!$B3227)</f>
        <v>2024</v>
      </c>
      <c r="T3227" s="11" t="str">
        <f>'data on outstanding creditors'!$C3227&amp;" "&amp;'data on outstanding creditors'!$D3227&amp;" "&amp;TEXT('data on outstanding creditors'!$E3227,"#,##0.00")</f>
        <v>บ.โซวิค 154211 71,800.00</v>
      </c>
      <c r="U3227" s="12"/>
    </row>
    <row r="3228" ht="13.5" customHeight="1">
      <c r="A3228" s="1"/>
      <c r="B3228" s="2">
        <v>45651.0</v>
      </c>
      <c r="C3228" s="9" t="s">
        <v>1637</v>
      </c>
      <c r="D3228" s="1" t="s">
        <v>5075</v>
      </c>
      <c r="E3228" s="4">
        <v>60000.0</v>
      </c>
      <c r="F3228" s="4"/>
      <c r="G3228" s="4"/>
      <c r="H3228" s="4">
        <f>'data on outstanding creditors'!$E3228-'data on outstanding creditors'!$F3228-'data on outstanding creditors'!$G3228</f>
        <v>60000</v>
      </c>
      <c r="I3228" s="2"/>
      <c r="J3228" s="1" t="s">
        <v>646</v>
      </c>
      <c r="K3228" s="2">
        <v>45856.0</v>
      </c>
      <c r="L3228" s="5"/>
      <c r="M3228" s="9" t="s">
        <v>362</v>
      </c>
      <c r="N3228" s="9" t="s">
        <v>49</v>
      </c>
      <c r="O3228" s="10">
        <f>'data on outstanding creditors'!$E3228*100/107</f>
        <v>56074.76636</v>
      </c>
      <c r="P3228" s="10">
        <f>'data on outstanding creditors'!$E3228-'data on outstanding creditors'!$O3228</f>
        <v>3925.233645</v>
      </c>
      <c r="Q3228" s="7">
        <f>DAY('data on outstanding creditors'!$B3228)</f>
        <v>25</v>
      </c>
      <c r="R3228" s="7">
        <f>MONTH('data on outstanding creditors'!$B3228)</f>
        <v>12</v>
      </c>
      <c r="S3228" s="7">
        <f>YEAR('data on outstanding creditors'!$B3228)</f>
        <v>2024</v>
      </c>
      <c r="T3228" s="11" t="str">
        <f>'data on outstanding creditors'!$C3228&amp;" "&amp;'data on outstanding creditors'!$D3228&amp;" "&amp;TEXT('data on outstanding creditors'!$E3228,"#,##0.00")</f>
        <v>บ.บีเจเอช เมดิคอล 321247400937 60,000.00</v>
      </c>
      <c r="U3228" s="12"/>
    </row>
    <row r="3229" ht="13.5" customHeight="1">
      <c r="A3229" s="1"/>
      <c r="B3229" s="2">
        <v>45667.0</v>
      </c>
      <c r="C3229" s="9" t="s">
        <v>3808</v>
      </c>
      <c r="D3229" s="1" t="s">
        <v>5076</v>
      </c>
      <c r="E3229" s="4">
        <v>16050.0</v>
      </c>
      <c r="F3229" s="4"/>
      <c r="G3229" s="4"/>
      <c r="H3229" s="4">
        <f>'data on outstanding creditors'!$E3229-'data on outstanding creditors'!$F3229-'data on outstanding creditors'!$G3229</f>
        <v>16050</v>
      </c>
      <c r="I3229" s="2"/>
      <c r="J3229" s="1" t="s">
        <v>646</v>
      </c>
      <c r="K3229" s="2">
        <v>45855.0</v>
      </c>
      <c r="L3229" s="5"/>
      <c r="M3229" s="9" t="s">
        <v>362</v>
      </c>
      <c r="N3229" s="9" t="s">
        <v>49</v>
      </c>
      <c r="O3229" s="10">
        <f>'data on outstanding creditors'!$E3229*100/107</f>
        <v>15000</v>
      </c>
      <c r="P3229" s="10">
        <f>'data on outstanding creditors'!$E3229-'data on outstanding creditors'!$O3229</f>
        <v>1050</v>
      </c>
      <c r="Q3229" s="7">
        <f>DAY('data on outstanding creditors'!$B3229)</f>
        <v>10</v>
      </c>
      <c r="R3229" s="7">
        <f>MONTH('data on outstanding creditors'!$B3229)</f>
        <v>1</v>
      </c>
      <c r="S3229" s="7">
        <f>YEAR('data on outstanding creditors'!$B3229)</f>
        <v>2025</v>
      </c>
      <c r="T3229" s="11" t="str">
        <f>'data on outstanding creditors'!$C3229&amp;" "&amp;'data on outstanding creditors'!$D3229&amp;" "&amp;TEXT('data on outstanding creditors'!$E3229,"#,##0.00")</f>
        <v>บ.เกท์ทิงเก (ไทยแลนด์) 24120143 16,050.00</v>
      </c>
      <c r="U3229" s="12"/>
    </row>
    <row r="3230" ht="13.5" customHeight="1">
      <c r="A3230" s="1"/>
      <c r="B3230" s="2">
        <v>45708.0</v>
      </c>
      <c r="C3230" s="9" t="s">
        <v>3676</v>
      </c>
      <c r="D3230" s="1" t="s">
        <v>5077</v>
      </c>
      <c r="E3230" s="4">
        <v>6000.0</v>
      </c>
      <c r="F3230" s="4"/>
      <c r="G3230" s="4"/>
      <c r="H3230" s="4">
        <f>'data on outstanding creditors'!$E3230-'data on outstanding creditors'!$F3230-'data on outstanding creditors'!$G3230</f>
        <v>6000</v>
      </c>
      <c r="I3230" s="2"/>
      <c r="J3230" s="1" t="s">
        <v>646</v>
      </c>
      <c r="K3230" s="2">
        <v>45928.0</v>
      </c>
      <c r="L3230" s="5"/>
      <c r="M3230" s="9" t="s">
        <v>362</v>
      </c>
      <c r="N3230" s="9" t="s">
        <v>49</v>
      </c>
      <c r="O3230" s="10">
        <f>'data on outstanding creditors'!$E3230*100/107</f>
        <v>5607.476636</v>
      </c>
      <c r="P3230" s="10">
        <f>'data on outstanding creditors'!$E3230-'data on outstanding creditors'!$O3230</f>
        <v>392.5233645</v>
      </c>
      <c r="Q3230" s="7">
        <f>DAY('data on outstanding creditors'!$B3230)</f>
        <v>20</v>
      </c>
      <c r="R3230" s="7">
        <f>MONTH('data on outstanding creditors'!$B3230)</f>
        <v>2</v>
      </c>
      <c r="S3230" s="7">
        <f>YEAR('data on outstanding creditors'!$B3230)</f>
        <v>2025</v>
      </c>
      <c r="T3230" s="11" t="str">
        <f>'data on outstanding creditors'!$C3230&amp;" "&amp;'data on outstanding creditors'!$D3230&amp;" "&amp;TEXT('data on outstanding creditors'!$E3230,"#,##0.00")</f>
        <v>ร้าน เอที ซัพพลาย แอนด์ เซอร์วิส A6801/030 6,000.00</v>
      </c>
      <c r="U3230" s="12"/>
    </row>
    <row r="3231" ht="13.5" customHeight="1">
      <c r="A3231" s="1"/>
      <c r="B3231" s="2">
        <v>45708.0</v>
      </c>
      <c r="C3231" s="9" t="s">
        <v>3676</v>
      </c>
      <c r="D3231" s="1" t="s">
        <v>5078</v>
      </c>
      <c r="E3231" s="4">
        <v>19500.0</v>
      </c>
      <c r="F3231" s="4"/>
      <c r="G3231" s="4"/>
      <c r="H3231" s="4">
        <f>'data on outstanding creditors'!$E3231-'data on outstanding creditors'!$F3231-'data on outstanding creditors'!$G3231</f>
        <v>19500</v>
      </c>
      <c r="I3231" s="2"/>
      <c r="J3231" s="1" t="s">
        <v>646</v>
      </c>
      <c r="K3231" s="2">
        <v>45928.0</v>
      </c>
      <c r="L3231" s="5"/>
      <c r="M3231" s="9" t="s">
        <v>362</v>
      </c>
      <c r="N3231" s="9" t="s">
        <v>49</v>
      </c>
      <c r="O3231" s="10">
        <f>'data on outstanding creditors'!$E3231*100/107</f>
        <v>18224.29907</v>
      </c>
      <c r="P3231" s="10">
        <f>'data on outstanding creditors'!$E3231-'data on outstanding creditors'!$O3231</f>
        <v>1275.700935</v>
      </c>
      <c r="Q3231" s="7">
        <f>DAY('data on outstanding creditors'!$B3231)</f>
        <v>20</v>
      </c>
      <c r="R3231" s="7">
        <f>MONTH('data on outstanding creditors'!$B3231)</f>
        <v>2</v>
      </c>
      <c r="S3231" s="7">
        <f>YEAR('data on outstanding creditors'!$B3231)</f>
        <v>2025</v>
      </c>
      <c r="T3231" s="11" t="str">
        <f>'data on outstanding creditors'!$C3231&amp;" "&amp;'data on outstanding creditors'!$D3231&amp;" "&amp;TEXT('data on outstanding creditors'!$E3231,"#,##0.00")</f>
        <v>ร้าน เอที ซัพพลาย แอนด์ เซอร์วิส A6801/031 19,500.00</v>
      </c>
      <c r="U3231" s="12"/>
    </row>
    <row r="3232" ht="13.5" customHeight="1">
      <c r="A3232" s="1"/>
      <c r="B3232" s="2">
        <v>45708.0</v>
      </c>
      <c r="C3232" s="9" t="s">
        <v>1183</v>
      </c>
      <c r="D3232" s="1" t="s">
        <v>5079</v>
      </c>
      <c r="E3232" s="4">
        <v>11800.0</v>
      </c>
      <c r="F3232" s="4"/>
      <c r="G3232" s="4"/>
      <c r="H3232" s="4">
        <f>'data on outstanding creditors'!$E3232-'data on outstanding creditors'!$F3232-'data on outstanding creditors'!$G3232</f>
        <v>11800</v>
      </c>
      <c r="I3232" s="2"/>
      <c r="J3232" s="1" t="s">
        <v>646</v>
      </c>
      <c r="K3232" s="2">
        <v>45894.0</v>
      </c>
      <c r="L3232" s="5"/>
      <c r="M3232" s="9" t="s">
        <v>362</v>
      </c>
      <c r="N3232" s="9" t="s">
        <v>49</v>
      </c>
      <c r="O3232" s="10">
        <f>'data on outstanding creditors'!$E3232*100/107</f>
        <v>11028.03738</v>
      </c>
      <c r="P3232" s="10">
        <f>'data on outstanding creditors'!$E3232-'data on outstanding creditors'!$O3232</f>
        <v>771.9626168</v>
      </c>
      <c r="Q3232" s="7">
        <f>DAY('data on outstanding creditors'!$B3232)</f>
        <v>20</v>
      </c>
      <c r="R3232" s="7">
        <f>MONTH('data on outstanding creditors'!$B3232)</f>
        <v>2</v>
      </c>
      <c r="S3232" s="7">
        <f>YEAR('data on outstanding creditors'!$B3232)</f>
        <v>2025</v>
      </c>
      <c r="T3232" s="11" t="str">
        <f>'data on outstanding creditors'!$C3232&amp;" "&amp;'data on outstanding creditors'!$D3232&amp;" "&amp;TEXT('data on outstanding creditors'!$E3232,"#,##0.00")</f>
        <v>บ.โซวิค 155712 11,800.00</v>
      </c>
      <c r="U3232" s="12"/>
    </row>
    <row r="3233" ht="13.5" customHeight="1">
      <c r="A3233" s="1"/>
      <c r="B3233" s="2">
        <v>45708.0</v>
      </c>
      <c r="C3233" s="9" t="s">
        <v>3278</v>
      </c>
      <c r="D3233" s="1" t="s">
        <v>5080</v>
      </c>
      <c r="E3233" s="4">
        <v>16050.0</v>
      </c>
      <c r="F3233" s="4"/>
      <c r="G3233" s="4"/>
      <c r="H3233" s="4">
        <f>'data on outstanding creditors'!$E3233-'data on outstanding creditors'!$F3233-'data on outstanding creditors'!$G3233</f>
        <v>16050</v>
      </c>
      <c r="I3233" s="2"/>
      <c r="J3233" s="1" t="s">
        <v>646</v>
      </c>
      <c r="K3233" s="2">
        <v>45887.0</v>
      </c>
      <c r="L3233" s="5"/>
      <c r="M3233" s="9" t="s">
        <v>362</v>
      </c>
      <c r="N3233" s="9" t="s">
        <v>49</v>
      </c>
      <c r="O3233" s="10">
        <f>'data on outstanding creditors'!$E3233*100/107</f>
        <v>15000</v>
      </c>
      <c r="P3233" s="10">
        <f>'data on outstanding creditors'!$E3233-'data on outstanding creditors'!$O3233</f>
        <v>1050</v>
      </c>
      <c r="Q3233" s="7">
        <f>DAY('data on outstanding creditors'!$B3233)</f>
        <v>20</v>
      </c>
      <c r="R3233" s="7">
        <f>MONTH('data on outstanding creditors'!$B3233)</f>
        <v>2</v>
      </c>
      <c r="S3233" s="7">
        <f>YEAR('data on outstanding creditors'!$B3233)</f>
        <v>2025</v>
      </c>
      <c r="T3233" s="11" t="str">
        <f>'data on outstanding creditors'!$C3233&amp;" "&amp;'data on outstanding creditors'!$D3233&amp;" "&amp;TEXT('data on outstanding creditors'!$E3233,"#,##0.00")</f>
        <v>บ.เดรเกอร์ เมดิคัล (ประเทสไทย) SE2501-103 16,050.00</v>
      </c>
      <c r="U3233" s="12"/>
    </row>
    <row r="3234" ht="13.5" customHeight="1">
      <c r="A3234" s="1"/>
      <c r="B3234" s="2">
        <v>45708.0</v>
      </c>
      <c r="C3234" s="9" t="s">
        <v>3278</v>
      </c>
      <c r="D3234" s="1" t="s">
        <v>5081</v>
      </c>
      <c r="E3234" s="4">
        <v>30495.0</v>
      </c>
      <c r="F3234" s="4"/>
      <c r="G3234" s="4"/>
      <c r="H3234" s="4">
        <f>'data on outstanding creditors'!$E3234-'data on outstanding creditors'!$F3234-'data on outstanding creditors'!$G3234</f>
        <v>30495</v>
      </c>
      <c r="I3234" s="2"/>
      <c r="J3234" s="1" t="s">
        <v>646</v>
      </c>
      <c r="K3234" s="2">
        <v>45887.0</v>
      </c>
      <c r="L3234" s="5"/>
      <c r="M3234" s="9" t="s">
        <v>362</v>
      </c>
      <c r="N3234" s="9" t="s">
        <v>49</v>
      </c>
      <c r="O3234" s="10">
        <f>'data on outstanding creditors'!$E3234*100/107</f>
        <v>28500</v>
      </c>
      <c r="P3234" s="10">
        <f>'data on outstanding creditors'!$E3234-'data on outstanding creditors'!$O3234</f>
        <v>1995</v>
      </c>
      <c r="Q3234" s="7">
        <f>DAY('data on outstanding creditors'!$B3234)</f>
        <v>20</v>
      </c>
      <c r="R3234" s="7">
        <f>MONTH('data on outstanding creditors'!$B3234)</f>
        <v>2</v>
      </c>
      <c r="S3234" s="7">
        <f>YEAR('data on outstanding creditors'!$B3234)</f>
        <v>2025</v>
      </c>
      <c r="T3234" s="11" t="str">
        <f>'data on outstanding creditors'!$C3234&amp;" "&amp;'data on outstanding creditors'!$D3234&amp;" "&amp;TEXT('data on outstanding creditors'!$E3234,"#,##0.00")</f>
        <v>บ.เดรเกอร์ เมดิคัล (ประเทสไทย) SE-2501-104 30,495.00</v>
      </c>
      <c r="U3234" s="12"/>
    </row>
    <row r="3235" ht="13.5" customHeight="1">
      <c r="A3235" s="1"/>
      <c r="B3235" s="2">
        <v>45712.0</v>
      </c>
      <c r="C3235" s="9" t="s">
        <v>673</v>
      </c>
      <c r="D3235" s="1" t="s">
        <v>5082</v>
      </c>
      <c r="E3235" s="4">
        <v>19260.0</v>
      </c>
      <c r="F3235" s="4"/>
      <c r="G3235" s="4"/>
      <c r="H3235" s="4">
        <f>'data on outstanding creditors'!$E3235-'data on outstanding creditors'!$F3235-'data on outstanding creditors'!$G3235</f>
        <v>19260</v>
      </c>
      <c r="I3235" s="2"/>
      <c r="J3235" s="1" t="s">
        <v>646</v>
      </c>
      <c r="K3235" s="2">
        <v>45887.0</v>
      </c>
      <c r="L3235" s="5"/>
      <c r="M3235" s="9" t="s">
        <v>362</v>
      </c>
      <c r="N3235" s="9" t="s">
        <v>49</v>
      </c>
      <c r="O3235" s="10">
        <f>'data on outstanding creditors'!$E3235*100/107</f>
        <v>18000</v>
      </c>
      <c r="P3235" s="10">
        <f>'data on outstanding creditors'!$E3235-'data on outstanding creditors'!$O3235</f>
        <v>1260</v>
      </c>
      <c r="Q3235" s="7">
        <f>DAY('data on outstanding creditors'!$B3235)</f>
        <v>24</v>
      </c>
      <c r="R3235" s="7">
        <f>MONTH('data on outstanding creditors'!$B3235)</f>
        <v>2</v>
      </c>
      <c r="S3235" s="7">
        <f>YEAR('data on outstanding creditors'!$B3235)</f>
        <v>2025</v>
      </c>
      <c r="T3235" s="11" t="str">
        <f>'data on outstanding creditors'!$C3235&amp;" "&amp;'data on outstanding creditors'!$D3235&amp;" "&amp;TEXT('data on outstanding creditors'!$E3235,"#,##0.00")</f>
        <v>บ.เนฟโฟรแคร์ (ประเทศไทย) 25020024 19,260.00</v>
      </c>
      <c r="U3235" s="12"/>
    </row>
    <row r="3236" ht="13.5" customHeight="1">
      <c r="A3236" s="1"/>
      <c r="B3236" s="2">
        <v>45712.0</v>
      </c>
      <c r="C3236" s="9" t="s">
        <v>673</v>
      </c>
      <c r="D3236" s="1" t="s">
        <v>5083</v>
      </c>
      <c r="E3236" s="4">
        <v>13200.0</v>
      </c>
      <c r="F3236" s="4"/>
      <c r="G3236" s="4"/>
      <c r="H3236" s="4">
        <f>'data on outstanding creditors'!$E3236-'data on outstanding creditors'!$F3236-'data on outstanding creditors'!$G3236</f>
        <v>13200</v>
      </c>
      <c r="I3236" s="2"/>
      <c r="J3236" s="1" t="s">
        <v>646</v>
      </c>
      <c r="K3236" s="2">
        <v>45887.0</v>
      </c>
      <c r="L3236" s="5"/>
      <c r="M3236" s="9" t="s">
        <v>362</v>
      </c>
      <c r="N3236" s="9" t="s">
        <v>49</v>
      </c>
      <c r="O3236" s="10">
        <f>'data on outstanding creditors'!$E3236*100/107</f>
        <v>12336.4486</v>
      </c>
      <c r="P3236" s="10">
        <f>'data on outstanding creditors'!$E3236-'data on outstanding creditors'!$O3236</f>
        <v>863.5514019</v>
      </c>
      <c r="Q3236" s="7">
        <f>DAY('data on outstanding creditors'!$B3236)</f>
        <v>24</v>
      </c>
      <c r="R3236" s="7">
        <f>MONTH('data on outstanding creditors'!$B3236)</f>
        <v>2</v>
      </c>
      <c r="S3236" s="7">
        <f>YEAR('data on outstanding creditors'!$B3236)</f>
        <v>2025</v>
      </c>
      <c r="T3236" s="11" t="str">
        <f>'data on outstanding creditors'!$C3236&amp;" "&amp;'data on outstanding creditors'!$D3236&amp;" "&amp;TEXT('data on outstanding creditors'!$E3236,"#,##0.00")</f>
        <v>บ.เนฟโฟรแคร์ (ประเทศไทย) 25020023 13,200.00</v>
      </c>
      <c r="U3236" s="12"/>
    </row>
    <row r="3237" ht="13.5" customHeight="1">
      <c r="A3237" s="1"/>
      <c r="B3237" s="2">
        <v>45712.0</v>
      </c>
      <c r="C3237" s="9" t="s">
        <v>1183</v>
      </c>
      <c r="D3237" s="1" t="s">
        <v>5084</v>
      </c>
      <c r="E3237" s="4">
        <v>24300.0</v>
      </c>
      <c r="F3237" s="4"/>
      <c r="G3237" s="4"/>
      <c r="H3237" s="4">
        <f>'data on outstanding creditors'!$E3237-'data on outstanding creditors'!$F3237-'data on outstanding creditors'!$G3237</f>
        <v>24300</v>
      </c>
      <c r="I3237" s="2"/>
      <c r="J3237" s="1" t="s">
        <v>646</v>
      </c>
      <c r="K3237" s="2">
        <v>45894.0</v>
      </c>
      <c r="L3237" s="5"/>
      <c r="M3237" s="9" t="s">
        <v>362</v>
      </c>
      <c r="N3237" s="9" t="s">
        <v>49</v>
      </c>
      <c r="O3237" s="10">
        <f>'data on outstanding creditors'!$E3237*100/107</f>
        <v>22710.28037</v>
      </c>
      <c r="P3237" s="10">
        <f>'data on outstanding creditors'!$E3237-'data on outstanding creditors'!$O3237</f>
        <v>1589.719626</v>
      </c>
      <c r="Q3237" s="7">
        <f>DAY('data on outstanding creditors'!$B3237)</f>
        <v>24</v>
      </c>
      <c r="R3237" s="7">
        <f>MONTH('data on outstanding creditors'!$B3237)</f>
        <v>2</v>
      </c>
      <c r="S3237" s="7">
        <f>YEAR('data on outstanding creditors'!$B3237)</f>
        <v>2025</v>
      </c>
      <c r="T3237" s="11" t="str">
        <f>'data on outstanding creditors'!$C3237&amp;" "&amp;'data on outstanding creditors'!$D3237&amp;" "&amp;TEXT('data on outstanding creditors'!$E3237,"#,##0.00")</f>
        <v>บ.โซวิค 155968 24,300.00</v>
      </c>
      <c r="U3237" s="12"/>
    </row>
    <row r="3238" ht="13.5" customHeight="1">
      <c r="A3238" s="1"/>
      <c r="B3238" s="2">
        <v>45721.0</v>
      </c>
      <c r="C3238" s="9" t="s">
        <v>2330</v>
      </c>
      <c r="D3238" s="1" t="s">
        <v>5085</v>
      </c>
      <c r="E3238" s="4">
        <v>93630.0</v>
      </c>
      <c r="F3238" s="4"/>
      <c r="G3238" s="4"/>
      <c r="H3238" s="4">
        <f>'data on outstanding creditors'!$E3238-'data on outstanding creditors'!$F3238-'data on outstanding creditors'!$G3238</f>
        <v>93630</v>
      </c>
      <c r="I3238" s="2"/>
      <c r="J3238" s="1" t="s">
        <v>757</v>
      </c>
      <c r="K3238" s="2">
        <v>45950.0</v>
      </c>
      <c r="L3238" s="5"/>
      <c r="M3238" s="9" t="s">
        <v>362</v>
      </c>
      <c r="N3238" s="9" t="s">
        <v>49</v>
      </c>
      <c r="O3238" s="10">
        <f>'data on outstanding creditors'!$E3238*100/107</f>
        <v>87504.6729</v>
      </c>
      <c r="P3238" s="10">
        <f>'data on outstanding creditors'!$E3238-'data on outstanding creditors'!$O3238</f>
        <v>6125.327103</v>
      </c>
      <c r="Q3238" s="7">
        <f>DAY('data on outstanding creditors'!$B3238)</f>
        <v>5</v>
      </c>
      <c r="R3238" s="7">
        <f>MONTH('data on outstanding creditors'!$B3238)</f>
        <v>3</v>
      </c>
      <c r="S3238" s="7">
        <f>YEAR('data on outstanding creditors'!$B3238)</f>
        <v>2025</v>
      </c>
      <c r="T3238" s="11" t="str">
        <f>'data on outstanding creditors'!$C3238&amp;" "&amp;'data on outstanding creditors'!$D3238&amp;" "&amp;TEXT('data on outstanding creditors'!$E3238,"#,##0.00")</f>
        <v>บ.อี ฟอร์ แอล เอม M6712-0646 93,630.00</v>
      </c>
      <c r="U3238" s="12"/>
    </row>
    <row r="3239" ht="13.5" customHeight="1">
      <c r="A3239" s="1"/>
      <c r="B3239" s="2">
        <v>45721.0</v>
      </c>
      <c r="C3239" s="9" t="s">
        <v>2330</v>
      </c>
      <c r="D3239" s="1" t="s">
        <v>5086</v>
      </c>
      <c r="E3239" s="4">
        <v>20000.0</v>
      </c>
      <c r="F3239" s="4"/>
      <c r="G3239" s="4"/>
      <c r="H3239" s="4">
        <f>'data on outstanding creditors'!$E3239-'data on outstanding creditors'!$F3239-'data on outstanding creditors'!$G3239</f>
        <v>20000</v>
      </c>
      <c r="I3239" s="2"/>
      <c r="J3239" s="1" t="s">
        <v>646</v>
      </c>
      <c r="K3239" s="2">
        <v>45944.0</v>
      </c>
      <c r="L3239" s="5"/>
      <c r="M3239" s="9" t="s">
        <v>362</v>
      </c>
      <c r="N3239" s="9" t="s">
        <v>49</v>
      </c>
      <c r="O3239" s="10">
        <f>'data on outstanding creditors'!$E3239*100/107</f>
        <v>18691.58879</v>
      </c>
      <c r="P3239" s="10">
        <f>'data on outstanding creditors'!$E3239-'data on outstanding creditors'!$O3239</f>
        <v>1308.411215</v>
      </c>
      <c r="Q3239" s="7">
        <f>DAY('data on outstanding creditors'!$B3239)</f>
        <v>5</v>
      </c>
      <c r="R3239" s="7">
        <f>MONTH('data on outstanding creditors'!$B3239)</f>
        <v>3</v>
      </c>
      <c r="S3239" s="7">
        <f>YEAR('data on outstanding creditors'!$B3239)</f>
        <v>2025</v>
      </c>
      <c r="T3239" s="11" t="str">
        <f>'data on outstanding creditors'!$C3239&amp;" "&amp;'data on outstanding creditors'!$D3239&amp;" "&amp;TEXT('data on outstanding creditors'!$E3239,"#,##0.00")</f>
        <v>บ.อี ฟอร์ แอล เอม M6803-0044 20,000.00</v>
      </c>
      <c r="U3239" s="12"/>
    </row>
    <row r="3240" ht="13.5" customHeight="1">
      <c r="A3240" s="1"/>
      <c r="B3240" s="2">
        <v>45721.0</v>
      </c>
      <c r="C3240" s="9" t="s">
        <v>5087</v>
      </c>
      <c r="D3240" s="1" t="s">
        <v>5088</v>
      </c>
      <c r="E3240" s="4">
        <v>13000.0</v>
      </c>
      <c r="F3240" s="4"/>
      <c r="G3240" s="4"/>
      <c r="H3240" s="4">
        <f>'data on outstanding creditors'!$E3240-'data on outstanding creditors'!$F3240-'data on outstanding creditors'!$G3240</f>
        <v>13000</v>
      </c>
      <c r="I3240" s="2"/>
      <c r="J3240" s="1"/>
      <c r="K3240" s="2"/>
      <c r="L3240" s="5"/>
      <c r="M3240" s="9" t="s">
        <v>362</v>
      </c>
      <c r="N3240" s="9" t="s">
        <v>49</v>
      </c>
      <c r="O3240" s="10">
        <f>'data on outstanding creditors'!$E3240*100/107</f>
        <v>12149.53271</v>
      </c>
      <c r="P3240" s="10">
        <f>'data on outstanding creditors'!$E3240-'data on outstanding creditors'!$O3240</f>
        <v>850.4672897</v>
      </c>
      <c r="Q3240" s="7">
        <f>DAY('data on outstanding creditors'!$B3240)</f>
        <v>5</v>
      </c>
      <c r="R3240" s="7">
        <f>MONTH('data on outstanding creditors'!$B3240)</f>
        <v>3</v>
      </c>
      <c r="S3240" s="7">
        <f>YEAR('data on outstanding creditors'!$B3240)</f>
        <v>2025</v>
      </c>
      <c r="T3240" s="11" t="str">
        <f>'data on outstanding creditors'!$C3240&amp;" "&amp;'data on outstanding creditors'!$D3240&amp;" "&amp;TEXT('data on outstanding creditors'!$E3240,"#,##0.00")</f>
        <v>ร้าน เซอร์วิส เมดิคอล แอดวานซ์ INV2025030001 13,000.00</v>
      </c>
      <c r="U3240" s="12"/>
    </row>
    <row r="3241" ht="13.5" customHeight="1">
      <c r="A3241" s="1"/>
      <c r="B3241" s="2">
        <v>45741.0</v>
      </c>
      <c r="C3241" s="9" t="s">
        <v>1637</v>
      </c>
      <c r="D3241" s="1" t="s">
        <v>5089</v>
      </c>
      <c r="E3241" s="4">
        <v>96000.0</v>
      </c>
      <c r="F3241" s="4"/>
      <c r="G3241" s="4"/>
      <c r="H3241" s="4">
        <f>'data on outstanding creditors'!$E3241-'data on outstanding creditors'!$F3241-'data on outstanding creditors'!$G3241</f>
        <v>96000</v>
      </c>
      <c r="I3241" s="2"/>
      <c r="J3241" s="1" t="s">
        <v>757</v>
      </c>
      <c r="K3241" s="2">
        <v>45950.0</v>
      </c>
      <c r="L3241" s="5"/>
      <c r="M3241" s="9" t="s">
        <v>362</v>
      </c>
      <c r="N3241" s="9" t="s">
        <v>49</v>
      </c>
      <c r="O3241" s="10">
        <f>'data on outstanding creditors'!$E3241*100/107</f>
        <v>89719.62617</v>
      </c>
      <c r="P3241" s="10">
        <f>'data on outstanding creditors'!$E3241-'data on outstanding creditors'!$O3241</f>
        <v>6280.373832</v>
      </c>
      <c r="Q3241" s="7">
        <f>DAY('data on outstanding creditors'!$B3241)</f>
        <v>25</v>
      </c>
      <c r="R3241" s="7">
        <f>MONTH('data on outstanding creditors'!$B3241)</f>
        <v>3</v>
      </c>
      <c r="S3241" s="7">
        <f>YEAR('data on outstanding creditors'!$B3241)</f>
        <v>2025</v>
      </c>
      <c r="T3241" s="11" t="str">
        <f>'data on outstanding creditors'!$C3241&amp;" "&amp;'data on outstanding creditors'!$D3241&amp;" "&amp;TEXT('data on outstanding creditors'!$E3241,"#,##0.00")</f>
        <v>บ.บีเจเอช เมดิคอล 320357400308 96,000.00</v>
      </c>
      <c r="U3241" s="12"/>
    </row>
    <row r="3242" ht="13.5" customHeight="1">
      <c r="A3242" s="1"/>
      <c r="B3242" s="2">
        <v>45748.0</v>
      </c>
      <c r="C3242" s="9" t="s">
        <v>3278</v>
      </c>
      <c r="D3242" s="1" t="s">
        <v>5090</v>
      </c>
      <c r="E3242" s="4">
        <v>30000.0</v>
      </c>
      <c r="F3242" s="4"/>
      <c r="G3242" s="4"/>
      <c r="H3242" s="4">
        <f>'data on outstanding creditors'!$E3242-'data on outstanding creditors'!$F3242-'data on outstanding creditors'!$G3242</f>
        <v>30000</v>
      </c>
      <c r="I3242" s="2"/>
      <c r="J3242" s="1" t="s">
        <v>646</v>
      </c>
      <c r="K3242" s="2">
        <v>45887.0</v>
      </c>
      <c r="L3242" s="5"/>
      <c r="M3242" s="9" t="s">
        <v>362</v>
      </c>
      <c r="N3242" s="9" t="s">
        <v>49</v>
      </c>
      <c r="O3242" s="10">
        <f>'data on outstanding creditors'!$E3242*100/107</f>
        <v>28037.38318</v>
      </c>
      <c r="P3242" s="10">
        <f>'data on outstanding creditors'!$E3242-'data on outstanding creditors'!$O3242</f>
        <v>1962.616822</v>
      </c>
      <c r="Q3242" s="7">
        <f>DAY('data on outstanding creditors'!$B3242)</f>
        <v>1</v>
      </c>
      <c r="R3242" s="7">
        <f>MONTH('data on outstanding creditors'!$B3242)</f>
        <v>4</v>
      </c>
      <c r="S3242" s="7">
        <f>YEAR('data on outstanding creditors'!$B3242)</f>
        <v>2025</v>
      </c>
      <c r="T3242" s="11" t="str">
        <f>'data on outstanding creditors'!$C3242&amp;" "&amp;'data on outstanding creditors'!$D3242&amp;" "&amp;TEXT('data on outstanding creditors'!$E3242,"#,##0.00")</f>
        <v>บ.เดรเกอร์ เมดิคัล (ประเทสไทย) SE-2503-197 30,000.00</v>
      </c>
      <c r="U3242" s="12"/>
    </row>
    <row r="3243" ht="13.5" customHeight="1">
      <c r="A3243" s="1" t="s">
        <v>5091</v>
      </c>
      <c r="B3243" s="2">
        <v>45758.0</v>
      </c>
      <c r="C3243" s="9" t="s">
        <v>1034</v>
      </c>
      <c r="D3243" s="1" t="s">
        <v>5092</v>
      </c>
      <c r="E3243" s="4">
        <v>12000.0</v>
      </c>
      <c r="F3243" s="4"/>
      <c r="G3243" s="4"/>
      <c r="H3243" s="4">
        <f>'data on outstanding creditors'!$E3243-'data on outstanding creditors'!$F3243-'data on outstanding creditors'!$G3243</f>
        <v>12000</v>
      </c>
      <c r="I3243" s="2"/>
      <c r="J3243" s="1" t="s">
        <v>757</v>
      </c>
      <c r="K3243" s="2">
        <v>45849.0</v>
      </c>
      <c r="L3243" s="5"/>
      <c r="M3243" s="9" t="s">
        <v>362</v>
      </c>
      <c r="N3243" s="9" t="s">
        <v>49</v>
      </c>
      <c r="O3243" s="10">
        <f>'data on outstanding creditors'!$E3243*100/107</f>
        <v>11214.95327</v>
      </c>
      <c r="P3243" s="10">
        <f>'data on outstanding creditors'!$E3243-'data on outstanding creditors'!$O3243</f>
        <v>785.046729</v>
      </c>
      <c r="Q3243" s="7">
        <f>DAY('data on outstanding creditors'!$B3243)</f>
        <v>11</v>
      </c>
      <c r="R3243" s="7">
        <f>MONTH('data on outstanding creditors'!$B3243)</f>
        <v>4</v>
      </c>
      <c r="S3243" s="7">
        <f>YEAR('data on outstanding creditors'!$B3243)</f>
        <v>2025</v>
      </c>
      <c r="T3243" s="11" t="str">
        <f>'data on outstanding creditors'!$C3243&amp;" "&amp;'data on outstanding creditors'!$D3243&amp;" "&amp;TEXT('data on outstanding creditors'!$E3243,"#,##0.00")</f>
        <v>บ.แบงค็อก เมดิคอลส์ โปร IV15975/68 12,000.00</v>
      </c>
      <c r="U3243" s="12"/>
    </row>
    <row r="3244" ht="13.5" customHeight="1">
      <c r="A3244" s="1" t="s">
        <v>5093</v>
      </c>
      <c r="B3244" s="2">
        <v>45758.0</v>
      </c>
      <c r="C3244" s="9" t="s">
        <v>1034</v>
      </c>
      <c r="D3244" s="1" t="s">
        <v>5094</v>
      </c>
      <c r="E3244" s="4">
        <v>4000.0</v>
      </c>
      <c r="F3244" s="4"/>
      <c r="G3244" s="4"/>
      <c r="H3244" s="4">
        <f>'data on outstanding creditors'!$E3244-'data on outstanding creditors'!$F3244-'data on outstanding creditors'!$G3244</f>
        <v>4000</v>
      </c>
      <c r="I3244" s="2"/>
      <c r="J3244" s="1" t="s">
        <v>757</v>
      </c>
      <c r="K3244" s="2">
        <v>45849.0</v>
      </c>
      <c r="L3244" s="5"/>
      <c r="M3244" s="9" t="s">
        <v>362</v>
      </c>
      <c r="N3244" s="9" t="s">
        <v>49</v>
      </c>
      <c r="O3244" s="10">
        <f>'data on outstanding creditors'!$E3244*100/107</f>
        <v>3738.317757</v>
      </c>
      <c r="P3244" s="10">
        <f>'data on outstanding creditors'!$E3244-'data on outstanding creditors'!$O3244</f>
        <v>261.682243</v>
      </c>
      <c r="Q3244" s="7">
        <f>DAY('data on outstanding creditors'!$B3244)</f>
        <v>11</v>
      </c>
      <c r="R3244" s="7">
        <f>MONTH('data on outstanding creditors'!$B3244)</f>
        <v>4</v>
      </c>
      <c r="S3244" s="7">
        <f>YEAR('data on outstanding creditors'!$B3244)</f>
        <v>2025</v>
      </c>
      <c r="T3244" s="11" t="str">
        <f>'data on outstanding creditors'!$C3244&amp;" "&amp;'data on outstanding creditors'!$D3244&amp;" "&amp;TEXT('data on outstanding creditors'!$E3244,"#,##0.00")</f>
        <v>บ.แบงค็อก เมดิคอลส์ โปร IV15924/68 4,000.00</v>
      </c>
      <c r="U3244" s="12"/>
    </row>
    <row r="3245" ht="13.5" customHeight="1">
      <c r="A3245" s="1" t="s">
        <v>5095</v>
      </c>
      <c r="B3245" s="2">
        <v>45758.0</v>
      </c>
      <c r="C3245" s="9" t="s">
        <v>2330</v>
      </c>
      <c r="D3245" s="1" t="s">
        <v>5096</v>
      </c>
      <c r="E3245" s="4">
        <v>24500.0</v>
      </c>
      <c r="F3245" s="4"/>
      <c r="G3245" s="4"/>
      <c r="H3245" s="4">
        <f>'data on outstanding creditors'!$E3245-'data on outstanding creditors'!$F3245-'data on outstanding creditors'!$G3245</f>
        <v>24500</v>
      </c>
      <c r="I3245" s="2"/>
      <c r="J3245" s="1" t="s">
        <v>646</v>
      </c>
      <c r="K3245" s="2">
        <v>45944.0</v>
      </c>
      <c r="L3245" s="5"/>
      <c r="M3245" s="9" t="s">
        <v>362</v>
      </c>
      <c r="N3245" s="9" t="s">
        <v>49</v>
      </c>
      <c r="O3245" s="10">
        <f>'data on outstanding creditors'!$E3245*100/107</f>
        <v>22897.19626</v>
      </c>
      <c r="P3245" s="10">
        <f>'data on outstanding creditors'!$E3245-'data on outstanding creditors'!$O3245</f>
        <v>1602.803738</v>
      </c>
      <c r="Q3245" s="7">
        <f>DAY('data on outstanding creditors'!$B3245)</f>
        <v>11</v>
      </c>
      <c r="R3245" s="7">
        <f>MONTH('data on outstanding creditors'!$B3245)</f>
        <v>4</v>
      </c>
      <c r="S3245" s="7">
        <f>YEAR('data on outstanding creditors'!$B3245)</f>
        <v>2025</v>
      </c>
      <c r="T3245" s="11" t="str">
        <f>'data on outstanding creditors'!$C3245&amp;" "&amp;'data on outstanding creditors'!$D3245&amp;" "&amp;TEXT('data on outstanding creditors'!$E3245,"#,##0.00")</f>
        <v>บ.อี ฟอร์ แอล เอม M6804-0149 24,500.00</v>
      </c>
      <c r="U3245" s="12"/>
    </row>
    <row r="3246" ht="13.5" customHeight="1">
      <c r="A3246" s="1" t="s">
        <v>5097</v>
      </c>
      <c r="B3246" s="2">
        <v>45758.0</v>
      </c>
      <c r="C3246" s="9" t="s">
        <v>5098</v>
      </c>
      <c r="D3246" s="1" t="s">
        <v>5099</v>
      </c>
      <c r="E3246" s="4">
        <v>7900.0</v>
      </c>
      <c r="F3246" s="4"/>
      <c r="G3246" s="4"/>
      <c r="H3246" s="4">
        <f>'data on outstanding creditors'!$E3246-'data on outstanding creditors'!$F3246-'data on outstanding creditors'!$G3246</f>
        <v>7900</v>
      </c>
      <c r="I3246" s="2"/>
      <c r="J3246" s="1" t="s">
        <v>757</v>
      </c>
      <c r="K3246" s="2">
        <v>45883.0</v>
      </c>
      <c r="L3246" s="5"/>
      <c r="M3246" s="9" t="s">
        <v>362</v>
      </c>
      <c r="N3246" s="9" t="s">
        <v>49</v>
      </c>
      <c r="O3246" s="10">
        <f>'data on outstanding creditors'!$E3246*100/107</f>
        <v>7383.17757</v>
      </c>
      <c r="P3246" s="10">
        <f>'data on outstanding creditors'!$E3246-'data on outstanding creditors'!$O3246</f>
        <v>516.8224299</v>
      </c>
      <c r="Q3246" s="7">
        <f>DAY('data on outstanding creditors'!$B3246)</f>
        <v>11</v>
      </c>
      <c r="R3246" s="7">
        <f>MONTH('data on outstanding creditors'!$B3246)</f>
        <v>4</v>
      </c>
      <c r="S3246" s="7">
        <f>YEAR('data on outstanding creditors'!$B3246)</f>
        <v>2025</v>
      </c>
      <c r="T3246" s="11" t="str">
        <f>'data on outstanding creditors'!$C3246&amp;" "&amp;'data on outstanding creditors'!$D3246&amp;" "&amp;TEXT('data on outstanding creditors'!$E3246,"#,##0.00")</f>
        <v>บ.ไทยสเตอริไลเซอร์ กรุ๊ป 150/2568 7,900.00</v>
      </c>
      <c r="U3246" s="12"/>
    </row>
    <row r="3247" ht="13.5" customHeight="1">
      <c r="A3247" s="1" t="s">
        <v>5100</v>
      </c>
      <c r="B3247" s="2">
        <v>45758.0</v>
      </c>
      <c r="C3247" s="9" t="s">
        <v>5101</v>
      </c>
      <c r="D3247" s="1" t="s">
        <v>5102</v>
      </c>
      <c r="E3247" s="4">
        <v>32000.0</v>
      </c>
      <c r="F3247" s="4"/>
      <c r="G3247" s="4"/>
      <c r="H3247" s="4">
        <f>'data on outstanding creditors'!$E3247-'data on outstanding creditors'!$F3247-'data on outstanding creditors'!$G3247</f>
        <v>32000</v>
      </c>
      <c r="I3247" s="2"/>
      <c r="J3247" s="1" t="s">
        <v>646</v>
      </c>
      <c r="K3247" s="2">
        <v>45906.0</v>
      </c>
      <c r="L3247" s="5"/>
      <c r="M3247" s="9" t="s">
        <v>362</v>
      </c>
      <c r="N3247" s="9" t="s">
        <v>49</v>
      </c>
      <c r="O3247" s="10">
        <f>'data on outstanding creditors'!$E3247*100/107</f>
        <v>29906.54206</v>
      </c>
      <c r="P3247" s="10">
        <f>'data on outstanding creditors'!$E3247-'data on outstanding creditors'!$O3247</f>
        <v>2093.457944</v>
      </c>
      <c r="Q3247" s="7">
        <f>DAY('data on outstanding creditors'!$B3247)</f>
        <v>11</v>
      </c>
      <c r="R3247" s="7">
        <f>MONTH('data on outstanding creditors'!$B3247)</f>
        <v>4</v>
      </c>
      <c r="S3247" s="7">
        <f>YEAR('data on outstanding creditors'!$B3247)</f>
        <v>2025</v>
      </c>
      <c r="T3247" s="11" t="str">
        <f>'data on outstanding creditors'!$C3247&amp;" "&amp;'data on outstanding creditors'!$D3247&amp;" "&amp;TEXT('data on outstanding creditors'!$E3247,"#,##0.00")</f>
        <v>หจก.ซี อี เทคโนโลยี 6804009 32,000.00</v>
      </c>
      <c r="U3247" s="12"/>
    </row>
    <row r="3248" ht="13.5" customHeight="1">
      <c r="A3248" s="1" t="s">
        <v>5103</v>
      </c>
      <c r="B3248" s="2">
        <v>45807.0</v>
      </c>
      <c r="C3248" s="9" t="s">
        <v>1034</v>
      </c>
      <c r="D3248" s="1" t="s">
        <v>5104</v>
      </c>
      <c r="E3248" s="4">
        <v>3500.0</v>
      </c>
      <c r="F3248" s="4"/>
      <c r="G3248" s="4"/>
      <c r="H3248" s="4">
        <f>'data on outstanding creditors'!$E3248-'data on outstanding creditors'!$F3248-'data on outstanding creditors'!$G3248</f>
        <v>3500</v>
      </c>
      <c r="I3248" s="2"/>
      <c r="J3248" s="1" t="s">
        <v>646</v>
      </c>
      <c r="K3248" s="2">
        <v>45928.0</v>
      </c>
      <c r="L3248" s="5"/>
      <c r="M3248" s="9" t="s">
        <v>362</v>
      </c>
      <c r="N3248" s="9" t="s">
        <v>49</v>
      </c>
      <c r="O3248" s="10">
        <f>'data on outstanding creditors'!$E3248*100/107</f>
        <v>3271.028037</v>
      </c>
      <c r="P3248" s="10">
        <f>'data on outstanding creditors'!$E3248-'data on outstanding creditors'!$O3248</f>
        <v>228.9719626</v>
      </c>
      <c r="Q3248" s="7">
        <f>DAY('data on outstanding creditors'!$B3248)</f>
        <v>30</v>
      </c>
      <c r="R3248" s="7">
        <f>MONTH('data on outstanding creditors'!$B3248)</f>
        <v>5</v>
      </c>
      <c r="S3248" s="7">
        <f>YEAR('data on outstanding creditors'!$B3248)</f>
        <v>2025</v>
      </c>
      <c r="T3248" s="11" t="str">
        <f>'data on outstanding creditors'!$C3248&amp;" "&amp;'data on outstanding creditors'!$D3248&amp;" "&amp;TEXT('data on outstanding creditors'!$E3248,"#,##0.00")</f>
        <v>บ.แบงค็อก เมดิคอลส์ โปร IV16663/68 3,500.00</v>
      </c>
      <c r="U3248" s="12"/>
    </row>
    <row r="3249" ht="13.5" customHeight="1">
      <c r="A3249" s="1" t="s">
        <v>5105</v>
      </c>
      <c r="B3249" s="2">
        <v>45817.0</v>
      </c>
      <c r="C3249" s="9" t="s">
        <v>3676</v>
      </c>
      <c r="D3249" s="1" t="s">
        <v>5106</v>
      </c>
      <c r="E3249" s="4">
        <v>6000.0</v>
      </c>
      <c r="F3249" s="4"/>
      <c r="G3249" s="4"/>
      <c r="H3249" s="4">
        <f>'data on outstanding creditors'!$E3249-'data on outstanding creditors'!$F3249-'data on outstanding creditors'!$G3249</f>
        <v>6000</v>
      </c>
      <c r="I3249" s="2"/>
      <c r="J3249" s="1" t="s">
        <v>646</v>
      </c>
      <c r="K3249" s="2">
        <v>45928.0</v>
      </c>
      <c r="L3249" s="5"/>
      <c r="M3249" s="9" t="s">
        <v>362</v>
      </c>
      <c r="N3249" s="9" t="s">
        <v>49</v>
      </c>
      <c r="O3249" s="10">
        <f>'data on outstanding creditors'!$E3249*100/107</f>
        <v>5607.476636</v>
      </c>
      <c r="P3249" s="10">
        <f>'data on outstanding creditors'!$E3249-'data on outstanding creditors'!$O3249</f>
        <v>392.5233645</v>
      </c>
      <c r="Q3249" s="7">
        <f>DAY('data on outstanding creditors'!$B3249)</f>
        <v>9</v>
      </c>
      <c r="R3249" s="7">
        <f>MONTH('data on outstanding creditors'!$B3249)</f>
        <v>6</v>
      </c>
      <c r="S3249" s="7">
        <f>YEAR('data on outstanding creditors'!$B3249)</f>
        <v>2025</v>
      </c>
      <c r="T3249" s="11" t="str">
        <f>'data on outstanding creditors'!$C3249&amp;" "&amp;'data on outstanding creditors'!$D3249&amp;" "&amp;TEXT('data on outstanding creditors'!$E3249,"#,##0.00")</f>
        <v>ร้าน เอที ซัพพลาย แอนด์ เซอร์วิส A6805/038 6,000.00</v>
      </c>
      <c r="U3249" s="12"/>
    </row>
    <row r="3250" ht="13.5" customHeight="1">
      <c r="A3250" s="1" t="s">
        <v>5107</v>
      </c>
      <c r="B3250" s="2">
        <v>45817.0</v>
      </c>
      <c r="C3250" s="9" t="s">
        <v>3676</v>
      </c>
      <c r="D3250" s="1" t="s">
        <v>5108</v>
      </c>
      <c r="E3250" s="4">
        <v>8500.0</v>
      </c>
      <c r="F3250" s="4"/>
      <c r="G3250" s="4"/>
      <c r="H3250" s="4">
        <f>'data on outstanding creditors'!$E3250-'data on outstanding creditors'!$F3250-'data on outstanding creditors'!$G3250</f>
        <v>8500</v>
      </c>
      <c r="I3250" s="2"/>
      <c r="J3250" s="1" t="s">
        <v>646</v>
      </c>
      <c r="K3250" s="2">
        <v>45928.0</v>
      </c>
      <c r="L3250" s="5"/>
      <c r="M3250" s="9" t="s">
        <v>362</v>
      </c>
      <c r="N3250" s="9" t="s">
        <v>49</v>
      </c>
      <c r="O3250" s="10">
        <f>'data on outstanding creditors'!$E3250*100/107</f>
        <v>7943.925234</v>
      </c>
      <c r="P3250" s="10">
        <f>'data on outstanding creditors'!$E3250-'data on outstanding creditors'!$O3250</f>
        <v>556.0747664</v>
      </c>
      <c r="Q3250" s="7">
        <f>DAY('data on outstanding creditors'!$B3250)</f>
        <v>9</v>
      </c>
      <c r="R3250" s="7">
        <f>MONTH('data on outstanding creditors'!$B3250)</f>
        <v>6</v>
      </c>
      <c r="S3250" s="7">
        <f>YEAR('data on outstanding creditors'!$B3250)</f>
        <v>2025</v>
      </c>
      <c r="T3250" s="11" t="str">
        <f>'data on outstanding creditors'!$C3250&amp;" "&amp;'data on outstanding creditors'!$D3250&amp;" "&amp;TEXT('data on outstanding creditors'!$E3250,"#,##0.00")</f>
        <v>ร้าน เอที ซัพพลาย แอนด์ เซอร์วิส A6805/039 8,500.00</v>
      </c>
      <c r="U3250" s="12"/>
    </row>
    <row r="3251" ht="13.5" customHeight="1">
      <c r="A3251" s="1"/>
      <c r="B3251" s="2">
        <v>45817.0</v>
      </c>
      <c r="C3251" s="9" t="s">
        <v>2330</v>
      </c>
      <c r="D3251" s="1" t="s">
        <v>5109</v>
      </c>
      <c r="E3251" s="4">
        <v>23800.0</v>
      </c>
      <c r="F3251" s="4"/>
      <c r="G3251" s="4"/>
      <c r="H3251" s="4">
        <f>'data on outstanding creditors'!$E3251-'data on outstanding creditors'!$F3251-'data on outstanding creditors'!$G3251</f>
        <v>23800</v>
      </c>
      <c r="I3251" s="2"/>
      <c r="J3251" s="1" t="s">
        <v>646</v>
      </c>
      <c r="K3251" s="2">
        <v>45944.0</v>
      </c>
      <c r="L3251" s="5"/>
      <c r="M3251" s="9" t="s">
        <v>362</v>
      </c>
      <c r="N3251" s="9" t="s">
        <v>49</v>
      </c>
      <c r="O3251" s="10">
        <f>'data on outstanding creditors'!$E3251*100/107</f>
        <v>22242.99065</v>
      </c>
      <c r="P3251" s="10">
        <f>'data on outstanding creditors'!$E3251-'data on outstanding creditors'!$O3251</f>
        <v>1557.009346</v>
      </c>
      <c r="Q3251" s="7">
        <f>DAY('data on outstanding creditors'!$B3251)</f>
        <v>9</v>
      </c>
      <c r="R3251" s="7">
        <f>MONTH('data on outstanding creditors'!$B3251)</f>
        <v>6</v>
      </c>
      <c r="S3251" s="7">
        <f>YEAR('data on outstanding creditors'!$B3251)</f>
        <v>2025</v>
      </c>
      <c r="T3251" s="11" t="str">
        <f>'data on outstanding creditors'!$C3251&amp;" "&amp;'data on outstanding creditors'!$D3251&amp;" "&amp;TEXT('data on outstanding creditors'!$E3251,"#,##0.00")</f>
        <v>บ.อี ฟอร์ แอล เอม M6805-0454 23,800.00</v>
      </c>
      <c r="U3251" s="12"/>
    </row>
    <row r="3252" ht="13.5" customHeight="1">
      <c r="A3252" s="1" t="s">
        <v>5110</v>
      </c>
      <c r="B3252" s="2">
        <v>45824.0</v>
      </c>
      <c r="C3252" s="9" t="s">
        <v>5111</v>
      </c>
      <c r="D3252" s="1" t="s">
        <v>5112</v>
      </c>
      <c r="E3252" s="4">
        <v>2600.0</v>
      </c>
      <c r="F3252" s="4"/>
      <c r="G3252" s="4"/>
      <c r="H3252" s="4">
        <f>'data on outstanding creditors'!$E3252-'data on outstanding creditors'!$F3252-'data on outstanding creditors'!$G3252</f>
        <v>2600</v>
      </c>
      <c r="I3252" s="2"/>
      <c r="J3252" s="1" t="s">
        <v>646</v>
      </c>
      <c r="K3252" s="2">
        <v>45906.0</v>
      </c>
      <c r="L3252" s="5"/>
      <c r="M3252" s="9" t="s">
        <v>362</v>
      </c>
      <c r="N3252" s="9" t="s">
        <v>49</v>
      </c>
      <c r="O3252" s="10">
        <f>'data on outstanding creditors'!$E3252*100/107</f>
        <v>2429.906542</v>
      </c>
      <c r="P3252" s="10">
        <f>'data on outstanding creditors'!$E3252-'data on outstanding creditors'!$O3252</f>
        <v>170.0934579</v>
      </c>
      <c r="Q3252" s="7">
        <f>DAY('data on outstanding creditors'!$B3252)</f>
        <v>16</v>
      </c>
      <c r="R3252" s="7">
        <f>MONTH('data on outstanding creditors'!$B3252)</f>
        <v>6</v>
      </c>
      <c r="S3252" s="7">
        <f>YEAR('data on outstanding creditors'!$B3252)</f>
        <v>2025</v>
      </c>
      <c r="T3252" s="11" t="str">
        <f>'data on outstanding creditors'!$C3252&amp;" "&amp;'data on outstanding creditors'!$D3252&amp;" "&amp;TEXT('data on outstanding creditors'!$E3252,"#,##0.00")</f>
        <v>บ.จำเริญแพทย์ภัณฑ์ IMV125060039 2,600.00</v>
      </c>
      <c r="U3252" s="12"/>
    </row>
    <row r="3253" ht="13.5" customHeight="1">
      <c r="A3253" s="1" t="s">
        <v>5113</v>
      </c>
      <c r="B3253" s="2">
        <v>45824.0</v>
      </c>
      <c r="C3253" s="9" t="s">
        <v>5114</v>
      </c>
      <c r="D3253" s="1" t="s">
        <v>5115</v>
      </c>
      <c r="E3253" s="4">
        <v>21000.0</v>
      </c>
      <c r="F3253" s="4"/>
      <c r="G3253" s="4"/>
      <c r="H3253" s="4">
        <f>'data on outstanding creditors'!$E3253-'data on outstanding creditors'!$F3253-'data on outstanding creditors'!$G3253</f>
        <v>21000</v>
      </c>
      <c r="I3253" s="2"/>
      <c r="J3253" s="1" t="s">
        <v>757</v>
      </c>
      <c r="K3253" s="2">
        <v>45843.0</v>
      </c>
      <c r="L3253" s="5"/>
      <c r="M3253" s="9" t="s">
        <v>362</v>
      </c>
      <c r="N3253" s="9" t="s">
        <v>49</v>
      </c>
      <c r="O3253" s="10">
        <f>'data on outstanding creditors'!$E3253*100/107</f>
        <v>19626.16822</v>
      </c>
      <c r="P3253" s="10">
        <f>'data on outstanding creditors'!$E3253-'data on outstanding creditors'!$O3253</f>
        <v>1373.831776</v>
      </c>
      <c r="Q3253" s="7">
        <f>DAY('data on outstanding creditors'!$B3253)</f>
        <v>16</v>
      </c>
      <c r="R3253" s="7">
        <f>MONTH('data on outstanding creditors'!$B3253)</f>
        <v>6</v>
      </c>
      <c r="S3253" s="7">
        <f>YEAR('data on outstanding creditors'!$B3253)</f>
        <v>2025</v>
      </c>
      <c r="T3253" s="11" t="str">
        <f>'data on outstanding creditors'!$C3253&amp;" "&amp;'data on outstanding creditors'!$D3253&amp;" "&amp;TEXT('data on outstanding creditors'!$E3253,"#,##0.00")</f>
        <v>บ.เมดเทด เมดิคอล IV256806-101 21,000.00</v>
      </c>
      <c r="U3253" s="12"/>
    </row>
    <row r="3254" ht="13.5" customHeight="1">
      <c r="A3254" s="1"/>
      <c r="B3254" s="2">
        <v>45827.0</v>
      </c>
      <c r="C3254" s="9" t="s">
        <v>2330</v>
      </c>
      <c r="D3254" s="1" t="s">
        <v>5116</v>
      </c>
      <c r="E3254" s="4">
        <v>37550.0</v>
      </c>
      <c r="F3254" s="4"/>
      <c r="G3254" s="4"/>
      <c r="H3254" s="4">
        <f>'data on outstanding creditors'!$E3254-'data on outstanding creditors'!$F3254-'data on outstanding creditors'!$G3254</f>
        <v>37550</v>
      </c>
      <c r="I3254" s="2"/>
      <c r="J3254" s="1" t="s">
        <v>646</v>
      </c>
      <c r="K3254" s="2">
        <v>45944.0</v>
      </c>
      <c r="L3254" s="5"/>
      <c r="M3254" s="9" t="s">
        <v>362</v>
      </c>
      <c r="N3254" s="9" t="s">
        <v>49</v>
      </c>
      <c r="O3254" s="10">
        <f>'data on outstanding creditors'!$E3254*100/107</f>
        <v>35093.45794</v>
      </c>
      <c r="P3254" s="10">
        <f>'data on outstanding creditors'!$E3254-'data on outstanding creditors'!$O3254</f>
        <v>2456.542056</v>
      </c>
      <c r="Q3254" s="7">
        <f>DAY('data on outstanding creditors'!$B3254)</f>
        <v>19</v>
      </c>
      <c r="R3254" s="7">
        <f>MONTH('data on outstanding creditors'!$B3254)</f>
        <v>6</v>
      </c>
      <c r="S3254" s="7">
        <f>YEAR('data on outstanding creditors'!$B3254)</f>
        <v>2025</v>
      </c>
      <c r="T3254" s="11" t="str">
        <f>'data on outstanding creditors'!$C3254&amp;" "&amp;'data on outstanding creditors'!$D3254&amp;" "&amp;TEXT('data on outstanding creditors'!$E3254,"#,##0.00")</f>
        <v>บ.อี ฟอร์ แอล เอม M6804-0625 37,550.00</v>
      </c>
      <c r="U3254" s="12"/>
    </row>
    <row r="3255" ht="13.5" customHeight="1">
      <c r="A3255" s="1" t="s">
        <v>5117</v>
      </c>
      <c r="B3255" s="2">
        <v>45827.0</v>
      </c>
      <c r="C3255" s="9" t="s">
        <v>1211</v>
      </c>
      <c r="D3255" s="1" t="s">
        <v>5118</v>
      </c>
      <c r="E3255" s="4">
        <v>15871.0</v>
      </c>
      <c r="F3255" s="4"/>
      <c r="G3255" s="4"/>
      <c r="H3255" s="4">
        <f>'data on outstanding creditors'!$E3255-'data on outstanding creditors'!$F3255-'data on outstanding creditors'!$G3255</f>
        <v>15871</v>
      </c>
      <c r="I3255" s="2"/>
      <c r="J3255" s="1" t="s">
        <v>646</v>
      </c>
      <c r="K3255" s="2">
        <v>45928.0</v>
      </c>
      <c r="L3255" s="5"/>
      <c r="M3255" s="9" t="s">
        <v>362</v>
      </c>
      <c r="N3255" s="9" t="s">
        <v>49</v>
      </c>
      <c r="O3255" s="10">
        <f>'data on outstanding creditors'!$E3255*100/107</f>
        <v>14832.71028</v>
      </c>
      <c r="P3255" s="10">
        <f>'data on outstanding creditors'!$E3255-'data on outstanding creditors'!$O3255</f>
        <v>1038.28972</v>
      </c>
      <c r="Q3255" s="7">
        <f>DAY('data on outstanding creditors'!$B3255)</f>
        <v>19</v>
      </c>
      <c r="R3255" s="7">
        <f>MONTH('data on outstanding creditors'!$B3255)</f>
        <v>6</v>
      </c>
      <c r="S3255" s="7">
        <f>YEAR('data on outstanding creditors'!$B3255)</f>
        <v>2025</v>
      </c>
      <c r="T3255" s="11" t="str">
        <f>'data on outstanding creditors'!$C3255&amp;" "&amp;'data on outstanding creditors'!$D3255&amp;" "&amp;TEXT('data on outstanding creditors'!$E3255,"#,##0.00")</f>
        <v>บ.เอน-ไซน์ เอ็นจิเนียริง 2025715 15,871.00</v>
      </c>
      <c r="U3255" s="12"/>
    </row>
    <row r="3256" ht="13.5" customHeight="1">
      <c r="A3256" s="1" t="s">
        <v>5119</v>
      </c>
      <c r="B3256" s="2">
        <v>45827.0</v>
      </c>
      <c r="C3256" s="9" t="s">
        <v>2330</v>
      </c>
      <c r="D3256" s="1" t="s">
        <v>5120</v>
      </c>
      <c r="E3256" s="4">
        <v>19000.0</v>
      </c>
      <c r="F3256" s="4"/>
      <c r="G3256" s="4"/>
      <c r="H3256" s="4">
        <f>'data on outstanding creditors'!$E3256-'data on outstanding creditors'!$F3256-'data on outstanding creditors'!$G3256</f>
        <v>19000</v>
      </c>
      <c r="I3256" s="2"/>
      <c r="J3256" s="1" t="s">
        <v>646</v>
      </c>
      <c r="K3256" s="2">
        <v>45944.0</v>
      </c>
      <c r="L3256" s="5"/>
      <c r="M3256" s="9" t="s">
        <v>362</v>
      </c>
      <c r="N3256" s="9" t="s">
        <v>49</v>
      </c>
      <c r="O3256" s="10">
        <f>'data on outstanding creditors'!$E3256*100/107</f>
        <v>17757.00935</v>
      </c>
      <c r="P3256" s="10">
        <f>'data on outstanding creditors'!$E3256-'data on outstanding creditors'!$O3256</f>
        <v>1242.990654</v>
      </c>
      <c r="Q3256" s="7">
        <f>DAY('data on outstanding creditors'!$B3256)</f>
        <v>19</v>
      </c>
      <c r="R3256" s="7">
        <f>MONTH('data on outstanding creditors'!$B3256)</f>
        <v>6</v>
      </c>
      <c r="S3256" s="7">
        <f>YEAR('data on outstanding creditors'!$B3256)</f>
        <v>2025</v>
      </c>
      <c r="T3256" s="11" t="str">
        <f>'data on outstanding creditors'!$C3256&amp;" "&amp;'data on outstanding creditors'!$D3256&amp;" "&amp;TEXT('data on outstanding creditors'!$E3256,"#,##0.00")</f>
        <v>บ.อี ฟอร์ แอล เอม M6806-0167 19,000.00</v>
      </c>
      <c r="U3256" s="12"/>
    </row>
    <row r="3257" ht="13.5" customHeight="1">
      <c r="A3257" s="1" t="s">
        <v>5121</v>
      </c>
      <c r="B3257" s="2">
        <v>45827.0</v>
      </c>
      <c r="C3257" s="9" t="s">
        <v>2868</v>
      </c>
      <c r="D3257" s="1" t="s">
        <v>5122</v>
      </c>
      <c r="E3257" s="4">
        <v>4500.0</v>
      </c>
      <c r="F3257" s="4"/>
      <c r="G3257" s="4"/>
      <c r="H3257" s="4">
        <f>'data on outstanding creditors'!$E3257-'data on outstanding creditors'!$F3257-'data on outstanding creditors'!$G3257</f>
        <v>4500</v>
      </c>
      <c r="I3257" s="2"/>
      <c r="J3257" s="1" t="s">
        <v>646</v>
      </c>
      <c r="K3257" s="2">
        <v>45866.0</v>
      </c>
      <c r="L3257" s="5"/>
      <c r="M3257" s="9" t="s">
        <v>362</v>
      </c>
      <c r="N3257" s="9" t="s">
        <v>49</v>
      </c>
      <c r="O3257" s="10">
        <f>'data on outstanding creditors'!$E3257*100/107</f>
        <v>4205.607477</v>
      </c>
      <c r="P3257" s="10">
        <f>'data on outstanding creditors'!$E3257-'data on outstanding creditors'!$O3257</f>
        <v>294.3925234</v>
      </c>
      <c r="Q3257" s="7">
        <f>DAY('data on outstanding creditors'!$B3257)</f>
        <v>19</v>
      </c>
      <c r="R3257" s="7">
        <f>MONTH('data on outstanding creditors'!$B3257)</f>
        <v>6</v>
      </c>
      <c r="S3257" s="7">
        <f>YEAR('data on outstanding creditors'!$B3257)</f>
        <v>2025</v>
      </c>
      <c r="T3257" s="11" t="str">
        <f>'data on outstanding creditors'!$C3257&amp;" "&amp;'data on outstanding creditors'!$D3257&amp;" "&amp;TEXT('data on outstanding creditors'!$E3257,"#,##0.00")</f>
        <v>บ.บีทีแอล เมดิคอล เทคโนโลจีส์ 2025_06_060 4,500.00</v>
      </c>
      <c r="U3257" s="12"/>
    </row>
    <row r="3258" ht="13.5" customHeight="1">
      <c r="A3258" s="1" t="s">
        <v>5123</v>
      </c>
      <c r="B3258" s="2">
        <v>45831.0</v>
      </c>
      <c r="C3258" s="9" t="s">
        <v>5111</v>
      </c>
      <c r="D3258" s="1" t="s">
        <v>5124</v>
      </c>
      <c r="E3258" s="4">
        <v>495.0</v>
      </c>
      <c r="F3258" s="4"/>
      <c r="G3258" s="4"/>
      <c r="H3258" s="4">
        <f>'data on outstanding creditors'!$E3258-'data on outstanding creditors'!$F3258-'data on outstanding creditors'!$G3258</f>
        <v>495</v>
      </c>
      <c r="I3258" s="2"/>
      <c r="J3258" s="1" t="s">
        <v>646</v>
      </c>
      <c r="K3258" s="2">
        <v>45906.0</v>
      </c>
      <c r="L3258" s="5"/>
      <c r="M3258" s="9" t="s">
        <v>362</v>
      </c>
      <c r="N3258" s="9" t="s">
        <v>49</v>
      </c>
      <c r="O3258" s="10">
        <f>'data on outstanding creditors'!$E3258*100/107</f>
        <v>462.6168224</v>
      </c>
      <c r="P3258" s="10">
        <f>'data on outstanding creditors'!$E3258-'data on outstanding creditors'!$O3258</f>
        <v>32.38317757</v>
      </c>
      <c r="Q3258" s="7">
        <f>DAY('data on outstanding creditors'!$B3258)</f>
        <v>23</v>
      </c>
      <c r="R3258" s="7">
        <f>MONTH('data on outstanding creditors'!$B3258)</f>
        <v>6</v>
      </c>
      <c r="S3258" s="7">
        <f>YEAR('data on outstanding creditors'!$B3258)</f>
        <v>2025</v>
      </c>
      <c r="T3258" s="11" t="str">
        <f>'data on outstanding creditors'!$C3258&amp;" "&amp;'data on outstanding creditors'!$D3258&amp;" "&amp;TEXT('data on outstanding creditors'!$E3258,"#,##0.00")</f>
        <v>บ.จำเริญแพทย์ภัณฑ์ IMV125040139 495.00</v>
      </c>
      <c r="U3258" s="12"/>
    </row>
    <row r="3259" ht="13.5" customHeight="1">
      <c r="A3259" s="1" t="s">
        <v>5125</v>
      </c>
      <c r="B3259" s="2">
        <v>45833.0</v>
      </c>
      <c r="C3259" s="9" t="s">
        <v>2973</v>
      </c>
      <c r="D3259" s="1" t="s">
        <v>5126</v>
      </c>
      <c r="E3259" s="4">
        <v>14659.0</v>
      </c>
      <c r="F3259" s="4"/>
      <c r="G3259" s="4"/>
      <c r="H3259" s="4">
        <f>'data on outstanding creditors'!$E3259-'data on outstanding creditors'!$F3259-'data on outstanding creditors'!$G3259</f>
        <v>14659</v>
      </c>
      <c r="I3259" s="2"/>
      <c r="J3259" s="1" t="s">
        <v>757</v>
      </c>
      <c r="K3259" s="2">
        <v>45935.0</v>
      </c>
      <c r="L3259" s="5"/>
      <c r="M3259" s="9" t="s">
        <v>362</v>
      </c>
      <c r="N3259" s="9" t="s">
        <v>49</v>
      </c>
      <c r="O3259" s="10">
        <f>'data on outstanding creditors'!$E3259*100/107</f>
        <v>13700</v>
      </c>
      <c r="P3259" s="10">
        <f>'data on outstanding creditors'!$E3259-'data on outstanding creditors'!$O3259</f>
        <v>959</v>
      </c>
      <c r="Q3259" s="7">
        <f>DAY('data on outstanding creditors'!$B3259)</f>
        <v>25</v>
      </c>
      <c r="R3259" s="7">
        <f>MONTH('data on outstanding creditors'!$B3259)</f>
        <v>6</v>
      </c>
      <c r="S3259" s="7">
        <f>YEAR('data on outstanding creditors'!$B3259)</f>
        <v>2025</v>
      </c>
      <c r="T3259" s="11" t="str">
        <f>'data on outstanding creditors'!$C3259&amp;" "&amp;'data on outstanding creditors'!$D3259&amp;" "&amp;TEXT('data on outstanding creditors'!$E3259,"#,##0.00")</f>
        <v>บ.ดีเคเอสเอช เทคโนโลยี 5151626910 14,659.00</v>
      </c>
      <c r="U3259" s="12"/>
    </row>
    <row r="3260" ht="13.5" customHeight="1">
      <c r="A3260" s="1" t="s">
        <v>5127</v>
      </c>
      <c r="B3260" s="2">
        <v>45835.0</v>
      </c>
      <c r="C3260" s="9" t="s">
        <v>5128</v>
      </c>
      <c r="D3260" s="1" t="s">
        <v>5129</v>
      </c>
      <c r="E3260" s="4">
        <v>38627.0</v>
      </c>
      <c r="F3260" s="4"/>
      <c r="G3260" s="4"/>
      <c r="H3260" s="4">
        <f>'data on outstanding creditors'!$E3260-'data on outstanding creditors'!$F3260-'data on outstanding creditors'!$G3260</f>
        <v>38627</v>
      </c>
      <c r="I3260" s="2"/>
      <c r="J3260" s="1" t="s">
        <v>646</v>
      </c>
      <c r="K3260" s="2">
        <v>45944.0</v>
      </c>
      <c r="L3260" s="5"/>
      <c r="M3260" s="9" t="s">
        <v>362</v>
      </c>
      <c r="N3260" s="9" t="s">
        <v>49</v>
      </c>
      <c r="O3260" s="10">
        <f>'data on outstanding creditors'!$E3260*100/107</f>
        <v>36100</v>
      </c>
      <c r="P3260" s="10">
        <f>'data on outstanding creditors'!$E3260-'data on outstanding creditors'!$O3260</f>
        <v>2527</v>
      </c>
      <c r="Q3260" s="7">
        <f>DAY('data on outstanding creditors'!$B3260)</f>
        <v>27</v>
      </c>
      <c r="R3260" s="7">
        <f>MONTH('data on outstanding creditors'!$B3260)</f>
        <v>6</v>
      </c>
      <c r="S3260" s="7">
        <f>YEAR('data on outstanding creditors'!$B3260)</f>
        <v>2025</v>
      </c>
      <c r="T3260" s="11" t="str">
        <f>'data on outstanding creditors'!$C3260&amp;" "&amp;'data on outstanding creditors'!$D3260&amp;" "&amp;TEXT('data on outstanding creditors'!$E3260,"#,##0.00")</f>
        <v>บ.เมกกะฟิล IV-25/00663 38,627.00</v>
      </c>
      <c r="U3260" s="12"/>
    </row>
    <row r="3261" ht="13.5" customHeight="1">
      <c r="A3261" s="1" t="s">
        <v>5130</v>
      </c>
      <c r="B3261" s="2">
        <v>45835.0</v>
      </c>
      <c r="C3261" s="9" t="s">
        <v>174</v>
      </c>
      <c r="D3261" s="1" t="s">
        <v>5131</v>
      </c>
      <c r="E3261" s="4">
        <v>1400.0</v>
      </c>
      <c r="F3261" s="4"/>
      <c r="G3261" s="4"/>
      <c r="H3261" s="4">
        <f>'data on outstanding creditors'!$E3261-'data on outstanding creditors'!$F3261-'data on outstanding creditors'!$G3261</f>
        <v>1400</v>
      </c>
      <c r="I3261" s="2"/>
      <c r="J3261" s="1"/>
      <c r="K3261" s="2"/>
      <c r="L3261" s="5"/>
      <c r="M3261" s="9" t="s">
        <v>362</v>
      </c>
      <c r="N3261" s="9" t="s">
        <v>49</v>
      </c>
      <c r="O3261" s="10">
        <f>'data on outstanding creditors'!$E3261*100/107</f>
        <v>1308.411215</v>
      </c>
      <c r="P3261" s="10">
        <f>'data on outstanding creditors'!$E3261-'data on outstanding creditors'!$O3261</f>
        <v>91.58878505</v>
      </c>
      <c r="Q3261" s="7">
        <f>DAY('data on outstanding creditors'!$B3261)</f>
        <v>27</v>
      </c>
      <c r="R3261" s="7">
        <f>MONTH('data on outstanding creditors'!$B3261)</f>
        <v>6</v>
      </c>
      <c r="S3261" s="7">
        <f>YEAR('data on outstanding creditors'!$B3261)</f>
        <v>2025</v>
      </c>
      <c r="T3261" s="11" t="str">
        <f>'data on outstanding creditors'!$C3261&amp;" "&amp;'data on outstanding creditors'!$D3261&amp;" "&amp;TEXT('data on outstanding creditors'!$E3261,"#,##0.00")</f>
        <v>ร้าน T&amp;P แอร์ไฟฟ้า 0001/0016 1,400.00</v>
      </c>
      <c r="U3261" s="12"/>
    </row>
    <row r="3262" ht="13.5" customHeight="1">
      <c r="A3262" s="1" t="s">
        <v>5132</v>
      </c>
      <c r="B3262" s="2">
        <v>45839.0</v>
      </c>
      <c r="C3262" s="9" t="s">
        <v>1211</v>
      </c>
      <c r="D3262" s="1" t="s">
        <v>5133</v>
      </c>
      <c r="E3262" s="4">
        <v>3800.0</v>
      </c>
      <c r="F3262" s="4"/>
      <c r="G3262" s="4"/>
      <c r="H3262" s="4">
        <f>'data on outstanding creditors'!$E3262-'data on outstanding creditors'!$F3262-'data on outstanding creditors'!$G3262</f>
        <v>3800</v>
      </c>
      <c r="I3262" s="2"/>
      <c r="J3262" s="1" t="s">
        <v>646</v>
      </c>
      <c r="K3262" s="2">
        <v>45928.0</v>
      </c>
      <c r="L3262" s="5"/>
      <c r="M3262" s="9" t="s">
        <v>362</v>
      </c>
      <c r="N3262" s="9" t="s">
        <v>49</v>
      </c>
      <c r="O3262" s="10">
        <f>'data on outstanding creditors'!$E3262*100/107</f>
        <v>3551.401869</v>
      </c>
      <c r="P3262" s="10">
        <f>'data on outstanding creditors'!$E3262-'data on outstanding creditors'!$O3262</f>
        <v>248.5981308</v>
      </c>
      <c r="Q3262" s="7">
        <f>DAY('data on outstanding creditors'!$B3262)</f>
        <v>1</v>
      </c>
      <c r="R3262" s="7">
        <f>MONTH('data on outstanding creditors'!$B3262)</f>
        <v>7</v>
      </c>
      <c r="S3262" s="7">
        <f>YEAR('data on outstanding creditors'!$B3262)</f>
        <v>2025</v>
      </c>
      <c r="T3262" s="11" t="str">
        <f>'data on outstanding creditors'!$C3262&amp;" "&amp;'data on outstanding creditors'!$D3262&amp;" "&amp;TEXT('data on outstanding creditors'!$E3262,"#,##0.00")</f>
        <v>บ.เอน-ไซน์ เอ็นจิเนียริง 20251199 3,800.00</v>
      </c>
      <c r="U3262" s="12"/>
    </row>
    <row r="3263" ht="13.5" customHeight="1">
      <c r="A3263" s="1" t="s">
        <v>5134</v>
      </c>
      <c r="B3263" s="2">
        <v>45846.0</v>
      </c>
      <c r="C3263" s="9" t="s">
        <v>2305</v>
      </c>
      <c r="D3263" s="1" t="s">
        <v>5135</v>
      </c>
      <c r="E3263" s="4">
        <v>14800.0</v>
      </c>
      <c r="F3263" s="4"/>
      <c r="G3263" s="4"/>
      <c r="H3263" s="4">
        <f>'data on outstanding creditors'!$E3263-'data on outstanding creditors'!$F3263-'data on outstanding creditors'!$G3263</f>
        <v>14800</v>
      </c>
      <c r="I3263" s="2"/>
      <c r="J3263" s="1" t="s">
        <v>757</v>
      </c>
      <c r="K3263" s="2">
        <v>45926.0</v>
      </c>
      <c r="L3263" s="5"/>
      <c r="M3263" s="9" t="s">
        <v>362</v>
      </c>
      <c r="N3263" s="9" t="s">
        <v>49</v>
      </c>
      <c r="O3263" s="10">
        <f>'data on outstanding creditors'!$E3263*100/107</f>
        <v>13831.7757</v>
      </c>
      <c r="P3263" s="10">
        <f>'data on outstanding creditors'!$E3263-'data on outstanding creditors'!$O3263</f>
        <v>968.2242991</v>
      </c>
      <c r="Q3263" s="7">
        <f>DAY('data on outstanding creditors'!$B3263)</f>
        <v>8</v>
      </c>
      <c r="R3263" s="7">
        <f>MONTH('data on outstanding creditors'!$B3263)</f>
        <v>7</v>
      </c>
      <c r="S3263" s="7">
        <f>YEAR('data on outstanding creditors'!$B3263)</f>
        <v>2025</v>
      </c>
      <c r="T3263" s="11" t="str">
        <f>'data on outstanding creditors'!$C3263&amp;" "&amp;'data on outstanding creditors'!$D3263&amp;" "&amp;TEXT('data on outstanding creditors'!$E3263,"#,##0.00")</f>
        <v>บ.ฟิวเจอร์ เมดิคอล ซัพพลาย IV2507-00052 14,800.00</v>
      </c>
      <c r="U3263" s="12"/>
    </row>
    <row r="3264" ht="13.5" customHeight="1">
      <c r="A3264" s="1" t="s">
        <v>5136</v>
      </c>
      <c r="B3264" s="2">
        <v>45846.0</v>
      </c>
      <c r="C3264" s="9" t="s">
        <v>5137</v>
      </c>
      <c r="D3264" s="1" t="s">
        <v>5138</v>
      </c>
      <c r="E3264" s="4">
        <v>8000.0</v>
      </c>
      <c r="F3264" s="4"/>
      <c r="G3264" s="4"/>
      <c r="H3264" s="4">
        <f>'data on outstanding creditors'!$E3264-'data on outstanding creditors'!$F3264-'data on outstanding creditors'!$G3264</f>
        <v>8000</v>
      </c>
      <c r="I3264" s="2"/>
      <c r="J3264" s="1" t="s">
        <v>646</v>
      </c>
      <c r="K3264" s="2">
        <v>45944.0</v>
      </c>
      <c r="L3264" s="5"/>
      <c r="M3264" s="9" t="s">
        <v>362</v>
      </c>
      <c r="N3264" s="9" t="s">
        <v>49</v>
      </c>
      <c r="O3264" s="10">
        <f>'data on outstanding creditors'!$E3264*100/107</f>
        <v>7476.635514</v>
      </c>
      <c r="P3264" s="10">
        <f>'data on outstanding creditors'!$E3264-'data on outstanding creditors'!$O3264</f>
        <v>523.364486</v>
      </c>
      <c r="Q3264" s="7">
        <f>DAY('data on outstanding creditors'!$B3264)</f>
        <v>8</v>
      </c>
      <c r="R3264" s="7">
        <f>MONTH('data on outstanding creditors'!$B3264)</f>
        <v>7</v>
      </c>
      <c r="S3264" s="7">
        <f>YEAR('data on outstanding creditors'!$B3264)</f>
        <v>2025</v>
      </c>
      <c r="T3264" s="11" t="str">
        <f>'data on outstanding creditors'!$C3264&amp;" "&amp;'data on outstanding creditors'!$D3264&amp;" "&amp;TEXT('data on outstanding creditors'!$E3264,"#,##0.00")</f>
        <v>บ.บีทีแอล เทคโนโลจีส์ 2025_07_043 8,000.00</v>
      </c>
      <c r="U3264" s="12"/>
    </row>
    <row r="3265" ht="13.5" customHeight="1">
      <c r="A3265" s="1" t="s">
        <v>5139</v>
      </c>
      <c r="B3265" s="2">
        <v>45847.0</v>
      </c>
      <c r="C3265" s="9" t="s">
        <v>5140</v>
      </c>
      <c r="D3265" s="1" t="s">
        <v>5141</v>
      </c>
      <c r="E3265" s="4">
        <v>12000.0</v>
      </c>
      <c r="F3265" s="4"/>
      <c r="G3265" s="4"/>
      <c r="H3265" s="4">
        <f>'data on outstanding creditors'!$E3265-'data on outstanding creditors'!$F3265-'data on outstanding creditors'!$G3265</f>
        <v>12000</v>
      </c>
      <c r="I3265" s="2"/>
      <c r="J3265" s="1" t="s">
        <v>646</v>
      </c>
      <c r="K3265" s="2">
        <v>45906.0</v>
      </c>
      <c r="L3265" s="5"/>
      <c r="M3265" s="9" t="s">
        <v>362</v>
      </c>
      <c r="N3265" s="9" t="s">
        <v>49</v>
      </c>
      <c r="O3265" s="10">
        <f>'data on outstanding creditors'!$E3265*100/107</f>
        <v>11214.95327</v>
      </c>
      <c r="P3265" s="10">
        <f>'data on outstanding creditors'!$E3265-'data on outstanding creditors'!$O3265</f>
        <v>785.046729</v>
      </c>
      <c r="Q3265" s="7">
        <f>DAY('data on outstanding creditors'!$B3265)</f>
        <v>9</v>
      </c>
      <c r="R3265" s="7">
        <f>MONTH('data on outstanding creditors'!$B3265)</f>
        <v>7</v>
      </c>
      <c r="S3265" s="7">
        <f>YEAR('data on outstanding creditors'!$B3265)</f>
        <v>2025</v>
      </c>
      <c r="T3265" s="11" t="str">
        <f>'data on outstanding creditors'!$C3265&amp;" "&amp;'data on outstanding creditors'!$D3265&amp;" "&amp;TEXT('data on outstanding creditors'!$E3265,"#,##0.00")</f>
        <v>บ.ซี.อาร์.เอ็ม.เฮลท์แคร์ INV2025070001 12,000.00</v>
      </c>
      <c r="U3265" s="12"/>
    </row>
    <row r="3266" ht="13.5" customHeight="1">
      <c r="A3266" s="1" t="s">
        <v>5142</v>
      </c>
      <c r="B3266" s="2">
        <v>45847.0</v>
      </c>
      <c r="C3266" s="9" t="s">
        <v>4872</v>
      </c>
      <c r="D3266" s="1" t="s">
        <v>5143</v>
      </c>
      <c r="E3266" s="4">
        <v>3745.0</v>
      </c>
      <c r="F3266" s="4"/>
      <c r="G3266" s="4"/>
      <c r="H3266" s="4">
        <f>'data on outstanding creditors'!$E3266-'data on outstanding creditors'!$F3266-'data on outstanding creditors'!$G3266</f>
        <v>3745</v>
      </c>
      <c r="I3266" s="2"/>
      <c r="J3266" s="1" t="s">
        <v>646</v>
      </c>
      <c r="K3266" s="2">
        <v>45954.0</v>
      </c>
      <c r="L3266" s="5"/>
      <c r="M3266" s="9" t="s">
        <v>362</v>
      </c>
      <c r="N3266" s="9" t="s">
        <v>49</v>
      </c>
      <c r="O3266" s="10">
        <f>'data on outstanding creditors'!$E3266*100/107</f>
        <v>3500</v>
      </c>
      <c r="P3266" s="10">
        <f>'data on outstanding creditors'!$E3266-'data on outstanding creditors'!$O3266</f>
        <v>245</v>
      </c>
      <c r="Q3266" s="7">
        <f>DAY('data on outstanding creditors'!$B3266)</f>
        <v>9</v>
      </c>
      <c r="R3266" s="7">
        <f>MONTH('data on outstanding creditors'!$B3266)</f>
        <v>7</v>
      </c>
      <c r="S3266" s="7">
        <f>YEAR('data on outstanding creditors'!$B3266)</f>
        <v>2025</v>
      </c>
      <c r="T3266" s="11" t="str">
        <f>'data on outstanding creditors'!$C3266&amp;" "&amp;'data on outstanding creditors'!$D3266&amp;" "&amp;TEXT('data on outstanding creditors'!$E3266,"#,##0.00")</f>
        <v>บ.อุดม เมดิคอล อิควิปเม้นท์ GU125070530 3,745.00</v>
      </c>
      <c r="U3266" s="12"/>
    </row>
    <row r="3267" ht="13.5" customHeight="1">
      <c r="A3267" s="1" t="s">
        <v>5144</v>
      </c>
      <c r="B3267" s="2">
        <v>45847.0</v>
      </c>
      <c r="C3267" s="9" t="s">
        <v>4872</v>
      </c>
      <c r="D3267" s="1" t="s">
        <v>5145</v>
      </c>
      <c r="E3267" s="4">
        <v>3745.0</v>
      </c>
      <c r="F3267" s="4"/>
      <c r="G3267" s="4"/>
      <c r="H3267" s="4">
        <f>'data on outstanding creditors'!$E3267-'data on outstanding creditors'!$F3267-'data on outstanding creditors'!$G3267</f>
        <v>3745</v>
      </c>
      <c r="I3267" s="2"/>
      <c r="J3267" s="1" t="s">
        <v>646</v>
      </c>
      <c r="K3267" s="2">
        <v>45954.0</v>
      </c>
      <c r="L3267" s="5"/>
      <c r="M3267" s="9" t="s">
        <v>362</v>
      </c>
      <c r="N3267" s="9" t="s">
        <v>49</v>
      </c>
      <c r="O3267" s="10">
        <f>'data on outstanding creditors'!$E3267*100/107</f>
        <v>3500</v>
      </c>
      <c r="P3267" s="10">
        <f>'data on outstanding creditors'!$E3267-'data on outstanding creditors'!$O3267</f>
        <v>245</v>
      </c>
      <c r="Q3267" s="7">
        <f>DAY('data on outstanding creditors'!$B3267)</f>
        <v>9</v>
      </c>
      <c r="R3267" s="7">
        <f>MONTH('data on outstanding creditors'!$B3267)</f>
        <v>7</v>
      </c>
      <c r="S3267" s="7">
        <f>YEAR('data on outstanding creditors'!$B3267)</f>
        <v>2025</v>
      </c>
      <c r="T3267" s="11" t="str">
        <f>'data on outstanding creditors'!$C3267&amp;" "&amp;'data on outstanding creditors'!$D3267&amp;" "&amp;TEXT('data on outstanding creditors'!$E3267,"#,##0.00")</f>
        <v>บ.อุดม เมดิคอล อิควิปเม้นท์ GU125070529 3,745.00</v>
      </c>
      <c r="U3267" s="12"/>
    </row>
    <row r="3268" ht="13.5" customHeight="1">
      <c r="A3268" s="1" t="s">
        <v>5146</v>
      </c>
      <c r="B3268" s="2">
        <v>45847.0</v>
      </c>
      <c r="C3268" s="9" t="s">
        <v>4872</v>
      </c>
      <c r="D3268" s="1" t="s">
        <v>5147</v>
      </c>
      <c r="E3268" s="4">
        <v>3745.0</v>
      </c>
      <c r="F3268" s="4"/>
      <c r="G3268" s="4"/>
      <c r="H3268" s="4">
        <f>'data on outstanding creditors'!$E3268-'data on outstanding creditors'!$F3268-'data on outstanding creditors'!$G3268</f>
        <v>3745</v>
      </c>
      <c r="I3268" s="2"/>
      <c r="J3268" s="1" t="s">
        <v>646</v>
      </c>
      <c r="K3268" s="2">
        <v>45954.0</v>
      </c>
      <c r="L3268" s="5"/>
      <c r="M3268" s="9" t="s">
        <v>362</v>
      </c>
      <c r="N3268" s="9" t="s">
        <v>49</v>
      </c>
      <c r="O3268" s="10">
        <f>'data on outstanding creditors'!$E3268*100/107</f>
        <v>3500</v>
      </c>
      <c r="P3268" s="10">
        <f>'data on outstanding creditors'!$E3268-'data on outstanding creditors'!$O3268</f>
        <v>245</v>
      </c>
      <c r="Q3268" s="7">
        <f>DAY('data on outstanding creditors'!$B3268)</f>
        <v>9</v>
      </c>
      <c r="R3268" s="7">
        <f>MONTH('data on outstanding creditors'!$B3268)</f>
        <v>7</v>
      </c>
      <c r="S3268" s="7">
        <f>YEAR('data on outstanding creditors'!$B3268)</f>
        <v>2025</v>
      </c>
      <c r="T3268" s="11" t="str">
        <f>'data on outstanding creditors'!$C3268&amp;" "&amp;'data on outstanding creditors'!$D3268&amp;" "&amp;TEXT('data on outstanding creditors'!$E3268,"#,##0.00")</f>
        <v>บ.อุดม เมดิคอล อิควิปเม้นท์ GU125070533 3,745.00</v>
      </c>
      <c r="U3268" s="12"/>
    </row>
    <row r="3269" ht="13.5" customHeight="1">
      <c r="A3269" s="1" t="s">
        <v>5148</v>
      </c>
      <c r="B3269" s="2">
        <v>45847.0</v>
      </c>
      <c r="C3269" s="9" t="s">
        <v>4872</v>
      </c>
      <c r="D3269" s="1" t="s">
        <v>5149</v>
      </c>
      <c r="E3269" s="4">
        <v>3745.0</v>
      </c>
      <c r="F3269" s="4"/>
      <c r="G3269" s="4"/>
      <c r="H3269" s="4">
        <f>'data on outstanding creditors'!$E3269-'data on outstanding creditors'!$F3269-'data on outstanding creditors'!$G3269</f>
        <v>3745</v>
      </c>
      <c r="I3269" s="2"/>
      <c r="J3269" s="1" t="s">
        <v>646</v>
      </c>
      <c r="K3269" s="2">
        <v>45954.0</v>
      </c>
      <c r="L3269" s="5"/>
      <c r="M3269" s="9" t="s">
        <v>362</v>
      </c>
      <c r="N3269" s="9" t="s">
        <v>49</v>
      </c>
      <c r="O3269" s="10">
        <f>'data on outstanding creditors'!$E3269*100/107</f>
        <v>3500</v>
      </c>
      <c r="P3269" s="10">
        <f>'data on outstanding creditors'!$E3269-'data on outstanding creditors'!$O3269</f>
        <v>245</v>
      </c>
      <c r="Q3269" s="7">
        <f>DAY('data on outstanding creditors'!$B3269)</f>
        <v>9</v>
      </c>
      <c r="R3269" s="7">
        <f>MONTH('data on outstanding creditors'!$B3269)</f>
        <v>7</v>
      </c>
      <c r="S3269" s="7">
        <f>YEAR('data on outstanding creditors'!$B3269)</f>
        <v>2025</v>
      </c>
      <c r="T3269" s="11" t="str">
        <f>'data on outstanding creditors'!$C3269&amp;" "&amp;'data on outstanding creditors'!$D3269&amp;" "&amp;TEXT('data on outstanding creditors'!$E3269,"#,##0.00")</f>
        <v>บ.อุดม เมดิคอล อิควิปเม้นท์ GU125070531 3,745.00</v>
      </c>
      <c r="U3269" s="12"/>
    </row>
    <row r="3270" ht="13.5" customHeight="1">
      <c r="A3270" s="1" t="s">
        <v>5150</v>
      </c>
      <c r="B3270" s="2">
        <v>45852.0</v>
      </c>
      <c r="C3270" s="9" t="s">
        <v>1034</v>
      </c>
      <c r="D3270" s="1" t="s">
        <v>5151</v>
      </c>
      <c r="E3270" s="4">
        <v>2200.0</v>
      </c>
      <c r="F3270" s="4"/>
      <c r="G3270" s="4"/>
      <c r="H3270" s="4">
        <f>'data on outstanding creditors'!$E3270-'data on outstanding creditors'!$F3270-'data on outstanding creditors'!$G3270</f>
        <v>2200</v>
      </c>
      <c r="I3270" s="2"/>
      <c r="J3270" s="1" t="s">
        <v>646</v>
      </c>
      <c r="K3270" s="2">
        <v>45944.0</v>
      </c>
      <c r="L3270" s="5"/>
      <c r="M3270" s="9" t="s">
        <v>362</v>
      </c>
      <c r="N3270" s="9" t="s">
        <v>49</v>
      </c>
      <c r="O3270" s="10">
        <f>'data on outstanding creditors'!$E3270*100/107</f>
        <v>2056.074766</v>
      </c>
      <c r="P3270" s="10">
        <f>'data on outstanding creditors'!$E3270-'data on outstanding creditors'!$O3270</f>
        <v>143.9252336</v>
      </c>
      <c r="Q3270" s="7">
        <f>DAY('data on outstanding creditors'!$B3270)</f>
        <v>14</v>
      </c>
      <c r="R3270" s="7">
        <f>MONTH('data on outstanding creditors'!$B3270)</f>
        <v>7</v>
      </c>
      <c r="S3270" s="7">
        <f>YEAR('data on outstanding creditors'!$B3270)</f>
        <v>2025</v>
      </c>
      <c r="T3270" s="11" t="str">
        <f>'data on outstanding creditors'!$C3270&amp;" "&amp;'data on outstanding creditors'!$D3270&amp;" "&amp;TEXT('data on outstanding creditors'!$E3270,"#,##0.00")</f>
        <v>บ.แบงค็อก เมดิคอลส์ โปร IV17249/68 2,200.00</v>
      </c>
      <c r="U3270" s="12"/>
    </row>
    <row r="3271" ht="13.5" customHeight="1">
      <c r="A3271" s="1" t="s">
        <v>5152</v>
      </c>
      <c r="B3271" s="2">
        <v>45852.0</v>
      </c>
      <c r="C3271" s="9" t="s">
        <v>1034</v>
      </c>
      <c r="D3271" s="1" t="s">
        <v>5153</v>
      </c>
      <c r="E3271" s="4">
        <v>2500.0</v>
      </c>
      <c r="F3271" s="4"/>
      <c r="G3271" s="4"/>
      <c r="H3271" s="4">
        <f>'data on outstanding creditors'!$E3271-'data on outstanding creditors'!$F3271-'data on outstanding creditors'!$G3271</f>
        <v>2500</v>
      </c>
      <c r="I3271" s="2"/>
      <c r="J3271" s="1" t="s">
        <v>646</v>
      </c>
      <c r="K3271" s="2">
        <v>45928.0</v>
      </c>
      <c r="L3271" s="5"/>
      <c r="M3271" s="9" t="s">
        <v>362</v>
      </c>
      <c r="N3271" s="9" t="s">
        <v>49</v>
      </c>
      <c r="O3271" s="10">
        <f>'data on outstanding creditors'!$E3271*100/107</f>
        <v>2336.448598</v>
      </c>
      <c r="P3271" s="10">
        <f>'data on outstanding creditors'!$E3271-'data on outstanding creditors'!$O3271</f>
        <v>163.5514019</v>
      </c>
      <c r="Q3271" s="7">
        <f>DAY('data on outstanding creditors'!$B3271)</f>
        <v>14</v>
      </c>
      <c r="R3271" s="7">
        <f>MONTH('data on outstanding creditors'!$B3271)</f>
        <v>7</v>
      </c>
      <c r="S3271" s="7">
        <f>YEAR('data on outstanding creditors'!$B3271)</f>
        <v>2025</v>
      </c>
      <c r="T3271" s="11" t="str">
        <f>'data on outstanding creditors'!$C3271&amp;" "&amp;'data on outstanding creditors'!$D3271&amp;" "&amp;TEXT('data on outstanding creditors'!$E3271,"#,##0.00")</f>
        <v>บ.แบงค็อก เมดิคอลส์ โปร IV17096/68 2,500.00</v>
      </c>
      <c r="U3271" s="12"/>
    </row>
    <row r="3272" ht="13.5" customHeight="1">
      <c r="A3272" s="1" t="s">
        <v>5154</v>
      </c>
      <c r="B3272" s="2">
        <v>45852.0</v>
      </c>
      <c r="C3272" s="9" t="s">
        <v>1034</v>
      </c>
      <c r="D3272" s="1" t="s">
        <v>5155</v>
      </c>
      <c r="E3272" s="4">
        <v>6500.0</v>
      </c>
      <c r="F3272" s="4"/>
      <c r="G3272" s="4"/>
      <c r="H3272" s="4">
        <f>'data on outstanding creditors'!$E3272-'data on outstanding creditors'!$F3272-'data on outstanding creditors'!$G3272</f>
        <v>6500</v>
      </c>
      <c r="I3272" s="2"/>
      <c r="J3272" s="1" t="s">
        <v>646</v>
      </c>
      <c r="K3272" s="2">
        <v>45928.0</v>
      </c>
      <c r="L3272" s="5"/>
      <c r="M3272" s="9" t="s">
        <v>362</v>
      </c>
      <c r="N3272" s="9" t="s">
        <v>49</v>
      </c>
      <c r="O3272" s="10">
        <f>'data on outstanding creditors'!$E3272*100/107</f>
        <v>6074.766355</v>
      </c>
      <c r="P3272" s="10">
        <f>'data on outstanding creditors'!$E3272-'data on outstanding creditors'!$O3272</f>
        <v>425.2336449</v>
      </c>
      <c r="Q3272" s="7">
        <f>DAY('data on outstanding creditors'!$B3272)</f>
        <v>14</v>
      </c>
      <c r="R3272" s="7">
        <f>MONTH('data on outstanding creditors'!$B3272)</f>
        <v>7</v>
      </c>
      <c r="S3272" s="7">
        <f>YEAR('data on outstanding creditors'!$B3272)</f>
        <v>2025</v>
      </c>
      <c r="T3272" s="11" t="str">
        <f>'data on outstanding creditors'!$C3272&amp;" "&amp;'data on outstanding creditors'!$D3272&amp;" "&amp;TEXT('data on outstanding creditors'!$E3272,"#,##0.00")</f>
        <v>บ.แบงค็อก เมดิคอลส์ โปร IV17297/68 6,500.00</v>
      </c>
      <c r="U3272" s="12"/>
    </row>
    <row r="3273" ht="13.5" customHeight="1">
      <c r="A3273" s="1" t="s">
        <v>5156</v>
      </c>
      <c r="B3273" s="2">
        <v>45852.0</v>
      </c>
      <c r="C3273" s="9" t="s">
        <v>3676</v>
      </c>
      <c r="D3273" s="1" t="s">
        <v>5157</v>
      </c>
      <c r="E3273" s="4">
        <v>9500.0</v>
      </c>
      <c r="F3273" s="4"/>
      <c r="G3273" s="4"/>
      <c r="H3273" s="4">
        <f>'data on outstanding creditors'!$E3273-'data on outstanding creditors'!$F3273-'data on outstanding creditors'!$G3273</f>
        <v>9500</v>
      </c>
      <c r="I3273" s="2"/>
      <c r="J3273" s="1"/>
      <c r="K3273" s="2"/>
      <c r="L3273" s="5"/>
      <c r="M3273" s="9" t="s">
        <v>362</v>
      </c>
      <c r="N3273" s="9" t="s">
        <v>49</v>
      </c>
      <c r="O3273" s="10">
        <f>'data on outstanding creditors'!$E3273*100/107</f>
        <v>8878.504673</v>
      </c>
      <c r="P3273" s="10">
        <f>'data on outstanding creditors'!$E3273-'data on outstanding creditors'!$O3273</f>
        <v>621.4953271</v>
      </c>
      <c r="Q3273" s="7">
        <f>DAY('data on outstanding creditors'!$B3273)</f>
        <v>14</v>
      </c>
      <c r="R3273" s="7">
        <f>MONTH('data on outstanding creditors'!$B3273)</f>
        <v>7</v>
      </c>
      <c r="S3273" s="7">
        <f>YEAR('data on outstanding creditors'!$B3273)</f>
        <v>2025</v>
      </c>
      <c r="T3273" s="11" t="str">
        <f>'data on outstanding creditors'!$C3273&amp;" "&amp;'data on outstanding creditors'!$D3273&amp;" "&amp;TEXT('data on outstanding creditors'!$E3273,"#,##0.00")</f>
        <v>ร้าน เอที ซัพพลาย แอนด์ เซอร์วิส A6805/037 9,500.00</v>
      </c>
      <c r="U3273" s="12"/>
    </row>
    <row r="3274" ht="13.5" customHeight="1">
      <c r="A3274" s="1" t="s">
        <v>5158</v>
      </c>
      <c r="B3274" s="2">
        <v>45852.0</v>
      </c>
      <c r="C3274" s="9" t="s">
        <v>3676</v>
      </c>
      <c r="D3274" s="1" t="s">
        <v>5159</v>
      </c>
      <c r="E3274" s="4">
        <v>6000.0</v>
      </c>
      <c r="F3274" s="4"/>
      <c r="G3274" s="4"/>
      <c r="H3274" s="4">
        <f>'data on outstanding creditors'!$E3274-'data on outstanding creditors'!$F3274-'data on outstanding creditors'!$G3274</f>
        <v>6000</v>
      </c>
      <c r="I3274" s="2"/>
      <c r="J3274" s="1" t="s">
        <v>757</v>
      </c>
      <c r="K3274" s="2">
        <v>45940.0</v>
      </c>
      <c r="L3274" s="5"/>
      <c r="M3274" s="9" t="s">
        <v>362</v>
      </c>
      <c r="N3274" s="9" t="s">
        <v>49</v>
      </c>
      <c r="O3274" s="10">
        <f>'data on outstanding creditors'!$E3274*100/107</f>
        <v>5607.476636</v>
      </c>
      <c r="P3274" s="10">
        <f>'data on outstanding creditors'!$E3274-'data on outstanding creditors'!$O3274</f>
        <v>392.5233645</v>
      </c>
      <c r="Q3274" s="7">
        <f>DAY('data on outstanding creditors'!$B3274)</f>
        <v>14</v>
      </c>
      <c r="R3274" s="7">
        <f>MONTH('data on outstanding creditors'!$B3274)</f>
        <v>7</v>
      </c>
      <c r="S3274" s="7">
        <f>YEAR('data on outstanding creditors'!$B3274)</f>
        <v>2025</v>
      </c>
      <c r="T3274" s="11" t="str">
        <f>'data on outstanding creditors'!$C3274&amp;" "&amp;'data on outstanding creditors'!$D3274&amp;" "&amp;TEXT('data on outstanding creditors'!$E3274,"#,##0.00")</f>
        <v>ร้าน เอที ซัพพลาย แอนด์ เซอร์วิส A6805/040 6,000.00</v>
      </c>
      <c r="U3274" s="12"/>
    </row>
    <row r="3275" ht="13.5" customHeight="1">
      <c r="A3275" s="1" t="s">
        <v>5160</v>
      </c>
      <c r="B3275" s="2">
        <v>45852.0</v>
      </c>
      <c r="C3275" s="9" t="s">
        <v>3676</v>
      </c>
      <c r="D3275" s="1" t="s">
        <v>5161</v>
      </c>
      <c r="E3275" s="4">
        <v>15000.0</v>
      </c>
      <c r="F3275" s="4"/>
      <c r="G3275" s="4"/>
      <c r="H3275" s="4">
        <f>'data on outstanding creditors'!$E3275-'data on outstanding creditors'!$F3275-'data on outstanding creditors'!$G3275</f>
        <v>15000</v>
      </c>
      <c r="I3275" s="2"/>
      <c r="J3275" s="1" t="s">
        <v>757</v>
      </c>
      <c r="K3275" s="2">
        <v>45950.0</v>
      </c>
      <c r="L3275" s="5"/>
      <c r="M3275" s="9" t="s">
        <v>362</v>
      </c>
      <c r="N3275" s="9" t="s">
        <v>49</v>
      </c>
      <c r="O3275" s="10">
        <f>'data on outstanding creditors'!$E3275*100/107</f>
        <v>14018.69159</v>
      </c>
      <c r="P3275" s="10">
        <f>'data on outstanding creditors'!$E3275-'data on outstanding creditors'!$O3275</f>
        <v>981.3084112</v>
      </c>
      <c r="Q3275" s="7">
        <f>DAY('data on outstanding creditors'!$B3275)</f>
        <v>14</v>
      </c>
      <c r="R3275" s="7">
        <f>MONTH('data on outstanding creditors'!$B3275)</f>
        <v>7</v>
      </c>
      <c r="S3275" s="7">
        <f>YEAR('data on outstanding creditors'!$B3275)</f>
        <v>2025</v>
      </c>
      <c r="T3275" s="11" t="str">
        <f>'data on outstanding creditors'!$C3275&amp;" "&amp;'data on outstanding creditors'!$D3275&amp;" "&amp;TEXT('data on outstanding creditors'!$E3275,"#,##0.00")</f>
        <v>ร้าน เอที ซัพพลาย แอนด์ เซอร์วิส A6805/048 15,000.00</v>
      </c>
      <c r="U3275" s="12"/>
    </row>
    <row r="3276" ht="13.5" customHeight="1">
      <c r="A3276" s="1" t="s">
        <v>5162</v>
      </c>
      <c r="B3276" s="2">
        <v>45852.0</v>
      </c>
      <c r="C3276" s="9" t="s">
        <v>3676</v>
      </c>
      <c r="D3276" s="1" t="s">
        <v>5163</v>
      </c>
      <c r="E3276" s="4">
        <v>32750.0</v>
      </c>
      <c r="F3276" s="4"/>
      <c r="G3276" s="4"/>
      <c r="H3276" s="4">
        <f>'data on outstanding creditors'!$E3276-'data on outstanding creditors'!$F3276-'data on outstanding creditors'!$G3276</f>
        <v>32750</v>
      </c>
      <c r="I3276" s="2"/>
      <c r="J3276" s="1" t="s">
        <v>646</v>
      </c>
      <c r="K3276" s="2">
        <v>45954.0</v>
      </c>
      <c r="L3276" s="5"/>
      <c r="M3276" s="9" t="s">
        <v>362</v>
      </c>
      <c r="N3276" s="9" t="s">
        <v>49</v>
      </c>
      <c r="O3276" s="10">
        <f>'data on outstanding creditors'!$E3276*100/107</f>
        <v>30607.47664</v>
      </c>
      <c r="P3276" s="10">
        <f>'data on outstanding creditors'!$E3276-'data on outstanding creditors'!$O3276</f>
        <v>2142.523364</v>
      </c>
      <c r="Q3276" s="7">
        <f>DAY('data on outstanding creditors'!$B3276)</f>
        <v>14</v>
      </c>
      <c r="R3276" s="7">
        <f>MONTH('data on outstanding creditors'!$B3276)</f>
        <v>7</v>
      </c>
      <c r="S3276" s="7">
        <f>YEAR('data on outstanding creditors'!$B3276)</f>
        <v>2025</v>
      </c>
      <c r="T3276" s="11" t="str">
        <f>'data on outstanding creditors'!$C3276&amp;" "&amp;'data on outstanding creditors'!$D3276&amp;" "&amp;TEXT('data on outstanding creditors'!$E3276,"#,##0.00")</f>
        <v>ร้าน เอที ซัพพลาย แอนด์ เซอร์วิส A6805/041 32,750.00</v>
      </c>
      <c r="U3276" s="12"/>
    </row>
    <row r="3277" ht="13.5" customHeight="1">
      <c r="A3277" s="1" t="s">
        <v>5164</v>
      </c>
      <c r="B3277" s="2">
        <v>45853.0</v>
      </c>
      <c r="C3277" s="9" t="s">
        <v>2330</v>
      </c>
      <c r="D3277" s="1" t="s">
        <v>5165</v>
      </c>
      <c r="E3277" s="4">
        <v>2850.0</v>
      </c>
      <c r="F3277" s="4"/>
      <c r="G3277" s="4"/>
      <c r="H3277" s="4">
        <f>'data on outstanding creditors'!$E3277-'data on outstanding creditors'!$F3277-'data on outstanding creditors'!$G3277</f>
        <v>2850</v>
      </c>
      <c r="I3277" s="2"/>
      <c r="J3277" s="1" t="s">
        <v>646</v>
      </c>
      <c r="K3277" s="2">
        <v>45944.0</v>
      </c>
      <c r="L3277" s="5"/>
      <c r="M3277" s="9" t="s">
        <v>362</v>
      </c>
      <c r="N3277" s="9" t="s">
        <v>49</v>
      </c>
      <c r="O3277" s="10">
        <f>'data on outstanding creditors'!$E3277*100/107</f>
        <v>2663.551402</v>
      </c>
      <c r="P3277" s="10">
        <f>'data on outstanding creditors'!$E3277-'data on outstanding creditors'!$O3277</f>
        <v>186.4485981</v>
      </c>
      <c r="Q3277" s="7">
        <f>DAY('data on outstanding creditors'!$B3277)</f>
        <v>15</v>
      </c>
      <c r="R3277" s="7">
        <f>MONTH('data on outstanding creditors'!$B3277)</f>
        <v>7</v>
      </c>
      <c r="S3277" s="7">
        <f>YEAR('data on outstanding creditors'!$B3277)</f>
        <v>2025</v>
      </c>
      <c r="T3277" s="11" t="str">
        <f>'data on outstanding creditors'!$C3277&amp;" "&amp;'data on outstanding creditors'!$D3277&amp;" "&amp;TEXT('data on outstanding creditors'!$E3277,"#,##0.00")</f>
        <v>บ.อี ฟอร์ แอล เอม M6807-0169 2,850.00</v>
      </c>
      <c r="U3277" s="12"/>
    </row>
    <row r="3278" ht="13.5" customHeight="1">
      <c r="A3278" s="1" t="s">
        <v>5166</v>
      </c>
      <c r="B3278" s="2">
        <v>45853.0</v>
      </c>
      <c r="C3278" s="9" t="s">
        <v>2330</v>
      </c>
      <c r="D3278" s="1" t="s">
        <v>5167</v>
      </c>
      <c r="E3278" s="4">
        <v>34675.0</v>
      </c>
      <c r="F3278" s="4"/>
      <c r="G3278" s="4"/>
      <c r="H3278" s="4">
        <f>'data on outstanding creditors'!$E3278-'data on outstanding creditors'!$F3278-'data on outstanding creditors'!$G3278</f>
        <v>34675</v>
      </c>
      <c r="I3278" s="2"/>
      <c r="J3278" s="1" t="s">
        <v>646</v>
      </c>
      <c r="K3278" s="2">
        <v>45944.0</v>
      </c>
      <c r="L3278" s="5"/>
      <c r="M3278" s="9" t="s">
        <v>362</v>
      </c>
      <c r="N3278" s="9" t="s">
        <v>49</v>
      </c>
      <c r="O3278" s="10">
        <f>'data on outstanding creditors'!$E3278*100/107</f>
        <v>32406.54206</v>
      </c>
      <c r="P3278" s="10">
        <f>'data on outstanding creditors'!$E3278-'data on outstanding creditors'!$O3278</f>
        <v>2268.457944</v>
      </c>
      <c r="Q3278" s="7">
        <f>DAY('data on outstanding creditors'!$B3278)</f>
        <v>15</v>
      </c>
      <c r="R3278" s="7">
        <f>MONTH('data on outstanding creditors'!$B3278)</f>
        <v>7</v>
      </c>
      <c r="S3278" s="7">
        <f>YEAR('data on outstanding creditors'!$B3278)</f>
        <v>2025</v>
      </c>
      <c r="T3278" s="11" t="str">
        <f>'data on outstanding creditors'!$C3278&amp;" "&amp;'data on outstanding creditors'!$D3278&amp;" "&amp;TEXT('data on outstanding creditors'!$E3278,"#,##0.00")</f>
        <v>บ.อี ฟอร์ แอล เอม M6807-0167 34,675.00</v>
      </c>
      <c r="U3278" s="12"/>
    </row>
    <row r="3279" ht="13.5" customHeight="1">
      <c r="A3279" s="1" t="s">
        <v>5168</v>
      </c>
      <c r="B3279" s="2">
        <v>45853.0</v>
      </c>
      <c r="C3279" s="9" t="s">
        <v>2330</v>
      </c>
      <c r="D3279" s="1" t="s">
        <v>5169</v>
      </c>
      <c r="E3279" s="4">
        <v>19400.0</v>
      </c>
      <c r="F3279" s="4"/>
      <c r="G3279" s="4"/>
      <c r="H3279" s="4">
        <f>'data on outstanding creditors'!$E3279-'data on outstanding creditors'!$F3279-'data on outstanding creditors'!$G3279</f>
        <v>19400</v>
      </c>
      <c r="I3279" s="2"/>
      <c r="J3279" s="1" t="s">
        <v>646</v>
      </c>
      <c r="K3279" s="2">
        <v>45944.0</v>
      </c>
      <c r="L3279" s="5"/>
      <c r="M3279" s="9" t="s">
        <v>362</v>
      </c>
      <c r="N3279" s="9" t="s">
        <v>49</v>
      </c>
      <c r="O3279" s="10">
        <f>'data on outstanding creditors'!$E3279*100/107</f>
        <v>18130.84112</v>
      </c>
      <c r="P3279" s="10">
        <f>'data on outstanding creditors'!$E3279-'data on outstanding creditors'!$O3279</f>
        <v>1269.158879</v>
      </c>
      <c r="Q3279" s="7">
        <f>DAY('data on outstanding creditors'!$B3279)</f>
        <v>15</v>
      </c>
      <c r="R3279" s="7">
        <f>MONTH('data on outstanding creditors'!$B3279)</f>
        <v>7</v>
      </c>
      <c r="S3279" s="7">
        <f>YEAR('data on outstanding creditors'!$B3279)</f>
        <v>2025</v>
      </c>
      <c r="T3279" s="11" t="str">
        <f>'data on outstanding creditors'!$C3279&amp;" "&amp;'data on outstanding creditors'!$D3279&amp;" "&amp;TEXT('data on outstanding creditors'!$E3279,"#,##0.00")</f>
        <v>บ.อี ฟอร์ แอล เอม M6807-0255 19,400.00</v>
      </c>
      <c r="U3279" s="12"/>
    </row>
    <row r="3280" ht="13.5" customHeight="1">
      <c r="A3280" s="1" t="s">
        <v>5170</v>
      </c>
      <c r="B3280" s="2">
        <v>45853.0</v>
      </c>
      <c r="C3280" s="9" t="s">
        <v>3355</v>
      </c>
      <c r="D3280" s="1" t="s">
        <v>5171</v>
      </c>
      <c r="E3280" s="4">
        <v>28000.0</v>
      </c>
      <c r="F3280" s="4"/>
      <c r="G3280" s="4"/>
      <c r="H3280" s="4">
        <f>'data on outstanding creditors'!$E3280-'data on outstanding creditors'!$F3280-'data on outstanding creditors'!$G3280</f>
        <v>28000</v>
      </c>
      <c r="I3280" s="2"/>
      <c r="J3280" s="1" t="s">
        <v>757</v>
      </c>
      <c r="K3280" s="2">
        <v>45891.0</v>
      </c>
      <c r="L3280" s="5"/>
      <c r="M3280" s="9" t="s">
        <v>362</v>
      </c>
      <c r="N3280" s="9" t="s">
        <v>49</v>
      </c>
      <c r="O3280" s="10">
        <f>'data on outstanding creditors'!$E3280*100/107</f>
        <v>26168.2243</v>
      </c>
      <c r="P3280" s="10">
        <f>'data on outstanding creditors'!$E3280-'data on outstanding creditors'!$O3280</f>
        <v>1831.775701</v>
      </c>
      <c r="Q3280" s="7">
        <f>DAY('data on outstanding creditors'!$B3280)</f>
        <v>15</v>
      </c>
      <c r="R3280" s="7">
        <f>MONTH('data on outstanding creditors'!$B3280)</f>
        <v>7</v>
      </c>
      <c r="S3280" s="7">
        <f>YEAR('data on outstanding creditors'!$B3280)</f>
        <v>2025</v>
      </c>
      <c r="T3280" s="11" t="str">
        <f>'data on outstanding creditors'!$C3280&amp;" "&amp;'data on outstanding creditors'!$D3280&amp;" "&amp;TEXT('data on outstanding creditors'!$E3280,"#,##0.00")</f>
        <v>บ.เอ็นโดเมด เซอร์วิส SV2025070006 28,000.00</v>
      </c>
      <c r="U3280" s="12"/>
    </row>
    <row r="3281" ht="13.5" customHeight="1">
      <c r="A3281" s="1" t="s">
        <v>5172</v>
      </c>
      <c r="B3281" s="2">
        <v>45853.0</v>
      </c>
      <c r="C3281" s="9" t="s">
        <v>1034</v>
      </c>
      <c r="D3281" s="1" t="s">
        <v>5173</v>
      </c>
      <c r="E3281" s="4">
        <v>1200.0</v>
      </c>
      <c r="F3281" s="4"/>
      <c r="G3281" s="4"/>
      <c r="H3281" s="4">
        <f>'data on outstanding creditors'!$E3281-'data on outstanding creditors'!$F3281-'data on outstanding creditors'!$G3281</f>
        <v>1200</v>
      </c>
      <c r="I3281" s="2"/>
      <c r="J3281" s="1" t="s">
        <v>646</v>
      </c>
      <c r="K3281" s="2">
        <v>45928.0</v>
      </c>
      <c r="L3281" s="5"/>
      <c r="M3281" s="9" t="s">
        <v>362</v>
      </c>
      <c r="N3281" s="9" t="s">
        <v>49</v>
      </c>
      <c r="O3281" s="10">
        <f>'data on outstanding creditors'!$E3281*100/107</f>
        <v>1121.495327</v>
      </c>
      <c r="P3281" s="10">
        <f>'data on outstanding creditors'!$E3281-'data on outstanding creditors'!$O3281</f>
        <v>78.5046729</v>
      </c>
      <c r="Q3281" s="7">
        <f>DAY('data on outstanding creditors'!$B3281)</f>
        <v>15</v>
      </c>
      <c r="R3281" s="7">
        <f>MONTH('data on outstanding creditors'!$B3281)</f>
        <v>7</v>
      </c>
      <c r="S3281" s="7">
        <f>YEAR('data on outstanding creditors'!$B3281)</f>
        <v>2025</v>
      </c>
      <c r="T3281" s="11" t="str">
        <f>'data on outstanding creditors'!$C3281&amp;" "&amp;'data on outstanding creditors'!$D3281&amp;" "&amp;TEXT('data on outstanding creditors'!$E3281,"#,##0.00")</f>
        <v>บ.แบงค็อก เมดิคอลส์ โปร IV17296/68 1,200.00</v>
      </c>
      <c r="U3281" s="12"/>
    </row>
    <row r="3282" ht="13.5" customHeight="1">
      <c r="A3282" s="1" t="s">
        <v>5174</v>
      </c>
      <c r="B3282" s="2">
        <v>45860.0</v>
      </c>
      <c r="C3282" s="9" t="s">
        <v>4631</v>
      </c>
      <c r="D3282" s="1" t="s">
        <v>5175</v>
      </c>
      <c r="E3282" s="4">
        <v>10027.97</v>
      </c>
      <c r="F3282" s="4"/>
      <c r="G3282" s="4"/>
      <c r="H3282" s="4">
        <f>'data on outstanding creditors'!$E3282-'data on outstanding creditors'!$F3282-'data on outstanding creditors'!$G3282</f>
        <v>10027.97</v>
      </c>
      <c r="I3282" s="2"/>
      <c r="J3282" s="1" t="s">
        <v>757</v>
      </c>
      <c r="K3282" s="2">
        <v>45940.0</v>
      </c>
      <c r="L3282" s="5"/>
      <c r="M3282" s="9" t="s">
        <v>362</v>
      </c>
      <c r="N3282" s="9" t="s">
        <v>49</v>
      </c>
      <c r="O3282" s="10">
        <f>'data on outstanding creditors'!$E3282*100/107</f>
        <v>9371.934579</v>
      </c>
      <c r="P3282" s="10">
        <f>'data on outstanding creditors'!$E3282-'data on outstanding creditors'!$O3282</f>
        <v>656.0354206</v>
      </c>
      <c r="Q3282" s="7">
        <f>DAY('data on outstanding creditors'!$B3282)</f>
        <v>22</v>
      </c>
      <c r="R3282" s="7">
        <f>MONTH('data on outstanding creditors'!$B3282)</f>
        <v>7</v>
      </c>
      <c r="S3282" s="7">
        <f>YEAR('data on outstanding creditors'!$B3282)</f>
        <v>2025</v>
      </c>
      <c r="T3282" s="11" t="str">
        <f>'data on outstanding creditors'!$C3282&amp;" "&amp;'data on outstanding creditors'!$D3282&amp;" "&amp;TEXT('data on outstanding creditors'!$E3282,"#,##0.00")</f>
        <v>บ.นำวิวัฒน์การช่าง(1992) SIV250700423 10,027.97</v>
      </c>
      <c r="U3282" s="12"/>
    </row>
    <row r="3283" ht="13.5" customHeight="1">
      <c r="A3283" s="1" t="s">
        <v>5176</v>
      </c>
      <c r="B3283" s="2">
        <v>45860.0</v>
      </c>
      <c r="C3283" s="9" t="s">
        <v>4631</v>
      </c>
      <c r="D3283" s="1" t="s">
        <v>5177</v>
      </c>
      <c r="E3283" s="4">
        <v>16264.0</v>
      </c>
      <c r="F3283" s="4"/>
      <c r="G3283" s="4"/>
      <c r="H3283" s="4">
        <f>'data on outstanding creditors'!$E3283-'data on outstanding creditors'!$F3283-'data on outstanding creditors'!$G3283</f>
        <v>16264</v>
      </c>
      <c r="I3283" s="2"/>
      <c r="J3283" s="1" t="s">
        <v>757</v>
      </c>
      <c r="K3283" s="2">
        <v>45940.0</v>
      </c>
      <c r="L3283" s="5"/>
      <c r="M3283" s="9" t="s">
        <v>362</v>
      </c>
      <c r="N3283" s="9" t="s">
        <v>49</v>
      </c>
      <c r="O3283" s="10">
        <f>'data on outstanding creditors'!$E3283*100/107</f>
        <v>15200</v>
      </c>
      <c r="P3283" s="10">
        <f>'data on outstanding creditors'!$E3283-'data on outstanding creditors'!$O3283</f>
        <v>1064</v>
      </c>
      <c r="Q3283" s="7">
        <f>DAY('data on outstanding creditors'!$B3283)</f>
        <v>22</v>
      </c>
      <c r="R3283" s="7">
        <f>MONTH('data on outstanding creditors'!$B3283)</f>
        <v>7</v>
      </c>
      <c r="S3283" s="7">
        <f>YEAR('data on outstanding creditors'!$B3283)</f>
        <v>2025</v>
      </c>
      <c r="T3283" s="11" t="str">
        <f>'data on outstanding creditors'!$C3283&amp;" "&amp;'data on outstanding creditors'!$D3283&amp;" "&amp;TEXT('data on outstanding creditors'!$E3283,"#,##0.00")</f>
        <v>บ.นำวิวัฒน์การช่าง(1992) SIV250700539 16,264.00</v>
      </c>
      <c r="U3283" s="12"/>
    </row>
    <row r="3284" ht="13.5" customHeight="1">
      <c r="A3284" s="1" t="s">
        <v>5178</v>
      </c>
      <c r="B3284" s="2">
        <v>45862.0</v>
      </c>
      <c r="C3284" s="9" t="s">
        <v>1211</v>
      </c>
      <c r="D3284" s="1" t="s">
        <v>5179</v>
      </c>
      <c r="E3284" s="4">
        <v>15836.0</v>
      </c>
      <c r="F3284" s="4"/>
      <c r="G3284" s="4"/>
      <c r="H3284" s="4">
        <f>'data on outstanding creditors'!$E3284-'data on outstanding creditors'!$F3284-'data on outstanding creditors'!$G3284</f>
        <v>15836</v>
      </c>
      <c r="I3284" s="2"/>
      <c r="J3284" s="1"/>
      <c r="K3284" s="2"/>
      <c r="L3284" s="5"/>
      <c r="M3284" s="9" t="s">
        <v>362</v>
      </c>
      <c r="N3284" s="9" t="s">
        <v>49</v>
      </c>
      <c r="O3284" s="10">
        <f>'data on outstanding creditors'!$E3284*100/107</f>
        <v>14800</v>
      </c>
      <c r="P3284" s="10">
        <f>'data on outstanding creditors'!$E3284-'data on outstanding creditors'!$O3284</f>
        <v>1036</v>
      </c>
      <c r="Q3284" s="7">
        <f>DAY('data on outstanding creditors'!$B3284)</f>
        <v>24</v>
      </c>
      <c r="R3284" s="7">
        <f>MONTH('data on outstanding creditors'!$B3284)</f>
        <v>7</v>
      </c>
      <c r="S3284" s="7">
        <f>YEAR('data on outstanding creditors'!$B3284)</f>
        <v>2025</v>
      </c>
      <c r="T3284" s="11" t="str">
        <f>'data on outstanding creditors'!$C3284&amp;" "&amp;'data on outstanding creditors'!$D3284&amp;" "&amp;TEXT('data on outstanding creditors'!$E3284,"#,##0.00")</f>
        <v>บ.เอน-ไซน์ เอ็นจิเนียริง 20251202 15,836.00</v>
      </c>
      <c r="U3284" s="12"/>
    </row>
    <row r="3285" ht="13.5" customHeight="1">
      <c r="A3285" s="1" t="s">
        <v>5180</v>
      </c>
      <c r="B3285" s="2">
        <v>45862.0</v>
      </c>
      <c r="C3285" s="9" t="s">
        <v>399</v>
      </c>
      <c r="D3285" s="1" t="s">
        <v>5181</v>
      </c>
      <c r="E3285" s="4">
        <v>8731.2</v>
      </c>
      <c r="F3285" s="4"/>
      <c r="G3285" s="4"/>
      <c r="H3285" s="4">
        <f>'data on outstanding creditors'!$E3285-'data on outstanding creditors'!$F3285-'data on outstanding creditors'!$G3285</f>
        <v>8731.2</v>
      </c>
      <c r="I3285" s="2"/>
      <c r="J3285" s="1" t="s">
        <v>757</v>
      </c>
      <c r="K3285" s="2">
        <v>45940.0</v>
      </c>
      <c r="L3285" s="5"/>
      <c r="M3285" s="9" t="s">
        <v>362</v>
      </c>
      <c r="N3285" s="9" t="s">
        <v>49</v>
      </c>
      <c r="O3285" s="10">
        <f>'data on outstanding creditors'!$E3285*100/107</f>
        <v>8160</v>
      </c>
      <c r="P3285" s="10">
        <f>'data on outstanding creditors'!$E3285-'data on outstanding creditors'!$O3285</f>
        <v>571.2</v>
      </c>
      <c r="Q3285" s="7">
        <f>DAY('data on outstanding creditors'!$B3285)</f>
        <v>24</v>
      </c>
      <c r="R3285" s="7">
        <f>MONTH('data on outstanding creditors'!$B3285)</f>
        <v>7</v>
      </c>
      <c r="S3285" s="7">
        <f>YEAR('data on outstanding creditors'!$B3285)</f>
        <v>2025</v>
      </c>
      <c r="T3285" s="11" t="str">
        <f>'data on outstanding creditors'!$C3285&amp;" "&amp;'data on outstanding creditors'!$D3285&amp;" "&amp;TEXT('data on outstanding creditors'!$E3285,"#,##0.00")</f>
        <v>บ.ดีเคเอสเอช(ประเทศไทย) 5343968714 8,731.20</v>
      </c>
      <c r="U3285" s="12"/>
    </row>
    <row r="3286" ht="13.5" customHeight="1">
      <c r="A3286" s="1" t="s">
        <v>5182</v>
      </c>
      <c r="B3286" s="2">
        <v>45862.0</v>
      </c>
      <c r="C3286" s="9" t="s">
        <v>520</v>
      </c>
      <c r="D3286" s="1" t="s">
        <v>5183</v>
      </c>
      <c r="E3286" s="4">
        <v>4625.08</v>
      </c>
      <c r="F3286" s="4"/>
      <c r="G3286" s="4"/>
      <c r="H3286" s="4">
        <f>'data on outstanding creditors'!$E3286-'data on outstanding creditors'!$F3286-'data on outstanding creditors'!$G3286</f>
        <v>4625.08</v>
      </c>
      <c r="I3286" s="2"/>
      <c r="J3286" s="1" t="s">
        <v>757</v>
      </c>
      <c r="K3286" s="2">
        <v>45926.0</v>
      </c>
      <c r="L3286" s="5"/>
      <c r="M3286" s="9" t="s">
        <v>362</v>
      </c>
      <c r="N3286" s="9" t="s">
        <v>49</v>
      </c>
      <c r="O3286" s="10">
        <f>'data on outstanding creditors'!$E3286*100/107</f>
        <v>4322.504673</v>
      </c>
      <c r="P3286" s="10">
        <f>'data on outstanding creditors'!$E3286-'data on outstanding creditors'!$O3286</f>
        <v>302.5753271</v>
      </c>
      <c r="Q3286" s="7">
        <f>DAY('data on outstanding creditors'!$B3286)</f>
        <v>24</v>
      </c>
      <c r="R3286" s="7">
        <f>MONTH('data on outstanding creditors'!$B3286)</f>
        <v>7</v>
      </c>
      <c r="S3286" s="7">
        <f>YEAR('data on outstanding creditors'!$B3286)</f>
        <v>2025</v>
      </c>
      <c r="T3286" s="11" t="str">
        <f>'data on outstanding creditors'!$C3286&amp;" "&amp;'data on outstanding creditors'!$D3286&amp;" "&amp;TEXT('data on outstanding creditors'!$E3286,"#,##0.00")</f>
        <v>บ.ซิลลิคฟาร์มา 1317571220 4,625.08</v>
      </c>
      <c r="U3286" s="12"/>
    </row>
    <row r="3287" ht="13.5" customHeight="1">
      <c r="A3287" s="1" t="s">
        <v>5184</v>
      </c>
      <c r="B3287" s="2">
        <v>45862.0</v>
      </c>
      <c r="C3287" s="9" t="s">
        <v>520</v>
      </c>
      <c r="D3287" s="1" t="s">
        <v>5185</v>
      </c>
      <c r="E3287" s="4">
        <v>4269.3</v>
      </c>
      <c r="F3287" s="4"/>
      <c r="G3287" s="4"/>
      <c r="H3287" s="4">
        <f>'data on outstanding creditors'!$E3287-'data on outstanding creditors'!$F3287-'data on outstanding creditors'!$G3287</f>
        <v>4269.3</v>
      </c>
      <c r="I3287" s="2"/>
      <c r="J3287" s="1" t="s">
        <v>757</v>
      </c>
      <c r="K3287" s="2">
        <v>45926.0</v>
      </c>
      <c r="L3287" s="5"/>
      <c r="M3287" s="9" t="s">
        <v>362</v>
      </c>
      <c r="N3287" s="9" t="s">
        <v>49</v>
      </c>
      <c r="O3287" s="10">
        <f>'data on outstanding creditors'!$E3287*100/107</f>
        <v>3990</v>
      </c>
      <c r="P3287" s="10">
        <f>'data on outstanding creditors'!$E3287-'data on outstanding creditors'!$O3287</f>
        <v>279.3</v>
      </c>
      <c r="Q3287" s="7">
        <f>DAY('data on outstanding creditors'!$B3287)</f>
        <v>24</v>
      </c>
      <c r="R3287" s="7">
        <f>MONTH('data on outstanding creditors'!$B3287)</f>
        <v>7</v>
      </c>
      <c r="S3287" s="7">
        <f>YEAR('data on outstanding creditors'!$B3287)</f>
        <v>2025</v>
      </c>
      <c r="T3287" s="11" t="str">
        <f>'data on outstanding creditors'!$C3287&amp;" "&amp;'data on outstanding creditors'!$D3287&amp;" "&amp;TEXT('data on outstanding creditors'!$E3287,"#,##0.00")</f>
        <v>บ.ซิลลิคฟาร์มา 1317574765 4,269.30</v>
      </c>
      <c r="U3287" s="12"/>
    </row>
    <row r="3288" ht="13.5" customHeight="1">
      <c r="A3288" s="1" t="s">
        <v>5186</v>
      </c>
      <c r="B3288" s="2">
        <v>45862.0</v>
      </c>
      <c r="C3288" s="9" t="s">
        <v>520</v>
      </c>
      <c r="D3288" s="1" t="s">
        <v>5187</v>
      </c>
      <c r="E3288" s="4">
        <v>4269.3</v>
      </c>
      <c r="F3288" s="4"/>
      <c r="G3288" s="4"/>
      <c r="H3288" s="4">
        <f>'data on outstanding creditors'!$E3288-'data on outstanding creditors'!$F3288-'data on outstanding creditors'!$G3288</f>
        <v>4269.3</v>
      </c>
      <c r="I3288" s="2"/>
      <c r="J3288" s="1" t="s">
        <v>757</v>
      </c>
      <c r="K3288" s="2">
        <v>45926.0</v>
      </c>
      <c r="L3288" s="5"/>
      <c r="M3288" s="9" t="s">
        <v>362</v>
      </c>
      <c r="N3288" s="9" t="s">
        <v>49</v>
      </c>
      <c r="O3288" s="10">
        <f>'data on outstanding creditors'!$E3288*100/107</f>
        <v>3990</v>
      </c>
      <c r="P3288" s="10">
        <f>'data on outstanding creditors'!$E3288-'data on outstanding creditors'!$O3288</f>
        <v>279.3</v>
      </c>
      <c r="Q3288" s="7">
        <f>DAY('data on outstanding creditors'!$B3288)</f>
        <v>24</v>
      </c>
      <c r="R3288" s="7">
        <f>MONTH('data on outstanding creditors'!$B3288)</f>
        <v>7</v>
      </c>
      <c r="S3288" s="7">
        <f>YEAR('data on outstanding creditors'!$B3288)</f>
        <v>2025</v>
      </c>
      <c r="T3288" s="11" t="str">
        <f>'data on outstanding creditors'!$C3288&amp;" "&amp;'data on outstanding creditors'!$D3288&amp;" "&amp;TEXT('data on outstanding creditors'!$E3288,"#,##0.00")</f>
        <v>บ.ซิลลิคฟาร์มา 1317574776 4,269.30</v>
      </c>
      <c r="U3288" s="12"/>
    </row>
    <row r="3289" ht="13.5" customHeight="1">
      <c r="A3289" s="1" t="s">
        <v>5188</v>
      </c>
      <c r="B3289" s="2">
        <v>45863.0</v>
      </c>
      <c r="C3289" s="9" t="s">
        <v>5189</v>
      </c>
      <c r="D3289" s="1" t="s">
        <v>5190</v>
      </c>
      <c r="E3289" s="4">
        <v>13910.0</v>
      </c>
      <c r="F3289" s="4"/>
      <c r="G3289" s="4"/>
      <c r="H3289" s="4">
        <f>'data on outstanding creditors'!$E3289-'data on outstanding creditors'!$F3289-'data on outstanding creditors'!$G3289</f>
        <v>13910</v>
      </c>
      <c r="I3289" s="2"/>
      <c r="J3289" s="1" t="s">
        <v>646</v>
      </c>
      <c r="K3289" s="2">
        <v>45928.0</v>
      </c>
      <c r="L3289" s="5"/>
      <c r="M3289" s="9" t="s">
        <v>362</v>
      </c>
      <c r="N3289" s="9" t="s">
        <v>49</v>
      </c>
      <c r="O3289" s="10">
        <f>'data on outstanding creditors'!$E3289*100/107</f>
        <v>13000</v>
      </c>
      <c r="P3289" s="10">
        <f>'data on outstanding creditors'!$E3289-'data on outstanding creditors'!$O3289</f>
        <v>910</v>
      </c>
      <c r="Q3289" s="7">
        <f>DAY('data on outstanding creditors'!$B3289)</f>
        <v>25</v>
      </c>
      <c r="R3289" s="7">
        <f>MONTH('data on outstanding creditors'!$B3289)</f>
        <v>7</v>
      </c>
      <c r="S3289" s="7">
        <f>YEAR('data on outstanding creditors'!$B3289)</f>
        <v>2025</v>
      </c>
      <c r="T3289" s="11" t="str">
        <f>'data on outstanding creditors'!$C3289&amp;" "&amp;'data on outstanding creditors'!$D3289&amp;" "&amp;TEXT('data on outstanding creditors'!$E3289,"#,##0.00")</f>
        <v>บ.แอทเทส IV1680035 13,910.00</v>
      </c>
      <c r="U3289" s="12"/>
    </row>
    <row r="3290" ht="13.5" customHeight="1">
      <c r="A3290" s="1" t="s">
        <v>5191</v>
      </c>
      <c r="B3290" s="2">
        <v>45863.0</v>
      </c>
      <c r="C3290" s="9" t="s">
        <v>5189</v>
      </c>
      <c r="D3290" s="1" t="s">
        <v>5192</v>
      </c>
      <c r="E3290" s="4">
        <v>13910.0</v>
      </c>
      <c r="F3290" s="4"/>
      <c r="G3290" s="4"/>
      <c r="H3290" s="4">
        <f>'data on outstanding creditors'!$E3290-'data on outstanding creditors'!$F3290-'data on outstanding creditors'!$G3290</f>
        <v>13910</v>
      </c>
      <c r="I3290" s="2"/>
      <c r="J3290" s="1" t="s">
        <v>646</v>
      </c>
      <c r="K3290" s="2">
        <v>45928.0</v>
      </c>
      <c r="L3290" s="5"/>
      <c r="M3290" s="9" t="s">
        <v>362</v>
      </c>
      <c r="N3290" s="9" t="s">
        <v>49</v>
      </c>
      <c r="O3290" s="10">
        <f>'data on outstanding creditors'!$E3290*100/107</f>
        <v>13000</v>
      </c>
      <c r="P3290" s="10">
        <f>'data on outstanding creditors'!$E3290-'data on outstanding creditors'!$O3290</f>
        <v>910</v>
      </c>
      <c r="Q3290" s="7">
        <f>DAY('data on outstanding creditors'!$B3290)</f>
        <v>25</v>
      </c>
      <c r="R3290" s="7">
        <f>MONTH('data on outstanding creditors'!$B3290)</f>
        <v>7</v>
      </c>
      <c r="S3290" s="7">
        <f>YEAR('data on outstanding creditors'!$B3290)</f>
        <v>2025</v>
      </c>
      <c r="T3290" s="11" t="str">
        <f>'data on outstanding creditors'!$C3290&amp;" "&amp;'data on outstanding creditors'!$D3290&amp;" "&amp;TEXT('data on outstanding creditors'!$E3290,"#,##0.00")</f>
        <v>บ.แอทเทส IV680034 13,910.00</v>
      </c>
      <c r="U3290" s="12"/>
    </row>
    <row r="3291" ht="13.5" customHeight="1">
      <c r="A3291" s="1" t="s">
        <v>5193</v>
      </c>
      <c r="B3291" s="2">
        <v>45863.0</v>
      </c>
      <c r="C3291" s="9" t="s">
        <v>3676</v>
      </c>
      <c r="D3291" s="1" t="s">
        <v>5194</v>
      </c>
      <c r="E3291" s="4">
        <v>5000.0</v>
      </c>
      <c r="F3291" s="4"/>
      <c r="G3291" s="4"/>
      <c r="H3291" s="4">
        <f>'data on outstanding creditors'!$E3291-'data on outstanding creditors'!$F3291-'data on outstanding creditors'!$G3291</f>
        <v>5000</v>
      </c>
      <c r="I3291" s="2"/>
      <c r="J3291" s="1" t="s">
        <v>646</v>
      </c>
      <c r="K3291" s="2">
        <v>45928.0</v>
      </c>
      <c r="L3291" s="5"/>
      <c r="M3291" s="9" t="s">
        <v>362</v>
      </c>
      <c r="N3291" s="9" t="s">
        <v>49</v>
      </c>
      <c r="O3291" s="10">
        <f>'data on outstanding creditors'!$E3291*100/107</f>
        <v>4672.897196</v>
      </c>
      <c r="P3291" s="10">
        <f>'data on outstanding creditors'!$E3291-'data on outstanding creditors'!$O3291</f>
        <v>327.1028037</v>
      </c>
      <c r="Q3291" s="7">
        <f>DAY('data on outstanding creditors'!$B3291)</f>
        <v>25</v>
      </c>
      <c r="R3291" s="7">
        <f>MONTH('data on outstanding creditors'!$B3291)</f>
        <v>7</v>
      </c>
      <c r="S3291" s="7">
        <f>YEAR('data on outstanding creditors'!$B3291)</f>
        <v>2025</v>
      </c>
      <c r="T3291" s="11" t="str">
        <f>'data on outstanding creditors'!$C3291&amp;" "&amp;'data on outstanding creditors'!$D3291&amp;" "&amp;TEXT('data on outstanding creditors'!$E3291,"#,##0.00")</f>
        <v>ร้าน เอที ซัพพลาย แอนด์ เซอร์วิส A6806/031 5,000.00</v>
      </c>
      <c r="U3291" s="12"/>
    </row>
    <row r="3292" ht="13.5" customHeight="1">
      <c r="A3292" s="1" t="s">
        <v>5195</v>
      </c>
      <c r="B3292" s="2">
        <v>45867.0</v>
      </c>
      <c r="C3292" s="9" t="s">
        <v>5111</v>
      </c>
      <c r="D3292" s="1" t="s">
        <v>5196</v>
      </c>
      <c r="E3292" s="4">
        <v>2700.0</v>
      </c>
      <c r="F3292" s="4"/>
      <c r="G3292" s="4"/>
      <c r="H3292" s="4">
        <f>'data on outstanding creditors'!$E3292-'data on outstanding creditors'!$F3292-'data on outstanding creditors'!$G3292</f>
        <v>2700</v>
      </c>
      <c r="I3292" s="2"/>
      <c r="J3292" s="1" t="s">
        <v>757</v>
      </c>
      <c r="K3292" s="2">
        <v>45926.0</v>
      </c>
      <c r="L3292" s="5"/>
      <c r="M3292" s="9" t="s">
        <v>362</v>
      </c>
      <c r="N3292" s="9" t="s">
        <v>49</v>
      </c>
      <c r="O3292" s="10">
        <f>'data on outstanding creditors'!$E3292*100/107</f>
        <v>2523.364486</v>
      </c>
      <c r="P3292" s="10">
        <f>'data on outstanding creditors'!$E3292-'data on outstanding creditors'!$O3292</f>
        <v>176.635514</v>
      </c>
      <c r="Q3292" s="7">
        <f>DAY('data on outstanding creditors'!$B3292)</f>
        <v>29</v>
      </c>
      <c r="R3292" s="7">
        <f>MONTH('data on outstanding creditors'!$B3292)</f>
        <v>7</v>
      </c>
      <c r="S3292" s="7">
        <f>YEAR('data on outstanding creditors'!$B3292)</f>
        <v>2025</v>
      </c>
      <c r="T3292" s="11" t="str">
        <f>'data on outstanding creditors'!$C3292&amp;" "&amp;'data on outstanding creditors'!$D3292&amp;" "&amp;TEXT('data on outstanding creditors'!$E3292,"#,##0.00")</f>
        <v>บ.จำเริญแพทย์ภัณฑ์ IMV125070071 2,700.00</v>
      </c>
      <c r="U3292" s="12"/>
    </row>
    <row r="3293" ht="13.5" customHeight="1">
      <c r="A3293" s="1" t="s">
        <v>5197</v>
      </c>
      <c r="B3293" s="2">
        <v>45867.0</v>
      </c>
      <c r="C3293" s="9" t="s">
        <v>3023</v>
      </c>
      <c r="D3293" s="1" t="s">
        <v>5198</v>
      </c>
      <c r="E3293" s="4">
        <v>6650.0</v>
      </c>
      <c r="F3293" s="4"/>
      <c r="G3293" s="4"/>
      <c r="H3293" s="4">
        <f>'data on outstanding creditors'!$E3293-'data on outstanding creditors'!$F3293-'data on outstanding creditors'!$G3293</f>
        <v>6650</v>
      </c>
      <c r="I3293" s="2"/>
      <c r="J3293" s="1" t="s">
        <v>757</v>
      </c>
      <c r="K3293" s="2">
        <v>45926.0</v>
      </c>
      <c r="L3293" s="5"/>
      <c r="M3293" s="9" t="s">
        <v>362</v>
      </c>
      <c r="N3293" s="9" t="s">
        <v>49</v>
      </c>
      <c r="O3293" s="10">
        <f>'data on outstanding creditors'!$E3293*100/107</f>
        <v>6214.953271</v>
      </c>
      <c r="P3293" s="10">
        <f>'data on outstanding creditors'!$E3293-'data on outstanding creditors'!$O3293</f>
        <v>435.046729</v>
      </c>
      <c r="Q3293" s="7">
        <f>DAY('data on outstanding creditors'!$B3293)</f>
        <v>29</v>
      </c>
      <c r="R3293" s="7">
        <f>MONTH('data on outstanding creditors'!$B3293)</f>
        <v>7</v>
      </c>
      <c r="S3293" s="7">
        <f>YEAR('data on outstanding creditors'!$B3293)</f>
        <v>2025</v>
      </c>
      <c r="T3293" s="11" t="str">
        <f>'data on outstanding creditors'!$C3293&amp;" "&amp;'data on outstanding creditors'!$D3293&amp;" "&amp;TEXT('data on outstanding creditors'!$E3293,"#,##0.00")</f>
        <v>บ.ไพรม์ เมดิคอล IV6807-9322 6,650.00</v>
      </c>
      <c r="U3293" s="12"/>
    </row>
    <row r="3294" ht="13.5" customHeight="1">
      <c r="A3294" s="1" t="s">
        <v>5199</v>
      </c>
      <c r="B3294" s="2">
        <v>45867.0</v>
      </c>
      <c r="C3294" s="9" t="s">
        <v>1183</v>
      </c>
      <c r="D3294" s="1" t="s">
        <v>5200</v>
      </c>
      <c r="E3294" s="4">
        <v>9274.0</v>
      </c>
      <c r="F3294" s="4"/>
      <c r="G3294" s="4"/>
      <c r="H3294" s="4">
        <f>'data on outstanding creditors'!$E3294-'data on outstanding creditors'!$F3294-'data on outstanding creditors'!$G3294</f>
        <v>9274</v>
      </c>
      <c r="I3294" s="2"/>
      <c r="J3294" s="1" t="s">
        <v>757</v>
      </c>
      <c r="K3294" s="2">
        <v>45926.0</v>
      </c>
      <c r="L3294" s="5"/>
      <c r="M3294" s="9" t="s">
        <v>362</v>
      </c>
      <c r="N3294" s="9" t="s">
        <v>49</v>
      </c>
      <c r="O3294" s="10">
        <f>'data on outstanding creditors'!$E3294*100/107</f>
        <v>8667.28972</v>
      </c>
      <c r="P3294" s="10">
        <f>'data on outstanding creditors'!$E3294-'data on outstanding creditors'!$O3294</f>
        <v>606.7102804</v>
      </c>
      <c r="Q3294" s="7">
        <f>DAY('data on outstanding creditors'!$B3294)</f>
        <v>29</v>
      </c>
      <c r="R3294" s="7">
        <f>MONTH('data on outstanding creditors'!$B3294)</f>
        <v>7</v>
      </c>
      <c r="S3294" s="7">
        <f>YEAR('data on outstanding creditors'!$B3294)</f>
        <v>2025</v>
      </c>
      <c r="T3294" s="11" t="str">
        <f>'data on outstanding creditors'!$C3294&amp;" "&amp;'data on outstanding creditors'!$D3294&amp;" "&amp;TEXT('data on outstanding creditors'!$E3294,"#,##0.00")</f>
        <v>บ.โซวิค 159855 9,274.00</v>
      </c>
      <c r="U3294" s="12"/>
    </row>
    <row r="3295" ht="13.5" customHeight="1">
      <c r="A3295" s="1" t="s">
        <v>5201</v>
      </c>
      <c r="B3295" s="2">
        <v>45874.0</v>
      </c>
      <c r="C3295" s="9" t="s">
        <v>5202</v>
      </c>
      <c r="D3295" s="1" t="s">
        <v>5203</v>
      </c>
      <c r="E3295" s="4">
        <v>27820.0</v>
      </c>
      <c r="F3295" s="4"/>
      <c r="G3295" s="4"/>
      <c r="H3295" s="4">
        <f>'data on outstanding creditors'!$E3295-'data on outstanding creditors'!$F3295-'data on outstanding creditors'!$G3295</f>
        <v>27820</v>
      </c>
      <c r="I3295" s="2"/>
      <c r="J3295" s="1" t="s">
        <v>646</v>
      </c>
      <c r="K3295" s="2">
        <v>45944.0</v>
      </c>
      <c r="L3295" s="5"/>
      <c r="M3295" s="9" t="s">
        <v>362</v>
      </c>
      <c r="N3295" s="9" t="s">
        <v>49</v>
      </c>
      <c r="O3295" s="10">
        <f>'data on outstanding creditors'!$E3295*100/107</f>
        <v>26000</v>
      </c>
      <c r="P3295" s="10">
        <f>'data on outstanding creditors'!$E3295-'data on outstanding creditors'!$O3295</f>
        <v>1820</v>
      </c>
      <c r="Q3295" s="7">
        <f>DAY('data on outstanding creditors'!$B3295)</f>
        <v>5</v>
      </c>
      <c r="R3295" s="7">
        <f>MONTH('data on outstanding creditors'!$B3295)</f>
        <v>8</v>
      </c>
      <c r="S3295" s="7">
        <f>YEAR('data on outstanding creditors'!$B3295)</f>
        <v>2025</v>
      </c>
      <c r="T3295" s="11" t="str">
        <f>'data on outstanding creditors'!$C3295&amp;" "&amp;'data on outstanding creditors'!$D3295&amp;" "&amp;TEXT('data on outstanding creditors'!$E3295,"#,##0.00")</f>
        <v>บ.ฮอลลีวู้ด อินเตอร์เนชั่นแนล IV25080503 27,820.00</v>
      </c>
      <c r="U3295" s="12"/>
    </row>
    <row r="3296" ht="13.5" customHeight="1">
      <c r="A3296" s="1" t="s">
        <v>5204</v>
      </c>
      <c r="B3296" s="2">
        <v>45875.0</v>
      </c>
      <c r="C3296" s="9" t="s">
        <v>1211</v>
      </c>
      <c r="D3296" s="1" t="s">
        <v>5205</v>
      </c>
      <c r="E3296" s="4">
        <v>3450.0</v>
      </c>
      <c r="F3296" s="4"/>
      <c r="G3296" s="4"/>
      <c r="H3296" s="4">
        <f>'data on outstanding creditors'!$E3296-'data on outstanding creditors'!$F3296-'data on outstanding creditors'!$G3296</f>
        <v>3450</v>
      </c>
      <c r="I3296" s="2"/>
      <c r="J3296" s="1" t="s">
        <v>757</v>
      </c>
      <c r="K3296" s="2">
        <v>45935.0</v>
      </c>
      <c r="L3296" s="5"/>
      <c r="M3296" s="9" t="s">
        <v>362</v>
      </c>
      <c r="N3296" s="9" t="s">
        <v>49</v>
      </c>
      <c r="O3296" s="10">
        <f>'data on outstanding creditors'!$E3296*100/107</f>
        <v>3224.299065</v>
      </c>
      <c r="P3296" s="10">
        <f>'data on outstanding creditors'!$E3296-'data on outstanding creditors'!$O3296</f>
        <v>225.7009346</v>
      </c>
      <c r="Q3296" s="7">
        <f>DAY('data on outstanding creditors'!$B3296)</f>
        <v>6</v>
      </c>
      <c r="R3296" s="7">
        <f>MONTH('data on outstanding creditors'!$B3296)</f>
        <v>8</v>
      </c>
      <c r="S3296" s="7">
        <f>YEAR('data on outstanding creditors'!$B3296)</f>
        <v>2025</v>
      </c>
      <c r="T3296" s="11" t="str">
        <f>'data on outstanding creditors'!$C3296&amp;" "&amp;'data on outstanding creditors'!$D3296&amp;" "&amp;TEXT('data on outstanding creditors'!$E3296,"#,##0.00")</f>
        <v>บ.เอน-ไซน์ เอ็นจิเนียริง 20251387 3,450.00</v>
      </c>
      <c r="U3296" s="12"/>
    </row>
    <row r="3297" ht="13.5" customHeight="1">
      <c r="A3297" s="1" t="s">
        <v>5206</v>
      </c>
      <c r="B3297" s="2">
        <v>45876.0</v>
      </c>
      <c r="C3297" s="9" t="s">
        <v>5207</v>
      </c>
      <c r="D3297" s="1" t="s">
        <v>5208</v>
      </c>
      <c r="E3297" s="4">
        <v>15000.0</v>
      </c>
      <c r="F3297" s="4"/>
      <c r="G3297" s="4"/>
      <c r="H3297" s="4">
        <f>'data on outstanding creditors'!$E3297-'data on outstanding creditors'!$F3297-'data on outstanding creditors'!$G3297</f>
        <v>15000</v>
      </c>
      <c r="I3297" s="2"/>
      <c r="J3297" s="1" t="s">
        <v>757</v>
      </c>
      <c r="K3297" s="2">
        <v>45926.0</v>
      </c>
      <c r="L3297" s="5"/>
      <c r="M3297" s="9" t="s">
        <v>362</v>
      </c>
      <c r="N3297" s="9" t="s">
        <v>49</v>
      </c>
      <c r="O3297" s="10">
        <f>'data on outstanding creditors'!$E3297*100/107</f>
        <v>14018.69159</v>
      </c>
      <c r="P3297" s="10">
        <f>'data on outstanding creditors'!$E3297-'data on outstanding creditors'!$O3297</f>
        <v>981.3084112</v>
      </c>
      <c r="Q3297" s="7">
        <f>DAY('data on outstanding creditors'!$B3297)</f>
        <v>7</v>
      </c>
      <c r="R3297" s="7">
        <f>MONTH('data on outstanding creditors'!$B3297)</f>
        <v>8</v>
      </c>
      <c r="S3297" s="7">
        <f>YEAR('data on outstanding creditors'!$B3297)</f>
        <v>2025</v>
      </c>
      <c r="T3297" s="11" t="str">
        <f>'data on outstanding creditors'!$C3297&amp;" "&amp;'data on outstanding creditors'!$D3297&amp;" "&amp;TEXT('data on outstanding creditors'!$E3297,"#,##0.00")</f>
        <v>บ.เอสอีไอ เมดิคัล INV/2025/070060 15,000.00</v>
      </c>
      <c r="U3297" s="12"/>
    </row>
    <row r="3298" ht="13.5" customHeight="1">
      <c r="A3298" s="1" t="s">
        <v>5209</v>
      </c>
      <c r="B3298" s="2">
        <v>45877.0</v>
      </c>
      <c r="C3298" s="9" t="s">
        <v>1211</v>
      </c>
      <c r="D3298" s="1" t="s">
        <v>5210</v>
      </c>
      <c r="E3298" s="4">
        <v>9500.0</v>
      </c>
      <c r="F3298" s="4"/>
      <c r="G3298" s="4"/>
      <c r="H3298" s="4">
        <f>'data on outstanding creditors'!$E3298-'data on outstanding creditors'!$F3298-'data on outstanding creditors'!$G3298</f>
        <v>9500</v>
      </c>
      <c r="I3298" s="2"/>
      <c r="J3298" s="1" t="s">
        <v>757</v>
      </c>
      <c r="K3298" s="2">
        <v>45935.0</v>
      </c>
      <c r="L3298" s="5"/>
      <c r="M3298" s="9" t="s">
        <v>362</v>
      </c>
      <c r="N3298" s="9" t="s">
        <v>49</v>
      </c>
      <c r="O3298" s="10">
        <f>'data on outstanding creditors'!$E3298*100/107</f>
        <v>8878.504673</v>
      </c>
      <c r="P3298" s="10">
        <f>'data on outstanding creditors'!$E3298-'data on outstanding creditors'!$O3298</f>
        <v>621.4953271</v>
      </c>
      <c r="Q3298" s="7">
        <f>DAY('data on outstanding creditors'!$B3298)</f>
        <v>8</v>
      </c>
      <c r="R3298" s="7">
        <f>MONTH('data on outstanding creditors'!$B3298)</f>
        <v>8</v>
      </c>
      <c r="S3298" s="7">
        <f>YEAR('data on outstanding creditors'!$B3298)</f>
        <v>2025</v>
      </c>
      <c r="T3298" s="11" t="str">
        <f>'data on outstanding creditors'!$C3298&amp;" "&amp;'data on outstanding creditors'!$D3298&amp;" "&amp;TEXT('data on outstanding creditors'!$E3298,"#,##0.00")</f>
        <v>บ.เอน-ไซน์ เอ็นจิเนียริง 20251388 9,500.00</v>
      </c>
      <c r="U3298" s="12"/>
    </row>
    <row r="3299" ht="13.5" customHeight="1">
      <c r="A3299" s="1" t="s">
        <v>5211</v>
      </c>
      <c r="B3299" s="2">
        <v>45877.0</v>
      </c>
      <c r="C3299" s="9" t="s">
        <v>3278</v>
      </c>
      <c r="D3299" s="1" t="s">
        <v>5212</v>
      </c>
      <c r="E3299" s="4">
        <v>10165.0</v>
      </c>
      <c r="F3299" s="4"/>
      <c r="G3299" s="4"/>
      <c r="H3299" s="4">
        <f>'data on outstanding creditors'!$E3299-'data on outstanding creditors'!$F3299-'data on outstanding creditors'!$G3299</f>
        <v>10165</v>
      </c>
      <c r="I3299" s="2"/>
      <c r="J3299" s="1" t="s">
        <v>757</v>
      </c>
      <c r="K3299" s="2">
        <v>45926.0</v>
      </c>
      <c r="L3299" s="5"/>
      <c r="M3299" s="9" t="s">
        <v>362</v>
      </c>
      <c r="N3299" s="9" t="s">
        <v>49</v>
      </c>
      <c r="O3299" s="10">
        <f>'data on outstanding creditors'!$E3299*100/107</f>
        <v>9500</v>
      </c>
      <c r="P3299" s="10">
        <f>'data on outstanding creditors'!$E3299-'data on outstanding creditors'!$O3299</f>
        <v>665</v>
      </c>
      <c r="Q3299" s="7">
        <f>DAY('data on outstanding creditors'!$B3299)</f>
        <v>8</v>
      </c>
      <c r="R3299" s="7">
        <f>MONTH('data on outstanding creditors'!$B3299)</f>
        <v>8</v>
      </c>
      <c r="S3299" s="7">
        <f>YEAR('data on outstanding creditors'!$B3299)</f>
        <v>2025</v>
      </c>
      <c r="T3299" s="11" t="str">
        <f>'data on outstanding creditors'!$C3299&amp;" "&amp;'data on outstanding creditors'!$D3299&amp;" "&amp;TEXT('data on outstanding creditors'!$E3299,"#,##0.00")</f>
        <v>บ.เดรเกอร์ เมดิคัล (ประเทสไทย) SE2507-140 10,165.00</v>
      </c>
      <c r="U3299" s="12"/>
    </row>
    <row r="3300" ht="13.5" customHeight="1">
      <c r="A3300" s="1" t="s">
        <v>5213</v>
      </c>
      <c r="B3300" s="2">
        <v>45877.0</v>
      </c>
      <c r="C3300" s="9" t="s">
        <v>399</v>
      </c>
      <c r="D3300" s="1" t="s">
        <v>5214</v>
      </c>
      <c r="E3300" s="4">
        <v>2889.0</v>
      </c>
      <c r="F3300" s="4"/>
      <c r="G3300" s="4"/>
      <c r="H3300" s="4">
        <f>'data on outstanding creditors'!$E3300-'data on outstanding creditors'!$F3300-'data on outstanding creditors'!$G3300</f>
        <v>2889</v>
      </c>
      <c r="I3300" s="2"/>
      <c r="J3300" s="1" t="s">
        <v>646</v>
      </c>
      <c r="K3300" s="2">
        <v>45943.0</v>
      </c>
      <c r="L3300" s="5"/>
      <c r="M3300" s="9" t="s">
        <v>362</v>
      </c>
      <c r="N3300" s="9" t="s">
        <v>49</v>
      </c>
      <c r="O3300" s="10">
        <f>'data on outstanding creditors'!$E3300*100/107</f>
        <v>2700</v>
      </c>
      <c r="P3300" s="10">
        <f>'data on outstanding creditors'!$E3300-'data on outstanding creditors'!$O3300</f>
        <v>189</v>
      </c>
      <c r="Q3300" s="7">
        <f>DAY('data on outstanding creditors'!$B3300)</f>
        <v>8</v>
      </c>
      <c r="R3300" s="7">
        <f>MONTH('data on outstanding creditors'!$B3300)</f>
        <v>8</v>
      </c>
      <c r="S3300" s="7">
        <f>YEAR('data on outstanding creditors'!$B3300)</f>
        <v>2025</v>
      </c>
      <c r="T3300" s="11" t="str">
        <f>'data on outstanding creditors'!$C3300&amp;" "&amp;'data on outstanding creditors'!$D3300&amp;" "&amp;TEXT('data on outstanding creditors'!$E3300,"#,##0.00")</f>
        <v>บ.ดีเคเอสเอช(ประเทศไทย) 5344143575 2,889.00</v>
      </c>
      <c r="U3300" s="12"/>
    </row>
    <row r="3301" ht="13.5" customHeight="1">
      <c r="A3301" s="1" t="s">
        <v>5215</v>
      </c>
      <c r="B3301" s="2">
        <v>45882.0</v>
      </c>
      <c r="C3301" s="9" t="s">
        <v>360</v>
      </c>
      <c r="D3301" s="1" t="s">
        <v>5216</v>
      </c>
      <c r="E3301" s="4">
        <v>6000.0</v>
      </c>
      <c r="F3301" s="4"/>
      <c r="G3301" s="4"/>
      <c r="H3301" s="4">
        <f>'data on outstanding creditors'!$E3301-'data on outstanding creditors'!$F3301-'data on outstanding creditors'!$G3301</f>
        <v>6000</v>
      </c>
      <c r="I3301" s="2"/>
      <c r="J3301" s="1" t="s">
        <v>757</v>
      </c>
      <c r="K3301" s="2">
        <v>45935.0</v>
      </c>
      <c r="L3301" s="5"/>
      <c r="M3301" s="9" t="s">
        <v>362</v>
      </c>
      <c r="N3301" s="9" t="s">
        <v>49</v>
      </c>
      <c r="O3301" s="10">
        <f>'data on outstanding creditors'!$E3301*100/107</f>
        <v>5607.476636</v>
      </c>
      <c r="P3301" s="10">
        <f>'data on outstanding creditors'!$E3301-'data on outstanding creditors'!$O3301</f>
        <v>392.5233645</v>
      </c>
      <c r="Q3301" s="7">
        <f>DAY('data on outstanding creditors'!$B3301)</f>
        <v>13</v>
      </c>
      <c r="R3301" s="7">
        <f>MONTH('data on outstanding creditors'!$B3301)</f>
        <v>8</v>
      </c>
      <c r="S3301" s="7">
        <f>YEAR('data on outstanding creditors'!$B3301)</f>
        <v>2025</v>
      </c>
      <c r="T3301" s="11" t="str">
        <f>'data on outstanding creditors'!$C3301&amp;" "&amp;'data on outstanding creditors'!$D3301&amp;" "&amp;TEXT('data on outstanding creditors'!$E3301,"#,##0.00")</f>
        <v>บ.สยามเดนท์ TSD IV25080007 6,000.00</v>
      </c>
      <c r="U3301" s="12"/>
    </row>
    <row r="3302" ht="13.5" customHeight="1">
      <c r="A3302" s="1" t="s">
        <v>5217</v>
      </c>
      <c r="B3302" s="2">
        <v>45882.0</v>
      </c>
      <c r="C3302" s="9" t="s">
        <v>4954</v>
      </c>
      <c r="D3302" s="1" t="s">
        <v>5218</v>
      </c>
      <c r="E3302" s="4">
        <v>2750.0</v>
      </c>
      <c r="F3302" s="4"/>
      <c r="G3302" s="4"/>
      <c r="H3302" s="4">
        <f>'data on outstanding creditors'!$E3302-'data on outstanding creditors'!$F3302-'data on outstanding creditors'!$G3302</f>
        <v>2750</v>
      </c>
      <c r="I3302" s="2"/>
      <c r="J3302" s="1" t="s">
        <v>646</v>
      </c>
      <c r="K3302" s="2">
        <v>45944.0</v>
      </c>
      <c r="L3302" s="5"/>
      <c r="M3302" s="9" t="s">
        <v>362</v>
      </c>
      <c r="N3302" s="9" t="s">
        <v>49</v>
      </c>
      <c r="O3302" s="10">
        <f>'data on outstanding creditors'!$E3302*100/107</f>
        <v>2570.093458</v>
      </c>
      <c r="P3302" s="10">
        <f>'data on outstanding creditors'!$E3302-'data on outstanding creditors'!$O3302</f>
        <v>179.9065421</v>
      </c>
      <c r="Q3302" s="7">
        <f>DAY('data on outstanding creditors'!$B3302)</f>
        <v>13</v>
      </c>
      <c r="R3302" s="7">
        <f>MONTH('data on outstanding creditors'!$B3302)</f>
        <v>8</v>
      </c>
      <c r="S3302" s="7">
        <f>YEAR('data on outstanding creditors'!$B3302)</f>
        <v>2025</v>
      </c>
      <c r="T3302" s="11" t="str">
        <f>'data on outstanding creditors'!$C3302&amp;" "&amp;'data on outstanding creditors'!$D3302&amp;" "&amp;TEXT('data on outstanding creditors'!$E3302,"#,##0.00")</f>
        <v>บ.ซีเอสโซลูชั่น 2020 IV-6807025 2,750.00</v>
      </c>
      <c r="U3302" s="12"/>
    </row>
    <row r="3303" ht="13.5" customHeight="1">
      <c r="A3303" s="1" t="s">
        <v>5219</v>
      </c>
      <c r="B3303" s="2">
        <v>45884.0</v>
      </c>
      <c r="C3303" s="9" t="s">
        <v>3278</v>
      </c>
      <c r="D3303" s="1" t="s">
        <v>5220</v>
      </c>
      <c r="E3303" s="4">
        <v>8132.0</v>
      </c>
      <c r="F3303" s="4"/>
      <c r="G3303" s="4"/>
      <c r="H3303" s="4">
        <f>'data on outstanding creditors'!$E3303-'data on outstanding creditors'!$F3303-'data on outstanding creditors'!$G3303</f>
        <v>8132</v>
      </c>
      <c r="I3303" s="2"/>
      <c r="J3303" s="1" t="s">
        <v>757</v>
      </c>
      <c r="K3303" s="2">
        <v>45935.0</v>
      </c>
      <c r="L3303" s="5"/>
      <c r="M3303" s="9" t="s">
        <v>362</v>
      </c>
      <c r="N3303" s="9" t="s">
        <v>49</v>
      </c>
      <c r="O3303" s="10">
        <f>'data on outstanding creditors'!$E3303*100/107</f>
        <v>7600</v>
      </c>
      <c r="P3303" s="10">
        <f>'data on outstanding creditors'!$E3303-'data on outstanding creditors'!$O3303</f>
        <v>532</v>
      </c>
      <c r="Q3303" s="7">
        <f>DAY('data on outstanding creditors'!$B3303)</f>
        <v>15</v>
      </c>
      <c r="R3303" s="7">
        <f>MONTH('data on outstanding creditors'!$B3303)</f>
        <v>8</v>
      </c>
      <c r="S3303" s="7">
        <f>YEAR('data on outstanding creditors'!$B3303)</f>
        <v>2025</v>
      </c>
      <c r="T3303" s="11" t="str">
        <f>'data on outstanding creditors'!$C3303&amp;" "&amp;'data on outstanding creditors'!$D3303&amp;" "&amp;TEXT('data on outstanding creditors'!$E3303,"#,##0.00")</f>
        <v>บ.เดรเกอร์ เมดิคัล (ประเทสไทย) SE2507-197 8,132.00</v>
      </c>
      <c r="U3303" s="12"/>
    </row>
    <row r="3304" ht="13.5" customHeight="1">
      <c r="A3304" s="1" t="s">
        <v>5221</v>
      </c>
      <c r="B3304" s="2">
        <v>45887.0</v>
      </c>
      <c r="C3304" s="9" t="s">
        <v>3278</v>
      </c>
      <c r="D3304" s="1" t="s">
        <v>5222</v>
      </c>
      <c r="E3304" s="4">
        <v>132145.0</v>
      </c>
      <c r="F3304" s="4"/>
      <c r="G3304" s="4"/>
      <c r="H3304" s="4">
        <f>'data on outstanding creditors'!$E3304-'data on outstanding creditors'!$F3304-'data on outstanding creditors'!$G3304</f>
        <v>132145</v>
      </c>
      <c r="I3304" s="2"/>
      <c r="J3304" s="1"/>
      <c r="K3304" s="2"/>
      <c r="L3304" s="5"/>
      <c r="M3304" s="9" t="s">
        <v>362</v>
      </c>
      <c r="N3304" s="9" t="s">
        <v>49</v>
      </c>
      <c r="O3304" s="10">
        <f>'data on outstanding creditors'!$E3304*100/107</f>
        <v>123500</v>
      </c>
      <c r="P3304" s="10">
        <f>'data on outstanding creditors'!$E3304-'data on outstanding creditors'!$O3304</f>
        <v>8645</v>
      </c>
      <c r="Q3304" s="7">
        <f>DAY('data on outstanding creditors'!$B3304)</f>
        <v>18</v>
      </c>
      <c r="R3304" s="7">
        <f>MONTH('data on outstanding creditors'!$B3304)</f>
        <v>8</v>
      </c>
      <c r="S3304" s="7">
        <f>YEAR('data on outstanding creditors'!$B3304)</f>
        <v>2025</v>
      </c>
      <c r="T3304" s="11" t="str">
        <f>'data on outstanding creditors'!$C3304&amp;" "&amp;'data on outstanding creditors'!$D3304&amp;" "&amp;TEXT('data on outstanding creditors'!$E3304,"#,##0.00")</f>
        <v>บ.เดรเกอร์ เมดิคัล (ประเทสไทย) SE2507-139 132,145.00</v>
      </c>
      <c r="U3304" s="12"/>
    </row>
    <row r="3305" ht="13.5" customHeight="1">
      <c r="A3305" s="1" t="s">
        <v>5223</v>
      </c>
      <c r="B3305" s="2">
        <v>45887.0</v>
      </c>
      <c r="C3305" s="9" t="s">
        <v>2330</v>
      </c>
      <c r="D3305" s="1" t="s">
        <v>5224</v>
      </c>
      <c r="E3305" s="4">
        <v>3500.0</v>
      </c>
      <c r="F3305" s="4"/>
      <c r="G3305" s="4"/>
      <c r="H3305" s="4">
        <f>'data on outstanding creditors'!$E3305-'data on outstanding creditors'!$F3305-'data on outstanding creditors'!$G3305</f>
        <v>3500</v>
      </c>
      <c r="I3305" s="2"/>
      <c r="J3305" s="1" t="s">
        <v>646</v>
      </c>
      <c r="K3305" s="2">
        <v>45944.0</v>
      </c>
      <c r="L3305" s="5"/>
      <c r="M3305" s="9" t="s">
        <v>362</v>
      </c>
      <c r="N3305" s="9" t="s">
        <v>49</v>
      </c>
      <c r="O3305" s="10">
        <f>'data on outstanding creditors'!$E3305*100/107</f>
        <v>3271.028037</v>
      </c>
      <c r="P3305" s="10">
        <f>'data on outstanding creditors'!$E3305-'data on outstanding creditors'!$O3305</f>
        <v>228.9719626</v>
      </c>
      <c r="Q3305" s="7">
        <f>DAY('data on outstanding creditors'!$B3305)</f>
        <v>18</v>
      </c>
      <c r="R3305" s="7">
        <f>MONTH('data on outstanding creditors'!$B3305)</f>
        <v>8</v>
      </c>
      <c r="S3305" s="7">
        <f>YEAR('data on outstanding creditors'!$B3305)</f>
        <v>2025</v>
      </c>
      <c r="T3305" s="11" t="str">
        <f>'data on outstanding creditors'!$C3305&amp;" "&amp;'data on outstanding creditors'!$D3305&amp;" "&amp;TEXT('data on outstanding creditors'!$E3305,"#,##0.00")</f>
        <v>บ.อี ฟอร์ แอล เอม M6808-0360 3,500.00</v>
      </c>
      <c r="U3305" s="12"/>
    </row>
    <row r="3306" ht="13.5" customHeight="1">
      <c r="A3306" s="1" t="s">
        <v>5225</v>
      </c>
      <c r="B3306" s="2">
        <v>45887.0</v>
      </c>
      <c r="C3306" s="9" t="s">
        <v>399</v>
      </c>
      <c r="D3306" s="1" t="s">
        <v>5226</v>
      </c>
      <c r="E3306" s="4">
        <v>3054.85</v>
      </c>
      <c r="F3306" s="4"/>
      <c r="G3306" s="4"/>
      <c r="H3306" s="4">
        <f>'data on outstanding creditors'!$E3306-'data on outstanding creditors'!$F3306-'data on outstanding creditors'!$G3306</f>
        <v>3054.85</v>
      </c>
      <c r="I3306" s="2"/>
      <c r="J3306" s="1" t="s">
        <v>757</v>
      </c>
      <c r="K3306" s="2">
        <v>45940.0</v>
      </c>
      <c r="L3306" s="5"/>
      <c r="M3306" s="9" t="s">
        <v>362</v>
      </c>
      <c r="N3306" s="9" t="s">
        <v>49</v>
      </c>
      <c r="O3306" s="10">
        <f>'data on outstanding creditors'!$E3306*100/107</f>
        <v>2855</v>
      </c>
      <c r="P3306" s="10">
        <f>'data on outstanding creditors'!$E3306-'data on outstanding creditors'!$O3306</f>
        <v>199.85</v>
      </c>
      <c r="Q3306" s="7">
        <f>DAY('data on outstanding creditors'!$B3306)</f>
        <v>18</v>
      </c>
      <c r="R3306" s="7">
        <f>MONTH('data on outstanding creditors'!$B3306)</f>
        <v>8</v>
      </c>
      <c r="S3306" s="7">
        <f>YEAR('data on outstanding creditors'!$B3306)</f>
        <v>2025</v>
      </c>
      <c r="T3306" s="11" t="str">
        <f>'data on outstanding creditors'!$C3306&amp;" "&amp;'data on outstanding creditors'!$D3306&amp;" "&amp;TEXT('data on outstanding creditors'!$E3306,"#,##0.00")</f>
        <v>บ.ดีเคเอสเอช(ประเทศไทย) 5343700783 3,054.85</v>
      </c>
      <c r="U3306" s="12"/>
    </row>
    <row r="3307" ht="13.5" customHeight="1">
      <c r="A3307" s="1" t="s">
        <v>5227</v>
      </c>
      <c r="B3307" s="2">
        <v>45888.0</v>
      </c>
      <c r="C3307" s="9" t="s">
        <v>3676</v>
      </c>
      <c r="D3307" s="1" t="s">
        <v>5228</v>
      </c>
      <c r="E3307" s="4">
        <v>4500.0</v>
      </c>
      <c r="F3307" s="4"/>
      <c r="G3307" s="4"/>
      <c r="H3307" s="4">
        <f>'data on outstanding creditors'!$E3307-'data on outstanding creditors'!$F3307-'data on outstanding creditors'!$G3307</f>
        <v>4500</v>
      </c>
      <c r="I3307" s="2"/>
      <c r="J3307" s="1" t="s">
        <v>646</v>
      </c>
      <c r="K3307" s="2">
        <v>45954.0</v>
      </c>
      <c r="L3307" s="5"/>
      <c r="M3307" s="9" t="s">
        <v>362</v>
      </c>
      <c r="N3307" s="9" t="s">
        <v>49</v>
      </c>
      <c r="O3307" s="10">
        <f>'data on outstanding creditors'!$E3307*100/107</f>
        <v>4205.607477</v>
      </c>
      <c r="P3307" s="10">
        <f>'data on outstanding creditors'!$E3307-'data on outstanding creditors'!$O3307</f>
        <v>294.3925234</v>
      </c>
      <c r="Q3307" s="7">
        <f>DAY('data on outstanding creditors'!$B3307)</f>
        <v>19</v>
      </c>
      <c r="R3307" s="7">
        <f>MONTH('data on outstanding creditors'!$B3307)</f>
        <v>8</v>
      </c>
      <c r="S3307" s="7">
        <f>YEAR('data on outstanding creditors'!$B3307)</f>
        <v>2025</v>
      </c>
      <c r="T3307" s="11" t="str">
        <f>'data on outstanding creditors'!$C3307&amp;" "&amp;'data on outstanding creditors'!$D3307&amp;" "&amp;TEXT('data on outstanding creditors'!$E3307,"#,##0.00")</f>
        <v>ร้าน เอที ซัพพลาย แอนด์ เซอร์วิส A6807/013 4,500.00</v>
      </c>
      <c r="U3307" s="12"/>
    </row>
    <row r="3308" ht="13.5" customHeight="1">
      <c r="A3308" s="1" t="s">
        <v>5229</v>
      </c>
      <c r="B3308" s="2">
        <v>45901.0</v>
      </c>
      <c r="C3308" s="9" t="s">
        <v>5101</v>
      </c>
      <c r="D3308" s="1" t="s">
        <v>5230</v>
      </c>
      <c r="E3308" s="4">
        <v>49755.0</v>
      </c>
      <c r="F3308" s="4"/>
      <c r="G3308" s="4"/>
      <c r="H3308" s="4">
        <f>'data on outstanding creditors'!$E3308-'data on outstanding creditors'!$F3308-'data on outstanding creditors'!$G3308</f>
        <v>49755</v>
      </c>
      <c r="I3308" s="2"/>
      <c r="J3308" s="1"/>
      <c r="K3308" s="2"/>
      <c r="L3308" s="5"/>
      <c r="M3308" s="9" t="s">
        <v>362</v>
      </c>
      <c r="N3308" s="9" t="s">
        <v>49</v>
      </c>
      <c r="O3308" s="10">
        <f>'data on outstanding creditors'!$E3308*100/107</f>
        <v>46500</v>
      </c>
      <c r="P3308" s="10">
        <f>'data on outstanding creditors'!$E3308-'data on outstanding creditors'!$O3308</f>
        <v>3255</v>
      </c>
      <c r="Q3308" s="7">
        <f>DAY('data on outstanding creditors'!$B3308)</f>
        <v>1</v>
      </c>
      <c r="R3308" s="7">
        <f>MONTH('data on outstanding creditors'!$B3308)</f>
        <v>9</v>
      </c>
      <c r="S3308" s="7">
        <f>YEAR('data on outstanding creditors'!$B3308)</f>
        <v>2025</v>
      </c>
      <c r="T3308" s="11" t="str">
        <f>'data on outstanding creditors'!$C3308&amp;" "&amp;'data on outstanding creditors'!$D3308&amp;" "&amp;TEXT('data on outstanding creditors'!$E3308,"#,##0.00")</f>
        <v>หจก.ซี อี เทคโนโลยี 6808014 49,755.00</v>
      </c>
      <c r="U3308" s="12"/>
    </row>
    <row r="3309" ht="13.5" customHeight="1">
      <c r="A3309" s="1" t="s">
        <v>5231</v>
      </c>
      <c r="B3309" s="2">
        <v>45901.0</v>
      </c>
      <c r="C3309" s="9" t="s">
        <v>3355</v>
      </c>
      <c r="D3309" s="1" t="s">
        <v>5232</v>
      </c>
      <c r="E3309" s="4">
        <v>28000.0</v>
      </c>
      <c r="F3309" s="4"/>
      <c r="G3309" s="4"/>
      <c r="H3309" s="4">
        <f>'data on outstanding creditors'!$E3309-'data on outstanding creditors'!$F3309-'data on outstanding creditors'!$G3309</f>
        <v>28000</v>
      </c>
      <c r="I3309" s="2"/>
      <c r="J3309" s="1"/>
      <c r="K3309" s="2"/>
      <c r="L3309" s="5"/>
      <c r="M3309" s="9" t="s">
        <v>362</v>
      </c>
      <c r="N3309" s="9" t="s">
        <v>49</v>
      </c>
      <c r="O3309" s="10">
        <f>'data on outstanding creditors'!$E3309*100/107</f>
        <v>26168.2243</v>
      </c>
      <c r="P3309" s="10">
        <f>'data on outstanding creditors'!$E3309-'data on outstanding creditors'!$O3309</f>
        <v>1831.775701</v>
      </c>
      <c r="Q3309" s="7">
        <f>DAY('data on outstanding creditors'!$B3309)</f>
        <v>1</v>
      </c>
      <c r="R3309" s="7">
        <f>MONTH('data on outstanding creditors'!$B3309)</f>
        <v>9</v>
      </c>
      <c r="S3309" s="7">
        <f>YEAR('data on outstanding creditors'!$B3309)</f>
        <v>2025</v>
      </c>
      <c r="T3309" s="11" t="str">
        <f>'data on outstanding creditors'!$C3309&amp;" "&amp;'data on outstanding creditors'!$D3309&amp;" "&amp;TEXT('data on outstanding creditors'!$E3309,"#,##0.00")</f>
        <v>บ.เอ็นโดเมด เซอร์วิส SV2025080064 28,000.00</v>
      </c>
      <c r="U3309" s="12"/>
    </row>
    <row r="3310" ht="13.5" customHeight="1">
      <c r="A3310" s="1" t="s">
        <v>5233</v>
      </c>
      <c r="B3310" s="2">
        <v>45902.0</v>
      </c>
      <c r="C3310" s="9" t="s">
        <v>5234</v>
      </c>
      <c r="D3310" s="1" t="s">
        <v>5235</v>
      </c>
      <c r="E3310" s="4">
        <v>25000.0</v>
      </c>
      <c r="F3310" s="4"/>
      <c r="G3310" s="4"/>
      <c r="H3310" s="4">
        <f>'data on outstanding creditors'!$E3310-'data on outstanding creditors'!$F3310-'data on outstanding creditors'!$G3310</f>
        <v>25000</v>
      </c>
      <c r="I3310" s="2"/>
      <c r="J3310" s="1"/>
      <c r="K3310" s="2"/>
      <c r="L3310" s="5"/>
      <c r="M3310" s="9" t="s">
        <v>362</v>
      </c>
      <c r="N3310" s="9" t="s">
        <v>49</v>
      </c>
      <c r="O3310" s="10">
        <f>'data on outstanding creditors'!$E3310*100/107</f>
        <v>23364.48598</v>
      </c>
      <c r="P3310" s="10">
        <f>'data on outstanding creditors'!$E3310-'data on outstanding creditors'!$O3310</f>
        <v>1635.514019</v>
      </c>
      <c r="Q3310" s="7">
        <f>DAY('data on outstanding creditors'!$B3310)</f>
        <v>2</v>
      </c>
      <c r="R3310" s="7">
        <f>MONTH('data on outstanding creditors'!$B3310)</f>
        <v>9</v>
      </c>
      <c r="S3310" s="7">
        <f>YEAR('data on outstanding creditors'!$B3310)</f>
        <v>2025</v>
      </c>
      <c r="T3310" s="11" t="str">
        <f>'data on outstanding creditors'!$C3310&amp;" "&amp;'data on outstanding creditors'!$D3310&amp;" "&amp;TEXT('data on outstanding creditors'!$E3310,"#,##0.00")</f>
        <v>บ.ดีมาร์ค 202508016 25,000.00</v>
      </c>
      <c r="U3310" s="12"/>
    </row>
    <row r="3311" ht="13.5" customHeight="1">
      <c r="A3311" s="1" t="s">
        <v>5236</v>
      </c>
      <c r="B3311" s="2">
        <v>45903.0</v>
      </c>
      <c r="C3311" s="9" t="s">
        <v>5207</v>
      </c>
      <c r="D3311" s="1" t="s">
        <v>5237</v>
      </c>
      <c r="E3311" s="4">
        <v>80000.0</v>
      </c>
      <c r="F3311" s="4"/>
      <c r="G3311" s="4"/>
      <c r="H3311" s="4">
        <f>'data on outstanding creditors'!$E3311-'data on outstanding creditors'!$F3311-'data on outstanding creditors'!$G3311</f>
        <v>80000</v>
      </c>
      <c r="I3311" s="2"/>
      <c r="J3311" s="1"/>
      <c r="K3311" s="2"/>
      <c r="L3311" s="5"/>
      <c r="M3311" s="9" t="s">
        <v>362</v>
      </c>
      <c r="N3311" s="9" t="s">
        <v>49</v>
      </c>
      <c r="O3311" s="10">
        <f>'data on outstanding creditors'!$E3311*100/107</f>
        <v>74766.35514</v>
      </c>
      <c r="P3311" s="10">
        <f>'data on outstanding creditors'!$E3311-'data on outstanding creditors'!$O3311</f>
        <v>5233.64486</v>
      </c>
      <c r="Q3311" s="7">
        <f>DAY('data on outstanding creditors'!$B3311)</f>
        <v>3</v>
      </c>
      <c r="R3311" s="7">
        <f>MONTH('data on outstanding creditors'!$B3311)</f>
        <v>9</v>
      </c>
      <c r="S3311" s="7">
        <f>YEAR('data on outstanding creditors'!$B3311)</f>
        <v>2025</v>
      </c>
      <c r="T3311" s="11" t="str">
        <f>'data on outstanding creditors'!$C3311&amp;" "&amp;'data on outstanding creditors'!$D3311&amp;" "&amp;TEXT('data on outstanding creditors'!$E3311,"#,##0.00")</f>
        <v>บ.เอสอีไอ เมดิคัล INV/2025/090018 80,000.00</v>
      </c>
      <c r="U3311" s="12"/>
    </row>
    <row r="3312" ht="13.5" customHeight="1">
      <c r="A3312" s="1" t="s">
        <v>5238</v>
      </c>
      <c r="B3312" s="2">
        <v>45905.0</v>
      </c>
      <c r="C3312" s="9" t="s">
        <v>3676</v>
      </c>
      <c r="D3312" s="1" t="s">
        <v>5239</v>
      </c>
      <c r="E3312" s="4">
        <v>60000.0</v>
      </c>
      <c r="F3312" s="4"/>
      <c r="G3312" s="4"/>
      <c r="H3312" s="4">
        <f>'data on outstanding creditors'!$E3312-'data on outstanding creditors'!$F3312-'data on outstanding creditors'!$G3312</f>
        <v>60000</v>
      </c>
      <c r="I3312" s="2"/>
      <c r="J3312" s="1"/>
      <c r="K3312" s="2"/>
      <c r="L3312" s="5"/>
      <c r="M3312" s="9" t="s">
        <v>362</v>
      </c>
      <c r="N3312" s="9" t="s">
        <v>49</v>
      </c>
      <c r="O3312" s="10">
        <f>'data on outstanding creditors'!$E3312*100/107</f>
        <v>56074.76636</v>
      </c>
      <c r="P3312" s="10">
        <f>'data on outstanding creditors'!$E3312-'data on outstanding creditors'!$O3312</f>
        <v>3925.233645</v>
      </c>
      <c r="Q3312" s="7">
        <f>DAY('data on outstanding creditors'!$B3312)</f>
        <v>5</v>
      </c>
      <c r="R3312" s="7">
        <f>MONTH('data on outstanding creditors'!$B3312)</f>
        <v>9</v>
      </c>
      <c r="S3312" s="7">
        <f>YEAR('data on outstanding creditors'!$B3312)</f>
        <v>2025</v>
      </c>
      <c r="T3312" s="11" t="str">
        <f>'data on outstanding creditors'!$C3312&amp;" "&amp;'data on outstanding creditors'!$D3312&amp;" "&amp;TEXT('data on outstanding creditors'!$E3312,"#,##0.00")</f>
        <v>ร้าน เอที ซัพพลาย แอนด์ เซอร์วิส A6807/014 60,000.00</v>
      </c>
      <c r="U3312" s="12"/>
    </row>
    <row r="3313" ht="13.5" customHeight="1">
      <c r="A3313" s="1" t="s">
        <v>5240</v>
      </c>
      <c r="B3313" s="2">
        <v>45905.0</v>
      </c>
      <c r="C3313" s="9" t="s">
        <v>3676</v>
      </c>
      <c r="D3313" s="1" t="s">
        <v>5241</v>
      </c>
      <c r="E3313" s="4">
        <v>15000.0</v>
      </c>
      <c r="F3313" s="4"/>
      <c r="G3313" s="4"/>
      <c r="H3313" s="4">
        <f>'data on outstanding creditors'!$E3313-'data on outstanding creditors'!$F3313-'data on outstanding creditors'!$G3313</f>
        <v>15000</v>
      </c>
      <c r="I3313" s="2"/>
      <c r="J3313" s="1"/>
      <c r="K3313" s="2"/>
      <c r="L3313" s="5"/>
      <c r="M3313" s="9" t="s">
        <v>362</v>
      </c>
      <c r="N3313" s="9" t="s">
        <v>49</v>
      </c>
      <c r="O3313" s="10">
        <f>'data on outstanding creditors'!$E3313*100/107</f>
        <v>14018.69159</v>
      </c>
      <c r="P3313" s="10">
        <f>'data on outstanding creditors'!$E3313-'data on outstanding creditors'!$O3313</f>
        <v>981.3084112</v>
      </c>
      <c r="Q3313" s="7">
        <f>DAY('data on outstanding creditors'!$B3313)</f>
        <v>5</v>
      </c>
      <c r="R3313" s="7">
        <f>MONTH('data on outstanding creditors'!$B3313)</f>
        <v>9</v>
      </c>
      <c r="S3313" s="7">
        <f>YEAR('data on outstanding creditors'!$B3313)</f>
        <v>2025</v>
      </c>
      <c r="T3313" s="11" t="str">
        <f>'data on outstanding creditors'!$C3313&amp;" "&amp;'data on outstanding creditors'!$D3313&amp;" "&amp;TEXT('data on outstanding creditors'!$E3313,"#,##0.00")</f>
        <v>ร้าน เอที ซัพพลาย แอนด์ เซอร์วิส A6807/015 15,000.00</v>
      </c>
      <c r="U3313" s="12"/>
    </row>
    <row r="3314" ht="13.5" customHeight="1">
      <c r="A3314" s="1" t="s">
        <v>5242</v>
      </c>
      <c r="B3314" s="2">
        <v>45922.0</v>
      </c>
      <c r="C3314" s="9" t="s">
        <v>399</v>
      </c>
      <c r="D3314" s="1" t="s">
        <v>5243</v>
      </c>
      <c r="E3314" s="4">
        <v>7383.0</v>
      </c>
      <c r="F3314" s="4"/>
      <c r="G3314" s="4"/>
      <c r="H3314" s="4">
        <f>'data on outstanding creditors'!$E3314-'data on outstanding creditors'!$F3314-'data on outstanding creditors'!$G3314</f>
        <v>7383</v>
      </c>
      <c r="I3314" s="2"/>
      <c r="J3314" s="1"/>
      <c r="K3314" s="2"/>
      <c r="L3314" s="5"/>
      <c r="M3314" s="9" t="s">
        <v>362</v>
      </c>
      <c r="N3314" s="9" t="s">
        <v>49</v>
      </c>
      <c r="O3314" s="10">
        <f>'data on outstanding creditors'!$E3314*100/107</f>
        <v>6900</v>
      </c>
      <c r="P3314" s="10">
        <f>'data on outstanding creditors'!$E3314-'data on outstanding creditors'!$O3314</f>
        <v>483</v>
      </c>
      <c r="Q3314" s="7">
        <f>DAY('data on outstanding creditors'!$B3314)</f>
        <v>22</v>
      </c>
      <c r="R3314" s="7">
        <f>MONTH('data on outstanding creditors'!$B3314)</f>
        <v>9</v>
      </c>
      <c r="S3314" s="7">
        <f>YEAR('data on outstanding creditors'!$B3314)</f>
        <v>2025</v>
      </c>
      <c r="T3314" s="11" t="str">
        <f>'data on outstanding creditors'!$C3314&amp;" "&amp;'data on outstanding creditors'!$D3314&amp;" "&amp;TEXT('data on outstanding creditors'!$E3314,"#,##0.00")</f>
        <v>บ.ดีเคเอสเอช(ประเทศไทย) 5344342343 7,383.00</v>
      </c>
      <c r="U3314" s="12"/>
    </row>
    <row r="3315" ht="13.5" customHeight="1">
      <c r="A3315" s="1" t="s">
        <v>5244</v>
      </c>
      <c r="B3315" s="2">
        <v>45922.0</v>
      </c>
      <c r="C3315" s="9" t="s">
        <v>399</v>
      </c>
      <c r="D3315" s="1" t="s">
        <v>5245</v>
      </c>
      <c r="E3315" s="4">
        <v>7383.0</v>
      </c>
      <c r="F3315" s="4"/>
      <c r="G3315" s="4"/>
      <c r="H3315" s="4">
        <f>'data on outstanding creditors'!$E3315-'data on outstanding creditors'!$F3315-'data on outstanding creditors'!$G3315</f>
        <v>7383</v>
      </c>
      <c r="I3315" s="2"/>
      <c r="J3315" s="1"/>
      <c r="K3315" s="2"/>
      <c r="L3315" s="5"/>
      <c r="M3315" s="9" t="s">
        <v>362</v>
      </c>
      <c r="N3315" s="9" t="s">
        <v>49</v>
      </c>
      <c r="O3315" s="10">
        <f>'data on outstanding creditors'!$E3315*100/107</f>
        <v>6900</v>
      </c>
      <c r="P3315" s="10">
        <f>'data on outstanding creditors'!$E3315-'data on outstanding creditors'!$O3315</f>
        <v>483</v>
      </c>
      <c r="Q3315" s="7">
        <f>DAY('data on outstanding creditors'!$B3315)</f>
        <v>22</v>
      </c>
      <c r="R3315" s="7">
        <f>MONTH('data on outstanding creditors'!$B3315)</f>
        <v>9</v>
      </c>
      <c r="S3315" s="7">
        <f>YEAR('data on outstanding creditors'!$B3315)</f>
        <v>2025</v>
      </c>
      <c r="T3315" s="11" t="str">
        <f>'data on outstanding creditors'!$C3315&amp;" "&amp;'data on outstanding creditors'!$D3315&amp;" "&amp;TEXT('data on outstanding creditors'!$E3315,"#,##0.00")</f>
        <v>บ.ดีเคเอสเอช(ประเทศไทย) 5344342391 7,383.00</v>
      </c>
      <c r="U3315" s="12"/>
    </row>
    <row r="3316" ht="13.5" customHeight="1">
      <c r="A3316" s="1" t="s">
        <v>5246</v>
      </c>
      <c r="B3316" s="2">
        <v>45922.0</v>
      </c>
      <c r="C3316" s="9" t="s">
        <v>399</v>
      </c>
      <c r="D3316" s="1" t="s">
        <v>5247</v>
      </c>
      <c r="E3316" s="4">
        <v>9630.0</v>
      </c>
      <c r="F3316" s="4"/>
      <c r="G3316" s="4"/>
      <c r="H3316" s="4">
        <f>'data on outstanding creditors'!$E3316-'data on outstanding creditors'!$F3316-'data on outstanding creditors'!$G3316</f>
        <v>9630</v>
      </c>
      <c r="I3316" s="2"/>
      <c r="J3316" s="1"/>
      <c r="K3316" s="2"/>
      <c r="L3316" s="5"/>
      <c r="M3316" s="9" t="s">
        <v>362</v>
      </c>
      <c r="N3316" s="9" t="s">
        <v>49</v>
      </c>
      <c r="O3316" s="10">
        <f>'data on outstanding creditors'!$E3316*100/107</f>
        <v>9000</v>
      </c>
      <c r="P3316" s="10">
        <f>'data on outstanding creditors'!$E3316-'data on outstanding creditors'!$O3316</f>
        <v>630</v>
      </c>
      <c r="Q3316" s="7">
        <f>DAY('data on outstanding creditors'!$B3316)</f>
        <v>22</v>
      </c>
      <c r="R3316" s="7">
        <f>MONTH('data on outstanding creditors'!$B3316)</f>
        <v>9</v>
      </c>
      <c r="S3316" s="7">
        <f>YEAR('data on outstanding creditors'!$B3316)</f>
        <v>2025</v>
      </c>
      <c r="T3316" s="11" t="str">
        <f>'data on outstanding creditors'!$C3316&amp;" "&amp;'data on outstanding creditors'!$D3316&amp;" "&amp;TEXT('data on outstanding creditors'!$E3316,"#,##0.00")</f>
        <v>บ.ดีเคเอสเอช(ประเทศไทย) 5344342331 9,630.00</v>
      </c>
      <c r="U3316" s="12"/>
    </row>
    <row r="3317" ht="13.5" customHeight="1">
      <c r="A3317" s="1" t="s">
        <v>5248</v>
      </c>
      <c r="B3317" s="2">
        <v>45922.0</v>
      </c>
      <c r="C3317" s="9" t="s">
        <v>399</v>
      </c>
      <c r="D3317" s="1" t="s">
        <v>5249</v>
      </c>
      <c r="E3317" s="4">
        <v>7383.0</v>
      </c>
      <c r="F3317" s="4"/>
      <c r="G3317" s="4"/>
      <c r="H3317" s="4">
        <f>'data on outstanding creditors'!$E3317-'data on outstanding creditors'!$F3317-'data on outstanding creditors'!$G3317</f>
        <v>7383</v>
      </c>
      <c r="I3317" s="2"/>
      <c r="J3317" s="1"/>
      <c r="K3317" s="2"/>
      <c r="L3317" s="5"/>
      <c r="M3317" s="9" t="s">
        <v>362</v>
      </c>
      <c r="N3317" s="9" t="s">
        <v>49</v>
      </c>
      <c r="O3317" s="10">
        <f>'data on outstanding creditors'!$E3317*100/107</f>
        <v>6900</v>
      </c>
      <c r="P3317" s="10">
        <f>'data on outstanding creditors'!$E3317-'data on outstanding creditors'!$O3317</f>
        <v>483</v>
      </c>
      <c r="Q3317" s="7">
        <f>DAY('data on outstanding creditors'!$B3317)</f>
        <v>22</v>
      </c>
      <c r="R3317" s="7">
        <f>MONTH('data on outstanding creditors'!$B3317)</f>
        <v>9</v>
      </c>
      <c r="S3317" s="7">
        <f>YEAR('data on outstanding creditors'!$B3317)</f>
        <v>2025</v>
      </c>
      <c r="T3317" s="11" t="str">
        <f>'data on outstanding creditors'!$C3317&amp;" "&amp;'data on outstanding creditors'!$D3317&amp;" "&amp;TEXT('data on outstanding creditors'!$E3317,"#,##0.00")</f>
        <v>บ.ดีเคเอสเอช(ประเทศไทย) 5344342359 7,383.00</v>
      </c>
      <c r="U3317" s="12"/>
    </row>
    <row r="3318" ht="13.5" customHeight="1">
      <c r="A3318" s="1" t="s">
        <v>5250</v>
      </c>
      <c r="B3318" s="2">
        <v>45922.0</v>
      </c>
      <c r="C3318" s="9" t="s">
        <v>399</v>
      </c>
      <c r="D3318" s="1" t="s">
        <v>5251</v>
      </c>
      <c r="E3318" s="4">
        <v>8774.0</v>
      </c>
      <c r="F3318" s="4"/>
      <c r="G3318" s="4"/>
      <c r="H3318" s="4">
        <f>'data on outstanding creditors'!$E3318-'data on outstanding creditors'!$F3318-'data on outstanding creditors'!$G3318</f>
        <v>8774</v>
      </c>
      <c r="I3318" s="2"/>
      <c r="J3318" s="1"/>
      <c r="K3318" s="2"/>
      <c r="L3318" s="5"/>
      <c r="M3318" s="9" t="s">
        <v>362</v>
      </c>
      <c r="N3318" s="9" t="s">
        <v>49</v>
      </c>
      <c r="O3318" s="10">
        <f>'data on outstanding creditors'!$E3318*100/107</f>
        <v>8200</v>
      </c>
      <c r="P3318" s="10">
        <f>'data on outstanding creditors'!$E3318-'data on outstanding creditors'!$O3318</f>
        <v>574</v>
      </c>
      <c r="Q3318" s="7">
        <f>DAY('data on outstanding creditors'!$B3318)</f>
        <v>22</v>
      </c>
      <c r="R3318" s="7">
        <f>MONTH('data on outstanding creditors'!$B3318)</f>
        <v>9</v>
      </c>
      <c r="S3318" s="7">
        <f>YEAR('data on outstanding creditors'!$B3318)</f>
        <v>2025</v>
      </c>
      <c r="T3318" s="11" t="str">
        <f>'data on outstanding creditors'!$C3318&amp;" "&amp;'data on outstanding creditors'!$D3318&amp;" "&amp;TEXT('data on outstanding creditors'!$E3318,"#,##0.00")</f>
        <v>บ.ดีเคเอสเอช(ประเทศไทย) 5344342357 8,774.00</v>
      </c>
      <c r="U3318" s="12"/>
    </row>
    <row r="3319" ht="13.5" customHeight="1">
      <c r="A3319" s="1" t="s">
        <v>5252</v>
      </c>
      <c r="B3319" s="2">
        <v>45922.0</v>
      </c>
      <c r="C3319" s="9" t="s">
        <v>399</v>
      </c>
      <c r="D3319" s="1" t="s">
        <v>5253</v>
      </c>
      <c r="E3319" s="4">
        <v>7383.0</v>
      </c>
      <c r="F3319" s="4"/>
      <c r="G3319" s="4"/>
      <c r="H3319" s="4">
        <f>'data on outstanding creditors'!$E3319-'data on outstanding creditors'!$F3319-'data on outstanding creditors'!$G3319</f>
        <v>7383</v>
      </c>
      <c r="I3319" s="2"/>
      <c r="J3319" s="1"/>
      <c r="K3319" s="2"/>
      <c r="L3319" s="5"/>
      <c r="M3319" s="9" t="s">
        <v>362</v>
      </c>
      <c r="N3319" s="9" t="s">
        <v>49</v>
      </c>
      <c r="O3319" s="10">
        <f>'data on outstanding creditors'!$E3319*100/107</f>
        <v>6900</v>
      </c>
      <c r="P3319" s="10">
        <f>'data on outstanding creditors'!$E3319-'data on outstanding creditors'!$O3319</f>
        <v>483</v>
      </c>
      <c r="Q3319" s="7">
        <f>DAY('data on outstanding creditors'!$B3319)</f>
        <v>22</v>
      </c>
      <c r="R3319" s="7">
        <f>MONTH('data on outstanding creditors'!$B3319)</f>
        <v>9</v>
      </c>
      <c r="S3319" s="7">
        <f>YEAR('data on outstanding creditors'!$B3319)</f>
        <v>2025</v>
      </c>
      <c r="T3319" s="11" t="str">
        <f>'data on outstanding creditors'!$C3319&amp;" "&amp;'data on outstanding creditors'!$D3319&amp;" "&amp;TEXT('data on outstanding creditors'!$E3319,"#,##0.00")</f>
        <v>บ.ดีเคเอสเอช(ประเทศไทย) 5344342327 7,383.00</v>
      </c>
      <c r="U3319" s="12"/>
    </row>
    <row r="3320" ht="13.5" customHeight="1">
      <c r="A3320" s="1" t="s">
        <v>5254</v>
      </c>
      <c r="B3320" s="2">
        <v>45922.0</v>
      </c>
      <c r="C3320" s="9" t="s">
        <v>399</v>
      </c>
      <c r="D3320" s="1" t="s">
        <v>5255</v>
      </c>
      <c r="E3320" s="4">
        <v>7383.0</v>
      </c>
      <c r="F3320" s="4"/>
      <c r="G3320" s="4"/>
      <c r="H3320" s="4">
        <f>'data on outstanding creditors'!$E3320-'data on outstanding creditors'!$F3320-'data on outstanding creditors'!$G3320</f>
        <v>7383</v>
      </c>
      <c r="I3320" s="2"/>
      <c r="J3320" s="1"/>
      <c r="K3320" s="2"/>
      <c r="L3320" s="5"/>
      <c r="M3320" s="9" t="s">
        <v>362</v>
      </c>
      <c r="N3320" s="9" t="s">
        <v>49</v>
      </c>
      <c r="O3320" s="10">
        <f>'data on outstanding creditors'!$E3320*100/107</f>
        <v>6900</v>
      </c>
      <c r="P3320" s="10">
        <f>'data on outstanding creditors'!$E3320-'data on outstanding creditors'!$O3320</f>
        <v>483</v>
      </c>
      <c r="Q3320" s="7">
        <f>DAY('data on outstanding creditors'!$B3320)</f>
        <v>22</v>
      </c>
      <c r="R3320" s="7">
        <f>MONTH('data on outstanding creditors'!$B3320)</f>
        <v>9</v>
      </c>
      <c r="S3320" s="7">
        <f>YEAR('data on outstanding creditors'!$B3320)</f>
        <v>2025</v>
      </c>
      <c r="T3320" s="11" t="str">
        <f>'data on outstanding creditors'!$C3320&amp;" "&amp;'data on outstanding creditors'!$D3320&amp;" "&amp;TEXT('data on outstanding creditors'!$E3320,"#,##0.00")</f>
        <v>บ.ดีเคเอสเอช(ประเทศไทย) 5344342367 7,383.00</v>
      </c>
      <c r="U3320" s="12"/>
    </row>
    <row r="3321" ht="13.5" customHeight="1">
      <c r="A3321" s="1" t="s">
        <v>5256</v>
      </c>
      <c r="B3321" s="2">
        <v>45922.0</v>
      </c>
      <c r="C3321" s="9" t="s">
        <v>399</v>
      </c>
      <c r="D3321" s="1" t="s">
        <v>5257</v>
      </c>
      <c r="E3321" s="4">
        <v>7383.0</v>
      </c>
      <c r="F3321" s="4"/>
      <c r="G3321" s="4"/>
      <c r="H3321" s="4">
        <f>'data on outstanding creditors'!$E3321-'data on outstanding creditors'!$F3321-'data on outstanding creditors'!$G3321</f>
        <v>7383</v>
      </c>
      <c r="I3321" s="2"/>
      <c r="J3321" s="1"/>
      <c r="K3321" s="2"/>
      <c r="L3321" s="5"/>
      <c r="M3321" s="9" t="s">
        <v>362</v>
      </c>
      <c r="N3321" s="9" t="s">
        <v>49</v>
      </c>
      <c r="O3321" s="10">
        <f>'data on outstanding creditors'!$E3321*100/107</f>
        <v>6900</v>
      </c>
      <c r="P3321" s="10">
        <f>'data on outstanding creditors'!$E3321-'data on outstanding creditors'!$O3321</f>
        <v>483</v>
      </c>
      <c r="Q3321" s="7">
        <f>DAY('data on outstanding creditors'!$B3321)</f>
        <v>22</v>
      </c>
      <c r="R3321" s="7">
        <f>MONTH('data on outstanding creditors'!$B3321)</f>
        <v>9</v>
      </c>
      <c r="S3321" s="7">
        <f>YEAR('data on outstanding creditors'!$B3321)</f>
        <v>2025</v>
      </c>
      <c r="T3321" s="11" t="str">
        <f>'data on outstanding creditors'!$C3321&amp;" "&amp;'data on outstanding creditors'!$D3321&amp;" "&amp;TEXT('data on outstanding creditors'!$E3321,"#,##0.00")</f>
        <v>บ.ดีเคเอสเอช(ประเทศไทย) 5344342388 7,383.00</v>
      </c>
      <c r="U3321" s="12"/>
    </row>
    <row r="3322" ht="13.5" customHeight="1">
      <c r="A3322" s="1" t="s">
        <v>5258</v>
      </c>
      <c r="B3322" s="2">
        <v>45922.0</v>
      </c>
      <c r="C3322" s="9" t="s">
        <v>399</v>
      </c>
      <c r="D3322" s="1" t="s">
        <v>5259</v>
      </c>
      <c r="E3322" s="4">
        <v>7383.0</v>
      </c>
      <c r="F3322" s="4"/>
      <c r="G3322" s="4"/>
      <c r="H3322" s="4">
        <f>'data on outstanding creditors'!$E3322-'data on outstanding creditors'!$F3322-'data on outstanding creditors'!$G3322</f>
        <v>7383</v>
      </c>
      <c r="I3322" s="2"/>
      <c r="J3322" s="1"/>
      <c r="K3322" s="2"/>
      <c r="L3322" s="5"/>
      <c r="M3322" s="9" t="s">
        <v>362</v>
      </c>
      <c r="N3322" s="9" t="s">
        <v>49</v>
      </c>
      <c r="O3322" s="10">
        <f>'data on outstanding creditors'!$E3322*100/107</f>
        <v>6900</v>
      </c>
      <c r="P3322" s="10">
        <f>'data on outstanding creditors'!$E3322-'data on outstanding creditors'!$O3322</f>
        <v>483</v>
      </c>
      <c r="Q3322" s="7">
        <f>DAY('data on outstanding creditors'!$B3322)</f>
        <v>22</v>
      </c>
      <c r="R3322" s="7">
        <f>MONTH('data on outstanding creditors'!$B3322)</f>
        <v>9</v>
      </c>
      <c r="S3322" s="7">
        <f>YEAR('data on outstanding creditors'!$B3322)</f>
        <v>2025</v>
      </c>
      <c r="T3322" s="11" t="str">
        <f>'data on outstanding creditors'!$C3322&amp;" "&amp;'data on outstanding creditors'!$D3322&amp;" "&amp;TEXT('data on outstanding creditors'!$E3322,"#,##0.00")</f>
        <v>บ.ดีเคเอสเอช(ประเทศไทย) 5344342375 7,383.00</v>
      </c>
      <c r="U3322" s="12"/>
    </row>
    <row r="3323" ht="13.5" customHeight="1">
      <c r="A3323" s="1" t="s">
        <v>5260</v>
      </c>
      <c r="B3323" s="2">
        <v>45922.0</v>
      </c>
      <c r="C3323" s="9" t="s">
        <v>399</v>
      </c>
      <c r="D3323" s="1" t="s">
        <v>5261</v>
      </c>
      <c r="E3323" s="4">
        <v>8881.0</v>
      </c>
      <c r="F3323" s="4"/>
      <c r="G3323" s="4"/>
      <c r="H3323" s="4">
        <f>'data on outstanding creditors'!$E3323-'data on outstanding creditors'!$F3323-'data on outstanding creditors'!$G3323</f>
        <v>8881</v>
      </c>
      <c r="I3323" s="2"/>
      <c r="J3323" s="1"/>
      <c r="K3323" s="2"/>
      <c r="L3323" s="5"/>
      <c r="M3323" s="9" t="s">
        <v>362</v>
      </c>
      <c r="N3323" s="9" t="s">
        <v>49</v>
      </c>
      <c r="O3323" s="10">
        <f>'data on outstanding creditors'!$E3323*100/107</f>
        <v>8300</v>
      </c>
      <c r="P3323" s="10">
        <f>'data on outstanding creditors'!$E3323-'data on outstanding creditors'!$O3323</f>
        <v>581</v>
      </c>
      <c r="Q3323" s="7">
        <f>DAY('data on outstanding creditors'!$B3323)</f>
        <v>22</v>
      </c>
      <c r="R3323" s="7">
        <f>MONTH('data on outstanding creditors'!$B3323)</f>
        <v>9</v>
      </c>
      <c r="S3323" s="7">
        <f>YEAR('data on outstanding creditors'!$B3323)</f>
        <v>2025</v>
      </c>
      <c r="T3323" s="11" t="str">
        <f>'data on outstanding creditors'!$C3323&amp;" "&amp;'data on outstanding creditors'!$D3323&amp;" "&amp;TEXT('data on outstanding creditors'!$E3323,"#,##0.00")</f>
        <v>บ.ดีเคเอสเอช(ประเทศไทย) 5344342381 8,881.00</v>
      </c>
      <c r="U3323" s="12"/>
    </row>
    <row r="3324" ht="13.5" customHeight="1">
      <c r="A3324" s="1" t="s">
        <v>5262</v>
      </c>
      <c r="B3324" s="2">
        <v>45922.0</v>
      </c>
      <c r="C3324" s="9" t="s">
        <v>399</v>
      </c>
      <c r="D3324" s="1" t="s">
        <v>5263</v>
      </c>
      <c r="E3324" s="4">
        <v>7383.0</v>
      </c>
      <c r="F3324" s="4"/>
      <c r="G3324" s="4"/>
      <c r="H3324" s="4">
        <f>'data on outstanding creditors'!$E3324-'data on outstanding creditors'!$F3324-'data on outstanding creditors'!$G3324</f>
        <v>7383</v>
      </c>
      <c r="I3324" s="2"/>
      <c r="J3324" s="1"/>
      <c r="K3324" s="2"/>
      <c r="L3324" s="5"/>
      <c r="M3324" s="9" t="s">
        <v>362</v>
      </c>
      <c r="N3324" s="9" t="s">
        <v>49</v>
      </c>
      <c r="O3324" s="10">
        <f>'data on outstanding creditors'!$E3324*100/107</f>
        <v>6900</v>
      </c>
      <c r="P3324" s="10">
        <f>'data on outstanding creditors'!$E3324-'data on outstanding creditors'!$O3324</f>
        <v>483</v>
      </c>
      <c r="Q3324" s="7">
        <f>DAY('data on outstanding creditors'!$B3324)</f>
        <v>22</v>
      </c>
      <c r="R3324" s="7">
        <f>MONTH('data on outstanding creditors'!$B3324)</f>
        <v>9</v>
      </c>
      <c r="S3324" s="7">
        <f>YEAR('data on outstanding creditors'!$B3324)</f>
        <v>2025</v>
      </c>
      <c r="T3324" s="11" t="str">
        <f>'data on outstanding creditors'!$C3324&amp;" "&amp;'data on outstanding creditors'!$D3324&amp;" "&amp;TEXT('data on outstanding creditors'!$E3324,"#,##0.00")</f>
        <v>บ.ดีเคเอสเอช(ประเทศไทย) 5344342376 7,383.00</v>
      </c>
      <c r="U3324" s="12"/>
    </row>
    <row r="3325" ht="13.5" customHeight="1">
      <c r="A3325" s="1" t="s">
        <v>5264</v>
      </c>
      <c r="B3325" s="2">
        <v>45922.0</v>
      </c>
      <c r="C3325" s="9" t="s">
        <v>399</v>
      </c>
      <c r="D3325" s="1" t="s">
        <v>5265</v>
      </c>
      <c r="E3325" s="4">
        <v>7383.0</v>
      </c>
      <c r="F3325" s="4"/>
      <c r="G3325" s="4"/>
      <c r="H3325" s="4">
        <f>'data on outstanding creditors'!$E3325-'data on outstanding creditors'!$F3325-'data on outstanding creditors'!$G3325</f>
        <v>7383</v>
      </c>
      <c r="I3325" s="2"/>
      <c r="J3325" s="1"/>
      <c r="K3325" s="2"/>
      <c r="L3325" s="5"/>
      <c r="M3325" s="9" t="s">
        <v>362</v>
      </c>
      <c r="N3325" s="9" t="s">
        <v>49</v>
      </c>
      <c r="O3325" s="10">
        <f>'data on outstanding creditors'!$E3325*100/107</f>
        <v>6900</v>
      </c>
      <c r="P3325" s="10">
        <f>'data on outstanding creditors'!$E3325-'data on outstanding creditors'!$O3325</f>
        <v>483</v>
      </c>
      <c r="Q3325" s="7">
        <f>DAY('data on outstanding creditors'!$B3325)</f>
        <v>22</v>
      </c>
      <c r="R3325" s="7">
        <f>MONTH('data on outstanding creditors'!$B3325)</f>
        <v>9</v>
      </c>
      <c r="S3325" s="7">
        <f>YEAR('data on outstanding creditors'!$B3325)</f>
        <v>2025</v>
      </c>
      <c r="T3325" s="11" t="str">
        <f>'data on outstanding creditors'!$C3325&amp;" "&amp;'data on outstanding creditors'!$D3325&amp;" "&amp;TEXT('data on outstanding creditors'!$E3325,"#,##0.00")</f>
        <v>บ.ดีเคเอสเอช(ประเทศไทย) 5344342383 7,383.00</v>
      </c>
      <c r="U3325" s="12"/>
    </row>
    <row r="3326" ht="13.5" customHeight="1">
      <c r="A3326" s="1" t="s">
        <v>5266</v>
      </c>
      <c r="B3326" s="2">
        <v>45922.0</v>
      </c>
      <c r="C3326" s="9" t="s">
        <v>399</v>
      </c>
      <c r="D3326" s="1" t="s">
        <v>5267</v>
      </c>
      <c r="E3326" s="4">
        <v>7383.0</v>
      </c>
      <c r="F3326" s="4"/>
      <c r="G3326" s="4"/>
      <c r="H3326" s="4">
        <f>'data on outstanding creditors'!$E3326-'data on outstanding creditors'!$F3326-'data on outstanding creditors'!$G3326</f>
        <v>7383</v>
      </c>
      <c r="I3326" s="2"/>
      <c r="J3326" s="1"/>
      <c r="K3326" s="2"/>
      <c r="L3326" s="5"/>
      <c r="M3326" s="9" t="s">
        <v>362</v>
      </c>
      <c r="N3326" s="9" t="s">
        <v>49</v>
      </c>
      <c r="O3326" s="10">
        <f>'data on outstanding creditors'!$E3326*100/107</f>
        <v>6900</v>
      </c>
      <c r="P3326" s="10">
        <f>'data on outstanding creditors'!$E3326-'data on outstanding creditors'!$O3326</f>
        <v>483</v>
      </c>
      <c r="Q3326" s="7">
        <f>DAY('data on outstanding creditors'!$B3326)</f>
        <v>22</v>
      </c>
      <c r="R3326" s="7">
        <f>MONTH('data on outstanding creditors'!$B3326)</f>
        <v>9</v>
      </c>
      <c r="S3326" s="7">
        <f>YEAR('data on outstanding creditors'!$B3326)</f>
        <v>2025</v>
      </c>
      <c r="T3326" s="11" t="str">
        <f>'data on outstanding creditors'!$C3326&amp;" "&amp;'data on outstanding creditors'!$D3326&amp;" "&amp;TEXT('data on outstanding creditors'!$E3326,"#,##0.00")</f>
        <v>บ.ดีเคเอสเอช(ประเทศไทย) 5344342330 7,383.00</v>
      </c>
      <c r="U3326" s="12"/>
    </row>
    <row r="3327" ht="13.5" customHeight="1">
      <c r="A3327" s="1" t="s">
        <v>5268</v>
      </c>
      <c r="B3327" s="2">
        <v>45922.0</v>
      </c>
      <c r="C3327" s="9" t="s">
        <v>399</v>
      </c>
      <c r="D3327" s="1" t="s">
        <v>5269</v>
      </c>
      <c r="E3327" s="4">
        <v>7383.0</v>
      </c>
      <c r="F3327" s="4"/>
      <c r="G3327" s="4"/>
      <c r="H3327" s="4">
        <f>'data on outstanding creditors'!$E3327-'data on outstanding creditors'!$F3327-'data on outstanding creditors'!$G3327</f>
        <v>7383</v>
      </c>
      <c r="I3327" s="2"/>
      <c r="J3327" s="1"/>
      <c r="K3327" s="2"/>
      <c r="L3327" s="5"/>
      <c r="M3327" s="9" t="s">
        <v>362</v>
      </c>
      <c r="N3327" s="9" t="s">
        <v>49</v>
      </c>
      <c r="O3327" s="10">
        <f>'data on outstanding creditors'!$E3327*100/107</f>
        <v>6900</v>
      </c>
      <c r="P3327" s="10">
        <f>'data on outstanding creditors'!$E3327-'data on outstanding creditors'!$O3327</f>
        <v>483</v>
      </c>
      <c r="Q3327" s="7">
        <f>DAY('data on outstanding creditors'!$B3327)</f>
        <v>22</v>
      </c>
      <c r="R3327" s="7">
        <f>MONTH('data on outstanding creditors'!$B3327)</f>
        <v>9</v>
      </c>
      <c r="S3327" s="7">
        <f>YEAR('data on outstanding creditors'!$B3327)</f>
        <v>2025</v>
      </c>
      <c r="T3327" s="11" t="str">
        <f>'data on outstanding creditors'!$C3327&amp;" "&amp;'data on outstanding creditors'!$D3327&amp;" "&amp;TEXT('data on outstanding creditors'!$E3327,"#,##0.00")</f>
        <v>บ.ดีเคเอสเอช(ประเทศไทย) 5344342372 7,383.00</v>
      </c>
      <c r="U3327" s="12"/>
    </row>
    <row r="3328" ht="13.5" customHeight="1">
      <c r="A3328" s="1" t="s">
        <v>5270</v>
      </c>
      <c r="B3328" s="2">
        <v>45922.0</v>
      </c>
      <c r="C3328" s="9" t="s">
        <v>399</v>
      </c>
      <c r="D3328" s="1" t="s">
        <v>5271</v>
      </c>
      <c r="E3328" s="4">
        <v>7383.0</v>
      </c>
      <c r="F3328" s="4"/>
      <c r="G3328" s="4"/>
      <c r="H3328" s="4">
        <f>'data on outstanding creditors'!$E3328-'data on outstanding creditors'!$F3328-'data on outstanding creditors'!$G3328</f>
        <v>7383</v>
      </c>
      <c r="I3328" s="2"/>
      <c r="J3328" s="1"/>
      <c r="K3328" s="2"/>
      <c r="L3328" s="5"/>
      <c r="M3328" s="9" t="s">
        <v>362</v>
      </c>
      <c r="N3328" s="9" t="s">
        <v>49</v>
      </c>
      <c r="O3328" s="10">
        <f>'data on outstanding creditors'!$E3328*100/107</f>
        <v>6900</v>
      </c>
      <c r="P3328" s="10">
        <f>'data on outstanding creditors'!$E3328-'data on outstanding creditors'!$O3328</f>
        <v>483</v>
      </c>
      <c r="Q3328" s="7">
        <f>DAY('data on outstanding creditors'!$B3328)</f>
        <v>22</v>
      </c>
      <c r="R3328" s="7">
        <f>MONTH('data on outstanding creditors'!$B3328)</f>
        <v>9</v>
      </c>
      <c r="S3328" s="7">
        <f>YEAR('data on outstanding creditors'!$B3328)</f>
        <v>2025</v>
      </c>
      <c r="T3328" s="11" t="str">
        <f>'data on outstanding creditors'!$C3328&amp;" "&amp;'data on outstanding creditors'!$D3328&amp;" "&amp;TEXT('data on outstanding creditors'!$E3328,"#,##0.00")</f>
        <v>บ.ดีเคเอสเอช(ประเทศไทย) 5344342354 7,383.00</v>
      </c>
      <c r="U3328" s="12"/>
    </row>
    <row r="3329" ht="13.5" customHeight="1">
      <c r="A3329" s="1" t="s">
        <v>5272</v>
      </c>
      <c r="B3329" s="2">
        <v>45922.0</v>
      </c>
      <c r="C3329" s="9" t="s">
        <v>399</v>
      </c>
      <c r="D3329" s="1" t="s">
        <v>5273</v>
      </c>
      <c r="E3329" s="4">
        <v>7383.0</v>
      </c>
      <c r="F3329" s="4"/>
      <c r="G3329" s="4"/>
      <c r="H3329" s="4">
        <f>'data on outstanding creditors'!$E3329-'data on outstanding creditors'!$F3329-'data on outstanding creditors'!$G3329</f>
        <v>7383</v>
      </c>
      <c r="I3329" s="2"/>
      <c r="J3329" s="1"/>
      <c r="K3329" s="2"/>
      <c r="L3329" s="5"/>
      <c r="M3329" s="9" t="s">
        <v>362</v>
      </c>
      <c r="N3329" s="9" t="s">
        <v>49</v>
      </c>
      <c r="O3329" s="10">
        <f>'data on outstanding creditors'!$E3329*100/107</f>
        <v>6900</v>
      </c>
      <c r="P3329" s="10">
        <f>'data on outstanding creditors'!$E3329-'data on outstanding creditors'!$O3329</f>
        <v>483</v>
      </c>
      <c r="Q3329" s="7">
        <f>DAY('data on outstanding creditors'!$B3329)</f>
        <v>22</v>
      </c>
      <c r="R3329" s="7">
        <f>MONTH('data on outstanding creditors'!$B3329)</f>
        <v>9</v>
      </c>
      <c r="S3329" s="7">
        <f>YEAR('data on outstanding creditors'!$B3329)</f>
        <v>2025</v>
      </c>
      <c r="T3329" s="11" t="str">
        <f>'data on outstanding creditors'!$C3329&amp;" "&amp;'data on outstanding creditors'!$D3329&amp;" "&amp;TEXT('data on outstanding creditors'!$E3329,"#,##0.00")</f>
        <v>บ.ดีเคเอสเอช(ประเทศไทย) 5344342369 7,383.00</v>
      </c>
      <c r="U3329" s="12"/>
    </row>
    <row r="3330" ht="13.5" customHeight="1">
      <c r="A3330" s="1" t="s">
        <v>5274</v>
      </c>
      <c r="B3330" s="2">
        <v>45922.0</v>
      </c>
      <c r="C3330" s="9" t="s">
        <v>399</v>
      </c>
      <c r="D3330" s="1" t="s">
        <v>5275</v>
      </c>
      <c r="E3330" s="4">
        <v>8774.0</v>
      </c>
      <c r="F3330" s="4"/>
      <c r="G3330" s="4"/>
      <c r="H3330" s="4">
        <f>'data on outstanding creditors'!$E3330-'data on outstanding creditors'!$F3330-'data on outstanding creditors'!$G3330</f>
        <v>8774</v>
      </c>
      <c r="I3330" s="2"/>
      <c r="J3330" s="1"/>
      <c r="K3330" s="2"/>
      <c r="L3330" s="5"/>
      <c r="M3330" s="9" t="s">
        <v>362</v>
      </c>
      <c r="N3330" s="9" t="s">
        <v>49</v>
      </c>
      <c r="O3330" s="10">
        <f>'data on outstanding creditors'!$E3330*100/107</f>
        <v>8200</v>
      </c>
      <c r="P3330" s="10">
        <f>'data on outstanding creditors'!$E3330-'data on outstanding creditors'!$O3330</f>
        <v>574</v>
      </c>
      <c r="Q3330" s="7">
        <f>DAY('data on outstanding creditors'!$B3330)</f>
        <v>22</v>
      </c>
      <c r="R3330" s="7">
        <f>MONTH('data on outstanding creditors'!$B3330)</f>
        <v>9</v>
      </c>
      <c r="S3330" s="7">
        <f>YEAR('data on outstanding creditors'!$B3330)</f>
        <v>2025</v>
      </c>
      <c r="T3330" s="11" t="str">
        <f>'data on outstanding creditors'!$C3330&amp;" "&amp;'data on outstanding creditors'!$D3330&amp;" "&amp;TEXT('data on outstanding creditors'!$E3330,"#,##0.00")</f>
        <v>บ.ดีเคเอสเอช(ประเทศไทย) 5344342347 8,774.00</v>
      </c>
      <c r="U3330" s="12"/>
    </row>
    <row r="3331" ht="13.5" customHeight="1">
      <c r="A3331" s="1" t="s">
        <v>5276</v>
      </c>
      <c r="B3331" s="2">
        <v>45922.0</v>
      </c>
      <c r="C3331" s="9" t="s">
        <v>399</v>
      </c>
      <c r="D3331" s="1" t="s">
        <v>5277</v>
      </c>
      <c r="E3331" s="4">
        <v>7383.0</v>
      </c>
      <c r="F3331" s="4"/>
      <c r="G3331" s="4"/>
      <c r="H3331" s="4">
        <f>'data on outstanding creditors'!$E3331-'data on outstanding creditors'!$F3331-'data on outstanding creditors'!$G3331</f>
        <v>7383</v>
      </c>
      <c r="I3331" s="2"/>
      <c r="J3331" s="1"/>
      <c r="K3331" s="2"/>
      <c r="L3331" s="5"/>
      <c r="M3331" s="9" t="s">
        <v>362</v>
      </c>
      <c r="N3331" s="9" t="s">
        <v>49</v>
      </c>
      <c r="O3331" s="10">
        <f>'data on outstanding creditors'!$E3331*100/107</f>
        <v>6900</v>
      </c>
      <c r="P3331" s="10">
        <f>'data on outstanding creditors'!$E3331-'data on outstanding creditors'!$O3331</f>
        <v>483</v>
      </c>
      <c r="Q3331" s="7">
        <f>DAY('data on outstanding creditors'!$B3331)</f>
        <v>22</v>
      </c>
      <c r="R3331" s="7">
        <f>MONTH('data on outstanding creditors'!$B3331)</f>
        <v>9</v>
      </c>
      <c r="S3331" s="7">
        <f>YEAR('data on outstanding creditors'!$B3331)</f>
        <v>2025</v>
      </c>
      <c r="T3331" s="11" t="str">
        <f>'data on outstanding creditors'!$C3331&amp;" "&amp;'data on outstanding creditors'!$D3331&amp;" "&amp;TEXT('data on outstanding creditors'!$E3331,"#,##0.00")</f>
        <v>บ.ดีเคเอสเอช(ประเทศไทย) 5344342350 7,383.00</v>
      </c>
      <c r="U3331" s="12"/>
    </row>
    <row r="3332" ht="13.5" customHeight="1">
      <c r="A3332" s="1" t="s">
        <v>5278</v>
      </c>
      <c r="B3332" s="2">
        <v>45926.0</v>
      </c>
      <c r="C3332" s="9" t="s">
        <v>520</v>
      </c>
      <c r="D3332" s="1" t="s">
        <v>5279</v>
      </c>
      <c r="E3332" s="4">
        <v>15095.03</v>
      </c>
      <c r="F3332" s="4"/>
      <c r="G3332" s="4"/>
      <c r="H3332" s="4">
        <f>'data on outstanding creditors'!$E3332-'data on outstanding creditors'!$F3332-'data on outstanding creditors'!$G3332</f>
        <v>15095.03</v>
      </c>
      <c r="I3332" s="2"/>
      <c r="J3332" s="1"/>
      <c r="K3332" s="2"/>
      <c r="L3332" s="5"/>
      <c r="M3332" s="9" t="s">
        <v>362</v>
      </c>
      <c r="N3332" s="9" t="s">
        <v>49</v>
      </c>
      <c r="O3332" s="10">
        <f>'data on outstanding creditors'!$E3332*100/107</f>
        <v>14107.50467</v>
      </c>
      <c r="P3332" s="10">
        <f>'data on outstanding creditors'!$E3332-'data on outstanding creditors'!$O3332</f>
        <v>987.5253271</v>
      </c>
      <c r="Q3332" s="7">
        <f>DAY('data on outstanding creditors'!$B3332)</f>
        <v>26</v>
      </c>
      <c r="R3332" s="7">
        <f>MONTH('data on outstanding creditors'!$B3332)</f>
        <v>9</v>
      </c>
      <c r="S3332" s="7">
        <f>YEAR('data on outstanding creditors'!$B3332)</f>
        <v>2025</v>
      </c>
      <c r="T3332" s="11" t="str">
        <f>'data on outstanding creditors'!$C3332&amp;" "&amp;'data on outstanding creditors'!$D3332&amp;" "&amp;TEXT('data on outstanding creditors'!$E3332,"#,##0.00")</f>
        <v>บ.ซิลลิคฟาร์มา 1318238947 15,095.03</v>
      </c>
      <c r="U3332" s="12"/>
    </row>
    <row r="3333" ht="13.5" customHeight="1">
      <c r="A3333" s="1" t="s">
        <v>5280</v>
      </c>
      <c r="B3333" s="2">
        <v>45928.0</v>
      </c>
      <c r="C3333" s="9" t="s">
        <v>520</v>
      </c>
      <c r="D3333" s="1" t="s">
        <v>5281</v>
      </c>
      <c r="E3333" s="4">
        <v>5133.33</v>
      </c>
      <c r="F3333" s="4"/>
      <c r="G3333" s="4"/>
      <c r="H3333" s="4">
        <f>'data on outstanding creditors'!$E3333-'data on outstanding creditors'!$F3333-'data on outstanding creditors'!$G3333</f>
        <v>5133.33</v>
      </c>
      <c r="I3333" s="2"/>
      <c r="J3333" s="1"/>
      <c r="K3333" s="2"/>
      <c r="L3333" s="5"/>
      <c r="M3333" s="9" t="s">
        <v>362</v>
      </c>
      <c r="N3333" s="9" t="s">
        <v>49</v>
      </c>
      <c r="O3333" s="10">
        <f>'data on outstanding creditors'!$E3333*100/107</f>
        <v>4797.504673</v>
      </c>
      <c r="P3333" s="10">
        <f>'data on outstanding creditors'!$E3333-'data on outstanding creditors'!$O3333</f>
        <v>335.8253271</v>
      </c>
      <c r="Q3333" s="7">
        <f>DAY('data on outstanding creditors'!$B3333)</f>
        <v>28</v>
      </c>
      <c r="R3333" s="7">
        <f>MONTH('data on outstanding creditors'!$B3333)</f>
        <v>9</v>
      </c>
      <c r="S3333" s="7">
        <f>YEAR('data on outstanding creditors'!$B3333)</f>
        <v>2025</v>
      </c>
      <c r="T3333" s="11" t="str">
        <f>'data on outstanding creditors'!$C3333&amp;" "&amp;'data on outstanding creditors'!$D3333&amp;" "&amp;TEXT('data on outstanding creditors'!$E3333,"#,##0.00")</f>
        <v>บ.ซิลลิคฟาร์มา 1318229041 5,133.33</v>
      </c>
      <c r="U3333" s="12"/>
    </row>
    <row r="3334" ht="13.5" customHeight="1">
      <c r="A3334" s="1" t="s">
        <v>5282</v>
      </c>
      <c r="B3334" s="2">
        <v>45929.0</v>
      </c>
      <c r="C3334" s="9" t="s">
        <v>2305</v>
      </c>
      <c r="D3334" s="1" t="s">
        <v>5283</v>
      </c>
      <c r="E3334" s="4">
        <v>6804.0</v>
      </c>
      <c r="F3334" s="4"/>
      <c r="G3334" s="4"/>
      <c r="H3334" s="4">
        <f>'data on outstanding creditors'!$E3334-'data on outstanding creditors'!$F3334-'data on outstanding creditors'!$G3334</f>
        <v>6804</v>
      </c>
      <c r="I3334" s="2"/>
      <c r="J3334" s="1"/>
      <c r="K3334" s="2"/>
      <c r="L3334" s="5"/>
      <c r="M3334" s="9" t="s">
        <v>362</v>
      </c>
      <c r="N3334" s="9" t="s">
        <v>49</v>
      </c>
      <c r="O3334" s="10">
        <f>'data on outstanding creditors'!$E3334*100/107</f>
        <v>6358.878505</v>
      </c>
      <c r="P3334" s="10">
        <f>'data on outstanding creditors'!$E3334-'data on outstanding creditors'!$O3334</f>
        <v>445.1214953</v>
      </c>
      <c r="Q3334" s="7">
        <f>DAY('data on outstanding creditors'!$B3334)</f>
        <v>29</v>
      </c>
      <c r="R3334" s="7">
        <f>MONTH('data on outstanding creditors'!$B3334)</f>
        <v>9</v>
      </c>
      <c r="S3334" s="7">
        <f>YEAR('data on outstanding creditors'!$B3334)</f>
        <v>2025</v>
      </c>
      <c r="T3334" s="11" t="str">
        <f>'data on outstanding creditors'!$C3334&amp;" "&amp;'data on outstanding creditors'!$D3334&amp;" "&amp;TEXT('data on outstanding creditors'!$E3334,"#,##0.00")</f>
        <v>บ.ฟิวเจอร์ เมดิคอล ซัพพลาย IV2509-00197 6,804.00</v>
      </c>
      <c r="U3334" s="12"/>
    </row>
    <row r="3335" ht="13.5" customHeight="1">
      <c r="A3335" s="1" t="s">
        <v>5284</v>
      </c>
      <c r="B3335" s="2">
        <v>45945.0</v>
      </c>
      <c r="C3335" s="9" t="s">
        <v>2330</v>
      </c>
      <c r="D3335" s="1" t="s">
        <v>5285</v>
      </c>
      <c r="E3335" s="4">
        <v>15200.0</v>
      </c>
      <c r="F3335" s="4"/>
      <c r="G3335" s="4"/>
      <c r="H3335" s="4">
        <f>'data on outstanding creditors'!$E3335-'data on outstanding creditors'!$F3335-'data on outstanding creditors'!$G3335</f>
        <v>15200</v>
      </c>
      <c r="I3335" s="2"/>
      <c r="J3335" s="1"/>
      <c r="K3335" s="2"/>
      <c r="L3335" s="5"/>
      <c r="M3335" s="9" t="s">
        <v>362</v>
      </c>
      <c r="N3335" s="9" t="s">
        <v>49</v>
      </c>
      <c r="O3335" s="10">
        <f>'data on outstanding creditors'!$E3335*100/107</f>
        <v>14205.60748</v>
      </c>
      <c r="P3335" s="10">
        <f>'data on outstanding creditors'!$E3335-'data on outstanding creditors'!$O3335</f>
        <v>994.3925234</v>
      </c>
      <c r="Q3335" s="7">
        <f>DAY('data on outstanding creditors'!$B3335)</f>
        <v>15</v>
      </c>
      <c r="R3335" s="7">
        <f>MONTH('data on outstanding creditors'!$B3335)</f>
        <v>10</v>
      </c>
      <c r="S3335" s="7">
        <f>YEAR('data on outstanding creditors'!$B3335)</f>
        <v>2025</v>
      </c>
      <c r="T3335" s="11" t="str">
        <f>'data on outstanding creditors'!$C3335&amp;" "&amp;'data on outstanding creditors'!$D3335&amp;" "&amp;TEXT('data on outstanding creditors'!$E3335,"#,##0.00")</f>
        <v>บ.อี ฟอร์ แอล เอม M6810-0038 15,200.00</v>
      </c>
      <c r="U3335" s="12"/>
    </row>
    <row r="3336" ht="13.5" customHeight="1">
      <c r="A3336" s="1" t="s">
        <v>5286</v>
      </c>
      <c r="B3336" s="2">
        <v>45945.0</v>
      </c>
      <c r="C3336" s="9" t="s">
        <v>5287</v>
      </c>
      <c r="D3336" s="1" t="s">
        <v>5288</v>
      </c>
      <c r="E3336" s="4">
        <v>35000.0</v>
      </c>
      <c r="F3336" s="4"/>
      <c r="G3336" s="4"/>
      <c r="H3336" s="4">
        <f>'data on outstanding creditors'!$E3336-'data on outstanding creditors'!$F3336-'data on outstanding creditors'!$G3336</f>
        <v>35000</v>
      </c>
      <c r="I3336" s="2"/>
      <c r="J3336" s="1"/>
      <c r="K3336" s="2"/>
      <c r="L3336" s="5"/>
      <c r="M3336" s="9" t="s">
        <v>362</v>
      </c>
      <c r="N3336" s="9" t="s">
        <v>49</v>
      </c>
      <c r="O3336" s="10">
        <f>'data on outstanding creditors'!$E3336*100/107</f>
        <v>32710.28037</v>
      </c>
      <c r="P3336" s="10">
        <f>'data on outstanding creditors'!$E3336-'data on outstanding creditors'!$O3336</f>
        <v>2289.719626</v>
      </c>
      <c r="Q3336" s="7">
        <f>DAY('data on outstanding creditors'!$B3336)</f>
        <v>15</v>
      </c>
      <c r="R3336" s="7">
        <f>MONTH('data on outstanding creditors'!$B3336)</f>
        <v>10</v>
      </c>
      <c r="S3336" s="7">
        <f>YEAR('data on outstanding creditors'!$B3336)</f>
        <v>2025</v>
      </c>
      <c r="T3336" s="11" t="str">
        <f>'data on outstanding creditors'!$C3336&amp;" "&amp;'data on outstanding creditors'!$D3336&amp;" "&amp;TEXT('data on outstanding creditors'!$E3336,"#,##0.00")</f>
        <v>บ.อาฟต้า เซอร์วิส แอนด์ ซัพพลาย IV6809064 35,000.00</v>
      </c>
      <c r="U3336" s="12"/>
    </row>
    <row r="3337" ht="13.5" customHeight="1">
      <c r="A3337" s="1" t="s">
        <v>5289</v>
      </c>
      <c r="B3337" s="2">
        <v>45945.0</v>
      </c>
      <c r="C3337" s="9" t="s">
        <v>5287</v>
      </c>
      <c r="D3337" s="1" t="s">
        <v>5290</v>
      </c>
      <c r="E3337" s="4">
        <v>45000.0</v>
      </c>
      <c r="F3337" s="4"/>
      <c r="G3337" s="4"/>
      <c r="H3337" s="4">
        <f>'data on outstanding creditors'!$E3337-'data on outstanding creditors'!$F3337-'data on outstanding creditors'!$G3337</f>
        <v>45000</v>
      </c>
      <c r="I3337" s="2"/>
      <c r="J3337" s="1"/>
      <c r="K3337" s="2"/>
      <c r="L3337" s="5"/>
      <c r="M3337" s="9" t="s">
        <v>362</v>
      </c>
      <c r="N3337" s="9" t="s">
        <v>49</v>
      </c>
      <c r="O3337" s="10">
        <f>'data on outstanding creditors'!$E3337*100/107</f>
        <v>42056.07477</v>
      </c>
      <c r="P3337" s="10">
        <f>'data on outstanding creditors'!$E3337-'data on outstanding creditors'!$O3337</f>
        <v>2943.925234</v>
      </c>
      <c r="Q3337" s="7">
        <f>DAY('data on outstanding creditors'!$B3337)</f>
        <v>15</v>
      </c>
      <c r="R3337" s="7">
        <f>MONTH('data on outstanding creditors'!$B3337)</f>
        <v>10</v>
      </c>
      <c r="S3337" s="7">
        <f>YEAR('data on outstanding creditors'!$B3337)</f>
        <v>2025</v>
      </c>
      <c r="T3337" s="11" t="str">
        <f>'data on outstanding creditors'!$C3337&amp;" "&amp;'data on outstanding creditors'!$D3337&amp;" "&amp;TEXT('data on outstanding creditors'!$E3337,"#,##0.00")</f>
        <v>บ.อาฟต้า เซอร์วิส แอนด์ ซัพพลาย IV6809065 45,000.00</v>
      </c>
      <c r="U3337" s="12"/>
    </row>
    <row r="3338" ht="13.5" customHeight="1">
      <c r="A3338" s="1" t="s">
        <v>5291</v>
      </c>
      <c r="B3338" s="2">
        <v>45945.0</v>
      </c>
      <c r="C3338" s="9" t="s">
        <v>399</v>
      </c>
      <c r="D3338" s="1" t="s">
        <v>5292</v>
      </c>
      <c r="E3338" s="4">
        <v>7383.0</v>
      </c>
      <c r="F3338" s="4"/>
      <c r="G3338" s="4"/>
      <c r="H3338" s="4">
        <f>'data on outstanding creditors'!$E3338-'data on outstanding creditors'!$F3338-'data on outstanding creditors'!$G3338</f>
        <v>7383</v>
      </c>
      <c r="I3338" s="2"/>
      <c r="J3338" s="1"/>
      <c r="K3338" s="2"/>
      <c r="L3338" s="5"/>
      <c r="M3338" s="9" t="s">
        <v>362</v>
      </c>
      <c r="N3338" s="9" t="s">
        <v>49</v>
      </c>
      <c r="O3338" s="10">
        <f>'data on outstanding creditors'!$E3338*100/107</f>
        <v>6900</v>
      </c>
      <c r="P3338" s="10">
        <f>'data on outstanding creditors'!$E3338-'data on outstanding creditors'!$O3338</f>
        <v>483</v>
      </c>
      <c r="Q3338" s="7">
        <f>DAY('data on outstanding creditors'!$B3338)</f>
        <v>15</v>
      </c>
      <c r="R3338" s="7">
        <f>MONTH('data on outstanding creditors'!$B3338)</f>
        <v>10</v>
      </c>
      <c r="S3338" s="7">
        <f>YEAR('data on outstanding creditors'!$B3338)</f>
        <v>2025</v>
      </c>
      <c r="T3338" s="11" t="str">
        <f>'data on outstanding creditors'!$C3338&amp;" "&amp;'data on outstanding creditors'!$D3338&amp;" "&amp;TEXT('data on outstanding creditors'!$E3338,"#,##0.00")</f>
        <v>บ.ดีเคเอสเอช(ประเทศไทย) 5344447567 7,383.00</v>
      </c>
      <c r="U3338" s="12"/>
    </row>
    <row r="3339" ht="13.5" customHeight="1">
      <c r="A3339" s="1"/>
      <c r="B3339" s="2">
        <v>45945.0</v>
      </c>
      <c r="C3339" s="9" t="s">
        <v>3797</v>
      </c>
      <c r="D3339" s="1" t="s">
        <v>5293</v>
      </c>
      <c r="E3339" s="4">
        <v>14324.0</v>
      </c>
      <c r="F3339" s="4"/>
      <c r="G3339" s="4"/>
      <c r="H3339" s="4">
        <f>'data on outstanding creditors'!$E3339-'data on outstanding creditors'!$F3339-'data on outstanding creditors'!$G3339</f>
        <v>14324</v>
      </c>
      <c r="I3339" s="2"/>
      <c r="J3339" s="1"/>
      <c r="K3339" s="2"/>
      <c r="L3339" s="5"/>
      <c r="M3339" s="9" t="s">
        <v>362</v>
      </c>
      <c r="N3339" s="9" t="s">
        <v>49</v>
      </c>
      <c r="O3339" s="10">
        <f>'data on outstanding creditors'!$E3339*100/107</f>
        <v>13386.91589</v>
      </c>
      <c r="P3339" s="10">
        <f>'data on outstanding creditors'!$E3339-'data on outstanding creditors'!$O3339</f>
        <v>937.0841121</v>
      </c>
      <c r="Q3339" s="7">
        <f>DAY('data on outstanding creditors'!$B3339)</f>
        <v>15</v>
      </c>
      <c r="R3339" s="7">
        <f>MONTH('data on outstanding creditors'!$B3339)</f>
        <v>10</v>
      </c>
      <c r="S3339" s="7">
        <f>YEAR('data on outstanding creditors'!$B3339)</f>
        <v>2025</v>
      </c>
      <c r="T3339" s="11" t="str">
        <f>'data on outstanding creditors'!$C3339&amp;" "&amp;'data on outstanding creditors'!$D3339&amp;" "&amp;TEXT('data on outstanding creditors'!$E3339,"#,##0.00")</f>
        <v>บ.บางกอกยูนิเทรด 68/12089 14,324.00</v>
      </c>
      <c r="U3339" s="12"/>
    </row>
    <row r="3340" ht="13.5" customHeight="1">
      <c r="A3340" s="1" t="s">
        <v>5294</v>
      </c>
      <c r="B3340" s="2">
        <v>45946.0</v>
      </c>
      <c r="C3340" s="9" t="s">
        <v>5295</v>
      </c>
      <c r="D3340" s="1" t="s">
        <v>5296</v>
      </c>
      <c r="E3340" s="4">
        <v>28000.0</v>
      </c>
      <c r="F3340" s="4"/>
      <c r="G3340" s="4"/>
      <c r="H3340" s="4">
        <f>'data on outstanding creditors'!$E3340-'data on outstanding creditors'!$F3340-'data on outstanding creditors'!$G3340</f>
        <v>28000</v>
      </c>
      <c r="I3340" s="2"/>
      <c r="J3340" s="1"/>
      <c r="K3340" s="2"/>
      <c r="L3340" s="5"/>
      <c r="M3340" s="9" t="s">
        <v>362</v>
      </c>
      <c r="N3340" s="9" t="s">
        <v>49</v>
      </c>
      <c r="O3340" s="10">
        <f>'data on outstanding creditors'!$E3340*100/107</f>
        <v>26168.2243</v>
      </c>
      <c r="P3340" s="10">
        <f>'data on outstanding creditors'!$E3340-'data on outstanding creditors'!$O3340</f>
        <v>1831.775701</v>
      </c>
      <c r="Q3340" s="7">
        <f>DAY('data on outstanding creditors'!$B3340)</f>
        <v>16</v>
      </c>
      <c r="R3340" s="7">
        <f>MONTH('data on outstanding creditors'!$B3340)</f>
        <v>10</v>
      </c>
      <c r="S3340" s="7">
        <f>YEAR('data on outstanding creditors'!$B3340)</f>
        <v>2025</v>
      </c>
      <c r="T3340" s="11" t="str">
        <f>'data on outstanding creditors'!$C3340&amp;" "&amp;'data on outstanding creditors'!$D3340&amp;" "&amp;TEXT('data on outstanding creditors'!$E3340,"#,##0.00")</f>
        <v>บ.เมดดิเพล็กซ์(ไทยแลนด์) MSV25090050 28,000.00</v>
      </c>
      <c r="U3340" s="12"/>
    </row>
    <row r="3341" ht="13.5" customHeight="1">
      <c r="A3341" s="1" t="s">
        <v>5297</v>
      </c>
      <c r="B3341" s="2">
        <v>45954.0</v>
      </c>
      <c r="C3341" s="9" t="s">
        <v>1034</v>
      </c>
      <c r="D3341" s="1" t="s">
        <v>5298</v>
      </c>
      <c r="E3341" s="4">
        <v>23000.0</v>
      </c>
      <c r="F3341" s="4"/>
      <c r="G3341" s="4"/>
      <c r="H3341" s="4">
        <f>'data on outstanding creditors'!$E3341-'data on outstanding creditors'!$F3341-'data on outstanding creditors'!$G3341</f>
        <v>23000</v>
      </c>
      <c r="I3341" s="2"/>
      <c r="J3341" s="1"/>
      <c r="K3341" s="2"/>
      <c r="L3341" s="5"/>
      <c r="M3341" s="9" t="s">
        <v>362</v>
      </c>
      <c r="N3341" s="9" t="s">
        <v>49</v>
      </c>
      <c r="O3341" s="10">
        <f>'data on outstanding creditors'!$E3341*100/107</f>
        <v>21495.3271</v>
      </c>
      <c r="P3341" s="10">
        <f>'data on outstanding creditors'!$E3341-'data on outstanding creditors'!$O3341</f>
        <v>1504.672897</v>
      </c>
      <c r="Q3341" s="7">
        <f>DAY('data on outstanding creditors'!$B3341)</f>
        <v>24</v>
      </c>
      <c r="R3341" s="7">
        <f>MONTH('data on outstanding creditors'!$B3341)</f>
        <v>10</v>
      </c>
      <c r="S3341" s="7">
        <f>YEAR('data on outstanding creditors'!$B3341)</f>
        <v>2025</v>
      </c>
      <c r="T3341" s="11" t="str">
        <f>'data on outstanding creditors'!$C3341&amp;" "&amp;'data on outstanding creditors'!$D3341&amp;" "&amp;TEXT('data on outstanding creditors'!$E3341,"#,##0.00")</f>
        <v>บ.แบงค็อก เมดิคอลส์ โปร IV18759/68 23,000.00</v>
      </c>
      <c r="U3341" s="12"/>
    </row>
    <row r="3342" ht="13.5" customHeight="1">
      <c r="A3342" s="1" t="s">
        <v>5299</v>
      </c>
      <c r="B3342" s="2">
        <v>45954.0</v>
      </c>
      <c r="C3342" s="9" t="s">
        <v>1034</v>
      </c>
      <c r="D3342" s="1" t="s">
        <v>5300</v>
      </c>
      <c r="E3342" s="4">
        <v>12000.0</v>
      </c>
      <c r="F3342" s="4"/>
      <c r="G3342" s="4"/>
      <c r="H3342" s="4">
        <f>'data on outstanding creditors'!$E3342-'data on outstanding creditors'!$F3342-'data on outstanding creditors'!$G3342</f>
        <v>12000</v>
      </c>
      <c r="I3342" s="2"/>
      <c r="J3342" s="1"/>
      <c r="K3342" s="2"/>
      <c r="L3342" s="5"/>
      <c r="M3342" s="9" t="s">
        <v>362</v>
      </c>
      <c r="N3342" s="9" t="s">
        <v>49</v>
      </c>
      <c r="O3342" s="10">
        <f>'data on outstanding creditors'!$E3342*100/107</f>
        <v>11214.95327</v>
      </c>
      <c r="P3342" s="10">
        <f>'data on outstanding creditors'!$E3342-'data on outstanding creditors'!$O3342</f>
        <v>785.046729</v>
      </c>
      <c r="Q3342" s="7">
        <f>DAY('data on outstanding creditors'!$B3342)</f>
        <v>24</v>
      </c>
      <c r="R3342" s="7">
        <f>MONTH('data on outstanding creditors'!$B3342)</f>
        <v>10</v>
      </c>
      <c r="S3342" s="7">
        <f>YEAR('data on outstanding creditors'!$B3342)</f>
        <v>2025</v>
      </c>
      <c r="T3342" s="11" t="str">
        <f>'data on outstanding creditors'!$C3342&amp;" "&amp;'data on outstanding creditors'!$D3342&amp;" "&amp;TEXT('data on outstanding creditors'!$E3342,"#,##0.00")</f>
        <v>บ.แบงค็อก เมดิคอลส์ โปร IV18782/68 12,000.00</v>
      </c>
      <c r="U3342" s="12"/>
    </row>
    <row r="3343" ht="13.5" customHeight="1">
      <c r="A3343" s="1" t="s">
        <v>5301</v>
      </c>
      <c r="B3343" s="2">
        <v>45954.0</v>
      </c>
      <c r="C3343" s="9" t="s">
        <v>1034</v>
      </c>
      <c r="D3343" s="1" t="s">
        <v>5302</v>
      </c>
      <c r="E3343" s="4">
        <v>23000.0</v>
      </c>
      <c r="F3343" s="4"/>
      <c r="G3343" s="4"/>
      <c r="H3343" s="4">
        <f>'data on outstanding creditors'!$E3343-'data on outstanding creditors'!$F3343-'data on outstanding creditors'!$G3343</f>
        <v>23000</v>
      </c>
      <c r="I3343" s="2"/>
      <c r="J3343" s="1"/>
      <c r="K3343" s="2"/>
      <c r="L3343" s="5"/>
      <c r="M3343" s="9" t="s">
        <v>362</v>
      </c>
      <c r="N3343" s="9" t="s">
        <v>49</v>
      </c>
      <c r="O3343" s="10">
        <f>'data on outstanding creditors'!$E3343*100/107</f>
        <v>21495.3271</v>
      </c>
      <c r="P3343" s="10">
        <f>'data on outstanding creditors'!$E3343-'data on outstanding creditors'!$O3343</f>
        <v>1504.672897</v>
      </c>
      <c r="Q3343" s="7">
        <f>DAY('data on outstanding creditors'!$B3343)</f>
        <v>24</v>
      </c>
      <c r="R3343" s="7">
        <f>MONTH('data on outstanding creditors'!$B3343)</f>
        <v>10</v>
      </c>
      <c r="S3343" s="7">
        <f>YEAR('data on outstanding creditors'!$B3343)</f>
        <v>2025</v>
      </c>
      <c r="T3343" s="11" t="str">
        <f>'data on outstanding creditors'!$C3343&amp;" "&amp;'data on outstanding creditors'!$D3343&amp;" "&amp;TEXT('data on outstanding creditors'!$E3343,"#,##0.00")</f>
        <v>บ.แบงค็อก เมดิคอลส์ โปร IV18758/68 23,000.00</v>
      </c>
      <c r="U3343" s="12"/>
    </row>
    <row r="3344" ht="13.5" customHeight="1">
      <c r="A3344" s="1" t="s">
        <v>5303</v>
      </c>
      <c r="B3344" s="2">
        <v>45954.0</v>
      </c>
      <c r="C3344" s="9" t="s">
        <v>1034</v>
      </c>
      <c r="D3344" s="1" t="s">
        <v>5304</v>
      </c>
      <c r="E3344" s="4">
        <v>5000.0</v>
      </c>
      <c r="F3344" s="4"/>
      <c r="G3344" s="4"/>
      <c r="H3344" s="4">
        <f>'data on outstanding creditors'!$E3344-'data on outstanding creditors'!$F3344-'data on outstanding creditors'!$G3344</f>
        <v>5000</v>
      </c>
      <c r="I3344" s="2"/>
      <c r="J3344" s="1"/>
      <c r="K3344" s="2"/>
      <c r="L3344" s="5"/>
      <c r="M3344" s="9" t="s">
        <v>362</v>
      </c>
      <c r="N3344" s="9" t="s">
        <v>49</v>
      </c>
      <c r="O3344" s="10">
        <f>'data on outstanding creditors'!$E3344*100/107</f>
        <v>4672.897196</v>
      </c>
      <c r="P3344" s="10">
        <f>'data on outstanding creditors'!$E3344-'data on outstanding creditors'!$O3344</f>
        <v>327.1028037</v>
      </c>
      <c r="Q3344" s="7">
        <f>DAY('data on outstanding creditors'!$B3344)</f>
        <v>24</v>
      </c>
      <c r="R3344" s="7">
        <f>MONTH('data on outstanding creditors'!$B3344)</f>
        <v>10</v>
      </c>
      <c r="S3344" s="7">
        <f>YEAR('data on outstanding creditors'!$B3344)</f>
        <v>2025</v>
      </c>
      <c r="T3344" s="11" t="str">
        <f>'data on outstanding creditors'!$C3344&amp;" "&amp;'data on outstanding creditors'!$D3344&amp;" "&amp;TEXT('data on outstanding creditors'!$E3344,"#,##0.00")</f>
        <v>บ.แบงค็อก เมดิคอลส์ โปร IV18760/68 5,000.00</v>
      </c>
      <c r="U3344" s="12"/>
    </row>
    <row r="3345" ht="13.5" customHeight="1">
      <c r="A3345" s="1" t="s">
        <v>5305</v>
      </c>
      <c r="B3345" s="2">
        <v>45960.0</v>
      </c>
      <c r="C3345" s="9" t="s">
        <v>5111</v>
      </c>
      <c r="D3345" s="1" t="s">
        <v>5306</v>
      </c>
      <c r="E3345" s="4">
        <v>900.0</v>
      </c>
      <c r="F3345" s="4"/>
      <c r="G3345" s="4"/>
      <c r="H3345" s="4">
        <f>'data on outstanding creditors'!$E3345-'data on outstanding creditors'!$F3345-'data on outstanding creditors'!$G3345</f>
        <v>900</v>
      </c>
      <c r="I3345" s="2"/>
      <c r="J3345" s="1"/>
      <c r="K3345" s="2"/>
      <c r="L3345" s="5"/>
      <c r="M3345" s="9" t="s">
        <v>362</v>
      </c>
      <c r="N3345" s="9" t="s">
        <v>49</v>
      </c>
      <c r="O3345" s="10">
        <f>'data on outstanding creditors'!$E3345*100/107</f>
        <v>841.1214953</v>
      </c>
      <c r="P3345" s="10">
        <f>'data on outstanding creditors'!$E3345-'data on outstanding creditors'!$O3345</f>
        <v>58.87850467</v>
      </c>
      <c r="Q3345" s="7">
        <f>DAY('data on outstanding creditors'!$B3345)</f>
        <v>30</v>
      </c>
      <c r="R3345" s="7">
        <f>MONTH('data on outstanding creditors'!$B3345)</f>
        <v>10</v>
      </c>
      <c r="S3345" s="7">
        <f>YEAR('data on outstanding creditors'!$B3345)</f>
        <v>2025</v>
      </c>
      <c r="T3345" s="11" t="str">
        <f>'data on outstanding creditors'!$C3345&amp;" "&amp;'data on outstanding creditors'!$D3345&amp;" "&amp;TEXT('data on outstanding creditors'!$E3345,"#,##0.00")</f>
        <v>บ.จำเริญแพทย์ภัณฑ์ IMV125100111 900.00</v>
      </c>
      <c r="U3345" s="12"/>
    </row>
    <row r="3346" ht="13.5" customHeight="1">
      <c r="A3346" s="1"/>
      <c r="B3346" s="2">
        <v>45728.0</v>
      </c>
      <c r="C3346" s="9" t="s">
        <v>1189</v>
      </c>
      <c r="D3346" s="1" t="s">
        <v>5307</v>
      </c>
      <c r="E3346" s="4">
        <v>40874.0</v>
      </c>
      <c r="F3346" s="4"/>
      <c r="G3346" s="4"/>
      <c r="H3346" s="4">
        <f>'data on outstanding creditors'!$E3346-'data on outstanding creditors'!$F3346-'data on outstanding creditors'!$G3346</f>
        <v>40874</v>
      </c>
      <c r="I3346" s="2"/>
      <c r="J3346" s="1" t="s">
        <v>646</v>
      </c>
      <c r="K3346" s="2">
        <v>45906.0</v>
      </c>
      <c r="L3346" s="5"/>
      <c r="M3346" s="9" t="s">
        <v>5308</v>
      </c>
      <c r="N3346" s="9" t="s">
        <v>49</v>
      </c>
      <c r="O3346" s="10">
        <f>'data on outstanding creditors'!$E3346*100/107</f>
        <v>38200</v>
      </c>
      <c r="P3346" s="10">
        <f>'data on outstanding creditors'!$E3346-'data on outstanding creditors'!$O3346</f>
        <v>2674</v>
      </c>
      <c r="Q3346" s="7">
        <f>DAY('data on outstanding creditors'!$B3346)</f>
        <v>12</v>
      </c>
      <c r="R3346" s="7">
        <f>MONTH('data on outstanding creditors'!$B3346)</f>
        <v>3</v>
      </c>
      <c r="S3346" s="7">
        <f>YEAR('data on outstanding creditors'!$B3346)</f>
        <v>2025</v>
      </c>
      <c r="T3346" s="11" t="str">
        <f>'data on outstanding creditors'!$C3346&amp;" "&amp;'data on outstanding creditors'!$D3346&amp;" "&amp;TEXT('data on outstanding creditors'!$E3346,"#,##0.00")</f>
        <v>บ.เค.เอช.ที.เซ็นทรัลซัพพลาย KR6803-012 40,874.00</v>
      </c>
      <c r="U3346" s="12"/>
    </row>
    <row r="3347" ht="13.5" customHeight="1">
      <c r="A3347" s="1" t="s">
        <v>5309</v>
      </c>
      <c r="B3347" s="2">
        <v>45812.0</v>
      </c>
      <c r="C3347" s="9" t="s">
        <v>1189</v>
      </c>
      <c r="D3347" s="1" t="s">
        <v>5310</v>
      </c>
      <c r="E3347" s="4">
        <v>90415.0</v>
      </c>
      <c r="F3347" s="4"/>
      <c r="G3347" s="4"/>
      <c r="H3347" s="4">
        <f>'data on outstanding creditors'!$E3347-'data on outstanding creditors'!$F3347-'data on outstanding creditors'!$G3347</f>
        <v>90415</v>
      </c>
      <c r="I3347" s="2"/>
      <c r="J3347" s="1" t="s">
        <v>646</v>
      </c>
      <c r="K3347" s="2">
        <v>45894.0</v>
      </c>
      <c r="L3347" s="5"/>
      <c r="M3347" s="9" t="s">
        <v>5308</v>
      </c>
      <c r="N3347" s="9" t="s">
        <v>49</v>
      </c>
      <c r="O3347" s="10">
        <f>'data on outstanding creditors'!$E3347*100/107</f>
        <v>84500</v>
      </c>
      <c r="P3347" s="10">
        <f>'data on outstanding creditors'!$E3347-'data on outstanding creditors'!$O3347</f>
        <v>5915</v>
      </c>
      <c r="Q3347" s="7">
        <f>DAY('data on outstanding creditors'!$B3347)</f>
        <v>4</v>
      </c>
      <c r="R3347" s="7">
        <f>MONTH('data on outstanding creditors'!$B3347)</f>
        <v>6</v>
      </c>
      <c r="S3347" s="7">
        <f>YEAR('data on outstanding creditors'!$B3347)</f>
        <v>2025</v>
      </c>
      <c r="T3347" s="11" t="str">
        <f>'data on outstanding creditors'!$C3347&amp;" "&amp;'data on outstanding creditors'!$D3347&amp;" "&amp;TEXT('data on outstanding creditors'!$E3347,"#,##0.00")</f>
        <v>บ.เค.เอช.ที.เซ็นทรัลซัพพลาย KR6805-034 90,415.00</v>
      </c>
      <c r="U3347" s="12"/>
    </row>
    <row r="3348" ht="13.5" customHeight="1">
      <c r="A3348" s="1" t="s">
        <v>5311</v>
      </c>
      <c r="B3348" s="2">
        <v>45888.0</v>
      </c>
      <c r="C3348" s="9" t="s">
        <v>1189</v>
      </c>
      <c r="D3348" s="1" t="s">
        <v>5312</v>
      </c>
      <c r="E3348" s="4">
        <v>15729.0</v>
      </c>
      <c r="F3348" s="4"/>
      <c r="G3348" s="4"/>
      <c r="H3348" s="4">
        <f>'data on outstanding creditors'!$E3348-'data on outstanding creditors'!$F3348-'data on outstanding creditors'!$G3348</f>
        <v>15729</v>
      </c>
      <c r="I3348" s="2"/>
      <c r="J3348" s="1"/>
      <c r="K3348" s="2"/>
      <c r="L3348" s="5"/>
      <c r="M3348" s="9" t="s">
        <v>5308</v>
      </c>
      <c r="N3348" s="9" t="s">
        <v>49</v>
      </c>
      <c r="O3348" s="10">
        <f>'data on outstanding creditors'!$E3348*100/107</f>
        <v>14700</v>
      </c>
      <c r="P3348" s="10">
        <f>'data on outstanding creditors'!$E3348-'data on outstanding creditors'!$O3348</f>
        <v>1029</v>
      </c>
      <c r="Q3348" s="7">
        <f>DAY('data on outstanding creditors'!$B3348)</f>
        <v>19</v>
      </c>
      <c r="R3348" s="7">
        <f>MONTH('data on outstanding creditors'!$B3348)</f>
        <v>8</v>
      </c>
      <c r="S3348" s="7">
        <f>YEAR('data on outstanding creditors'!$B3348)</f>
        <v>2025</v>
      </c>
      <c r="T3348" s="11" t="str">
        <f>'data on outstanding creditors'!$C3348&amp;" "&amp;'data on outstanding creditors'!$D3348&amp;" "&amp;TEXT('data on outstanding creditors'!$E3348,"#,##0.00")</f>
        <v>บ.เค.เอช.ที.เซ็นทรัลซัพพลาย KR6808-014 15,729.00</v>
      </c>
      <c r="U3348" s="12"/>
    </row>
    <row r="3349" ht="13.5" customHeight="1">
      <c r="A3349" s="1" t="s">
        <v>5313</v>
      </c>
      <c r="B3349" s="2">
        <v>45838.0</v>
      </c>
      <c r="C3349" s="9" t="s">
        <v>366</v>
      </c>
      <c r="D3349" s="1" t="s">
        <v>5314</v>
      </c>
      <c r="E3349" s="4">
        <v>125100.0</v>
      </c>
      <c r="F3349" s="4"/>
      <c r="G3349" s="4"/>
      <c r="H3349" s="4">
        <f>'data on outstanding creditors'!$E3349-'data on outstanding creditors'!$F3349-'data on outstanding creditors'!$G3349</f>
        <v>125100</v>
      </c>
      <c r="I3349" s="2"/>
      <c r="J3349" s="1" t="s">
        <v>646</v>
      </c>
      <c r="K3349" s="2">
        <v>45906.0</v>
      </c>
      <c r="L3349" s="5"/>
      <c r="M3349" s="9" t="s">
        <v>368</v>
      </c>
      <c r="N3349" s="9" t="s">
        <v>49</v>
      </c>
      <c r="O3349" s="10">
        <f>'data on outstanding creditors'!$E3349*100/107</f>
        <v>116915.8879</v>
      </c>
      <c r="P3349" s="10">
        <f>'data on outstanding creditors'!$E3349-'data on outstanding creditors'!$O3349</f>
        <v>8184.11215</v>
      </c>
      <c r="Q3349" s="7">
        <f>DAY('data on outstanding creditors'!$B3349)</f>
        <v>30</v>
      </c>
      <c r="R3349" s="7">
        <f>MONTH('data on outstanding creditors'!$B3349)</f>
        <v>6</v>
      </c>
      <c r="S3349" s="7">
        <f>YEAR('data on outstanding creditors'!$B3349)</f>
        <v>2025</v>
      </c>
      <c r="T3349" s="11" t="str">
        <f>'data on outstanding creditors'!$C3349&amp;" "&amp;'data on outstanding creditors'!$D3349&amp;" "&amp;TEXT('data on outstanding creditors'!$E3349,"#,##0.00")</f>
        <v>บ.สยามยูเนี่ยนเคมีคอล SOCL6806041 125,100.00</v>
      </c>
      <c r="U3349" s="12"/>
    </row>
    <row r="3350" ht="13.5" customHeight="1">
      <c r="A3350" s="1" t="s">
        <v>5315</v>
      </c>
      <c r="B3350" s="2">
        <v>45838.0</v>
      </c>
      <c r="C3350" s="9" t="s">
        <v>366</v>
      </c>
      <c r="D3350" s="1" t="s">
        <v>5316</v>
      </c>
      <c r="E3350" s="4">
        <v>805716.73</v>
      </c>
      <c r="F3350" s="4"/>
      <c r="G3350" s="4"/>
      <c r="H3350" s="4">
        <f>'data on outstanding creditors'!$E3350-'data on outstanding creditors'!$F3350-'data on outstanding creditors'!$G3350</f>
        <v>805716.73</v>
      </c>
      <c r="I3350" s="2"/>
      <c r="J3350" s="1" t="s">
        <v>646</v>
      </c>
      <c r="K3350" s="2">
        <v>45952.0</v>
      </c>
      <c r="L3350" s="5"/>
      <c r="M3350" s="9" t="s">
        <v>368</v>
      </c>
      <c r="N3350" s="9" t="s">
        <v>49</v>
      </c>
      <c r="O3350" s="10">
        <f>'data on outstanding creditors'!$E3350*100/107</f>
        <v>753006.2897</v>
      </c>
      <c r="P3350" s="10">
        <f>'data on outstanding creditors'!$E3350-'data on outstanding creditors'!$O3350</f>
        <v>52710.44028</v>
      </c>
      <c r="Q3350" s="7">
        <f>DAY('data on outstanding creditors'!$B3350)</f>
        <v>30</v>
      </c>
      <c r="R3350" s="7">
        <f>MONTH('data on outstanding creditors'!$B3350)</f>
        <v>6</v>
      </c>
      <c r="S3350" s="7">
        <f>YEAR('data on outstanding creditors'!$B3350)</f>
        <v>2025</v>
      </c>
      <c r="T3350" s="11" t="str">
        <f>'data on outstanding creditors'!$C3350&amp;" "&amp;'data on outstanding creditors'!$D3350&amp;" "&amp;TEXT('data on outstanding creditors'!$E3350,"#,##0.00")</f>
        <v>บ.สยามยูเนี่ยนเคมีคอล SOCl6806040 805,716.73</v>
      </c>
      <c r="U3350" s="12"/>
    </row>
    <row r="3351" ht="13.5" customHeight="1">
      <c r="A3351" s="1" t="s">
        <v>5317</v>
      </c>
      <c r="B3351" s="2">
        <v>45869.0</v>
      </c>
      <c r="C3351" s="9" t="s">
        <v>366</v>
      </c>
      <c r="D3351" s="1" t="s">
        <v>5318</v>
      </c>
      <c r="E3351" s="4">
        <v>805716.73</v>
      </c>
      <c r="F3351" s="4"/>
      <c r="G3351" s="4"/>
      <c r="H3351" s="4">
        <f>'data on outstanding creditors'!$E3351-'data on outstanding creditors'!$F3351-'data on outstanding creditors'!$G3351</f>
        <v>805716.73</v>
      </c>
      <c r="I3351" s="2"/>
      <c r="J3351" s="1" t="s">
        <v>646</v>
      </c>
      <c r="K3351" s="2">
        <v>45952.0</v>
      </c>
      <c r="L3351" s="5"/>
      <c r="M3351" s="9" t="s">
        <v>368</v>
      </c>
      <c r="N3351" s="9" t="s">
        <v>49</v>
      </c>
      <c r="O3351" s="10">
        <f>'data on outstanding creditors'!$E3351*100/107</f>
        <v>753006.2897</v>
      </c>
      <c r="P3351" s="10">
        <f>'data on outstanding creditors'!$E3351-'data on outstanding creditors'!$O3351</f>
        <v>52710.44028</v>
      </c>
      <c r="Q3351" s="7">
        <f>DAY('data on outstanding creditors'!$B3351)</f>
        <v>31</v>
      </c>
      <c r="R3351" s="7">
        <f>MONTH('data on outstanding creditors'!$B3351)</f>
        <v>7</v>
      </c>
      <c r="S3351" s="7">
        <f>YEAR('data on outstanding creditors'!$B3351)</f>
        <v>2025</v>
      </c>
      <c r="T3351" s="11" t="str">
        <f>'data on outstanding creditors'!$C3351&amp;" "&amp;'data on outstanding creditors'!$D3351&amp;" "&amp;TEXT('data on outstanding creditors'!$E3351,"#,##0.00")</f>
        <v>บ.สยามยูเนี่ยนเคมีคอล SOCL6807040 805,716.73</v>
      </c>
      <c r="U3351" s="12"/>
    </row>
    <row r="3352" ht="13.5" customHeight="1">
      <c r="A3352" s="1"/>
      <c r="B3352" s="2">
        <v>45869.0</v>
      </c>
      <c r="C3352" s="9" t="s">
        <v>366</v>
      </c>
      <c r="D3352" s="1" t="s">
        <v>5319</v>
      </c>
      <c r="E3352" s="4">
        <v>125100.0</v>
      </c>
      <c r="F3352" s="4"/>
      <c r="G3352" s="4"/>
      <c r="H3352" s="4">
        <f>'data on outstanding creditors'!$E3352-'data on outstanding creditors'!$F3352-'data on outstanding creditors'!$G3352</f>
        <v>125100</v>
      </c>
      <c r="I3352" s="2"/>
      <c r="J3352" s="1" t="s">
        <v>646</v>
      </c>
      <c r="K3352" s="2">
        <v>45952.0</v>
      </c>
      <c r="L3352" s="5"/>
      <c r="M3352" s="9" t="s">
        <v>368</v>
      </c>
      <c r="N3352" s="9" t="s">
        <v>49</v>
      </c>
      <c r="O3352" s="10">
        <f>'data on outstanding creditors'!$E3352*100/107</f>
        <v>116915.8879</v>
      </c>
      <c r="P3352" s="10">
        <f>'data on outstanding creditors'!$E3352-'data on outstanding creditors'!$O3352</f>
        <v>8184.11215</v>
      </c>
      <c r="Q3352" s="7">
        <f>DAY('data on outstanding creditors'!$B3352)</f>
        <v>31</v>
      </c>
      <c r="R3352" s="7">
        <f>MONTH('data on outstanding creditors'!$B3352)</f>
        <v>7</v>
      </c>
      <c r="S3352" s="7">
        <f>YEAR('data on outstanding creditors'!$B3352)</f>
        <v>2025</v>
      </c>
      <c r="T3352" s="11" t="str">
        <f>'data on outstanding creditors'!$C3352&amp;" "&amp;'data on outstanding creditors'!$D3352&amp;" "&amp;TEXT('data on outstanding creditors'!$E3352,"#,##0.00")</f>
        <v>บ.สยามยูเนี่ยนเคมีคอล SOCL6807041 125,100.00</v>
      </c>
      <c r="U3352" s="12"/>
    </row>
    <row r="3353" ht="13.5" customHeight="1">
      <c r="A3353" s="1" t="s">
        <v>5320</v>
      </c>
      <c r="B3353" s="2">
        <v>45901.0</v>
      </c>
      <c r="C3353" s="9" t="s">
        <v>366</v>
      </c>
      <c r="D3353" s="1" t="s">
        <v>5321</v>
      </c>
      <c r="E3353" s="4">
        <v>805716.73</v>
      </c>
      <c r="F3353" s="4"/>
      <c r="G3353" s="4"/>
      <c r="H3353" s="4">
        <f>'data on outstanding creditors'!$E3353-'data on outstanding creditors'!$F3353-'data on outstanding creditors'!$G3353</f>
        <v>805716.73</v>
      </c>
      <c r="I3353" s="2"/>
      <c r="J3353" s="1"/>
      <c r="K3353" s="2"/>
      <c r="L3353" s="5"/>
      <c r="M3353" s="9" t="s">
        <v>368</v>
      </c>
      <c r="N3353" s="9" t="s">
        <v>49</v>
      </c>
      <c r="O3353" s="10">
        <f>'data on outstanding creditors'!$E3353*100/107</f>
        <v>753006.2897</v>
      </c>
      <c r="P3353" s="10">
        <f>'data on outstanding creditors'!$E3353-'data on outstanding creditors'!$O3353</f>
        <v>52710.44028</v>
      </c>
      <c r="Q3353" s="7">
        <f>DAY('data on outstanding creditors'!$B3353)</f>
        <v>1</v>
      </c>
      <c r="R3353" s="7">
        <f>MONTH('data on outstanding creditors'!$B3353)</f>
        <v>9</v>
      </c>
      <c r="S3353" s="7">
        <f>YEAR('data on outstanding creditors'!$B3353)</f>
        <v>2025</v>
      </c>
      <c r="T3353" s="11" t="str">
        <f>'data on outstanding creditors'!$C3353&amp;" "&amp;'data on outstanding creditors'!$D3353&amp;" "&amp;TEXT('data on outstanding creditors'!$E3353,"#,##0.00")</f>
        <v>บ.สยามยูเนี่ยนเคมีคอล SOCL6808039 805,716.73</v>
      </c>
      <c r="U3353" s="12"/>
    </row>
    <row r="3354" ht="13.5" customHeight="1">
      <c r="A3354" s="1" t="s">
        <v>5322</v>
      </c>
      <c r="B3354" s="2">
        <v>45901.0</v>
      </c>
      <c r="C3354" s="9" t="s">
        <v>366</v>
      </c>
      <c r="D3354" s="1" t="s">
        <v>5323</v>
      </c>
      <c r="E3354" s="4">
        <v>125100.0</v>
      </c>
      <c r="F3354" s="4"/>
      <c r="G3354" s="4"/>
      <c r="H3354" s="4">
        <f>'data on outstanding creditors'!$E3354-'data on outstanding creditors'!$F3354-'data on outstanding creditors'!$G3354</f>
        <v>125100</v>
      </c>
      <c r="I3354" s="2"/>
      <c r="J3354" s="1" t="s">
        <v>646</v>
      </c>
      <c r="K3354" s="2">
        <v>45952.0</v>
      </c>
      <c r="L3354" s="5"/>
      <c r="M3354" s="9" t="s">
        <v>368</v>
      </c>
      <c r="N3354" s="9" t="s">
        <v>49</v>
      </c>
      <c r="O3354" s="10">
        <f>'data on outstanding creditors'!$E3354*100/107</f>
        <v>116915.8879</v>
      </c>
      <c r="P3354" s="10">
        <f>'data on outstanding creditors'!$E3354-'data on outstanding creditors'!$O3354</f>
        <v>8184.11215</v>
      </c>
      <c r="Q3354" s="7">
        <f>DAY('data on outstanding creditors'!$B3354)</f>
        <v>1</v>
      </c>
      <c r="R3354" s="7">
        <f>MONTH('data on outstanding creditors'!$B3354)</f>
        <v>9</v>
      </c>
      <c r="S3354" s="7">
        <f>YEAR('data on outstanding creditors'!$B3354)</f>
        <v>2025</v>
      </c>
      <c r="T3354" s="11" t="str">
        <f>'data on outstanding creditors'!$C3354&amp;" "&amp;'data on outstanding creditors'!$D3354&amp;" "&amp;TEXT('data on outstanding creditors'!$E3354,"#,##0.00")</f>
        <v>บ.สยามยูเนี่ยนเคมีคอล SPCL6808040 125,100.00</v>
      </c>
      <c r="U3354" s="12"/>
    </row>
    <row r="3355" ht="13.5" customHeight="1">
      <c r="A3355" s="1"/>
      <c r="B3355" s="2">
        <v>45930.0</v>
      </c>
      <c r="C3355" s="9" t="s">
        <v>366</v>
      </c>
      <c r="D3355" s="1" t="s">
        <v>5324</v>
      </c>
      <c r="E3355" s="4">
        <v>805716.8</v>
      </c>
      <c r="F3355" s="4"/>
      <c r="G3355" s="4"/>
      <c r="H3355" s="4">
        <f>'data on outstanding creditors'!$E3355-'data on outstanding creditors'!$F3355-'data on outstanding creditors'!$G3355</f>
        <v>805716.8</v>
      </c>
      <c r="I3355" s="2"/>
      <c r="J3355" s="1"/>
      <c r="K3355" s="2"/>
      <c r="L3355" s="5"/>
      <c r="M3355" s="9" t="s">
        <v>368</v>
      </c>
      <c r="N3355" s="9" t="s">
        <v>49</v>
      </c>
      <c r="O3355" s="10">
        <f>'data on outstanding creditors'!$E3355*100/107</f>
        <v>753006.3551</v>
      </c>
      <c r="P3355" s="10">
        <f>'data on outstanding creditors'!$E3355-'data on outstanding creditors'!$O3355</f>
        <v>52710.44486</v>
      </c>
      <c r="Q3355" s="7">
        <f>DAY('data on outstanding creditors'!$B3355)</f>
        <v>30</v>
      </c>
      <c r="R3355" s="7">
        <f>MONTH('data on outstanding creditors'!$B3355)</f>
        <v>9</v>
      </c>
      <c r="S3355" s="7">
        <f>YEAR('data on outstanding creditors'!$B3355)</f>
        <v>2025</v>
      </c>
      <c r="T3355" s="11" t="str">
        <f>'data on outstanding creditors'!$C3355&amp;" "&amp;'data on outstanding creditors'!$D3355&amp;" "&amp;TEXT('data on outstanding creditors'!$E3355,"#,##0.00")</f>
        <v>บ.สยามยูเนี่ยนเคมีคอล SOCL6809039 805,716.80</v>
      </c>
      <c r="U3355" s="12"/>
    </row>
    <row r="3356" ht="13.5" customHeight="1">
      <c r="A3356" s="1"/>
      <c r="B3356" s="2">
        <v>45930.0</v>
      </c>
      <c r="C3356" s="9" t="s">
        <v>366</v>
      </c>
      <c r="D3356" s="1" t="s">
        <v>5325</v>
      </c>
      <c r="E3356" s="4">
        <v>125100.0</v>
      </c>
      <c r="F3356" s="4"/>
      <c r="G3356" s="4"/>
      <c r="H3356" s="4">
        <f>'data on outstanding creditors'!$E3356-'data on outstanding creditors'!$F3356-'data on outstanding creditors'!$G3356</f>
        <v>125100</v>
      </c>
      <c r="I3356" s="2"/>
      <c r="J3356" s="1"/>
      <c r="K3356" s="2"/>
      <c r="L3356" s="5"/>
      <c r="M3356" s="9" t="s">
        <v>368</v>
      </c>
      <c r="N3356" s="9" t="s">
        <v>49</v>
      </c>
      <c r="O3356" s="10">
        <f>'data on outstanding creditors'!$E3356*100/107</f>
        <v>116915.8879</v>
      </c>
      <c r="P3356" s="10">
        <f>'data on outstanding creditors'!$E3356-'data on outstanding creditors'!$O3356</f>
        <v>8184.11215</v>
      </c>
      <c r="Q3356" s="7">
        <f>DAY('data on outstanding creditors'!$B3356)</f>
        <v>30</v>
      </c>
      <c r="R3356" s="7">
        <f>MONTH('data on outstanding creditors'!$B3356)</f>
        <v>9</v>
      </c>
      <c r="S3356" s="7">
        <f>YEAR('data on outstanding creditors'!$B3356)</f>
        <v>2025</v>
      </c>
      <c r="T3356" s="11" t="str">
        <f>'data on outstanding creditors'!$C3356&amp;" "&amp;'data on outstanding creditors'!$D3356&amp;" "&amp;TEXT('data on outstanding creditors'!$E3356,"#,##0.00")</f>
        <v>บ.สยามยูเนี่ยนเคมีคอล SOCL6809040 125,100.00</v>
      </c>
      <c r="U3356" s="12"/>
    </row>
    <row r="3357" ht="13.5" customHeight="1">
      <c r="A3357" s="1"/>
      <c r="B3357" s="2">
        <v>45961.0</v>
      </c>
      <c r="C3357" s="9" t="s">
        <v>366</v>
      </c>
      <c r="D3357" s="1" t="s">
        <v>5326</v>
      </c>
      <c r="E3357" s="4">
        <v>805716.73</v>
      </c>
      <c r="F3357" s="4"/>
      <c r="G3357" s="4"/>
      <c r="H3357" s="4">
        <f>'data on outstanding creditors'!$E3357-'data on outstanding creditors'!$F3357-'data on outstanding creditors'!$G3357</f>
        <v>805716.73</v>
      </c>
      <c r="I3357" s="2"/>
      <c r="J3357" s="1"/>
      <c r="K3357" s="2"/>
      <c r="L3357" s="5"/>
      <c r="M3357" s="9" t="s">
        <v>368</v>
      </c>
      <c r="N3357" s="9" t="s">
        <v>49</v>
      </c>
      <c r="O3357" s="10">
        <f>'data on outstanding creditors'!$E3357*100/107</f>
        <v>753006.2897</v>
      </c>
      <c r="P3357" s="10">
        <f>'data on outstanding creditors'!$E3357-'data on outstanding creditors'!$O3357</f>
        <v>52710.44028</v>
      </c>
      <c r="Q3357" s="7">
        <f>DAY('data on outstanding creditors'!$B3357)</f>
        <v>31</v>
      </c>
      <c r="R3357" s="7">
        <f>MONTH('data on outstanding creditors'!$B3357)</f>
        <v>10</v>
      </c>
      <c r="S3357" s="7">
        <f>YEAR('data on outstanding creditors'!$B3357)</f>
        <v>2025</v>
      </c>
      <c r="T3357" s="11" t="str">
        <f>'data on outstanding creditors'!$C3357&amp;" "&amp;'data on outstanding creditors'!$D3357&amp;" "&amp;TEXT('data on outstanding creditors'!$E3357,"#,##0.00")</f>
        <v>บ.สยามยูเนี่ยนเคมีคอล SOCL6810039 805,716.73</v>
      </c>
      <c r="U3357" s="12"/>
    </row>
    <row r="3358" ht="13.5" customHeight="1">
      <c r="A3358" s="1"/>
      <c r="B3358" s="2">
        <v>45961.0</v>
      </c>
      <c r="C3358" s="9" t="s">
        <v>366</v>
      </c>
      <c r="D3358" s="1" t="s">
        <v>5327</v>
      </c>
      <c r="E3358" s="4">
        <v>125100.0</v>
      </c>
      <c r="F3358" s="4"/>
      <c r="G3358" s="4"/>
      <c r="H3358" s="4">
        <f>'data on outstanding creditors'!$E3358-'data on outstanding creditors'!$F3358-'data on outstanding creditors'!$G3358</f>
        <v>125100</v>
      </c>
      <c r="I3358" s="2"/>
      <c r="J3358" s="1"/>
      <c r="K3358" s="2"/>
      <c r="L3358" s="5"/>
      <c r="M3358" s="9" t="s">
        <v>368</v>
      </c>
      <c r="N3358" s="9" t="s">
        <v>49</v>
      </c>
      <c r="O3358" s="10">
        <f>'data on outstanding creditors'!$E3358*100/107</f>
        <v>116915.8879</v>
      </c>
      <c r="P3358" s="10">
        <f>'data on outstanding creditors'!$E3358-'data on outstanding creditors'!$O3358</f>
        <v>8184.11215</v>
      </c>
      <c r="Q3358" s="7">
        <f>DAY('data on outstanding creditors'!$B3358)</f>
        <v>31</v>
      </c>
      <c r="R3358" s="7">
        <f>MONTH('data on outstanding creditors'!$B3358)</f>
        <v>10</v>
      </c>
      <c r="S3358" s="7">
        <f>YEAR('data on outstanding creditors'!$B3358)</f>
        <v>2025</v>
      </c>
      <c r="T3358" s="11" t="str">
        <f>'data on outstanding creditors'!$C3358&amp;" "&amp;'data on outstanding creditors'!$D3358&amp;" "&amp;TEXT('data on outstanding creditors'!$E3358,"#,##0.00")</f>
        <v>บ.สยามยูเนี่ยนเคมีคอล SOCL6810040 125,100.00</v>
      </c>
      <c r="U3358" s="12"/>
    </row>
    <row r="3359" ht="13.5" customHeight="1">
      <c r="A3359" s="1" t="s">
        <v>5328</v>
      </c>
      <c r="B3359" s="2">
        <v>45812.0</v>
      </c>
      <c r="C3359" s="9" t="s">
        <v>5329</v>
      </c>
      <c r="D3359" s="1" t="s">
        <v>5330</v>
      </c>
      <c r="E3359" s="4">
        <v>180000.0</v>
      </c>
      <c r="F3359" s="4"/>
      <c r="G3359" s="4"/>
      <c r="H3359" s="4">
        <f>'data on outstanding creditors'!$E3359-'data on outstanding creditors'!$F3359-'data on outstanding creditors'!$G3359</f>
        <v>180000</v>
      </c>
      <c r="I3359" s="2"/>
      <c r="J3359" s="1" t="s">
        <v>646</v>
      </c>
      <c r="K3359" s="2">
        <v>45846.0</v>
      </c>
      <c r="L3359" s="5"/>
      <c r="M3359" s="9" t="s">
        <v>48</v>
      </c>
      <c r="N3359" s="9" t="s">
        <v>49</v>
      </c>
      <c r="O3359" s="10">
        <f>'data on outstanding creditors'!$E3359*100/107</f>
        <v>168224.2991</v>
      </c>
      <c r="P3359" s="10">
        <f>'data on outstanding creditors'!$E3359-'data on outstanding creditors'!$O3359</f>
        <v>11775.70093</v>
      </c>
      <c r="Q3359" s="7">
        <f>DAY('data on outstanding creditors'!$B3359)</f>
        <v>4</v>
      </c>
      <c r="R3359" s="7">
        <f>MONTH('data on outstanding creditors'!$B3359)</f>
        <v>6</v>
      </c>
      <c r="S3359" s="7">
        <f>YEAR('data on outstanding creditors'!$B3359)</f>
        <v>2025</v>
      </c>
      <c r="T3359" s="11" t="str">
        <f>'data on outstanding creditors'!$C3359&amp;" "&amp;'data on outstanding creditors'!$D3359&amp;" "&amp;TEXT('data on outstanding creditors'!$E3359,"#,##0.00")</f>
        <v>บ.เจ.เอฟ.แอดวาน เมด IV2505/435 180,000.00</v>
      </c>
      <c r="U3359" s="12"/>
    </row>
    <row r="3360" ht="13.5" customHeight="1">
      <c r="A3360" s="1" t="s">
        <v>5331</v>
      </c>
      <c r="B3360" s="2">
        <v>45812.0</v>
      </c>
      <c r="C3360" s="9" t="s">
        <v>752</v>
      </c>
      <c r="D3360" s="1" t="s">
        <v>5332</v>
      </c>
      <c r="E3360" s="4">
        <v>41280.0</v>
      </c>
      <c r="F3360" s="4"/>
      <c r="G3360" s="4"/>
      <c r="H3360" s="4">
        <f>'data on outstanding creditors'!$E3360-'data on outstanding creditors'!$F3360-'data on outstanding creditors'!$G3360</f>
        <v>41280</v>
      </c>
      <c r="I3360" s="2"/>
      <c r="J3360" s="1" t="s">
        <v>646</v>
      </c>
      <c r="K3360" s="2">
        <v>45887.0</v>
      </c>
      <c r="L3360" s="5"/>
      <c r="M3360" s="9" t="s">
        <v>48</v>
      </c>
      <c r="N3360" s="9" t="s">
        <v>49</v>
      </c>
      <c r="O3360" s="10">
        <f>'data on outstanding creditors'!$E3360*100/107</f>
        <v>38579.43925</v>
      </c>
      <c r="P3360" s="10">
        <f>'data on outstanding creditors'!$E3360-'data on outstanding creditors'!$O3360</f>
        <v>2700.560748</v>
      </c>
      <c r="Q3360" s="7">
        <f>DAY('data on outstanding creditors'!$B3360)</f>
        <v>4</v>
      </c>
      <c r="R3360" s="7">
        <f>MONTH('data on outstanding creditors'!$B3360)</f>
        <v>6</v>
      </c>
      <c r="S3360" s="7">
        <f>YEAR('data on outstanding creditors'!$B3360)</f>
        <v>2025</v>
      </c>
      <c r="T3360" s="11" t="str">
        <f>'data on outstanding creditors'!$C3360&amp;" "&amp;'data on outstanding creditors'!$D3360&amp;" "&amp;TEXT('data on outstanding creditors'!$E3360,"#,##0.00")</f>
        <v>บ.คอมมูนิเคชั่น เทคโนโลยี IV-20250500003 41,280.00</v>
      </c>
      <c r="U3360" s="12"/>
    </row>
    <row r="3361" ht="13.5" customHeight="1">
      <c r="A3361" s="1"/>
      <c r="B3361" s="2">
        <v>45838.0</v>
      </c>
      <c r="C3361" s="9" t="s">
        <v>5329</v>
      </c>
      <c r="D3361" s="1" t="s">
        <v>5333</v>
      </c>
      <c r="E3361" s="4">
        <v>180000.0</v>
      </c>
      <c r="F3361" s="4"/>
      <c r="G3361" s="4"/>
      <c r="H3361" s="4">
        <f>'data on outstanding creditors'!$E3361-'data on outstanding creditors'!$F3361-'data on outstanding creditors'!$G3361</f>
        <v>180000</v>
      </c>
      <c r="I3361" s="2"/>
      <c r="J3361" s="1" t="s">
        <v>646</v>
      </c>
      <c r="K3361" s="2">
        <v>45887.0</v>
      </c>
      <c r="L3361" s="5"/>
      <c r="M3361" s="9" t="s">
        <v>48</v>
      </c>
      <c r="N3361" s="9" t="s">
        <v>49</v>
      </c>
      <c r="O3361" s="10">
        <f>'data on outstanding creditors'!$E3361*100/107</f>
        <v>168224.2991</v>
      </c>
      <c r="P3361" s="10">
        <f>'data on outstanding creditors'!$E3361-'data on outstanding creditors'!$O3361</f>
        <v>11775.70093</v>
      </c>
      <c r="Q3361" s="7">
        <f>DAY('data on outstanding creditors'!$B3361)</f>
        <v>30</v>
      </c>
      <c r="R3361" s="7">
        <f>MONTH('data on outstanding creditors'!$B3361)</f>
        <v>6</v>
      </c>
      <c r="S3361" s="7">
        <f>YEAR('data on outstanding creditors'!$B3361)</f>
        <v>2025</v>
      </c>
      <c r="T3361" s="11" t="str">
        <f>'data on outstanding creditors'!$C3361&amp;" "&amp;'data on outstanding creditors'!$D3361&amp;" "&amp;TEXT('data on outstanding creditors'!$E3361,"#,##0.00")</f>
        <v>บ.เจ.เอฟ.แอดวาน เมด IV2506/526 180,000.00</v>
      </c>
      <c r="U3361" s="12"/>
    </row>
    <row r="3362" ht="13.5" customHeight="1">
      <c r="A3362" s="1" t="s">
        <v>5334</v>
      </c>
      <c r="B3362" s="2">
        <v>45838.0</v>
      </c>
      <c r="C3362" s="9" t="s">
        <v>752</v>
      </c>
      <c r="D3362" s="1" t="s">
        <v>5335</v>
      </c>
      <c r="E3362" s="4">
        <v>41280.0</v>
      </c>
      <c r="F3362" s="4"/>
      <c r="G3362" s="4"/>
      <c r="H3362" s="4">
        <f>'data on outstanding creditors'!$E3362-'data on outstanding creditors'!$F3362-'data on outstanding creditors'!$G3362</f>
        <v>41280</v>
      </c>
      <c r="I3362" s="2"/>
      <c r="J3362" s="1" t="s">
        <v>646</v>
      </c>
      <c r="K3362" s="2">
        <v>45887.0</v>
      </c>
      <c r="L3362" s="5"/>
      <c r="M3362" s="9" t="s">
        <v>48</v>
      </c>
      <c r="N3362" s="9" t="s">
        <v>49</v>
      </c>
      <c r="O3362" s="10">
        <f>'data on outstanding creditors'!$E3362*100/107</f>
        <v>38579.43925</v>
      </c>
      <c r="P3362" s="10">
        <f>'data on outstanding creditors'!$E3362-'data on outstanding creditors'!$O3362</f>
        <v>2700.560748</v>
      </c>
      <c r="Q3362" s="7">
        <f>DAY('data on outstanding creditors'!$B3362)</f>
        <v>30</v>
      </c>
      <c r="R3362" s="7">
        <f>MONTH('data on outstanding creditors'!$B3362)</f>
        <v>6</v>
      </c>
      <c r="S3362" s="7">
        <f>YEAR('data on outstanding creditors'!$B3362)</f>
        <v>2025</v>
      </c>
      <c r="T3362" s="11" t="str">
        <f>'data on outstanding creditors'!$C3362&amp;" "&amp;'data on outstanding creditors'!$D3362&amp;" "&amp;TEXT('data on outstanding creditors'!$E3362,"#,##0.00")</f>
        <v>บ.คอมมูนิเคชั่น เทคโนโลยี IV-20250600003 41,280.00</v>
      </c>
      <c r="U3362" s="12"/>
    </row>
    <row r="3363" ht="13.5" customHeight="1">
      <c r="A3363" s="1" t="s">
        <v>5336</v>
      </c>
      <c r="B3363" s="2">
        <v>45869.0</v>
      </c>
      <c r="C3363" s="9" t="s">
        <v>752</v>
      </c>
      <c r="D3363" s="1" t="s">
        <v>5337</v>
      </c>
      <c r="E3363" s="4">
        <v>41280.0</v>
      </c>
      <c r="F3363" s="4"/>
      <c r="G3363" s="4"/>
      <c r="H3363" s="4">
        <f>'data on outstanding creditors'!$E3363-'data on outstanding creditors'!$F3363-'data on outstanding creditors'!$G3363</f>
        <v>41280</v>
      </c>
      <c r="I3363" s="2"/>
      <c r="J3363" s="1" t="s">
        <v>646</v>
      </c>
      <c r="K3363" s="2">
        <v>45887.0</v>
      </c>
      <c r="L3363" s="5"/>
      <c r="M3363" s="9" t="s">
        <v>48</v>
      </c>
      <c r="N3363" s="9" t="s">
        <v>49</v>
      </c>
      <c r="O3363" s="10">
        <f>'data on outstanding creditors'!$E3363*100/107</f>
        <v>38579.43925</v>
      </c>
      <c r="P3363" s="10">
        <f>'data on outstanding creditors'!$E3363-'data on outstanding creditors'!$O3363</f>
        <v>2700.560748</v>
      </c>
      <c r="Q3363" s="7">
        <f>DAY('data on outstanding creditors'!$B3363)</f>
        <v>31</v>
      </c>
      <c r="R3363" s="7">
        <f>MONTH('data on outstanding creditors'!$B3363)</f>
        <v>7</v>
      </c>
      <c r="S3363" s="7">
        <f>YEAR('data on outstanding creditors'!$B3363)</f>
        <v>2025</v>
      </c>
      <c r="T3363" s="11" t="str">
        <f>'data on outstanding creditors'!$C3363&amp;" "&amp;'data on outstanding creditors'!$D3363&amp;" "&amp;TEXT('data on outstanding creditors'!$E3363,"#,##0.00")</f>
        <v>บ.คอมมูนิเคชั่น เทคโนโลยี IV-20250700003 41,280.00</v>
      </c>
      <c r="U3363" s="12"/>
    </row>
    <row r="3364" ht="13.5" customHeight="1">
      <c r="A3364" s="1"/>
      <c r="B3364" s="2">
        <v>45869.0</v>
      </c>
      <c r="C3364" s="9" t="s">
        <v>5329</v>
      </c>
      <c r="D3364" s="1" t="s">
        <v>5338</v>
      </c>
      <c r="E3364" s="4">
        <v>180000.0</v>
      </c>
      <c r="F3364" s="4"/>
      <c r="G3364" s="4"/>
      <c r="H3364" s="4">
        <f>'data on outstanding creditors'!$E3364-'data on outstanding creditors'!$F3364-'data on outstanding creditors'!$G3364</f>
        <v>180000</v>
      </c>
      <c r="I3364" s="2"/>
      <c r="J3364" s="1" t="s">
        <v>646</v>
      </c>
      <c r="K3364" s="2">
        <v>45906.0</v>
      </c>
      <c r="L3364" s="5"/>
      <c r="M3364" s="9" t="s">
        <v>48</v>
      </c>
      <c r="N3364" s="9" t="s">
        <v>49</v>
      </c>
      <c r="O3364" s="10">
        <f>'data on outstanding creditors'!$E3364*100/107</f>
        <v>168224.2991</v>
      </c>
      <c r="P3364" s="10">
        <f>'data on outstanding creditors'!$E3364-'data on outstanding creditors'!$O3364</f>
        <v>11775.70093</v>
      </c>
      <c r="Q3364" s="7">
        <f>DAY('data on outstanding creditors'!$B3364)</f>
        <v>31</v>
      </c>
      <c r="R3364" s="7">
        <f>MONTH('data on outstanding creditors'!$B3364)</f>
        <v>7</v>
      </c>
      <c r="S3364" s="7">
        <f>YEAR('data on outstanding creditors'!$B3364)</f>
        <v>2025</v>
      </c>
      <c r="T3364" s="11" t="str">
        <f>'data on outstanding creditors'!$C3364&amp;" "&amp;'data on outstanding creditors'!$D3364&amp;" "&amp;TEXT('data on outstanding creditors'!$E3364,"#,##0.00")</f>
        <v>บ.เจ.เอฟ.แอดวาน เมด IV2507/468 180,000.00</v>
      </c>
      <c r="U3364" s="12"/>
    </row>
    <row r="3365" ht="13.5" customHeight="1">
      <c r="A3365" s="1" t="s">
        <v>5339</v>
      </c>
      <c r="B3365" s="2">
        <v>45901.0</v>
      </c>
      <c r="C3365" s="9" t="s">
        <v>5329</v>
      </c>
      <c r="D3365" s="1" t="s">
        <v>5340</v>
      </c>
      <c r="E3365" s="4">
        <v>180000.0</v>
      </c>
      <c r="F3365" s="4"/>
      <c r="G3365" s="4"/>
      <c r="H3365" s="4">
        <f>'data on outstanding creditors'!$E3365-'data on outstanding creditors'!$F3365-'data on outstanding creditors'!$G3365</f>
        <v>180000</v>
      </c>
      <c r="I3365" s="2"/>
      <c r="J3365" s="1" t="s">
        <v>757</v>
      </c>
      <c r="K3365" s="2">
        <v>45966.0</v>
      </c>
      <c r="L3365" s="5"/>
      <c r="M3365" s="9" t="s">
        <v>48</v>
      </c>
      <c r="N3365" s="9" t="s">
        <v>49</v>
      </c>
      <c r="O3365" s="10">
        <f>'data on outstanding creditors'!$E3365*100/107</f>
        <v>168224.2991</v>
      </c>
      <c r="P3365" s="10">
        <f>'data on outstanding creditors'!$E3365-'data on outstanding creditors'!$O3365</f>
        <v>11775.70093</v>
      </c>
      <c r="Q3365" s="7">
        <f>DAY('data on outstanding creditors'!$B3365)</f>
        <v>1</v>
      </c>
      <c r="R3365" s="7">
        <f>MONTH('data on outstanding creditors'!$B3365)</f>
        <v>9</v>
      </c>
      <c r="S3365" s="7">
        <f>YEAR('data on outstanding creditors'!$B3365)</f>
        <v>2025</v>
      </c>
      <c r="T3365" s="11" t="str">
        <f>'data on outstanding creditors'!$C3365&amp;" "&amp;'data on outstanding creditors'!$D3365&amp;" "&amp;TEXT('data on outstanding creditors'!$E3365,"#,##0.00")</f>
        <v>บ.เจ.เอฟ.แอดวาน เมด IV2508/412 180,000.00</v>
      </c>
      <c r="U3365" s="12"/>
    </row>
    <row r="3366" ht="13.5" customHeight="1">
      <c r="A3366" s="1"/>
      <c r="B3366" s="2">
        <v>45930.0</v>
      </c>
      <c r="C3366" s="9" t="s">
        <v>46</v>
      </c>
      <c r="D3366" s="1" t="s">
        <v>5341</v>
      </c>
      <c r="E3366" s="4">
        <v>207955.17</v>
      </c>
      <c r="F3366" s="4"/>
      <c r="G3366" s="4"/>
      <c r="H3366" s="4">
        <f>'data on outstanding creditors'!$E3366-'data on outstanding creditors'!$F3366-'data on outstanding creditors'!$G3366</f>
        <v>207955.17</v>
      </c>
      <c r="I3366" s="2"/>
      <c r="J3366" s="1" t="s">
        <v>757</v>
      </c>
      <c r="K3366" s="2">
        <v>45964.0</v>
      </c>
      <c r="L3366" s="5"/>
      <c r="M3366" s="9" t="s">
        <v>48</v>
      </c>
      <c r="N3366" s="9" t="s">
        <v>49</v>
      </c>
      <c r="O3366" s="10">
        <f>'data on outstanding creditors'!$E3366*100/107</f>
        <v>194350.6262</v>
      </c>
      <c r="P3366" s="10">
        <f>'data on outstanding creditors'!$E3366-'data on outstanding creditors'!$O3366</f>
        <v>13604.54383</v>
      </c>
      <c r="Q3366" s="7">
        <f>DAY('data on outstanding creditors'!$B3366)</f>
        <v>30</v>
      </c>
      <c r="R3366" s="7">
        <f>MONTH('data on outstanding creditors'!$B3366)</f>
        <v>9</v>
      </c>
      <c r="S3366" s="7">
        <f>YEAR('data on outstanding creditors'!$B3366)</f>
        <v>2025</v>
      </c>
      <c r="T3366" s="11" t="str">
        <f>'data on outstanding creditors'!$C3366&amp;" "&amp;'data on outstanding creditors'!$D3366&amp;" "&amp;TEXT('data on outstanding creditors'!$E3366,"#,##0.00")</f>
        <v>บ.เดอะคอนเนคเซอร์วิสเซล BL2025090059 207,955.17</v>
      </c>
      <c r="U3366" s="12"/>
    </row>
    <row r="3367" ht="13.5" customHeight="1">
      <c r="A3367" s="1"/>
      <c r="B3367" s="2">
        <v>45930.0</v>
      </c>
      <c r="C3367" s="9" t="s">
        <v>5329</v>
      </c>
      <c r="D3367" s="1" t="s">
        <v>5342</v>
      </c>
      <c r="E3367" s="4">
        <v>180000.0</v>
      </c>
      <c r="F3367" s="4"/>
      <c r="G3367" s="4"/>
      <c r="H3367" s="4">
        <f>'data on outstanding creditors'!$E3367-'data on outstanding creditors'!$F3367-'data on outstanding creditors'!$G3367</f>
        <v>180000</v>
      </c>
      <c r="I3367" s="2"/>
      <c r="J3367" s="1" t="s">
        <v>757</v>
      </c>
      <c r="K3367" s="2">
        <v>45966.0</v>
      </c>
      <c r="L3367" s="5"/>
      <c r="M3367" s="9" t="s">
        <v>48</v>
      </c>
      <c r="N3367" s="9" t="s">
        <v>49</v>
      </c>
      <c r="O3367" s="10">
        <f>'data on outstanding creditors'!$E3367*100/107</f>
        <v>168224.2991</v>
      </c>
      <c r="P3367" s="10">
        <f>'data on outstanding creditors'!$E3367-'data on outstanding creditors'!$O3367</f>
        <v>11775.70093</v>
      </c>
      <c r="Q3367" s="7">
        <f>DAY('data on outstanding creditors'!$B3367)</f>
        <v>30</v>
      </c>
      <c r="R3367" s="7">
        <f>MONTH('data on outstanding creditors'!$B3367)</f>
        <v>9</v>
      </c>
      <c r="S3367" s="7">
        <f>YEAR('data on outstanding creditors'!$B3367)</f>
        <v>2025</v>
      </c>
      <c r="T3367" s="11" t="str">
        <f>'data on outstanding creditors'!$C3367&amp;" "&amp;'data on outstanding creditors'!$D3367&amp;" "&amp;TEXT('data on outstanding creditors'!$E3367,"#,##0.00")</f>
        <v>บ.เจ.เอฟ.แอดวาน เมด IV2509/536 180,000.00</v>
      </c>
      <c r="U3367" s="12"/>
    </row>
    <row r="3368" ht="13.5" customHeight="1">
      <c r="A3368" s="1"/>
      <c r="B3368" s="2">
        <v>45961.0</v>
      </c>
      <c r="C3368" s="9" t="s">
        <v>5329</v>
      </c>
      <c r="D3368" s="1" t="s">
        <v>5343</v>
      </c>
      <c r="E3368" s="4">
        <v>180000.0</v>
      </c>
      <c r="F3368" s="4"/>
      <c r="G3368" s="4"/>
      <c r="H3368" s="4">
        <f>'data on outstanding creditors'!$E3368-'data on outstanding creditors'!$F3368-'data on outstanding creditors'!$G3368</f>
        <v>180000</v>
      </c>
      <c r="I3368" s="2"/>
      <c r="J3368" s="1"/>
      <c r="K3368" s="2"/>
      <c r="L3368" s="5"/>
      <c r="M3368" s="9" t="s">
        <v>48</v>
      </c>
      <c r="N3368" s="9" t="s">
        <v>49</v>
      </c>
      <c r="O3368" s="10">
        <f>'data on outstanding creditors'!$E3368*100/107</f>
        <v>168224.2991</v>
      </c>
      <c r="P3368" s="10">
        <f>'data on outstanding creditors'!$E3368-'data on outstanding creditors'!$O3368</f>
        <v>11775.70093</v>
      </c>
      <c r="Q3368" s="7">
        <f>DAY('data on outstanding creditors'!$B3368)</f>
        <v>31</v>
      </c>
      <c r="R3368" s="7">
        <f>MONTH('data on outstanding creditors'!$B3368)</f>
        <v>10</v>
      </c>
      <c r="S3368" s="7">
        <f>YEAR('data on outstanding creditors'!$B3368)</f>
        <v>2025</v>
      </c>
      <c r="T3368" s="11" t="str">
        <f>'data on outstanding creditors'!$C3368&amp;" "&amp;'data on outstanding creditors'!$D3368&amp;" "&amp;TEXT('data on outstanding creditors'!$E3368,"#,##0.00")</f>
        <v>บ.เจ.เอฟ.แอดวาน เมด IV2510/484 180,000.00</v>
      </c>
      <c r="U3368" s="12"/>
    </row>
    <row r="3369" ht="13.5" customHeight="1">
      <c r="A3369" s="1" t="s">
        <v>45</v>
      </c>
      <c r="B3369" s="2">
        <v>45961.0</v>
      </c>
      <c r="C3369" s="9" t="s">
        <v>46</v>
      </c>
      <c r="D3369" s="1" t="s">
        <v>5344</v>
      </c>
      <c r="E3369" s="4">
        <v>207955.17</v>
      </c>
      <c r="F3369" s="4"/>
      <c r="G3369" s="4"/>
      <c r="H3369" s="4">
        <f>'data on outstanding creditors'!$E3369-'data on outstanding creditors'!$F3369-'data on outstanding creditors'!$G3369</f>
        <v>207955.17</v>
      </c>
      <c r="I3369" s="2"/>
      <c r="J3369" s="1"/>
      <c r="K3369" s="2"/>
      <c r="L3369" s="5"/>
      <c r="M3369" s="9" t="s">
        <v>48</v>
      </c>
      <c r="N3369" s="9" t="s">
        <v>49</v>
      </c>
      <c r="O3369" s="10">
        <f>'data on outstanding creditors'!$E3369*100/107</f>
        <v>194350.6262</v>
      </c>
      <c r="P3369" s="10">
        <f>'data on outstanding creditors'!$E3369-'data on outstanding creditors'!$O3369</f>
        <v>13604.54383</v>
      </c>
      <c r="Q3369" s="7">
        <f>DAY('data on outstanding creditors'!$B3369)</f>
        <v>31</v>
      </c>
      <c r="R3369" s="7">
        <f>MONTH('data on outstanding creditors'!$B3369)</f>
        <v>10</v>
      </c>
      <c r="S3369" s="7">
        <f>YEAR('data on outstanding creditors'!$B3369)</f>
        <v>2025</v>
      </c>
      <c r="T3369" s="11" t="str">
        <f>'data on outstanding creditors'!$C3369&amp;" "&amp;'data on outstanding creditors'!$D3369&amp;" "&amp;TEXT('data on outstanding creditors'!$E3369,"#,##0.00")</f>
        <v>บ.เดอะคอนเนคเซอร์วิสเซล BL2025100021 207,955.17</v>
      </c>
      <c r="U3369" s="12"/>
    </row>
    <row r="3370" ht="13.5" customHeight="1">
      <c r="A3370" s="1"/>
      <c r="B3370" s="2">
        <v>45688.0</v>
      </c>
      <c r="C3370" s="9" t="s">
        <v>4612</v>
      </c>
      <c r="D3370" s="1" t="s">
        <v>5345</v>
      </c>
      <c r="E3370" s="4">
        <v>16400.0</v>
      </c>
      <c r="F3370" s="4"/>
      <c r="G3370" s="4"/>
      <c r="H3370" s="4">
        <f>'data on outstanding creditors'!$E3370-'data on outstanding creditors'!$F3370-'data on outstanding creditors'!$G3370</f>
        <v>16400</v>
      </c>
      <c r="I3370" s="2"/>
      <c r="J3370" s="1" t="s">
        <v>646</v>
      </c>
      <c r="K3370" s="2">
        <v>45944.0</v>
      </c>
      <c r="L3370" s="5"/>
      <c r="M3370" s="9" t="s">
        <v>54</v>
      </c>
      <c r="N3370" s="9" t="s">
        <v>49</v>
      </c>
      <c r="O3370" s="10">
        <f>'data on outstanding creditors'!$E3370*100/107</f>
        <v>15327.1028</v>
      </c>
      <c r="P3370" s="10">
        <f>'data on outstanding creditors'!$E3370-'data on outstanding creditors'!$O3370</f>
        <v>1072.897196</v>
      </c>
      <c r="Q3370" s="7">
        <f>DAY('data on outstanding creditors'!$B3370)</f>
        <v>31</v>
      </c>
      <c r="R3370" s="7">
        <f>MONTH('data on outstanding creditors'!$B3370)</f>
        <v>1</v>
      </c>
      <c r="S3370" s="7">
        <f>YEAR('data on outstanding creditors'!$B3370)</f>
        <v>2025</v>
      </c>
      <c r="T3370" s="11" t="str">
        <f>'data on outstanding creditors'!$C3370&amp;" "&amp;'data on outstanding creditors'!$D3370&amp;" "&amp;TEXT('data on outstanding creditors'!$E3370,"#,##0.00")</f>
        <v>บ.ไดนามิค อินสตรูเม้นท์ 671011 16,400.00</v>
      </c>
      <c r="U3370" s="12"/>
    </row>
    <row r="3371" ht="13.5" customHeight="1">
      <c r="A3371" s="1"/>
      <c r="B3371" s="2">
        <v>45688.0</v>
      </c>
      <c r="C3371" s="9" t="s">
        <v>5098</v>
      </c>
      <c r="D3371" s="1" t="s">
        <v>5346</v>
      </c>
      <c r="E3371" s="4">
        <v>9000.0</v>
      </c>
      <c r="F3371" s="4"/>
      <c r="G3371" s="4"/>
      <c r="H3371" s="4">
        <f>'data on outstanding creditors'!$E3371-'data on outstanding creditors'!$F3371-'data on outstanding creditors'!$G3371</f>
        <v>9000</v>
      </c>
      <c r="I3371" s="2"/>
      <c r="J3371" s="1" t="s">
        <v>757</v>
      </c>
      <c r="K3371" s="2">
        <v>45753.0</v>
      </c>
      <c r="L3371" s="5"/>
      <c r="M3371" s="9" t="s">
        <v>54</v>
      </c>
      <c r="N3371" s="9" t="s">
        <v>49</v>
      </c>
      <c r="O3371" s="10">
        <f>'data on outstanding creditors'!$E3371*100/107</f>
        <v>8411.214953</v>
      </c>
      <c r="P3371" s="10">
        <f>'data on outstanding creditors'!$E3371-'data on outstanding creditors'!$O3371</f>
        <v>588.7850467</v>
      </c>
      <c r="Q3371" s="7">
        <f>DAY('data on outstanding creditors'!$B3371)</f>
        <v>31</v>
      </c>
      <c r="R3371" s="7">
        <f>MONTH('data on outstanding creditors'!$B3371)</f>
        <v>1</v>
      </c>
      <c r="S3371" s="7">
        <f>YEAR('data on outstanding creditors'!$B3371)</f>
        <v>2025</v>
      </c>
      <c r="T3371" s="11" t="str">
        <f>'data on outstanding creditors'!$C3371&amp;" "&amp;'data on outstanding creditors'!$D3371&amp;" "&amp;TEXT('data on outstanding creditors'!$E3371,"#,##0.00")</f>
        <v>บ.ไทยสเตอริไลเซอร์ กรุ๊ป 428/2567 9,000.00</v>
      </c>
      <c r="U3371" s="12"/>
    </row>
    <row r="3372" ht="13.5" customHeight="1">
      <c r="A3372" s="1"/>
      <c r="B3372" s="2">
        <v>45712.0</v>
      </c>
      <c r="C3372" s="9" t="s">
        <v>4631</v>
      </c>
      <c r="D3372" s="1" t="s">
        <v>5347</v>
      </c>
      <c r="E3372" s="4">
        <v>15000.0</v>
      </c>
      <c r="F3372" s="4"/>
      <c r="G3372" s="4"/>
      <c r="H3372" s="4">
        <f>'data on outstanding creditors'!$E3372-'data on outstanding creditors'!$F3372-'data on outstanding creditors'!$G3372</f>
        <v>15000</v>
      </c>
      <c r="I3372" s="2"/>
      <c r="J3372" s="1" t="s">
        <v>646</v>
      </c>
      <c r="K3372" s="2">
        <v>45928.0</v>
      </c>
      <c r="L3372" s="5"/>
      <c r="M3372" s="9" t="s">
        <v>54</v>
      </c>
      <c r="N3372" s="9" t="s">
        <v>49</v>
      </c>
      <c r="O3372" s="10">
        <f>'data on outstanding creditors'!$E3372*100/107</f>
        <v>14018.69159</v>
      </c>
      <c r="P3372" s="10">
        <f>'data on outstanding creditors'!$E3372-'data on outstanding creditors'!$O3372</f>
        <v>981.3084112</v>
      </c>
      <c r="Q3372" s="7">
        <f>DAY('data on outstanding creditors'!$B3372)</f>
        <v>24</v>
      </c>
      <c r="R3372" s="7">
        <f>MONTH('data on outstanding creditors'!$B3372)</f>
        <v>2</v>
      </c>
      <c r="S3372" s="7">
        <f>YEAR('data on outstanding creditors'!$B3372)</f>
        <v>2025</v>
      </c>
      <c r="T3372" s="11" t="str">
        <f>'data on outstanding creditors'!$C3372&amp;" "&amp;'data on outstanding creditors'!$D3372&amp;" "&amp;TEXT('data on outstanding creditors'!$E3372,"#,##0.00")</f>
        <v>บ.นำวิวัฒน์การช่าง(1992) SSY2500167 15,000.00</v>
      </c>
      <c r="U3372" s="12"/>
    </row>
    <row r="3373" ht="13.5" customHeight="1">
      <c r="A3373" s="1"/>
      <c r="B3373" s="2">
        <v>45712.0</v>
      </c>
      <c r="C3373" s="9" t="s">
        <v>4631</v>
      </c>
      <c r="D3373" s="1" t="s">
        <v>5348</v>
      </c>
      <c r="E3373" s="4">
        <v>3000.0</v>
      </c>
      <c r="F3373" s="4"/>
      <c r="G3373" s="4"/>
      <c r="H3373" s="4">
        <f>'data on outstanding creditors'!$E3373-'data on outstanding creditors'!$F3373-'data on outstanding creditors'!$G3373</f>
        <v>3000</v>
      </c>
      <c r="I3373" s="2"/>
      <c r="J3373" s="1" t="s">
        <v>646</v>
      </c>
      <c r="K3373" s="2">
        <v>45928.0</v>
      </c>
      <c r="L3373" s="5"/>
      <c r="M3373" s="9" t="s">
        <v>54</v>
      </c>
      <c r="N3373" s="9" t="s">
        <v>49</v>
      </c>
      <c r="O3373" s="10">
        <f>'data on outstanding creditors'!$E3373*100/107</f>
        <v>2803.738318</v>
      </c>
      <c r="P3373" s="10">
        <f>'data on outstanding creditors'!$E3373-'data on outstanding creditors'!$O3373</f>
        <v>196.2616822</v>
      </c>
      <c r="Q3373" s="7">
        <f>DAY('data on outstanding creditors'!$B3373)</f>
        <v>24</v>
      </c>
      <c r="R3373" s="7">
        <f>MONTH('data on outstanding creditors'!$B3373)</f>
        <v>2</v>
      </c>
      <c r="S3373" s="7">
        <f>YEAR('data on outstanding creditors'!$B3373)</f>
        <v>2025</v>
      </c>
      <c r="T3373" s="11" t="str">
        <f>'data on outstanding creditors'!$C3373&amp;" "&amp;'data on outstanding creditors'!$D3373&amp;" "&amp;TEXT('data on outstanding creditors'!$E3373,"#,##0.00")</f>
        <v>บ.นำวิวัฒน์การช่าง(1992) SSY2500161 3,000.00</v>
      </c>
      <c r="U3373" s="12"/>
    </row>
    <row r="3374" ht="13.5" customHeight="1">
      <c r="A3374" s="1"/>
      <c r="B3374" s="2">
        <v>45728.0</v>
      </c>
      <c r="C3374" s="9" t="s">
        <v>281</v>
      </c>
      <c r="D3374" s="1" t="s">
        <v>5349</v>
      </c>
      <c r="E3374" s="4">
        <v>16050.0</v>
      </c>
      <c r="F3374" s="4"/>
      <c r="G3374" s="4"/>
      <c r="H3374" s="4">
        <f>'data on outstanding creditors'!$E3374-'data on outstanding creditors'!$F3374-'data on outstanding creditors'!$G3374</f>
        <v>16050</v>
      </c>
      <c r="I3374" s="2"/>
      <c r="J3374" s="1" t="s">
        <v>757</v>
      </c>
      <c r="K3374" s="2">
        <v>45950.0</v>
      </c>
      <c r="L3374" s="5"/>
      <c r="M3374" s="9" t="s">
        <v>54</v>
      </c>
      <c r="N3374" s="9" t="s">
        <v>49</v>
      </c>
      <c r="O3374" s="10">
        <f>'data on outstanding creditors'!$E3374*100/107</f>
        <v>15000</v>
      </c>
      <c r="P3374" s="10">
        <f>'data on outstanding creditors'!$E3374-'data on outstanding creditors'!$O3374</f>
        <v>1050</v>
      </c>
      <c r="Q3374" s="7">
        <f>DAY('data on outstanding creditors'!$B3374)</f>
        <v>12</v>
      </c>
      <c r="R3374" s="7">
        <f>MONTH('data on outstanding creditors'!$B3374)</f>
        <v>3</v>
      </c>
      <c r="S3374" s="7">
        <f>YEAR('data on outstanding creditors'!$B3374)</f>
        <v>2025</v>
      </c>
      <c r="T3374" s="11" t="str">
        <f>'data on outstanding creditors'!$C3374&amp;" "&amp;'data on outstanding creditors'!$D3374&amp;" "&amp;TEXT('data on outstanding creditors'!$E3374,"#,##0.00")</f>
        <v>บ.เมดิทอป 1549703 16,050.00</v>
      </c>
      <c r="U3374" s="12"/>
    </row>
    <row r="3375" ht="13.5" customHeight="1">
      <c r="A3375" s="1"/>
      <c r="B3375" s="2">
        <v>45728.0</v>
      </c>
      <c r="C3375" s="9" t="s">
        <v>281</v>
      </c>
      <c r="D3375" s="1" t="s">
        <v>5350</v>
      </c>
      <c r="E3375" s="4">
        <v>299000.0</v>
      </c>
      <c r="F3375" s="4"/>
      <c r="G3375" s="4"/>
      <c r="H3375" s="4">
        <f>'data on outstanding creditors'!$E3375-'data on outstanding creditors'!$F3375-'data on outstanding creditors'!$G3375</f>
        <v>299000</v>
      </c>
      <c r="I3375" s="2"/>
      <c r="J3375" s="1"/>
      <c r="K3375" s="2"/>
      <c r="L3375" s="5"/>
      <c r="M3375" s="9" t="s">
        <v>54</v>
      </c>
      <c r="N3375" s="9" t="s">
        <v>49</v>
      </c>
      <c r="O3375" s="10">
        <f>'data on outstanding creditors'!$E3375*100/107</f>
        <v>279439.2523</v>
      </c>
      <c r="P3375" s="10">
        <f>'data on outstanding creditors'!$E3375-'data on outstanding creditors'!$O3375</f>
        <v>19560.74766</v>
      </c>
      <c r="Q3375" s="7">
        <f>DAY('data on outstanding creditors'!$B3375)</f>
        <v>12</v>
      </c>
      <c r="R3375" s="7">
        <f>MONTH('data on outstanding creditors'!$B3375)</f>
        <v>3</v>
      </c>
      <c r="S3375" s="7">
        <f>YEAR('data on outstanding creditors'!$B3375)</f>
        <v>2025</v>
      </c>
      <c r="T3375" s="11" t="str">
        <f>'data on outstanding creditors'!$C3375&amp;" "&amp;'data on outstanding creditors'!$D3375&amp;" "&amp;TEXT('data on outstanding creditors'!$E3375,"#,##0.00")</f>
        <v>บ.เมดิทอป 1547841 299,000.00</v>
      </c>
      <c r="U3375" s="12"/>
    </row>
    <row r="3376" ht="13.5" customHeight="1">
      <c r="A3376" s="1" t="s">
        <v>5351</v>
      </c>
      <c r="B3376" s="2">
        <v>45730.0</v>
      </c>
      <c r="C3376" s="9" t="s">
        <v>4612</v>
      </c>
      <c r="D3376" s="1" t="s">
        <v>5352</v>
      </c>
      <c r="E3376" s="4">
        <v>16400.0</v>
      </c>
      <c r="F3376" s="4"/>
      <c r="G3376" s="4"/>
      <c r="H3376" s="4">
        <f>'data on outstanding creditors'!$E3376-'data on outstanding creditors'!$F3376-'data on outstanding creditors'!$G3376</f>
        <v>16400</v>
      </c>
      <c r="I3376" s="2"/>
      <c r="J3376" s="1"/>
      <c r="K3376" s="2"/>
      <c r="L3376" s="5"/>
      <c r="M3376" s="9" t="s">
        <v>54</v>
      </c>
      <c r="N3376" s="9" t="s">
        <v>49</v>
      </c>
      <c r="O3376" s="10">
        <f>'data on outstanding creditors'!$E3376*100/107</f>
        <v>15327.1028</v>
      </c>
      <c r="P3376" s="10">
        <f>'data on outstanding creditors'!$E3376-'data on outstanding creditors'!$O3376</f>
        <v>1072.897196</v>
      </c>
      <c r="Q3376" s="7">
        <f>DAY('data on outstanding creditors'!$B3376)</f>
        <v>14</v>
      </c>
      <c r="R3376" s="7">
        <f>MONTH('data on outstanding creditors'!$B3376)</f>
        <v>3</v>
      </c>
      <c r="S3376" s="7">
        <f>YEAR('data on outstanding creditors'!$B3376)</f>
        <v>2025</v>
      </c>
      <c r="T3376" s="11" t="str">
        <f>'data on outstanding creditors'!$C3376&amp;" "&amp;'data on outstanding creditors'!$D3376&amp;" "&amp;TEXT('data on outstanding creditors'!$E3376,"#,##0.00")</f>
        <v>บ.ไดนามิค อินสตรูเม้นท์ 680303 16,400.00</v>
      </c>
      <c r="U3376" s="12"/>
    </row>
    <row r="3377" ht="13.5" customHeight="1">
      <c r="A3377" s="1" t="s">
        <v>5353</v>
      </c>
      <c r="B3377" s="2">
        <v>45730.0</v>
      </c>
      <c r="C3377" s="9" t="s">
        <v>5098</v>
      </c>
      <c r="D3377" s="1" t="s">
        <v>5354</v>
      </c>
      <c r="E3377" s="4">
        <v>9000.0</v>
      </c>
      <c r="F3377" s="4"/>
      <c r="G3377" s="4"/>
      <c r="H3377" s="4">
        <f>'data on outstanding creditors'!$E3377-'data on outstanding creditors'!$F3377-'data on outstanding creditors'!$G3377</f>
        <v>9000</v>
      </c>
      <c r="I3377" s="2"/>
      <c r="J3377" s="1"/>
      <c r="K3377" s="2"/>
      <c r="L3377" s="5"/>
      <c r="M3377" s="9" t="s">
        <v>54</v>
      </c>
      <c r="N3377" s="9" t="s">
        <v>49</v>
      </c>
      <c r="O3377" s="10">
        <f>'data on outstanding creditors'!$E3377*100/107</f>
        <v>8411.214953</v>
      </c>
      <c r="P3377" s="10">
        <f>'data on outstanding creditors'!$E3377-'data on outstanding creditors'!$O3377</f>
        <v>588.7850467</v>
      </c>
      <c r="Q3377" s="7">
        <f>DAY('data on outstanding creditors'!$B3377)</f>
        <v>14</v>
      </c>
      <c r="R3377" s="7">
        <f>MONTH('data on outstanding creditors'!$B3377)</f>
        <v>3</v>
      </c>
      <c r="S3377" s="7">
        <f>YEAR('data on outstanding creditors'!$B3377)</f>
        <v>2025</v>
      </c>
      <c r="T3377" s="11" t="str">
        <f>'data on outstanding creditors'!$C3377&amp;" "&amp;'data on outstanding creditors'!$D3377&amp;" "&amp;TEXT('data on outstanding creditors'!$E3377,"#,##0.00")</f>
        <v>บ.ไทยสเตอริไลเซอร์ กรุ๊ป 116/2568 9,000.00</v>
      </c>
      <c r="U3377" s="12"/>
    </row>
    <row r="3378" ht="13.5" customHeight="1">
      <c r="A3378" s="1"/>
      <c r="B3378" s="2">
        <v>45748.0</v>
      </c>
      <c r="C3378" s="9" t="s">
        <v>5355</v>
      </c>
      <c r="D3378" s="1" t="s">
        <v>5356</v>
      </c>
      <c r="E3378" s="4">
        <v>86500.0</v>
      </c>
      <c r="F3378" s="4"/>
      <c r="G3378" s="4"/>
      <c r="H3378" s="4">
        <f>'data on outstanding creditors'!$E3378-'data on outstanding creditors'!$F3378-'data on outstanding creditors'!$G3378</f>
        <v>86500</v>
      </c>
      <c r="I3378" s="2"/>
      <c r="J3378" s="1" t="s">
        <v>646</v>
      </c>
      <c r="K3378" s="2">
        <v>45866.0</v>
      </c>
      <c r="L3378" s="5"/>
      <c r="M3378" s="9" t="s">
        <v>54</v>
      </c>
      <c r="N3378" s="9" t="s">
        <v>49</v>
      </c>
      <c r="O3378" s="10">
        <f>'data on outstanding creditors'!$E3378*100/107</f>
        <v>80841.1215</v>
      </c>
      <c r="P3378" s="10">
        <f>'data on outstanding creditors'!$E3378-'data on outstanding creditors'!$O3378</f>
        <v>5658.878505</v>
      </c>
      <c r="Q3378" s="7">
        <f>DAY('data on outstanding creditors'!$B3378)</f>
        <v>1</v>
      </c>
      <c r="R3378" s="7">
        <f>MONTH('data on outstanding creditors'!$B3378)</f>
        <v>4</v>
      </c>
      <c r="S3378" s="7">
        <f>YEAR('data on outstanding creditors'!$B3378)</f>
        <v>2025</v>
      </c>
      <c r="T3378" s="11" t="str">
        <f>'data on outstanding creditors'!$C3378&amp;" "&amp;'data on outstanding creditors'!$D3378&amp;" "&amp;TEXT('data on outstanding creditors'!$E3378,"#,##0.00")</f>
        <v>บ.อัลคอน แลบอราทอรีส์(ประเทศไทย) 9128674058 86,500.00</v>
      </c>
      <c r="U3378" s="12"/>
    </row>
    <row r="3379" ht="13.5" customHeight="1">
      <c r="A3379" s="1" t="s">
        <v>5357</v>
      </c>
      <c r="B3379" s="2">
        <v>45791.0</v>
      </c>
      <c r="C3379" s="9" t="s">
        <v>4631</v>
      </c>
      <c r="D3379" s="1" t="s">
        <v>5358</v>
      </c>
      <c r="E3379" s="4">
        <v>15000.0</v>
      </c>
      <c r="F3379" s="4"/>
      <c r="G3379" s="4"/>
      <c r="H3379" s="4">
        <f>'data on outstanding creditors'!$E3379-'data on outstanding creditors'!$F3379-'data on outstanding creditors'!$G3379</f>
        <v>15000</v>
      </c>
      <c r="I3379" s="2"/>
      <c r="J3379" s="1"/>
      <c r="K3379" s="2"/>
      <c r="L3379" s="5"/>
      <c r="M3379" s="9" t="s">
        <v>54</v>
      </c>
      <c r="N3379" s="9" t="s">
        <v>49</v>
      </c>
      <c r="O3379" s="10">
        <f>'data on outstanding creditors'!$E3379*100/107</f>
        <v>14018.69159</v>
      </c>
      <c r="P3379" s="10">
        <f>'data on outstanding creditors'!$E3379-'data on outstanding creditors'!$O3379</f>
        <v>981.3084112</v>
      </c>
      <c r="Q3379" s="7">
        <f>DAY('data on outstanding creditors'!$B3379)</f>
        <v>14</v>
      </c>
      <c r="R3379" s="7">
        <f>MONTH('data on outstanding creditors'!$B3379)</f>
        <v>5</v>
      </c>
      <c r="S3379" s="7">
        <f>YEAR('data on outstanding creditors'!$B3379)</f>
        <v>2025</v>
      </c>
      <c r="T3379" s="11" t="str">
        <f>'data on outstanding creditors'!$C3379&amp;" "&amp;'data on outstanding creditors'!$D3379&amp;" "&amp;TEXT('data on outstanding creditors'!$E3379,"#,##0.00")</f>
        <v>บ.นำวิวัฒน์การช่าง(1992) SSY2500804 15,000.00</v>
      </c>
      <c r="U3379" s="12"/>
    </row>
    <row r="3380" ht="13.5" customHeight="1">
      <c r="A3380" s="1" t="s">
        <v>5359</v>
      </c>
      <c r="B3380" s="2">
        <v>45791.0</v>
      </c>
      <c r="C3380" s="9" t="s">
        <v>4631</v>
      </c>
      <c r="D3380" s="1" t="s">
        <v>5360</v>
      </c>
      <c r="E3380" s="4">
        <v>3000.0</v>
      </c>
      <c r="F3380" s="4"/>
      <c r="G3380" s="4"/>
      <c r="H3380" s="4">
        <f>'data on outstanding creditors'!$E3380-'data on outstanding creditors'!$F3380-'data on outstanding creditors'!$G3380</f>
        <v>3000</v>
      </c>
      <c r="I3380" s="2"/>
      <c r="J3380" s="1"/>
      <c r="K3380" s="2"/>
      <c r="L3380" s="5"/>
      <c r="M3380" s="9" t="s">
        <v>54</v>
      </c>
      <c r="N3380" s="9" t="s">
        <v>49</v>
      </c>
      <c r="O3380" s="10">
        <f>'data on outstanding creditors'!$E3380*100/107</f>
        <v>2803.738318</v>
      </c>
      <c r="P3380" s="10">
        <f>'data on outstanding creditors'!$E3380-'data on outstanding creditors'!$O3380</f>
        <v>196.2616822</v>
      </c>
      <c r="Q3380" s="7">
        <f>DAY('data on outstanding creditors'!$B3380)</f>
        <v>14</v>
      </c>
      <c r="R3380" s="7">
        <f>MONTH('data on outstanding creditors'!$B3380)</f>
        <v>5</v>
      </c>
      <c r="S3380" s="7">
        <f>YEAR('data on outstanding creditors'!$B3380)</f>
        <v>2025</v>
      </c>
      <c r="T3380" s="11" t="str">
        <f>'data on outstanding creditors'!$C3380&amp;" "&amp;'data on outstanding creditors'!$D3380&amp;" "&amp;TEXT('data on outstanding creditors'!$E3380,"#,##0.00")</f>
        <v>บ.นำวิวัฒน์การช่าง(1992) SSY2500805 3,000.00</v>
      </c>
      <c r="U3380" s="12"/>
    </row>
    <row r="3381" ht="13.5" customHeight="1">
      <c r="A3381" s="1" t="s">
        <v>5361</v>
      </c>
      <c r="B3381" s="2">
        <v>45838.0</v>
      </c>
      <c r="C3381" s="9" t="s">
        <v>52</v>
      </c>
      <c r="D3381" s="1" t="s">
        <v>5362</v>
      </c>
      <c r="E3381" s="4">
        <v>74456.0</v>
      </c>
      <c r="F3381" s="4"/>
      <c r="G3381" s="4"/>
      <c r="H3381" s="4">
        <f>'data on outstanding creditors'!$E3381-'data on outstanding creditors'!$F3381-'data on outstanding creditors'!$G3381</f>
        <v>74456</v>
      </c>
      <c r="I3381" s="2"/>
      <c r="J3381" s="1" t="s">
        <v>646</v>
      </c>
      <c r="K3381" s="2">
        <v>45952.0</v>
      </c>
      <c r="L3381" s="5"/>
      <c r="M3381" s="9" t="s">
        <v>54</v>
      </c>
      <c r="N3381" s="9" t="s">
        <v>49</v>
      </c>
      <c r="O3381" s="10">
        <f>'data on outstanding creditors'!$E3381*100/107</f>
        <v>69585.04673</v>
      </c>
      <c r="P3381" s="10">
        <f>'data on outstanding creditors'!$E3381-'data on outstanding creditors'!$O3381</f>
        <v>4870.953271</v>
      </c>
      <c r="Q3381" s="7">
        <f>DAY('data on outstanding creditors'!$B3381)</f>
        <v>30</v>
      </c>
      <c r="R3381" s="7">
        <f>MONTH('data on outstanding creditors'!$B3381)</f>
        <v>6</v>
      </c>
      <c r="S3381" s="7">
        <f>YEAR('data on outstanding creditors'!$B3381)</f>
        <v>2025</v>
      </c>
      <c r="T3381" s="11" t="str">
        <f>'data on outstanding creditors'!$C3381&amp;" "&amp;'data on outstanding creditors'!$D3381&amp;" "&amp;TEXT('data on outstanding creditors'!$E3381,"#,##0.00")</f>
        <v>หจก.ส.เรืองโรจน์สระบุรี IV92477/010768 74,456.00</v>
      </c>
      <c r="U3381" s="12"/>
    </row>
    <row r="3382" ht="13.5" customHeight="1">
      <c r="A3382" s="1"/>
      <c r="B3382" s="2">
        <v>45839.0</v>
      </c>
      <c r="C3382" s="9" t="s">
        <v>5363</v>
      </c>
      <c r="D3382" s="1" t="s">
        <v>5364</v>
      </c>
      <c r="E3382" s="4">
        <v>100800.0</v>
      </c>
      <c r="F3382" s="4"/>
      <c r="G3382" s="4"/>
      <c r="H3382" s="4">
        <f>'data on outstanding creditors'!$E3382-'data on outstanding creditors'!$F3382-'data on outstanding creditors'!$G3382</f>
        <v>100800</v>
      </c>
      <c r="I3382" s="2"/>
      <c r="J3382" s="1" t="s">
        <v>646</v>
      </c>
      <c r="K3382" s="2">
        <v>45866.0</v>
      </c>
      <c r="L3382" s="5"/>
      <c r="M3382" s="9" t="s">
        <v>54</v>
      </c>
      <c r="N3382" s="9" t="s">
        <v>49</v>
      </c>
      <c r="O3382" s="10">
        <f>'data on outstanding creditors'!$E3382*100/107</f>
        <v>94205.60748</v>
      </c>
      <c r="P3382" s="10">
        <f>'data on outstanding creditors'!$E3382-'data on outstanding creditors'!$O3382</f>
        <v>6594.392523</v>
      </c>
      <c r="Q3382" s="7">
        <f>DAY('data on outstanding creditors'!$B3382)</f>
        <v>1</v>
      </c>
      <c r="R3382" s="7">
        <f>MONTH('data on outstanding creditors'!$B3382)</f>
        <v>7</v>
      </c>
      <c r="S3382" s="7">
        <f>YEAR('data on outstanding creditors'!$B3382)</f>
        <v>2025</v>
      </c>
      <c r="T3382" s="11" t="str">
        <f>'data on outstanding creditors'!$C3382&amp;" "&amp;'data on outstanding creditors'!$D3382&amp;" "&amp;TEXT('data on outstanding creditors'!$E3382,"#,##0.00")</f>
        <v>บ.เอ็กซ์-ลิงค์ เมดิคอล BNR 68-0007 100,800.00</v>
      </c>
      <c r="U3382" s="12"/>
    </row>
    <row r="3383" ht="13.5" customHeight="1">
      <c r="A3383" s="1"/>
      <c r="B3383" s="2">
        <v>45839.0</v>
      </c>
      <c r="C3383" s="9" t="s">
        <v>5363</v>
      </c>
      <c r="D3383" s="1" t="s">
        <v>5365</v>
      </c>
      <c r="E3383" s="4">
        <v>12600.0</v>
      </c>
      <c r="F3383" s="4"/>
      <c r="G3383" s="4"/>
      <c r="H3383" s="4">
        <f>'data on outstanding creditors'!$E3383-'data on outstanding creditors'!$F3383-'data on outstanding creditors'!$G3383</f>
        <v>12600</v>
      </c>
      <c r="I3383" s="2"/>
      <c r="J3383" s="1" t="s">
        <v>646</v>
      </c>
      <c r="K3383" s="2">
        <v>45866.0</v>
      </c>
      <c r="L3383" s="5"/>
      <c r="M3383" s="9" t="s">
        <v>54</v>
      </c>
      <c r="N3383" s="9" t="s">
        <v>49</v>
      </c>
      <c r="O3383" s="10">
        <f>'data on outstanding creditors'!$E3383*100/107</f>
        <v>11775.70093</v>
      </c>
      <c r="P3383" s="10">
        <f>'data on outstanding creditors'!$E3383-'data on outstanding creditors'!$O3383</f>
        <v>824.2990654</v>
      </c>
      <c r="Q3383" s="7">
        <f>DAY('data on outstanding creditors'!$B3383)</f>
        <v>1</v>
      </c>
      <c r="R3383" s="7">
        <f>MONTH('data on outstanding creditors'!$B3383)</f>
        <v>7</v>
      </c>
      <c r="S3383" s="7">
        <f>YEAR('data on outstanding creditors'!$B3383)</f>
        <v>2025</v>
      </c>
      <c r="T3383" s="11" t="str">
        <f>'data on outstanding creditors'!$C3383&amp;" "&amp;'data on outstanding creditors'!$D3383&amp;" "&amp;TEXT('data on outstanding creditors'!$E3383,"#,##0.00")</f>
        <v>บ.เอ็กซ์-ลิงค์ เมดิคอล BNR 68-0008 12,600.00</v>
      </c>
      <c r="U3383" s="12"/>
    </row>
    <row r="3384" ht="13.5" customHeight="1">
      <c r="A3384" s="1"/>
      <c r="B3384" s="2">
        <v>45839.0</v>
      </c>
      <c r="C3384" s="9" t="s">
        <v>5363</v>
      </c>
      <c r="D3384" s="1" t="s">
        <v>5366</v>
      </c>
      <c r="E3384" s="4">
        <v>15300.0</v>
      </c>
      <c r="F3384" s="4"/>
      <c r="G3384" s="4"/>
      <c r="H3384" s="4">
        <f>'data on outstanding creditors'!$E3384-'data on outstanding creditors'!$F3384-'data on outstanding creditors'!$G3384</f>
        <v>15300</v>
      </c>
      <c r="I3384" s="2"/>
      <c r="J3384" s="1" t="s">
        <v>646</v>
      </c>
      <c r="K3384" s="2">
        <v>45866.0</v>
      </c>
      <c r="L3384" s="5"/>
      <c r="M3384" s="9" t="s">
        <v>54</v>
      </c>
      <c r="N3384" s="9" t="s">
        <v>49</v>
      </c>
      <c r="O3384" s="10">
        <f>'data on outstanding creditors'!$E3384*100/107</f>
        <v>14299.06542</v>
      </c>
      <c r="P3384" s="10">
        <f>'data on outstanding creditors'!$E3384-'data on outstanding creditors'!$O3384</f>
        <v>1000.934579</v>
      </c>
      <c r="Q3384" s="7">
        <f>DAY('data on outstanding creditors'!$B3384)</f>
        <v>1</v>
      </c>
      <c r="R3384" s="7">
        <f>MONTH('data on outstanding creditors'!$B3384)</f>
        <v>7</v>
      </c>
      <c r="S3384" s="7">
        <f>YEAR('data on outstanding creditors'!$B3384)</f>
        <v>2025</v>
      </c>
      <c r="T3384" s="11" t="str">
        <f>'data on outstanding creditors'!$C3384&amp;" "&amp;'data on outstanding creditors'!$D3384&amp;" "&amp;TEXT('data on outstanding creditors'!$E3384,"#,##0.00")</f>
        <v>บ.เอ็กซ์-ลิงค์ เมดิคอล BNR 68-0009 15,300.00</v>
      </c>
      <c r="U3384" s="12"/>
    </row>
    <row r="3385" ht="13.5" customHeight="1">
      <c r="A3385" s="1" t="s">
        <v>5367</v>
      </c>
      <c r="B3385" s="2">
        <v>45862.0</v>
      </c>
      <c r="C3385" s="9" t="s">
        <v>4612</v>
      </c>
      <c r="D3385" s="1" t="s">
        <v>5368</v>
      </c>
      <c r="E3385" s="4">
        <v>16400.0</v>
      </c>
      <c r="F3385" s="4"/>
      <c r="G3385" s="4"/>
      <c r="H3385" s="4">
        <f>'data on outstanding creditors'!$E3385-'data on outstanding creditors'!$F3385-'data on outstanding creditors'!$G3385</f>
        <v>16400</v>
      </c>
      <c r="I3385" s="2"/>
      <c r="J3385" s="1"/>
      <c r="K3385" s="2"/>
      <c r="L3385" s="5"/>
      <c r="M3385" s="9" t="s">
        <v>54</v>
      </c>
      <c r="N3385" s="9" t="s">
        <v>49</v>
      </c>
      <c r="O3385" s="10">
        <f>'data on outstanding creditors'!$E3385*100/107</f>
        <v>15327.1028</v>
      </c>
      <c r="P3385" s="10">
        <f>'data on outstanding creditors'!$E3385-'data on outstanding creditors'!$O3385</f>
        <v>1072.897196</v>
      </c>
      <c r="Q3385" s="7">
        <f>DAY('data on outstanding creditors'!$B3385)</f>
        <v>24</v>
      </c>
      <c r="R3385" s="7">
        <f>MONTH('data on outstanding creditors'!$B3385)</f>
        <v>7</v>
      </c>
      <c r="S3385" s="7">
        <f>YEAR('data on outstanding creditors'!$B3385)</f>
        <v>2025</v>
      </c>
      <c r="T3385" s="11" t="str">
        <f>'data on outstanding creditors'!$C3385&amp;" "&amp;'data on outstanding creditors'!$D3385&amp;" "&amp;TEXT('data on outstanding creditors'!$E3385,"#,##0.00")</f>
        <v>บ.ไดนามิค อินสตรูเม้นท์ 680705 16,400.00</v>
      </c>
      <c r="U3385" s="12"/>
    </row>
    <row r="3386" ht="13.5" customHeight="1">
      <c r="A3386" s="1" t="s">
        <v>5369</v>
      </c>
      <c r="B3386" s="2">
        <v>45867.0</v>
      </c>
      <c r="C3386" s="9" t="s">
        <v>5370</v>
      </c>
      <c r="D3386" s="1" t="s">
        <v>5371</v>
      </c>
      <c r="E3386" s="4">
        <v>350000.0</v>
      </c>
      <c r="F3386" s="4"/>
      <c r="G3386" s="4"/>
      <c r="H3386" s="4">
        <f>'data on outstanding creditors'!$E3386-'data on outstanding creditors'!$F3386-'data on outstanding creditors'!$G3386</f>
        <v>350000</v>
      </c>
      <c r="I3386" s="2"/>
      <c r="J3386" s="1"/>
      <c r="K3386" s="2"/>
      <c r="L3386" s="5"/>
      <c r="M3386" s="9" t="s">
        <v>54</v>
      </c>
      <c r="N3386" s="9" t="s">
        <v>49</v>
      </c>
      <c r="O3386" s="10">
        <f>'data on outstanding creditors'!$E3386*100/107</f>
        <v>327102.8037</v>
      </c>
      <c r="P3386" s="10">
        <f>'data on outstanding creditors'!$E3386-'data on outstanding creditors'!$O3386</f>
        <v>22897.19626</v>
      </c>
      <c r="Q3386" s="7">
        <f>DAY('data on outstanding creditors'!$B3386)</f>
        <v>29</v>
      </c>
      <c r="R3386" s="7">
        <f>MONTH('data on outstanding creditors'!$B3386)</f>
        <v>7</v>
      </c>
      <c r="S3386" s="7">
        <f>YEAR('data on outstanding creditors'!$B3386)</f>
        <v>2025</v>
      </c>
      <c r="T3386" s="11" t="str">
        <f>'data on outstanding creditors'!$C3386&amp;" "&amp;'data on outstanding creditors'!$D3386&amp;" "&amp;TEXT('data on outstanding creditors'!$E3386,"#,##0.00")</f>
        <v>หจก.เอที พรีเว้นท์ แอนด์ คาลิเบรชั่น A6805-025 350,000.00</v>
      </c>
      <c r="U3386" s="12"/>
    </row>
    <row r="3387" ht="13.5" customHeight="1">
      <c r="A3387" s="1" t="s">
        <v>5372</v>
      </c>
      <c r="B3387" s="2">
        <v>45868.0</v>
      </c>
      <c r="C3387" s="9" t="s">
        <v>52</v>
      </c>
      <c r="D3387" s="1" t="s">
        <v>5373</v>
      </c>
      <c r="E3387" s="4">
        <v>113116.5</v>
      </c>
      <c r="F3387" s="4"/>
      <c r="G3387" s="4"/>
      <c r="H3387" s="4">
        <f>'data on outstanding creditors'!$E3387-'data on outstanding creditors'!$F3387-'data on outstanding creditors'!$G3387</f>
        <v>113116.5</v>
      </c>
      <c r="I3387" s="2"/>
      <c r="J3387" s="1" t="s">
        <v>646</v>
      </c>
      <c r="K3387" s="2">
        <v>45952.0</v>
      </c>
      <c r="L3387" s="5"/>
      <c r="M3387" s="9" t="s">
        <v>54</v>
      </c>
      <c r="N3387" s="9" t="s">
        <v>49</v>
      </c>
      <c r="O3387" s="10">
        <f>'data on outstanding creditors'!$E3387*100/107</f>
        <v>105716.3551</v>
      </c>
      <c r="P3387" s="10">
        <f>'data on outstanding creditors'!$E3387-'data on outstanding creditors'!$O3387</f>
        <v>7400.14486</v>
      </c>
      <c r="Q3387" s="7">
        <f>DAY('data on outstanding creditors'!$B3387)</f>
        <v>30</v>
      </c>
      <c r="R3387" s="7">
        <f>MONTH('data on outstanding creditors'!$B3387)</f>
        <v>7</v>
      </c>
      <c r="S3387" s="7">
        <f>YEAR('data on outstanding creditors'!$B3387)</f>
        <v>2025</v>
      </c>
      <c r="T3387" s="11" t="str">
        <f>'data on outstanding creditors'!$C3387&amp;" "&amp;'data on outstanding creditors'!$D3387&amp;" "&amp;TEXT('data on outstanding creditors'!$E3387,"#,##0.00")</f>
        <v>หจก.ส.เรืองโรจน์สระบุรี IV92476/010768 113,116.50</v>
      </c>
      <c r="U3387" s="12"/>
    </row>
    <row r="3388" ht="13.5" customHeight="1">
      <c r="A3388" s="1" t="s">
        <v>5374</v>
      </c>
      <c r="B3388" s="2">
        <v>45869.0</v>
      </c>
      <c r="C3388" s="9" t="s">
        <v>52</v>
      </c>
      <c r="D3388" s="1" t="s">
        <v>5375</v>
      </c>
      <c r="E3388" s="4">
        <v>158130.0</v>
      </c>
      <c r="F3388" s="4"/>
      <c r="G3388" s="4"/>
      <c r="H3388" s="4">
        <f>'data on outstanding creditors'!$E3388-'data on outstanding creditors'!$F3388-'data on outstanding creditors'!$G3388</f>
        <v>158130</v>
      </c>
      <c r="I3388" s="2"/>
      <c r="J3388" s="1"/>
      <c r="K3388" s="2"/>
      <c r="L3388" s="5"/>
      <c r="M3388" s="9" t="s">
        <v>54</v>
      </c>
      <c r="N3388" s="9" t="s">
        <v>49</v>
      </c>
      <c r="O3388" s="10">
        <f>'data on outstanding creditors'!$E3388*100/107</f>
        <v>147785.0467</v>
      </c>
      <c r="P3388" s="10">
        <f>'data on outstanding creditors'!$E3388-'data on outstanding creditors'!$O3388</f>
        <v>10344.95327</v>
      </c>
      <c r="Q3388" s="7">
        <f>DAY('data on outstanding creditors'!$B3388)</f>
        <v>31</v>
      </c>
      <c r="R3388" s="7">
        <f>MONTH('data on outstanding creditors'!$B3388)</f>
        <v>7</v>
      </c>
      <c r="S3388" s="7">
        <f>YEAR('data on outstanding creditors'!$B3388)</f>
        <v>2025</v>
      </c>
      <c r="T3388" s="11" t="str">
        <f>'data on outstanding creditors'!$C3388&amp;" "&amp;'data on outstanding creditors'!$D3388&amp;" "&amp;TEXT('data on outstanding creditors'!$E3388,"#,##0.00")</f>
        <v>หจก.ส.เรืองโรจน์สระบุรี IV92968/040868 158,130.00</v>
      </c>
      <c r="U3388" s="12"/>
    </row>
    <row r="3389" ht="13.5" customHeight="1">
      <c r="A3389" s="1" t="s">
        <v>5376</v>
      </c>
      <c r="B3389" s="2">
        <v>45869.0</v>
      </c>
      <c r="C3389" s="9" t="s">
        <v>52</v>
      </c>
      <c r="D3389" s="1" t="s">
        <v>5377</v>
      </c>
      <c r="E3389" s="4">
        <v>95817.0</v>
      </c>
      <c r="F3389" s="4"/>
      <c r="G3389" s="4"/>
      <c r="H3389" s="4">
        <f>'data on outstanding creditors'!$E3389-'data on outstanding creditors'!$F3389-'data on outstanding creditors'!$G3389</f>
        <v>95817</v>
      </c>
      <c r="I3389" s="2"/>
      <c r="J3389" s="1"/>
      <c r="K3389" s="2"/>
      <c r="L3389" s="5"/>
      <c r="M3389" s="9" t="s">
        <v>54</v>
      </c>
      <c r="N3389" s="9" t="s">
        <v>49</v>
      </c>
      <c r="O3389" s="10">
        <f>'data on outstanding creditors'!$E3389*100/107</f>
        <v>89548.59813</v>
      </c>
      <c r="P3389" s="10">
        <f>'data on outstanding creditors'!$E3389-'data on outstanding creditors'!$O3389</f>
        <v>6268.401869</v>
      </c>
      <c r="Q3389" s="7">
        <f>DAY('data on outstanding creditors'!$B3389)</f>
        <v>31</v>
      </c>
      <c r="R3389" s="7">
        <f>MONTH('data on outstanding creditors'!$B3389)</f>
        <v>7</v>
      </c>
      <c r="S3389" s="7">
        <f>YEAR('data on outstanding creditors'!$B3389)</f>
        <v>2025</v>
      </c>
      <c r="T3389" s="11" t="str">
        <f>'data on outstanding creditors'!$C3389&amp;" "&amp;'data on outstanding creditors'!$D3389&amp;" "&amp;TEXT('data on outstanding creditors'!$E3389,"#,##0.00")</f>
        <v>หจก.ส.เรืองโรจน์สระบุรี IV92973/040868 95,817.00</v>
      </c>
      <c r="U3389" s="12"/>
    </row>
    <row r="3390" ht="13.5" customHeight="1">
      <c r="A3390" s="1"/>
      <c r="B3390" s="2">
        <v>45870.0</v>
      </c>
      <c r="C3390" s="9" t="s">
        <v>5363</v>
      </c>
      <c r="D3390" s="1" t="s">
        <v>5378</v>
      </c>
      <c r="E3390" s="4">
        <v>64800.0</v>
      </c>
      <c r="F3390" s="4"/>
      <c r="G3390" s="4"/>
      <c r="H3390" s="4">
        <f>'data on outstanding creditors'!$E3390-'data on outstanding creditors'!$F3390-'data on outstanding creditors'!$G3390</f>
        <v>64800</v>
      </c>
      <c r="I3390" s="2"/>
      <c r="J3390" s="1" t="s">
        <v>646</v>
      </c>
      <c r="K3390" s="2">
        <v>45915.0</v>
      </c>
      <c r="L3390" s="5"/>
      <c r="M3390" s="9" t="s">
        <v>54</v>
      </c>
      <c r="N3390" s="9" t="s">
        <v>49</v>
      </c>
      <c r="O3390" s="10">
        <f>'data on outstanding creditors'!$E3390*100/107</f>
        <v>60560.74766</v>
      </c>
      <c r="P3390" s="10">
        <f>'data on outstanding creditors'!$E3390-'data on outstanding creditors'!$O3390</f>
        <v>4239.252336</v>
      </c>
      <c r="Q3390" s="7">
        <f>DAY('data on outstanding creditors'!$B3390)</f>
        <v>1</v>
      </c>
      <c r="R3390" s="7">
        <f>MONTH('data on outstanding creditors'!$B3390)</f>
        <v>8</v>
      </c>
      <c r="S3390" s="7">
        <f>YEAR('data on outstanding creditors'!$B3390)</f>
        <v>2025</v>
      </c>
      <c r="T3390" s="11" t="str">
        <f>'data on outstanding creditors'!$C3390&amp;" "&amp;'data on outstanding creditors'!$D3390&amp;" "&amp;TEXT('data on outstanding creditors'!$E3390,"#,##0.00")</f>
        <v>บ.เอ็กซ์-ลิงค์ เมดิคอล BNR68-0010 64,800.00</v>
      </c>
      <c r="U3390" s="12"/>
    </row>
    <row r="3391" ht="13.5" customHeight="1">
      <c r="A3391" s="1"/>
      <c r="B3391" s="2">
        <v>45870.0</v>
      </c>
      <c r="C3391" s="9" t="s">
        <v>5363</v>
      </c>
      <c r="D3391" s="1" t="s">
        <v>5379</v>
      </c>
      <c r="E3391" s="4">
        <v>3600.0</v>
      </c>
      <c r="F3391" s="4"/>
      <c r="G3391" s="4"/>
      <c r="H3391" s="4">
        <f>'data on outstanding creditors'!$E3391-'data on outstanding creditors'!$F3391-'data on outstanding creditors'!$G3391</f>
        <v>3600</v>
      </c>
      <c r="I3391" s="2"/>
      <c r="J3391" s="1" t="s">
        <v>646</v>
      </c>
      <c r="K3391" s="2">
        <v>45915.0</v>
      </c>
      <c r="L3391" s="5"/>
      <c r="M3391" s="9" t="s">
        <v>54</v>
      </c>
      <c r="N3391" s="9" t="s">
        <v>49</v>
      </c>
      <c r="O3391" s="10">
        <f>'data on outstanding creditors'!$E3391*100/107</f>
        <v>3364.485981</v>
      </c>
      <c r="P3391" s="10">
        <f>'data on outstanding creditors'!$E3391-'data on outstanding creditors'!$O3391</f>
        <v>235.5140187</v>
      </c>
      <c r="Q3391" s="7">
        <f>DAY('data on outstanding creditors'!$B3391)</f>
        <v>1</v>
      </c>
      <c r="R3391" s="7">
        <f>MONTH('data on outstanding creditors'!$B3391)</f>
        <v>8</v>
      </c>
      <c r="S3391" s="7">
        <f>YEAR('data on outstanding creditors'!$B3391)</f>
        <v>2025</v>
      </c>
      <c r="T3391" s="11" t="str">
        <f>'data on outstanding creditors'!$C3391&amp;" "&amp;'data on outstanding creditors'!$D3391&amp;" "&amp;TEXT('data on outstanding creditors'!$E3391,"#,##0.00")</f>
        <v>บ.เอ็กซ์-ลิงค์ เมดิคอล BNR68-0011 3,600.00</v>
      </c>
      <c r="U3391" s="12"/>
    </row>
    <row r="3392" ht="13.5" customHeight="1">
      <c r="A3392" s="1"/>
      <c r="B3392" s="2">
        <v>45870.0</v>
      </c>
      <c r="C3392" s="9" t="s">
        <v>5363</v>
      </c>
      <c r="D3392" s="1" t="s">
        <v>5380</v>
      </c>
      <c r="E3392" s="4">
        <v>1800.0</v>
      </c>
      <c r="F3392" s="4"/>
      <c r="G3392" s="4"/>
      <c r="H3392" s="4">
        <f>'data on outstanding creditors'!$E3392-'data on outstanding creditors'!$F3392-'data on outstanding creditors'!$G3392</f>
        <v>1800</v>
      </c>
      <c r="I3392" s="2"/>
      <c r="J3392" s="1" t="s">
        <v>646</v>
      </c>
      <c r="K3392" s="2">
        <v>45915.0</v>
      </c>
      <c r="L3392" s="5"/>
      <c r="M3392" s="9" t="s">
        <v>54</v>
      </c>
      <c r="N3392" s="9" t="s">
        <v>49</v>
      </c>
      <c r="O3392" s="10">
        <f>'data on outstanding creditors'!$E3392*100/107</f>
        <v>1682.242991</v>
      </c>
      <c r="P3392" s="10">
        <f>'data on outstanding creditors'!$E3392-'data on outstanding creditors'!$O3392</f>
        <v>117.7570093</v>
      </c>
      <c r="Q3392" s="7">
        <f>DAY('data on outstanding creditors'!$B3392)</f>
        <v>1</v>
      </c>
      <c r="R3392" s="7">
        <f>MONTH('data on outstanding creditors'!$B3392)</f>
        <v>8</v>
      </c>
      <c r="S3392" s="7">
        <f>YEAR('data on outstanding creditors'!$B3392)</f>
        <v>2025</v>
      </c>
      <c r="T3392" s="11" t="str">
        <f>'data on outstanding creditors'!$C3392&amp;" "&amp;'data on outstanding creditors'!$D3392&amp;" "&amp;TEXT('data on outstanding creditors'!$E3392,"#,##0.00")</f>
        <v>บ.เอ็กซ์-ลิงค์ เมดิคอล BMR68-0012 1,800.00</v>
      </c>
      <c r="U3392" s="12"/>
    </row>
    <row r="3393" ht="13.5" customHeight="1">
      <c r="A3393" s="1" t="s">
        <v>5381</v>
      </c>
      <c r="B3393" s="2">
        <v>45889.0</v>
      </c>
      <c r="C3393" s="9" t="s">
        <v>5382</v>
      </c>
      <c r="D3393" s="1" t="s">
        <v>5383</v>
      </c>
      <c r="E3393" s="4">
        <v>25900.0</v>
      </c>
      <c r="F3393" s="4"/>
      <c r="G3393" s="4"/>
      <c r="H3393" s="4">
        <f>'data on outstanding creditors'!$E3393-'data on outstanding creditors'!$F3393-'data on outstanding creditors'!$G3393</f>
        <v>25900</v>
      </c>
      <c r="I3393" s="2"/>
      <c r="J3393" s="1" t="s">
        <v>757</v>
      </c>
      <c r="K3393" s="2">
        <v>45935.0</v>
      </c>
      <c r="L3393" s="5"/>
      <c r="M3393" s="9" t="s">
        <v>54</v>
      </c>
      <c r="N3393" s="9" t="s">
        <v>49</v>
      </c>
      <c r="O3393" s="10">
        <f>'data on outstanding creditors'!$E3393*100/107</f>
        <v>24205.60748</v>
      </c>
      <c r="P3393" s="10">
        <f>'data on outstanding creditors'!$E3393-'data on outstanding creditors'!$O3393</f>
        <v>1694.392523</v>
      </c>
      <c r="Q3393" s="7">
        <f>DAY('data on outstanding creditors'!$B3393)</f>
        <v>20</v>
      </c>
      <c r="R3393" s="7">
        <f>MONTH('data on outstanding creditors'!$B3393)</f>
        <v>8</v>
      </c>
      <c r="S3393" s="7">
        <f>YEAR('data on outstanding creditors'!$B3393)</f>
        <v>2025</v>
      </c>
      <c r="T3393" s="11" t="str">
        <f>'data on outstanding creditors'!$C3393&amp;" "&amp;'data on outstanding creditors'!$D3393&amp;" "&amp;TEXT('data on outstanding creditors'!$E3393,"#,##0.00")</f>
        <v>บ.โมบาย เทค เอกซเรย์ 2025008020 25,900.00</v>
      </c>
      <c r="U3393" s="12"/>
    </row>
    <row r="3394" ht="13.5" customHeight="1">
      <c r="A3394" s="1" t="s">
        <v>5384</v>
      </c>
      <c r="B3394" s="2">
        <v>45891.0</v>
      </c>
      <c r="C3394" s="9" t="s">
        <v>5128</v>
      </c>
      <c r="D3394" s="1" t="s">
        <v>5385</v>
      </c>
      <c r="E3394" s="4">
        <v>4280.0</v>
      </c>
      <c r="F3394" s="4"/>
      <c r="G3394" s="4"/>
      <c r="H3394" s="4">
        <f>'data on outstanding creditors'!$E3394-'data on outstanding creditors'!$F3394-'data on outstanding creditors'!$G3394</f>
        <v>4280</v>
      </c>
      <c r="I3394" s="2"/>
      <c r="J3394" s="1"/>
      <c r="K3394" s="2"/>
      <c r="L3394" s="5"/>
      <c r="M3394" s="9" t="s">
        <v>54</v>
      </c>
      <c r="N3394" s="9" t="s">
        <v>49</v>
      </c>
      <c r="O3394" s="10">
        <f>'data on outstanding creditors'!$E3394*100/107</f>
        <v>4000</v>
      </c>
      <c r="P3394" s="10">
        <f>'data on outstanding creditors'!$E3394-'data on outstanding creditors'!$O3394</f>
        <v>280</v>
      </c>
      <c r="Q3394" s="7">
        <f>DAY('data on outstanding creditors'!$B3394)</f>
        <v>22</v>
      </c>
      <c r="R3394" s="7">
        <f>MONTH('data on outstanding creditors'!$B3394)</f>
        <v>8</v>
      </c>
      <c r="S3394" s="7">
        <f>YEAR('data on outstanding creditors'!$B3394)</f>
        <v>2025</v>
      </c>
      <c r="T3394" s="11" t="str">
        <f>'data on outstanding creditors'!$C3394&amp;" "&amp;'data on outstanding creditors'!$D3394&amp;" "&amp;TEXT('data on outstanding creditors'!$E3394,"#,##0.00")</f>
        <v>บ.เมกกะฟิล IV-25/00949 4,280.00</v>
      </c>
      <c r="U3394" s="12"/>
    </row>
    <row r="3395" ht="13.5" customHeight="1">
      <c r="A3395" s="1" t="s">
        <v>5386</v>
      </c>
      <c r="B3395" s="2">
        <v>45891.0</v>
      </c>
      <c r="C3395" s="9" t="s">
        <v>5128</v>
      </c>
      <c r="D3395" s="1" t="s">
        <v>5387</v>
      </c>
      <c r="E3395" s="4">
        <v>12840.0</v>
      </c>
      <c r="F3395" s="4"/>
      <c r="G3395" s="4"/>
      <c r="H3395" s="4">
        <f>'data on outstanding creditors'!$E3395-'data on outstanding creditors'!$F3395-'data on outstanding creditors'!$G3395</f>
        <v>12840</v>
      </c>
      <c r="I3395" s="2"/>
      <c r="J3395" s="1"/>
      <c r="K3395" s="2"/>
      <c r="L3395" s="5"/>
      <c r="M3395" s="9" t="s">
        <v>54</v>
      </c>
      <c r="N3395" s="9" t="s">
        <v>49</v>
      </c>
      <c r="O3395" s="10">
        <f>'data on outstanding creditors'!$E3395*100/107</f>
        <v>12000</v>
      </c>
      <c r="P3395" s="10">
        <f>'data on outstanding creditors'!$E3395-'data on outstanding creditors'!$O3395</f>
        <v>840</v>
      </c>
      <c r="Q3395" s="7">
        <f>DAY('data on outstanding creditors'!$B3395)</f>
        <v>22</v>
      </c>
      <c r="R3395" s="7">
        <f>MONTH('data on outstanding creditors'!$B3395)</f>
        <v>8</v>
      </c>
      <c r="S3395" s="7">
        <f>YEAR('data on outstanding creditors'!$B3395)</f>
        <v>2025</v>
      </c>
      <c r="T3395" s="11" t="str">
        <f>'data on outstanding creditors'!$C3395&amp;" "&amp;'data on outstanding creditors'!$D3395&amp;" "&amp;TEXT('data on outstanding creditors'!$E3395,"#,##0.00")</f>
        <v>บ.เมกกะฟิล IV-25/00950 12,840.00</v>
      </c>
      <c r="U3395" s="12"/>
    </row>
    <row r="3396" ht="13.5" customHeight="1">
      <c r="A3396" s="1" t="s">
        <v>5388</v>
      </c>
      <c r="B3396" s="2">
        <v>45898.0</v>
      </c>
      <c r="C3396" s="9" t="s">
        <v>52</v>
      </c>
      <c r="D3396" s="1" t="s">
        <v>5389</v>
      </c>
      <c r="E3396" s="4">
        <v>134221.5</v>
      </c>
      <c r="F3396" s="4"/>
      <c r="G3396" s="4"/>
      <c r="H3396" s="4">
        <f>'data on outstanding creditors'!$E3396-'data on outstanding creditors'!$F3396-'data on outstanding creditors'!$G3396</f>
        <v>134221.5</v>
      </c>
      <c r="I3396" s="2"/>
      <c r="J3396" s="1"/>
      <c r="K3396" s="2"/>
      <c r="L3396" s="5"/>
      <c r="M3396" s="9" t="s">
        <v>54</v>
      </c>
      <c r="N3396" s="9" t="s">
        <v>49</v>
      </c>
      <c r="O3396" s="10">
        <f>'data on outstanding creditors'!$E3396*100/107</f>
        <v>125440.6542</v>
      </c>
      <c r="P3396" s="10">
        <f>'data on outstanding creditors'!$E3396-'data on outstanding creditors'!$O3396</f>
        <v>8780.845794</v>
      </c>
      <c r="Q3396" s="7">
        <f>DAY('data on outstanding creditors'!$B3396)</f>
        <v>29</v>
      </c>
      <c r="R3396" s="7">
        <f>MONTH('data on outstanding creditors'!$B3396)</f>
        <v>8</v>
      </c>
      <c r="S3396" s="7">
        <f>YEAR('data on outstanding creditors'!$B3396)</f>
        <v>2025</v>
      </c>
      <c r="T3396" s="11" t="str">
        <f>'data on outstanding creditors'!$C3396&amp;" "&amp;'data on outstanding creditors'!$D3396&amp;" "&amp;TEXT('data on outstanding creditors'!$E3396,"#,##0.00")</f>
        <v>หจก.ส.เรืองโรจน์สระบุรี IV93258/010968 134,221.50</v>
      </c>
      <c r="U3396" s="12"/>
    </row>
    <row r="3397" ht="13.5" customHeight="1">
      <c r="A3397" s="1" t="s">
        <v>5390</v>
      </c>
      <c r="B3397" s="2">
        <v>45898.0</v>
      </c>
      <c r="C3397" s="9" t="s">
        <v>52</v>
      </c>
      <c r="D3397" s="1" t="s">
        <v>5391</v>
      </c>
      <c r="E3397" s="4">
        <v>72201.0</v>
      </c>
      <c r="F3397" s="4"/>
      <c r="G3397" s="4"/>
      <c r="H3397" s="4">
        <f>'data on outstanding creditors'!$E3397-'data on outstanding creditors'!$F3397-'data on outstanding creditors'!$G3397</f>
        <v>72201</v>
      </c>
      <c r="I3397" s="2"/>
      <c r="J3397" s="1"/>
      <c r="K3397" s="2"/>
      <c r="L3397" s="5"/>
      <c r="M3397" s="9" t="s">
        <v>54</v>
      </c>
      <c r="N3397" s="9" t="s">
        <v>49</v>
      </c>
      <c r="O3397" s="10">
        <f>'data on outstanding creditors'!$E3397*100/107</f>
        <v>67477.57009</v>
      </c>
      <c r="P3397" s="10">
        <f>'data on outstanding creditors'!$E3397-'data on outstanding creditors'!$O3397</f>
        <v>4723.429907</v>
      </c>
      <c r="Q3397" s="7">
        <f>DAY('data on outstanding creditors'!$B3397)</f>
        <v>29</v>
      </c>
      <c r="R3397" s="7">
        <f>MONTH('data on outstanding creditors'!$B3397)</f>
        <v>8</v>
      </c>
      <c r="S3397" s="7">
        <f>YEAR('data on outstanding creditors'!$B3397)</f>
        <v>2025</v>
      </c>
      <c r="T3397" s="11" t="str">
        <f>'data on outstanding creditors'!$C3397&amp;" "&amp;'data on outstanding creditors'!$D3397&amp;" "&amp;TEXT('data on outstanding creditors'!$E3397,"#,##0.00")</f>
        <v>หจก.ส.เรืองโรจน์สระบุรี IV93259/010968 72,201.00</v>
      </c>
      <c r="U3397" s="12"/>
    </row>
    <row r="3398" ht="13.5" customHeight="1">
      <c r="A3398" s="1"/>
      <c r="B3398" s="2">
        <v>45901.0</v>
      </c>
      <c r="C3398" s="9" t="s">
        <v>5363</v>
      </c>
      <c r="D3398" s="1" t="s">
        <v>5392</v>
      </c>
      <c r="E3398" s="4">
        <v>36000.0</v>
      </c>
      <c r="F3398" s="4"/>
      <c r="G3398" s="4"/>
      <c r="H3398" s="4">
        <f>'data on outstanding creditors'!$E3398-'data on outstanding creditors'!$F3398-'data on outstanding creditors'!$G3398</f>
        <v>36000</v>
      </c>
      <c r="I3398" s="2"/>
      <c r="J3398" s="1" t="s">
        <v>757</v>
      </c>
      <c r="K3398" s="2">
        <v>45966.0</v>
      </c>
      <c r="L3398" s="5"/>
      <c r="M3398" s="9" t="s">
        <v>54</v>
      </c>
      <c r="N3398" s="9" t="s">
        <v>49</v>
      </c>
      <c r="O3398" s="10">
        <f>'data on outstanding creditors'!$E3398*100/107</f>
        <v>33644.85981</v>
      </c>
      <c r="P3398" s="10">
        <f>'data on outstanding creditors'!$E3398-'data on outstanding creditors'!$O3398</f>
        <v>2355.140187</v>
      </c>
      <c r="Q3398" s="7">
        <f>DAY('data on outstanding creditors'!$B3398)</f>
        <v>1</v>
      </c>
      <c r="R3398" s="7">
        <f>MONTH('data on outstanding creditors'!$B3398)</f>
        <v>9</v>
      </c>
      <c r="S3398" s="7">
        <f>YEAR('data on outstanding creditors'!$B3398)</f>
        <v>2025</v>
      </c>
      <c r="T3398" s="11" t="str">
        <f>'data on outstanding creditors'!$C3398&amp;" "&amp;'data on outstanding creditors'!$D3398&amp;" "&amp;TEXT('data on outstanding creditors'!$E3398,"#,##0.00")</f>
        <v>บ.เอ็กซ์-ลิงค์ เมดิคอล BNR68-0013 36,000.00</v>
      </c>
      <c r="U3398" s="12"/>
    </row>
    <row r="3399" ht="13.5" customHeight="1">
      <c r="A3399" s="1"/>
      <c r="B3399" s="2">
        <v>45901.0</v>
      </c>
      <c r="C3399" s="9" t="s">
        <v>5363</v>
      </c>
      <c r="D3399" s="1" t="s">
        <v>5393</v>
      </c>
      <c r="E3399" s="4">
        <v>5400.0</v>
      </c>
      <c r="F3399" s="4"/>
      <c r="G3399" s="4"/>
      <c r="H3399" s="4">
        <f>'data on outstanding creditors'!$E3399-'data on outstanding creditors'!$F3399-'data on outstanding creditors'!$G3399</f>
        <v>5400</v>
      </c>
      <c r="I3399" s="2"/>
      <c r="J3399" s="1" t="s">
        <v>757</v>
      </c>
      <c r="K3399" s="2">
        <v>45966.0</v>
      </c>
      <c r="L3399" s="5"/>
      <c r="M3399" s="9" t="s">
        <v>54</v>
      </c>
      <c r="N3399" s="9" t="s">
        <v>49</v>
      </c>
      <c r="O3399" s="10">
        <f>'data on outstanding creditors'!$E3399*100/107</f>
        <v>5046.728972</v>
      </c>
      <c r="P3399" s="10">
        <f>'data on outstanding creditors'!$E3399-'data on outstanding creditors'!$O3399</f>
        <v>353.271028</v>
      </c>
      <c r="Q3399" s="7">
        <f>DAY('data on outstanding creditors'!$B3399)</f>
        <v>1</v>
      </c>
      <c r="R3399" s="7">
        <f>MONTH('data on outstanding creditors'!$B3399)</f>
        <v>9</v>
      </c>
      <c r="S3399" s="7">
        <f>YEAR('data on outstanding creditors'!$B3399)</f>
        <v>2025</v>
      </c>
      <c r="T3399" s="11" t="str">
        <f>'data on outstanding creditors'!$C3399&amp;" "&amp;'data on outstanding creditors'!$D3399&amp;" "&amp;TEXT('data on outstanding creditors'!$E3399,"#,##0.00")</f>
        <v>บ.เอ็กซ์-ลิงค์ เมดิคอล BNR68-0014 5,400.00</v>
      </c>
      <c r="U3399" s="12"/>
    </row>
    <row r="3400" ht="13.5" customHeight="1">
      <c r="A3400" s="1"/>
      <c r="B3400" s="2">
        <v>45901.0</v>
      </c>
      <c r="C3400" s="9" t="s">
        <v>5363</v>
      </c>
      <c r="D3400" s="1" t="s">
        <v>5394</v>
      </c>
      <c r="E3400" s="4">
        <v>5400.0</v>
      </c>
      <c r="F3400" s="4"/>
      <c r="G3400" s="4"/>
      <c r="H3400" s="4">
        <f>'data on outstanding creditors'!$E3400-'data on outstanding creditors'!$F3400-'data on outstanding creditors'!$G3400</f>
        <v>5400</v>
      </c>
      <c r="I3400" s="2"/>
      <c r="J3400" s="1"/>
      <c r="K3400" s="2"/>
      <c r="L3400" s="5"/>
      <c r="M3400" s="9" t="s">
        <v>54</v>
      </c>
      <c r="N3400" s="9" t="s">
        <v>49</v>
      </c>
      <c r="O3400" s="10">
        <f>'data on outstanding creditors'!$E3400*100/107</f>
        <v>5046.728972</v>
      </c>
      <c r="P3400" s="10">
        <f>'data on outstanding creditors'!$E3400-'data on outstanding creditors'!$O3400</f>
        <v>353.271028</v>
      </c>
      <c r="Q3400" s="7">
        <f>DAY('data on outstanding creditors'!$B3400)</f>
        <v>1</v>
      </c>
      <c r="R3400" s="7">
        <f>MONTH('data on outstanding creditors'!$B3400)</f>
        <v>9</v>
      </c>
      <c r="S3400" s="7">
        <f>YEAR('data on outstanding creditors'!$B3400)</f>
        <v>2025</v>
      </c>
      <c r="T3400" s="11" t="str">
        <f>'data on outstanding creditors'!$C3400&amp;" "&amp;'data on outstanding creditors'!$D3400&amp;" "&amp;TEXT('data on outstanding creditors'!$E3400,"#,##0.00")</f>
        <v>บ.เอ็กซ์-ลิงค์ เมดิคอล BNR68-0015 5,400.00</v>
      </c>
      <c r="U3400" s="12"/>
    </row>
    <row r="3401" ht="13.5" customHeight="1">
      <c r="A3401" s="1" t="s">
        <v>5395</v>
      </c>
      <c r="B3401" s="2">
        <v>45901.0</v>
      </c>
      <c r="C3401" s="9" t="s">
        <v>3199</v>
      </c>
      <c r="D3401" s="1" t="s">
        <v>5396</v>
      </c>
      <c r="E3401" s="4">
        <v>5000.0</v>
      </c>
      <c r="F3401" s="4"/>
      <c r="G3401" s="4"/>
      <c r="H3401" s="4">
        <f>'data on outstanding creditors'!$E3401-'data on outstanding creditors'!$F3401-'data on outstanding creditors'!$G3401</f>
        <v>5000</v>
      </c>
      <c r="I3401" s="2"/>
      <c r="J3401" s="1"/>
      <c r="K3401" s="2"/>
      <c r="L3401" s="5"/>
      <c r="M3401" s="9" t="s">
        <v>54</v>
      </c>
      <c r="N3401" s="9" t="s">
        <v>49</v>
      </c>
      <c r="O3401" s="10">
        <f>'data on outstanding creditors'!$E3401*100/107</f>
        <v>4672.897196</v>
      </c>
      <c r="P3401" s="10">
        <f>'data on outstanding creditors'!$E3401-'data on outstanding creditors'!$O3401</f>
        <v>327.1028037</v>
      </c>
      <c r="Q3401" s="7">
        <f>DAY('data on outstanding creditors'!$B3401)</f>
        <v>1</v>
      </c>
      <c r="R3401" s="7">
        <f>MONTH('data on outstanding creditors'!$B3401)</f>
        <v>9</v>
      </c>
      <c r="S3401" s="7">
        <f>YEAR('data on outstanding creditors'!$B3401)</f>
        <v>2025</v>
      </c>
      <c r="T3401" s="11" t="str">
        <f>'data on outstanding creditors'!$C3401&amp;" "&amp;'data on outstanding creditors'!$D3401&amp;" "&amp;TEXT('data on outstanding creditors'!$E3401,"#,##0.00")</f>
        <v>บ.เอียร์โทน (ประเทศไทย) 468040051 5,000.00</v>
      </c>
      <c r="U3401" s="12"/>
    </row>
    <row r="3402" ht="13.5" customHeight="1">
      <c r="A3402" s="1" t="s">
        <v>5397</v>
      </c>
      <c r="B3402" s="2">
        <v>45901.0</v>
      </c>
      <c r="C3402" s="9" t="s">
        <v>3199</v>
      </c>
      <c r="D3402" s="1" t="s">
        <v>5398</v>
      </c>
      <c r="E3402" s="4">
        <v>5000.0</v>
      </c>
      <c r="F3402" s="4"/>
      <c r="G3402" s="4"/>
      <c r="H3402" s="4">
        <f>'data on outstanding creditors'!$E3402-'data on outstanding creditors'!$F3402-'data on outstanding creditors'!$G3402</f>
        <v>5000</v>
      </c>
      <c r="I3402" s="2"/>
      <c r="J3402" s="1"/>
      <c r="K3402" s="2"/>
      <c r="L3402" s="5"/>
      <c r="M3402" s="9" t="s">
        <v>54</v>
      </c>
      <c r="N3402" s="9" t="s">
        <v>49</v>
      </c>
      <c r="O3402" s="10">
        <f>'data on outstanding creditors'!$E3402*100/107</f>
        <v>4672.897196</v>
      </c>
      <c r="P3402" s="10">
        <f>'data on outstanding creditors'!$E3402-'data on outstanding creditors'!$O3402</f>
        <v>327.1028037</v>
      </c>
      <c r="Q3402" s="7">
        <f>DAY('data on outstanding creditors'!$B3402)</f>
        <v>1</v>
      </c>
      <c r="R3402" s="7">
        <f>MONTH('data on outstanding creditors'!$B3402)</f>
        <v>9</v>
      </c>
      <c r="S3402" s="7">
        <f>YEAR('data on outstanding creditors'!$B3402)</f>
        <v>2025</v>
      </c>
      <c r="T3402" s="11" t="str">
        <f>'data on outstanding creditors'!$C3402&amp;" "&amp;'data on outstanding creditors'!$D3402&amp;" "&amp;TEXT('data on outstanding creditors'!$E3402,"#,##0.00")</f>
        <v>บ.เอียร์โทน (ประเทศไทย) 468040052 5,000.00</v>
      </c>
      <c r="U3402" s="12"/>
    </row>
    <row r="3403" ht="13.5" customHeight="1">
      <c r="A3403" s="1" t="s">
        <v>5399</v>
      </c>
      <c r="B3403" s="2">
        <v>45922.0</v>
      </c>
      <c r="C3403" s="9" t="s">
        <v>156</v>
      </c>
      <c r="D3403" s="1" t="s">
        <v>5400</v>
      </c>
      <c r="E3403" s="4">
        <v>3430.0</v>
      </c>
      <c r="F3403" s="4"/>
      <c r="G3403" s="4"/>
      <c r="H3403" s="4">
        <f>'data on outstanding creditors'!$E3403-'data on outstanding creditors'!$F3403-'data on outstanding creditors'!$G3403</f>
        <v>3430</v>
      </c>
      <c r="I3403" s="2"/>
      <c r="J3403" s="1"/>
      <c r="K3403" s="2"/>
      <c r="L3403" s="5"/>
      <c r="M3403" s="9" t="s">
        <v>54</v>
      </c>
      <c r="N3403" s="9" t="s">
        <v>49</v>
      </c>
      <c r="O3403" s="10">
        <f>'data on outstanding creditors'!$E3403*100/107</f>
        <v>3205.607477</v>
      </c>
      <c r="P3403" s="10">
        <f>'data on outstanding creditors'!$E3403-'data on outstanding creditors'!$O3403</f>
        <v>224.3925234</v>
      </c>
      <c r="Q3403" s="7">
        <f>DAY('data on outstanding creditors'!$B3403)</f>
        <v>22</v>
      </c>
      <c r="R3403" s="7">
        <f>MONTH('data on outstanding creditors'!$B3403)</f>
        <v>9</v>
      </c>
      <c r="S3403" s="7">
        <f>YEAR('data on outstanding creditors'!$B3403)</f>
        <v>2025</v>
      </c>
      <c r="T3403" s="11" t="str">
        <f>'data on outstanding creditors'!$C3403&amp;" "&amp;'data on outstanding creditors'!$D3403&amp;" "&amp;TEXT('data on outstanding creditors'!$E3403,"#,##0.00")</f>
        <v>ร้าน เอส เค แอร์ อิเล็กโทรนิคส์ 2 020/0968 3,430.00</v>
      </c>
      <c r="U3403" s="12"/>
    </row>
    <row r="3404" ht="13.5" customHeight="1">
      <c r="A3404" s="1" t="s">
        <v>5401</v>
      </c>
      <c r="B3404" s="2">
        <v>45930.0</v>
      </c>
      <c r="C3404" s="9" t="s">
        <v>396</v>
      </c>
      <c r="D3404" s="1" t="s">
        <v>5402</v>
      </c>
      <c r="E3404" s="4">
        <v>300000.0</v>
      </c>
      <c r="F3404" s="4"/>
      <c r="G3404" s="4"/>
      <c r="H3404" s="4">
        <f>'data on outstanding creditors'!$E3404-'data on outstanding creditors'!$F3404-'data on outstanding creditors'!$G3404</f>
        <v>300000</v>
      </c>
      <c r="I3404" s="2"/>
      <c r="J3404" s="1"/>
      <c r="K3404" s="2"/>
      <c r="L3404" s="5"/>
      <c r="M3404" s="9" t="s">
        <v>54</v>
      </c>
      <c r="N3404" s="9" t="s">
        <v>49</v>
      </c>
      <c r="O3404" s="10">
        <f>'data on outstanding creditors'!$E3404*100/107</f>
        <v>280373.8318</v>
      </c>
      <c r="P3404" s="10">
        <f>'data on outstanding creditors'!$E3404-'data on outstanding creditors'!$O3404</f>
        <v>19626.16822</v>
      </c>
      <c r="Q3404" s="7">
        <f>DAY('data on outstanding creditors'!$B3404)</f>
        <v>30</v>
      </c>
      <c r="R3404" s="7">
        <f>MONTH('data on outstanding creditors'!$B3404)</f>
        <v>9</v>
      </c>
      <c r="S3404" s="7">
        <f>YEAR('data on outstanding creditors'!$B3404)</f>
        <v>2025</v>
      </c>
      <c r="T3404" s="11" t="str">
        <f>'data on outstanding creditors'!$C3404&amp;" "&amp;'data on outstanding creditors'!$D3404&amp;" "&amp;TEXT('data on outstanding creditors'!$E3404,"#,##0.00")</f>
        <v>บ.เยเนอรัล ฮอสปิตัล โปรดัคส์ 25IS00090014 300,000.00</v>
      </c>
      <c r="U3404" s="12"/>
    </row>
    <row r="3405" ht="13.5" customHeight="1">
      <c r="A3405" s="1" t="s">
        <v>5403</v>
      </c>
      <c r="B3405" s="2">
        <v>45930.0</v>
      </c>
      <c r="C3405" s="9" t="s">
        <v>5098</v>
      </c>
      <c r="D3405" s="1" t="s">
        <v>5404</v>
      </c>
      <c r="E3405" s="4">
        <v>9000.0</v>
      </c>
      <c r="F3405" s="4"/>
      <c r="G3405" s="4"/>
      <c r="H3405" s="4">
        <f>'data on outstanding creditors'!$E3405-'data on outstanding creditors'!$F3405-'data on outstanding creditors'!$G3405</f>
        <v>9000</v>
      </c>
      <c r="I3405" s="2"/>
      <c r="J3405" s="1"/>
      <c r="K3405" s="2"/>
      <c r="L3405" s="5"/>
      <c r="M3405" s="9" t="s">
        <v>54</v>
      </c>
      <c r="N3405" s="9" t="s">
        <v>49</v>
      </c>
      <c r="O3405" s="10">
        <f>'data on outstanding creditors'!$E3405*100/107</f>
        <v>8411.214953</v>
      </c>
      <c r="P3405" s="10">
        <f>'data on outstanding creditors'!$E3405-'data on outstanding creditors'!$O3405</f>
        <v>588.7850467</v>
      </c>
      <c r="Q3405" s="7">
        <f>DAY('data on outstanding creditors'!$B3405)</f>
        <v>30</v>
      </c>
      <c r="R3405" s="7">
        <f>MONTH('data on outstanding creditors'!$B3405)</f>
        <v>9</v>
      </c>
      <c r="S3405" s="7">
        <f>YEAR('data on outstanding creditors'!$B3405)</f>
        <v>2025</v>
      </c>
      <c r="T3405" s="11" t="str">
        <f>'data on outstanding creditors'!$C3405&amp;" "&amp;'data on outstanding creditors'!$D3405&amp;" "&amp;TEXT('data on outstanding creditors'!$E3405,"#,##0.00")</f>
        <v>บ.ไทยสเตอริไลเซอร์ กรุ๊ป 245/2568 9,000.00</v>
      </c>
      <c r="U3405" s="12"/>
    </row>
    <row r="3406" ht="13.5" customHeight="1">
      <c r="A3406" s="1" t="s">
        <v>5405</v>
      </c>
      <c r="B3406" s="2">
        <v>45930.0</v>
      </c>
      <c r="C3406" s="9" t="s">
        <v>281</v>
      </c>
      <c r="D3406" s="1" t="s">
        <v>5406</v>
      </c>
      <c r="E3406" s="4">
        <v>6420.0</v>
      </c>
      <c r="F3406" s="4"/>
      <c r="G3406" s="4"/>
      <c r="H3406" s="4">
        <f>'data on outstanding creditors'!$E3406-'data on outstanding creditors'!$F3406-'data on outstanding creditors'!$G3406</f>
        <v>6420</v>
      </c>
      <c r="I3406" s="2"/>
      <c r="J3406" s="1"/>
      <c r="K3406" s="2"/>
      <c r="L3406" s="5"/>
      <c r="M3406" s="9" t="s">
        <v>54</v>
      </c>
      <c r="N3406" s="9" t="s">
        <v>49</v>
      </c>
      <c r="O3406" s="10">
        <f>'data on outstanding creditors'!$E3406*100/107</f>
        <v>6000</v>
      </c>
      <c r="P3406" s="10">
        <f>'data on outstanding creditors'!$E3406-'data on outstanding creditors'!$O3406</f>
        <v>420</v>
      </c>
      <c r="Q3406" s="7">
        <f>DAY('data on outstanding creditors'!$B3406)</f>
        <v>30</v>
      </c>
      <c r="R3406" s="7">
        <f>MONTH('data on outstanding creditors'!$B3406)</f>
        <v>9</v>
      </c>
      <c r="S3406" s="7">
        <f>YEAR('data on outstanding creditors'!$B3406)</f>
        <v>2025</v>
      </c>
      <c r="T3406" s="11" t="str">
        <f>'data on outstanding creditors'!$C3406&amp;" "&amp;'data on outstanding creditors'!$D3406&amp;" "&amp;TEXT('data on outstanding creditors'!$E3406,"#,##0.00")</f>
        <v>บ.เมดิทอป 1561264 6,420.00</v>
      </c>
      <c r="U3406" s="12"/>
    </row>
    <row r="3407" ht="13.5" customHeight="1">
      <c r="A3407" s="1" t="s">
        <v>5407</v>
      </c>
      <c r="B3407" s="2">
        <v>45930.0</v>
      </c>
      <c r="C3407" s="9" t="s">
        <v>4631</v>
      </c>
      <c r="D3407" s="1" t="s">
        <v>5408</v>
      </c>
      <c r="E3407" s="4">
        <v>15000.0</v>
      </c>
      <c r="F3407" s="4"/>
      <c r="G3407" s="4"/>
      <c r="H3407" s="4">
        <f>'data on outstanding creditors'!$E3407-'data on outstanding creditors'!$F3407-'data on outstanding creditors'!$G3407</f>
        <v>15000</v>
      </c>
      <c r="I3407" s="2"/>
      <c r="J3407" s="1"/>
      <c r="K3407" s="2"/>
      <c r="L3407" s="5"/>
      <c r="M3407" s="9" t="s">
        <v>54</v>
      </c>
      <c r="N3407" s="9" t="s">
        <v>49</v>
      </c>
      <c r="O3407" s="10">
        <f>'data on outstanding creditors'!$E3407*100/107</f>
        <v>14018.69159</v>
      </c>
      <c r="P3407" s="10">
        <f>'data on outstanding creditors'!$E3407-'data on outstanding creditors'!$O3407</f>
        <v>981.3084112</v>
      </c>
      <c r="Q3407" s="7">
        <f>DAY('data on outstanding creditors'!$B3407)</f>
        <v>30</v>
      </c>
      <c r="R3407" s="7">
        <f>MONTH('data on outstanding creditors'!$B3407)</f>
        <v>9</v>
      </c>
      <c r="S3407" s="7">
        <f>YEAR('data on outstanding creditors'!$B3407)</f>
        <v>2025</v>
      </c>
      <c r="T3407" s="11" t="str">
        <f>'data on outstanding creditors'!$C3407&amp;" "&amp;'data on outstanding creditors'!$D3407&amp;" "&amp;TEXT('data on outstanding creditors'!$E3407,"#,##0.00")</f>
        <v>บ.นำวิวัฒน์การช่าง(1992) SSY2501408 15,000.00</v>
      </c>
      <c r="U3407" s="12"/>
    </row>
    <row r="3408" ht="13.5" customHeight="1">
      <c r="A3408" s="1" t="s">
        <v>5409</v>
      </c>
      <c r="B3408" s="2">
        <v>45930.0</v>
      </c>
      <c r="C3408" s="9" t="s">
        <v>4631</v>
      </c>
      <c r="D3408" s="1" t="s">
        <v>5410</v>
      </c>
      <c r="E3408" s="4">
        <v>3000.0</v>
      </c>
      <c r="F3408" s="4"/>
      <c r="G3408" s="4"/>
      <c r="H3408" s="4">
        <f>'data on outstanding creditors'!$E3408-'data on outstanding creditors'!$F3408-'data on outstanding creditors'!$G3408</f>
        <v>3000</v>
      </c>
      <c r="I3408" s="2"/>
      <c r="J3408" s="1"/>
      <c r="K3408" s="2"/>
      <c r="L3408" s="5"/>
      <c r="M3408" s="9" t="s">
        <v>54</v>
      </c>
      <c r="N3408" s="9" t="s">
        <v>49</v>
      </c>
      <c r="O3408" s="10">
        <f>'data on outstanding creditors'!$E3408*100/107</f>
        <v>2803.738318</v>
      </c>
      <c r="P3408" s="10">
        <f>'data on outstanding creditors'!$E3408-'data on outstanding creditors'!$O3408</f>
        <v>196.2616822</v>
      </c>
      <c r="Q3408" s="7">
        <f>DAY('data on outstanding creditors'!$B3408)</f>
        <v>30</v>
      </c>
      <c r="R3408" s="7">
        <f>MONTH('data on outstanding creditors'!$B3408)</f>
        <v>9</v>
      </c>
      <c r="S3408" s="7">
        <f>YEAR('data on outstanding creditors'!$B3408)</f>
        <v>2025</v>
      </c>
      <c r="T3408" s="11" t="str">
        <f>'data on outstanding creditors'!$C3408&amp;" "&amp;'data on outstanding creditors'!$D3408&amp;" "&amp;TEXT('data on outstanding creditors'!$E3408,"#,##0.00")</f>
        <v>บ.นำวิวัฒน์การช่าง(1992) SSY2501406 3,000.00</v>
      </c>
      <c r="U3408" s="12"/>
    </row>
    <row r="3409" ht="13.5" customHeight="1">
      <c r="A3409" s="1" t="s">
        <v>5411</v>
      </c>
      <c r="B3409" s="2">
        <v>45930.0</v>
      </c>
      <c r="C3409" s="9" t="s">
        <v>5355</v>
      </c>
      <c r="D3409" s="1" t="s">
        <v>5412</v>
      </c>
      <c r="E3409" s="4">
        <v>86500.0</v>
      </c>
      <c r="F3409" s="4"/>
      <c r="G3409" s="4"/>
      <c r="H3409" s="4">
        <f>'data on outstanding creditors'!$E3409-'data on outstanding creditors'!$F3409-'data on outstanding creditors'!$G3409</f>
        <v>86500</v>
      </c>
      <c r="I3409" s="2"/>
      <c r="J3409" s="1"/>
      <c r="K3409" s="2"/>
      <c r="L3409" s="5"/>
      <c r="M3409" s="9" t="s">
        <v>54</v>
      </c>
      <c r="N3409" s="9" t="s">
        <v>49</v>
      </c>
      <c r="O3409" s="10">
        <f>'data on outstanding creditors'!$E3409*100/107</f>
        <v>80841.1215</v>
      </c>
      <c r="P3409" s="10">
        <f>'data on outstanding creditors'!$E3409-'data on outstanding creditors'!$O3409</f>
        <v>5658.878505</v>
      </c>
      <c r="Q3409" s="7">
        <f>DAY('data on outstanding creditors'!$B3409)</f>
        <v>30</v>
      </c>
      <c r="R3409" s="7">
        <f>MONTH('data on outstanding creditors'!$B3409)</f>
        <v>9</v>
      </c>
      <c r="S3409" s="7">
        <f>YEAR('data on outstanding creditors'!$B3409)</f>
        <v>2025</v>
      </c>
      <c r="T3409" s="11" t="str">
        <f>'data on outstanding creditors'!$C3409&amp;" "&amp;'data on outstanding creditors'!$D3409&amp;" "&amp;TEXT('data on outstanding creditors'!$E3409,"#,##0.00")</f>
        <v>บ.อัลคอน แลบอราทอรีส์(ประเทศไทย) 9128684946 86,500.00</v>
      </c>
      <c r="U3409" s="12"/>
    </row>
    <row r="3410" ht="13.5" customHeight="1">
      <c r="A3410" s="1" t="s">
        <v>5413</v>
      </c>
      <c r="B3410" s="2">
        <v>45930.0</v>
      </c>
      <c r="C3410" s="9" t="s">
        <v>2973</v>
      </c>
      <c r="D3410" s="1" t="s">
        <v>5414</v>
      </c>
      <c r="E3410" s="4">
        <v>11449.0</v>
      </c>
      <c r="F3410" s="4"/>
      <c r="G3410" s="4"/>
      <c r="H3410" s="4">
        <f>'data on outstanding creditors'!$E3410-'data on outstanding creditors'!$F3410-'data on outstanding creditors'!$G3410</f>
        <v>11449</v>
      </c>
      <c r="I3410" s="2"/>
      <c r="J3410" s="1"/>
      <c r="K3410" s="2"/>
      <c r="L3410" s="5"/>
      <c r="M3410" s="9" t="s">
        <v>54</v>
      </c>
      <c r="N3410" s="9" t="s">
        <v>49</v>
      </c>
      <c r="O3410" s="10">
        <f>'data on outstanding creditors'!$E3410*100/107</f>
        <v>10700</v>
      </c>
      <c r="P3410" s="10">
        <f>'data on outstanding creditors'!$E3410-'data on outstanding creditors'!$O3410</f>
        <v>749</v>
      </c>
      <c r="Q3410" s="7">
        <f>DAY('data on outstanding creditors'!$B3410)</f>
        <v>30</v>
      </c>
      <c r="R3410" s="7">
        <f>MONTH('data on outstanding creditors'!$B3410)</f>
        <v>9</v>
      </c>
      <c r="S3410" s="7">
        <f>YEAR('data on outstanding creditors'!$B3410)</f>
        <v>2025</v>
      </c>
      <c r="T3410" s="11" t="str">
        <f>'data on outstanding creditors'!$C3410&amp;" "&amp;'data on outstanding creditors'!$D3410&amp;" "&amp;TEXT('data on outstanding creditors'!$E3410,"#,##0.00")</f>
        <v>บ.ดีเคเอสเอช เทคโนโลยี 5151635168 11,449.00</v>
      </c>
      <c r="U3410" s="12"/>
    </row>
    <row r="3411" ht="13.5" customHeight="1">
      <c r="A3411" s="1"/>
      <c r="B3411" s="2">
        <v>45931.0</v>
      </c>
      <c r="C3411" s="9" t="s">
        <v>5363</v>
      </c>
      <c r="D3411" s="1" t="s">
        <v>5415</v>
      </c>
      <c r="E3411" s="4">
        <v>57600.0</v>
      </c>
      <c r="F3411" s="4"/>
      <c r="G3411" s="4"/>
      <c r="H3411" s="4">
        <f>'data on outstanding creditors'!$E3411-'data on outstanding creditors'!$F3411-'data on outstanding creditors'!$G3411</f>
        <v>57600</v>
      </c>
      <c r="I3411" s="2"/>
      <c r="J3411" s="1" t="s">
        <v>757</v>
      </c>
      <c r="K3411" s="2">
        <v>45966.0</v>
      </c>
      <c r="L3411" s="5"/>
      <c r="M3411" s="9" t="s">
        <v>54</v>
      </c>
      <c r="N3411" s="9" t="s">
        <v>49</v>
      </c>
      <c r="O3411" s="10">
        <f>'data on outstanding creditors'!$E3411*100/107</f>
        <v>53831.7757</v>
      </c>
      <c r="P3411" s="10">
        <f>'data on outstanding creditors'!$E3411-'data on outstanding creditors'!$O3411</f>
        <v>3768.224299</v>
      </c>
      <c r="Q3411" s="7">
        <f>DAY('data on outstanding creditors'!$B3411)</f>
        <v>1</v>
      </c>
      <c r="R3411" s="7">
        <f>MONTH('data on outstanding creditors'!$B3411)</f>
        <v>10</v>
      </c>
      <c r="S3411" s="7">
        <f>YEAR('data on outstanding creditors'!$B3411)</f>
        <v>2025</v>
      </c>
      <c r="T3411" s="11" t="str">
        <f>'data on outstanding creditors'!$C3411&amp;" "&amp;'data on outstanding creditors'!$D3411&amp;" "&amp;TEXT('data on outstanding creditors'!$E3411,"#,##0.00")</f>
        <v>บ.เอ็กซ์-ลิงค์ เมดิคอล BNR68-0016 57,600.00</v>
      </c>
      <c r="U3411" s="12"/>
    </row>
    <row r="3412" ht="13.5" customHeight="1">
      <c r="A3412" s="1"/>
      <c r="B3412" s="2">
        <v>45931.0</v>
      </c>
      <c r="C3412" s="9" t="s">
        <v>5363</v>
      </c>
      <c r="D3412" s="1" t="s">
        <v>5416</v>
      </c>
      <c r="E3412" s="4">
        <v>2700.0</v>
      </c>
      <c r="F3412" s="4"/>
      <c r="G3412" s="4"/>
      <c r="H3412" s="4">
        <f>'data on outstanding creditors'!$E3412-'data on outstanding creditors'!$F3412-'data on outstanding creditors'!$G3412</f>
        <v>2700</v>
      </c>
      <c r="I3412" s="2"/>
      <c r="J3412" s="1" t="s">
        <v>757</v>
      </c>
      <c r="K3412" s="2">
        <v>45966.0</v>
      </c>
      <c r="L3412" s="5"/>
      <c r="M3412" s="9" t="s">
        <v>54</v>
      </c>
      <c r="N3412" s="9" t="s">
        <v>49</v>
      </c>
      <c r="O3412" s="10">
        <f>'data on outstanding creditors'!$E3412*100/107</f>
        <v>2523.364486</v>
      </c>
      <c r="P3412" s="10">
        <f>'data on outstanding creditors'!$E3412-'data on outstanding creditors'!$O3412</f>
        <v>176.635514</v>
      </c>
      <c r="Q3412" s="7">
        <f>DAY('data on outstanding creditors'!$B3412)</f>
        <v>1</v>
      </c>
      <c r="R3412" s="7">
        <f>MONTH('data on outstanding creditors'!$B3412)</f>
        <v>10</v>
      </c>
      <c r="S3412" s="7">
        <f>YEAR('data on outstanding creditors'!$B3412)</f>
        <v>2025</v>
      </c>
      <c r="T3412" s="11" t="str">
        <f>'data on outstanding creditors'!$C3412&amp;" "&amp;'data on outstanding creditors'!$D3412&amp;" "&amp;TEXT('data on outstanding creditors'!$E3412,"#,##0.00")</f>
        <v>บ.เอ็กซ์-ลิงค์ เมดิคอล BNR68-0017 2,700.00</v>
      </c>
      <c r="U3412" s="12"/>
    </row>
    <row r="3413" ht="13.5" customHeight="1">
      <c r="A3413" s="1"/>
      <c r="B3413" s="2">
        <v>45931.0</v>
      </c>
      <c r="C3413" s="9" t="s">
        <v>5363</v>
      </c>
      <c r="D3413" s="1" t="s">
        <v>5417</v>
      </c>
      <c r="E3413" s="4">
        <v>6300.0</v>
      </c>
      <c r="F3413" s="4"/>
      <c r="G3413" s="4"/>
      <c r="H3413" s="4">
        <f>'data on outstanding creditors'!$E3413-'data on outstanding creditors'!$F3413-'data on outstanding creditors'!$G3413</f>
        <v>6300</v>
      </c>
      <c r="I3413" s="2"/>
      <c r="J3413" s="1"/>
      <c r="K3413" s="2"/>
      <c r="L3413" s="5"/>
      <c r="M3413" s="9" t="s">
        <v>54</v>
      </c>
      <c r="N3413" s="9" t="s">
        <v>49</v>
      </c>
      <c r="O3413" s="10">
        <f>'data on outstanding creditors'!$E3413*100/107</f>
        <v>5887.850467</v>
      </c>
      <c r="P3413" s="10">
        <f>'data on outstanding creditors'!$E3413-'data on outstanding creditors'!$O3413</f>
        <v>412.1495327</v>
      </c>
      <c r="Q3413" s="7">
        <f>DAY('data on outstanding creditors'!$B3413)</f>
        <v>1</v>
      </c>
      <c r="R3413" s="7">
        <f>MONTH('data on outstanding creditors'!$B3413)</f>
        <v>10</v>
      </c>
      <c r="S3413" s="7">
        <f>YEAR('data on outstanding creditors'!$B3413)</f>
        <v>2025</v>
      </c>
      <c r="T3413" s="11" t="str">
        <f>'data on outstanding creditors'!$C3413&amp;" "&amp;'data on outstanding creditors'!$D3413&amp;" "&amp;TEXT('data on outstanding creditors'!$E3413,"#,##0.00")</f>
        <v>บ.เอ็กซ์-ลิงค์ เมดิคอล BNR68-0018 6,300.00</v>
      </c>
      <c r="U3413" s="12"/>
    </row>
    <row r="3414" ht="13.5" customHeight="1">
      <c r="A3414" s="1" t="s">
        <v>5418</v>
      </c>
      <c r="B3414" s="2">
        <v>45944.0</v>
      </c>
      <c r="C3414" s="9" t="s">
        <v>156</v>
      </c>
      <c r="D3414" s="1" t="s">
        <v>5419</v>
      </c>
      <c r="E3414" s="4">
        <v>950.0</v>
      </c>
      <c r="F3414" s="4"/>
      <c r="G3414" s="4"/>
      <c r="H3414" s="4">
        <f>'data on outstanding creditors'!$E3414-'data on outstanding creditors'!$F3414-'data on outstanding creditors'!$G3414</f>
        <v>950</v>
      </c>
      <c r="I3414" s="2"/>
      <c r="J3414" s="1"/>
      <c r="K3414" s="2"/>
      <c r="L3414" s="5"/>
      <c r="M3414" s="9" t="s">
        <v>54</v>
      </c>
      <c r="N3414" s="9" t="s">
        <v>49</v>
      </c>
      <c r="O3414" s="10">
        <f>'data on outstanding creditors'!$E3414*100/107</f>
        <v>887.8504673</v>
      </c>
      <c r="P3414" s="10">
        <f>'data on outstanding creditors'!$E3414-'data on outstanding creditors'!$O3414</f>
        <v>62.14953271</v>
      </c>
      <c r="Q3414" s="7">
        <f>DAY('data on outstanding creditors'!$B3414)</f>
        <v>14</v>
      </c>
      <c r="R3414" s="7">
        <f>MONTH('data on outstanding creditors'!$B3414)</f>
        <v>10</v>
      </c>
      <c r="S3414" s="7">
        <f>YEAR('data on outstanding creditors'!$B3414)</f>
        <v>2025</v>
      </c>
      <c r="T3414" s="11" t="str">
        <f>'data on outstanding creditors'!$C3414&amp;" "&amp;'data on outstanding creditors'!$D3414&amp;" "&amp;TEXT('data on outstanding creditors'!$E3414,"#,##0.00")</f>
        <v>ร้าน เอส เค แอร์ อิเล็กโทรนิคส์ 2 020/0970 950.00</v>
      </c>
      <c r="U3414" s="12"/>
    </row>
    <row r="3415" ht="13.5" customHeight="1">
      <c r="A3415" s="1" t="s">
        <v>5420</v>
      </c>
      <c r="B3415" s="2">
        <v>45944.0</v>
      </c>
      <c r="C3415" s="9" t="s">
        <v>156</v>
      </c>
      <c r="D3415" s="1" t="s">
        <v>5421</v>
      </c>
      <c r="E3415" s="4">
        <v>2500.0</v>
      </c>
      <c r="F3415" s="4"/>
      <c r="G3415" s="4"/>
      <c r="H3415" s="4">
        <f>'data on outstanding creditors'!$E3415-'data on outstanding creditors'!$F3415-'data on outstanding creditors'!$G3415</f>
        <v>2500</v>
      </c>
      <c r="I3415" s="2"/>
      <c r="J3415" s="1"/>
      <c r="K3415" s="2"/>
      <c r="L3415" s="5"/>
      <c r="M3415" s="9" t="s">
        <v>54</v>
      </c>
      <c r="N3415" s="9" t="s">
        <v>49</v>
      </c>
      <c r="O3415" s="10">
        <f>'data on outstanding creditors'!$E3415*100/107</f>
        <v>2336.448598</v>
      </c>
      <c r="P3415" s="10">
        <f>'data on outstanding creditors'!$E3415-'data on outstanding creditors'!$O3415</f>
        <v>163.5514019</v>
      </c>
      <c r="Q3415" s="7">
        <f>DAY('data on outstanding creditors'!$B3415)</f>
        <v>14</v>
      </c>
      <c r="R3415" s="7">
        <f>MONTH('data on outstanding creditors'!$B3415)</f>
        <v>10</v>
      </c>
      <c r="S3415" s="7">
        <f>YEAR('data on outstanding creditors'!$B3415)</f>
        <v>2025</v>
      </c>
      <c r="T3415" s="11" t="str">
        <f>'data on outstanding creditors'!$C3415&amp;" "&amp;'data on outstanding creditors'!$D3415&amp;" "&amp;TEXT('data on outstanding creditors'!$E3415,"#,##0.00")</f>
        <v>ร้าน เอส เค แอร์ อิเล็กโทรนิคส์ 2 020/0972 2,500.00</v>
      </c>
      <c r="U3415" s="12"/>
    </row>
    <row r="3416" ht="13.5" customHeight="1">
      <c r="A3416" s="1" t="s">
        <v>5422</v>
      </c>
      <c r="B3416" s="2">
        <v>45944.0</v>
      </c>
      <c r="C3416" s="9" t="s">
        <v>156</v>
      </c>
      <c r="D3416" s="1" t="s">
        <v>5423</v>
      </c>
      <c r="E3416" s="4">
        <v>8850.0</v>
      </c>
      <c r="F3416" s="4"/>
      <c r="G3416" s="4"/>
      <c r="H3416" s="4">
        <f>'data on outstanding creditors'!$E3416-'data on outstanding creditors'!$F3416-'data on outstanding creditors'!$G3416</f>
        <v>8850</v>
      </c>
      <c r="I3416" s="2"/>
      <c r="J3416" s="1"/>
      <c r="K3416" s="2"/>
      <c r="L3416" s="5"/>
      <c r="M3416" s="9" t="s">
        <v>54</v>
      </c>
      <c r="N3416" s="9" t="s">
        <v>49</v>
      </c>
      <c r="O3416" s="10">
        <f>'data on outstanding creditors'!$E3416*100/107</f>
        <v>8271.028037</v>
      </c>
      <c r="P3416" s="10">
        <f>'data on outstanding creditors'!$E3416-'data on outstanding creditors'!$O3416</f>
        <v>578.9719626</v>
      </c>
      <c r="Q3416" s="7">
        <f>DAY('data on outstanding creditors'!$B3416)</f>
        <v>14</v>
      </c>
      <c r="R3416" s="7">
        <f>MONTH('data on outstanding creditors'!$B3416)</f>
        <v>10</v>
      </c>
      <c r="S3416" s="7">
        <f>YEAR('data on outstanding creditors'!$B3416)</f>
        <v>2025</v>
      </c>
      <c r="T3416" s="11" t="str">
        <f>'data on outstanding creditors'!$C3416&amp;" "&amp;'data on outstanding creditors'!$D3416&amp;" "&amp;TEXT('data on outstanding creditors'!$E3416,"#,##0.00")</f>
        <v>ร้าน เอส เค แอร์ อิเล็กโทรนิคส์ 2 020/0974 8,850.00</v>
      </c>
      <c r="U3416" s="12"/>
    </row>
    <row r="3417" ht="13.5" customHeight="1">
      <c r="A3417" s="1" t="s">
        <v>5424</v>
      </c>
      <c r="B3417" s="2">
        <v>45946.0</v>
      </c>
      <c r="C3417" s="9" t="s">
        <v>5425</v>
      </c>
      <c r="D3417" s="1" t="s">
        <v>5426</v>
      </c>
      <c r="E3417" s="4">
        <v>59331.5</v>
      </c>
      <c r="F3417" s="4"/>
      <c r="G3417" s="4"/>
      <c r="H3417" s="4">
        <f>'data on outstanding creditors'!$E3417-'data on outstanding creditors'!$F3417-'data on outstanding creditors'!$G3417</f>
        <v>59331.5</v>
      </c>
      <c r="I3417" s="2"/>
      <c r="J3417" s="1"/>
      <c r="K3417" s="2"/>
      <c r="L3417" s="5"/>
      <c r="M3417" s="9" t="s">
        <v>54</v>
      </c>
      <c r="N3417" s="9" t="s">
        <v>49</v>
      </c>
      <c r="O3417" s="10">
        <f>'data on outstanding creditors'!$E3417*100/107</f>
        <v>55450</v>
      </c>
      <c r="P3417" s="10">
        <f>'data on outstanding creditors'!$E3417-'data on outstanding creditors'!$O3417</f>
        <v>3881.5</v>
      </c>
      <c r="Q3417" s="7">
        <f>DAY('data on outstanding creditors'!$B3417)</f>
        <v>16</v>
      </c>
      <c r="R3417" s="7">
        <f>MONTH('data on outstanding creditors'!$B3417)</f>
        <v>10</v>
      </c>
      <c r="S3417" s="7">
        <f>YEAR('data on outstanding creditors'!$B3417)</f>
        <v>2025</v>
      </c>
      <c r="T3417" s="11" t="str">
        <f>'data on outstanding creditors'!$C3417&amp;" "&amp;'data on outstanding creditors'!$D3417&amp;" "&amp;TEXT('data on outstanding creditors'!$E3417,"#,##0.00")</f>
        <v>บ.ทริปเปิ้ล เอส เซล์ แอนด์ เซอร์วิส INV2025100004 59,331.50</v>
      </c>
      <c r="U3417" s="12"/>
    </row>
    <row r="3418" ht="13.5" customHeight="1">
      <c r="A3418" s="1" t="s">
        <v>5427</v>
      </c>
      <c r="B3418" s="2">
        <v>45950.0</v>
      </c>
      <c r="C3418" s="9" t="s">
        <v>156</v>
      </c>
      <c r="D3418" s="1" t="s">
        <v>5428</v>
      </c>
      <c r="E3418" s="4">
        <v>4590.0</v>
      </c>
      <c r="F3418" s="4"/>
      <c r="G3418" s="4"/>
      <c r="H3418" s="4">
        <f>'data on outstanding creditors'!$E3418-'data on outstanding creditors'!$F3418-'data on outstanding creditors'!$G3418</f>
        <v>4590</v>
      </c>
      <c r="I3418" s="2"/>
      <c r="J3418" s="1"/>
      <c r="K3418" s="2"/>
      <c r="L3418" s="5"/>
      <c r="M3418" s="9" t="s">
        <v>54</v>
      </c>
      <c r="N3418" s="9" t="s">
        <v>49</v>
      </c>
      <c r="O3418" s="10">
        <f>'data on outstanding creditors'!$E3418*100/107</f>
        <v>4289.719626</v>
      </c>
      <c r="P3418" s="10">
        <f>'data on outstanding creditors'!$E3418-'data on outstanding creditors'!$O3418</f>
        <v>300.2803738</v>
      </c>
      <c r="Q3418" s="7">
        <f>DAY('data on outstanding creditors'!$B3418)</f>
        <v>20</v>
      </c>
      <c r="R3418" s="7">
        <f>MONTH('data on outstanding creditors'!$B3418)</f>
        <v>10</v>
      </c>
      <c r="S3418" s="7">
        <f>YEAR('data on outstanding creditors'!$B3418)</f>
        <v>2025</v>
      </c>
      <c r="T3418" s="11" t="str">
        <f>'data on outstanding creditors'!$C3418&amp;" "&amp;'data on outstanding creditors'!$D3418&amp;" "&amp;TEXT('data on outstanding creditors'!$E3418,"#,##0.00")</f>
        <v>ร้าน เอส เค แอร์ อิเล็กโทรนิคส์ 2 020/0973 4,590.00</v>
      </c>
      <c r="U3418" s="12"/>
    </row>
    <row r="3419" ht="13.5" customHeight="1">
      <c r="A3419" s="1" t="s">
        <v>5429</v>
      </c>
      <c r="B3419" s="2">
        <v>45950.0</v>
      </c>
      <c r="C3419" s="9" t="s">
        <v>156</v>
      </c>
      <c r="D3419" s="1" t="s">
        <v>5430</v>
      </c>
      <c r="E3419" s="4">
        <v>5240.0</v>
      </c>
      <c r="F3419" s="4"/>
      <c r="G3419" s="4"/>
      <c r="H3419" s="4">
        <f>'data on outstanding creditors'!$E3419-'data on outstanding creditors'!$F3419-'data on outstanding creditors'!$G3419</f>
        <v>5240</v>
      </c>
      <c r="I3419" s="2"/>
      <c r="J3419" s="1"/>
      <c r="K3419" s="2"/>
      <c r="L3419" s="5"/>
      <c r="M3419" s="9" t="s">
        <v>54</v>
      </c>
      <c r="N3419" s="9" t="s">
        <v>49</v>
      </c>
      <c r="O3419" s="10">
        <f>'data on outstanding creditors'!$E3419*100/107</f>
        <v>4897.196262</v>
      </c>
      <c r="P3419" s="10">
        <f>'data on outstanding creditors'!$E3419-'data on outstanding creditors'!$O3419</f>
        <v>342.8037383</v>
      </c>
      <c r="Q3419" s="7">
        <f>DAY('data on outstanding creditors'!$B3419)</f>
        <v>20</v>
      </c>
      <c r="R3419" s="7">
        <f>MONTH('data on outstanding creditors'!$B3419)</f>
        <v>10</v>
      </c>
      <c r="S3419" s="7">
        <f>YEAR('data on outstanding creditors'!$B3419)</f>
        <v>2025</v>
      </c>
      <c r="T3419" s="11" t="str">
        <f>'data on outstanding creditors'!$C3419&amp;" "&amp;'data on outstanding creditors'!$D3419&amp;" "&amp;TEXT('data on outstanding creditors'!$E3419,"#,##0.00")</f>
        <v>ร้าน เอส เค แอร์ อิเล็กโทรนิคส์ 2 020/0971 5,240.00</v>
      </c>
      <c r="U3419" s="12"/>
    </row>
    <row r="3420" ht="13.5" customHeight="1">
      <c r="A3420" s="1" t="s">
        <v>5431</v>
      </c>
      <c r="B3420" s="2">
        <v>45952.0</v>
      </c>
      <c r="C3420" s="9" t="s">
        <v>5432</v>
      </c>
      <c r="D3420" s="1"/>
      <c r="E3420" s="4">
        <v>38500.0</v>
      </c>
      <c r="F3420" s="4"/>
      <c r="G3420" s="4"/>
      <c r="H3420" s="4">
        <f>'data on outstanding creditors'!$E3420-'data on outstanding creditors'!$F3420-'data on outstanding creditors'!$G3420</f>
        <v>38500</v>
      </c>
      <c r="I3420" s="2"/>
      <c r="J3420" s="1"/>
      <c r="K3420" s="2"/>
      <c r="L3420" s="5"/>
      <c r="M3420" s="9" t="s">
        <v>54</v>
      </c>
      <c r="N3420" s="9" t="s">
        <v>49</v>
      </c>
      <c r="O3420" s="10">
        <f>'data on outstanding creditors'!$E3420*100/107</f>
        <v>35981.30841</v>
      </c>
      <c r="P3420" s="10">
        <f>'data on outstanding creditors'!$E3420-'data on outstanding creditors'!$O3420</f>
        <v>2518.691589</v>
      </c>
      <c r="Q3420" s="7">
        <f>DAY('data on outstanding creditors'!$B3420)</f>
        <v>22</v>
      </c>
      <c r="R3420" s="7">
        <f>MONTH('data on outstanding creditors'!$B3420)</f>
        <v>10</v>
      </c>
      <c r="S3420" s="7">
        <f>YEAR('data on outstanding creditors'!$B3420)</f>
        <v>2025</v>
      </c>
      <c r="T3420" s="11" t="str">
        <f>'data on outstanding creditors'!$C3420&amp;" "&amp;'data on outstanding creditors'!$D3420&amp;" "&amp;TEXT('data on outstanding creditors'!$E3420,"#,##0.00")</f>
        <v>นาย ชาญชัย สกุลประยงค์  38,500.00</v>
      </c>
      <c r="U3420" s="12"/>
    </row>
    <row r="3421" ht="13.5" customHeight="1">
      <c r="A3421" s="1" t="s">
        <v>5433</v>
      </c>
      <c r="B3421" s="2">
        <v>45961.0</v>
      </c>
      <c r="C3421" s="9" t="s">
        <v>1050</v>
      </c>
      <c r="D3421" s="1" t="s">
        <v>5434</v>
      </c>
      <c r="E3421" s="4">
        <v>145070.0</v>
      </c>
      <c r="F3421" s="4"/>
      <c r="G3421" s="4"/>
      <c r="H3421" s="4">
        <f>'data on outstanding creditors'!$E3421-'data on outstanding creditors'!$F3421-'data on outstanding creditors'!$G3421</f>
        <v>145070</v>
      </c>
      <c r="I3421" s="2"/>
      <c r="J3421" s="1"/>
      <c r="K3421" s="2"/>
      <c r="L3421" s="5"/>
      <c r="M3421" s="9" t="s">
        <v>54</v>
      </c>
      <c r="N3421" s="9" t="s">
        <v>49</v>
      </c>
      <c r="O3421" s="10">
        <f>'data on outstanding creditors'!$E3421*100/107</f>
        <v>135579.4393</v>
      </c>
      <c r="P3421" s="10">
        <f>'data on outstanding creditors'!$E3421-'data on outstanding creditors'!$O3421</f>
        <v>9490.560748</v>
      </c>
      <c r="Q3421" s="7">
        <f>DAY('data on outstanding creditors'!$B3421)</f>
        <v>31</v>
      </c>
      <c r="R3421" s="7">
        <f>MONTH('data on outstanding creditors'!$B3421)</f>
        <v>10</v>
      </c>
      <c r="S3421" s="7">
        <f>YEAR('data on outstanding creditors'!$B3421)</f>
        <v>2025</v>
      </c>
      <c r="T3421" s="11" t="str">
        <f>'data on outstanding creditors'!$C3421&amp;" "&amp;'data on outstanding creditors'!$D3421&amp;" "&amp;TEXT('data on outstanding creditors'!$E3421,"#,##0.00")</f>
        <v>บ.พีทีโอเอเซ็นเตอร์ I007763 145,070.00</v>
      </c>
      <c r="U3421" s="12"/>
    </row>
    <row r="3422" ht="13.5" customHeight="1">
      <c r="A3422" s="1"/>
      <c r="B3422" s="2">
        <v>45565.0</v>
      </c>
      <c r="C3422" s="9" t="s">
        <v>673</v>
      </c>
      <c r="D3422" s="1" t="s">
        <v>5435</v>
      </c>
      <c r="E3422" s="4">
        <v>18590.0</v>
      </c>
      <c r="F3422" s="4"/>
      <c r="G3422" s="4"/>
      <c r="H3422" s="4">
        <f>'data on outstanding creditors'!$E3422-'data on outstanding creditors'!$F3422-'data on outstanding creditors'!$G3422</f>
        <v>18590</v>
      </c>
      <c r="I3422" s="2"/>
      <c r="J3422" s="1" t="s">
        <v>646</v>
      </c>
      <c r="K3422" s="2">
        <v>45887.0</v>
      </c>
      <c r="L3422" s="5"/>
      <c r="M3422" s="9" t="s">
        <v>373</v>
      </c>
      <c r="N3422" s="9" t="s">
        <v>49</v>
      </c>
      <c r="O3422" s="10">
        <f>'data on outstanding creditors'!$E3422*100/107</f>
        <v>17373.83178</v>
      </c>
      <c r="P3422" s="10">
        <f>'data on outstanding creditors'!$E3422-'data on outstanding creditors'!$O3422</f>
        <v>1216.168224</v>
      </c>
      <c r="Q3422" s="7">
        <f>DAY('data on outstanding creditors'!$B3422)</f>
        <v>30</v>
      </c>
      <c r="R3422" s="7">
        <f>MONTH('data on outstanding creditors'!$B3422)</f>
        <v>9</v>
      </c>
      <c r="S3422" s="7">
        <f>YEAR('data on outstanding creditors'!$B3422)</f>
        <v>2024</v>
      </c>
      <c r="T3422" s="11" t="str">
        <f>'data on outstanding creditors'!$C3422&amp;" "&amp;'data on outstanding creditors'!$D3422&amp;" "&amp;TEXT('data on outstanding creditors'!$E3422,"#,##0.00")</f>
        <v>บ.เนฟโฟรแคร์ (ประเทศไทย) 24060253 18,590.00</v>
      </c>
      <c r="U3422" s="12"/>
    </row>
    <row r="3423" ht="13.5" customHeight="1">
      <c r="A3423" s="1"/>
      <c r="B3423" s="2">
        <v>45688.0</v>
      </c>
      <c r="C3423" s="9" t="s">
        <v>673</v>
      </c>
      <c r="D3423" s="1" t="s">
        <v>5436</v>
      </c>
      <c r="E3423" s="4">
        <v>18590.0</v>
      </c>
      <c r="F3423" s="4"/>
      <c r="G3423" s="4"/>
      <c r="H3423" s="4">
        <f>'data on outstanding creditors'!$E3423-'data on outstanding creditors'!$F3423-'data on outstanding creditors'!$G3423</f>
        <v>18590</v>
      </c>
      <c r="I3423" s="2"/>
      <c r="J3423" s="1" t="s">
        <v>646</v>
      </c>
      <c r="K3423" s="2">
        <v>45887.0</v>
      </c>
      <c r="L3423" s="5"/>
      <c r="M3423" s="9" t="s">
        <v>373</v>
      </c>
      <c r="N3423" s="9" t="s">
        <v>49</v>
      </c>
      <c r="O3423" s="10">
        <f>'data on outstanding creditors'!$E3423*100/107</f>
        <v>17373.83178</v>
      </c>
      <c r="P3423" s="10">
        <f>'data on outstanding creditors'!$E3423-'data on outstanding creditors'!$O3423</f>
        <v>1216.168224</v>
      </c>
      <c r="Q3423" s="7">
        <f>DAY('data on outstanding creditors'!$B3423)</f>
        <v>31</v>
      </c>
      <c r="R3423" s="7">
        <f>MONTH('data on outstanding creditors'!$B3423)</f>
        <v>1</v>
      </c>
      <c r="S3423" s="7">
        <f>YEAR('data on outstanding creditors'!$B3423)</f>
        <v>2025</v>
      </c>
      <c r="T3423" s="11" t="str">
        <f>'data on outstanding creditors'!$C3423&amp;" "&amp;'data on outstanding creditors'!$D3423&amp;" "&amp;TEXT('data on outstanding creditors'!$E3423,"#,##0.00")</f>
        <v>บ.เนฟโฟรแคร์ (ประเทศไทย) 24110586 18,590.00</v>
      </c>
      <c r="U3423" s="12"/>
    </row>
    <row r="3424" ht="13.5" customHeight="1">
      <c r="A3424" s="1" t="s">
        <v>5437</v>
      </c>
      <c r="B3424" s="2">
        <v>45747.0</v>
      </c>
      <c r="C3424" s="9" t="s">
        <v>281</v>
      </c>
      <c r="D3424" s="1" t="s">
        <v>5438</v>
      </c>
      <c r="E3424" s="4">
        <v>6741.0</v>
      </c>
      <c r="F3424" s="4"/>
      <c r="G3424" s="4"/>
      <c r="H3424" s="4">
        <f>'data on outstanding creditors'!$E3424-'data on outstanding creditors'!$F3424-'data on outstanding creditors'!$G3424</f>
        <v>6741</v>
      </c>
      <c r="I3424" s="2"/>
      <c r="J3424" s="1" t="s">
        <v>646</v>
      </c>
      <c r="K3424" s="2">
        <v>45906.0</v>
      </c>
      <c r="L3424" s="5"/>
      <c r="M3424" s="9" t="s">
        <v>373</v>
      </c>
      <c r="N3424" s="9" t="s">
        <v>49</v>
      </c>
      <c r="O3424" s="10">
        <f>'data on outstanding creditors'!$E3424*100/107</f>
        <v>6300</v>
      </c>
      <c r="P3424" s="10">
        <f>'data on outstanding creditors'!$E3424-'data on outstanding creditors'!$O3424</f>
        <v>441</v>
      </c>
      <c r="Q3424" s="7">
        <f>DAY('data on outstanding creditors'!$B3424)</f>
        <v>31</v>
      </c>
      <c r="R3424" s="7">
        <f>MONTH('data on outstanding creditors'!$B3424)</f>
        <v>3</v>
      </c>
      <c r="S3424" s="7">
        <f>YEAR('data on outstanding creditors'!$B3424)</f>
        <v>2025</v>
      </c>
      <c r="T3424" s="11" t="str">
        <f>'data on outstanding creditors'!$C3424&amp;" "&amp;'data on outstanding creditors'!$D3424&amp;" "&amp;TEXT('data on outstanding creditors'!$E3424,"#,##0.00")</f>
        <v>บ.เมดิทอป 1551058 6,741.00</v>
      </c>
      <c r="U3424" s="12"/>
    </row>
    <row r="3425" ht="13.5" customHeight="1">
      <c r="A3425" s="1" t="s">
        <v>5439</v>
      </c>
      <c r="B3425" s="2">
        <v>45747.0</v>
      </c>
      <c r="C3425" s="9" t="s">
        <v>281</v>
      </c>
      <c r="D3425" s="1" t="s">
        <v>5440</v>
      </c>
      <c r="E3425" s="4">
        <v>8500.0</v>
      </c>
      <c r="F3425" s="4"/>
      <c r="G3425" s="4"/>
      <c r="H3425" s="4">
        <f>'data on outstanding creditors'!$E3425-'data on outstanding creditors'!$F3425-'data on outstanding creditors'!$G3425</f>
        <v>8500</v>
      </c>
      <c r="I3425" s="2"/>
      <c r="J3425" s="1" t="s">
        <v>646</v>
      </c>
      <c r="K3425" s="2">
        <v>45906.0</v>
      </c>
      <c r="L3425" s="5"/>
      <c r="M3425" s="9" t="s">
        <v>373</v>
      </c>
      <c r="N3425" s="9" t="s">
        <v>49</v>
      </c>
      <c r="O3425" s="10">
        <f>'data on outstanding creditors'!$E3425*100/107</f>
        <v>7943.925234</v>
      </c>
      <c r="P3425" s="10">
        <f>'data on outstanding creditors'!$E3425-'data on outstanding creditors'!$O3425</f>
        <v>556.0747664</v>
      </c>
      <c r="Q3425" s="7">
        <f>DAY('data on outstanding creditors'!$B3425)</f>
        <v>31</v>
      </c>
      <c r="R3425" s="7">
        <f>MONTH('data on outstanding creditors'!$B3425)</f>
        <v>3</v>
      </c>
      <c r="S3425" s="7">
        <f>YEAR('data on outstanding creditors'!$B3425)</f>
        <v>2025</v>
      </c>
      <c r="T3425" s="11" t="str">
        <f>'data on outstanding creditors'!$C3425&amp;" "&amp;'data on outstanding creditors'!$D3425&amp;" "&amp;TEXT('data on outstanding creditors'!$E3425,"#,##0.00")</f>
        <v>บ.เมดิทอป 1558025 8,500.00</v>
      </c>
      <c r="U3425" s="12"/>
    </row>
    <row r="3426" ht="13.5" customHeight="1">
      <c r="A3426" s="1"/>
      <c r="B3426" s="2">
        <v>45747.0</v>
      </c>
      <c r="C3426" s="9" t="s">
        <v>2440</v>
      </c>
      <c r="D3426" s="1" t="s">
        <v>5441</v>
      </c>
      <c r="E3426" s="4">
        <v>97305.0</v>
      </c>
      <c r="F3426" s="4"/>
      <c r="G3426" s="4"/>
      <c r="H3426" s="4">
        <f>'data on outstanding creditors'!$E3426-'data on outstanding creditors'!$F3426-'data on outstanding creditors'!$G3426</f>
        <v>97305</v>
      </c>
      <c r="I3426" s="2"/>
      <c r="J3426" s="1" t="s">
        <v>757</v>
      </c>
      <c r="K3426" s="2">
        <v>45965.0</v>
      </c>
      <c r="L3426" s="5"/>
      <c r="M3426" s="9" t="s">
        <v>373</v>
      </c>
      <c r="N3426" s="9" t="s">
        <v>49</v>
      </c>
      <c r="O3426" s="10">
        <f>'data on outstanding creditors'!$E3426*100/107</f>
        <v>90939.25234</v>
      </c>
      <c r="P3426" s="10">
        <f>'data on outstanding creditors'!$E3426-'data on outstanding creditors'!$O3426</f>
        <v>6365.747664</v>
      </c>
      <c r="Q3426" s="7">
        <f>DAY('data on outstanding creditors'!$B3426)</f>
        <v>31</v>
      </c>
      <c r="R3426" s="7">
        <f>MONTH('data on outstanding creditors'!$B3426)</f>
        <v>3</v>
      </c>
      <c r="S3426" s="7">
        <f>YEAR('data on outstanding creditors'!$B3426)</f>
        <v>2025</v>
      </c>
      <c r="T3426" s="11" t="str">
        <f>'data on outstanding creditors'!$C3426&amp;" "&amp;'data on outstanding creditors'!$D3426&amp;" "&amp;TEXT('data on outstanding creditors'!$E3426,"#,##0.00")</f>
        <v>บ.เออร์วิง คอร์ปอเรชั่น 1600044592 97,305.00</v>
      </c>
      <c r="U3426" s="12"/>
    </row>
    <row r="3427" ht="13.5" customHeight="1">
      <c r="A3427" s="1" t="s">
        <v>5442</v>
      </c>
      <c r="B3427" s="2">
        <v>45808.0</v>
      </c>
      <c r="C3427" s="9" t="s">
        <v>673</v>
      </c>
      <c r="D3427" s="1" t="s">
        <v>5443</v>
      </c>
      <c r="E3427" s="4">
        <v>18590.0</v>
      </c>
      <c r="F3427" s="4"/>
      <c r="G3427" s="4"/>
      <c r="H3427" s="4">
        <f>'data on outstanding creditors'!$E3427-'data on outstanding creditors'!$F3427-'data on outstanding creditors'!$G3427</f>
        <v>18590</v>
      </c>
      <c r="I3427" s="2"/>
      <c r="J3427" s="1" t="s">
        <v>757</v>
      </c>
      <c r="K3427" s="2">
        <v>45923.0</v>
      </c>
      <c r="L3427" s="5"/>
      <c r="M3427" s="9" t="s">
        <v>373</v>
      </c>
      <c r="N3427" s="9" t="s">
        <v>49</v>
      </c>
      <c r="O3427" s="10">
        <f>'data on outstanding creditors'!$E3427*100/107</f>
        <v>17373.83178</v>
      </c>
      <c r="P3427" s="10">
        <f>'data on outstanding creditors'!$E3427-'data on outstanding creditors'!$O3427</f>
        <v>1216.168224</v>
      </c>
      <c r="Q3427" s="7">
        <f>DAY('data on outstanding creditors'!$B3427)</f>
        <v>31</v>
      </c>
      <c r="R3427" s="7">
        <f>MONTH('data on outstanding creditors'!$B3427)</f>
        <v>5</v>
      </c>
      <c r="S3427" s="7">
        <f>YEAR('data on outstanding creditors'!$B3427)</f>
        <v>2025</v>
      </c>
      <c r="T3427" s="11" t="str">
        <f>'data on outstanding creditors'!$C3427&amp;" "&amp;'data on outstanding creditors'!$D3427&amp;" "&amp;TEXT('data on outstanding creditors'!$E3427,"#,##0.00")</f>
        <v>บ.เนฟโฟรแคร์ (ประเทศไทย) 25070518 18,590.00</v>
      </c>
      <c r="U3427" s="12"/>
    </row>
    <row r="3428" ht="13.5" customHeight="1">
      <c r="A3428" s="1" t="s">
        <v>5444</v>
      </c>
      <c r="B3428" s="2">
        <v>45838.0</v>
      </c>
      <c r="C3428" s="9" t="s">
        <v>281</v>
      </c>
      <c r="D3428" s="1" t="s">
        <v>5445</v>
      </c>
      <c r="E3428" s="4">
        <v>8000.0</v>
      </c>
      <c r="F3428" s="4"/>
      <c r="G3428" s="4"/>
      <c r="H3428" s="4">
        <f>'data on outstanding creditors'!$E3428-'data on outstanding creditors'!$F3428-'data on outstanding creditors'!$G3428</f>
        <v>8000</v>
      </c>
      <c r="I3428" s="2"/>
      <c r="J3428" s="1" t="s">
        <v>757</v>
      </c>
      <c r="K3428" s="2">
        <v>45923.0</v>
      </c>
      <c r="L3428" s="5"/>
      <c r="M3428" s="9" t="s">
        <v>373</v>
      </c>
      <c r="N3428" s="9" t="s">
        <v>49</v>
      </c>
      <c r="O3428" s="10">
        <f>'data on outstanding creditors'!$E3428*100/107</f>
        <v>7476.635514</v>
      </c>
      <c r="P3428" s="10">
        <f>'data on outstanding creditors'!$E3428-'data on outstanding creditors'!$O3428</f>
        <v>523.364486</v>
      </c>
      <c r="Q3428" s="7">
        <f>DAY('data on outstanding creditors'!$B3428)</f>
        <v>30</v>
      </c>
      <c r="R3428" s="7">
        <f>MONTH('data on outstanding creditors'!$B3428)</f>
        <v>6</v>
      </c>
      <c r="S3428" s="7">
        <f>YEAR('data on outstanding creditors'!$B3428)</f>
        <v>2025</v>
      </c>
      <c r="T3428" s="11" t="str">
        <f>'data on outstanding creditors'!$C3428&amp;" "&amp;'data on outstanding creditors'!$D3428&amp;" "&amp;TEXT('data on outstanding creditors'!$E3428,"#,##0.00")</f>
        <v>บ.เมดิทอป 1554887 8,000.00</v>
      </c>
      <c r="U3428" s="12"/>
    </row>
    <row r="3429" ht="13.5" customHeight="1">
      <c r="A3429" s="1" t="s">
        <v>5446</v>
      </c>
      <c r="B3429" s="2">
        <v>45838.0</v>
      </c>
      <c r="C3429" s="9" t="s">
        <v>281</v>
      </c>
      <c r="D3429" s="1" t="s">
        <v>5447</v>
      </c>
      <c r="E3429" s="4">
        <v>6741.0</v>
      </c>
      <c r="F3429" s="4"/>
      <c r="G3429" s="4"/>
      <c r="H3429" s="4">
        <f>'data on outstanding creditors'!$E3429-'data on outstanding creditors'!$F3429-'data on outstanding creditors'!$G3429</f>
        <v>6741</v>
      </c>
      <c r="I3429" s="2"/>
      <c r="J3429" s="1" t="s">
        <v>757</v>
      </c>
      <c r="K3429" s="2">
        <v>45923.0</v>
      </c>
      <c r="L3429" s="5"/>
      <c r="M3429" s="9" t="s">
        <v>373</v>
      </c>
      <c r="N3429" s="9" t="s">
        <v>49</v>
      </c>
      <c r="O3429" s="10">
        <f>'data on outstanding creditors'!$E3429*100/107</f>
        <v>6300</v>
      </c>
      <c r="P3429" s="10">
        <f>'data on outstanding creditors'!$E3429-'data on outstanding creditors'!$O3429</f>
        <v>441</v>
      </c>
      <c r="Q3429" s="7">
        <f>DAY('data on outstanding creditors'!$B3429)</f>
        <v>30</v>
      </c>
      <c r="R3429" s="7">
        <f>MONTH('data on outstanding creditors'!$B3429)</f>
        <v>6</v>
      </c>
      <c r="S3429" s="7">
        <f>YEAR('data on outstanding creditors'!$B3429)</f>
        <v>2025</v>
      </c>
      <c r="T3429" s="11" t="str">
        <f>'data on outstanding creditors'!$C3429&amp;" "&amp;'data on outstanding creditors'!$D3429&amp;" "&amp;TEXT('data on outstanding creditors'!$E3429,"#,##0.00")</f>
        <v>บ.เมดิทอป 1557025 6,741.00</v>
      </c>
      <c r="U3429" s="12"/>
    </row>
    <row r="3430" ht="13.5" customHeight="1">
      <c r="A3430" s="1" t="s">
        <v>5448</v>
      </c>
      <c r="B3430" s="2">
        <v>45930.0</v>
      </c>
      <c r="C3430" s="9" t="s">
        <v>281</v>
      </c>
      <c r="D3430" s="1" t="s">
        <v>5449</v>
      </c>
      <c r="E3430" s="4">
        <v>6741.0</v>
      </c>
      <c r="F3430" s="4"/>
      <c r="G3430" s="4"/>
      <c r="H3430" s="4">
        <f>'data on outstanding creditors'!$E3430-'data on outstanding creditors'!$F3430-'data on outstanding creditors'!$G3430</f>
        <v>6741</v>
      </c>
      <c r="I3430" s="2"/>
      <c r="J3430" s="1" t="s">
        <v>757</v>
      </c>
      <c r="K3430" s="2">
        <v>45965.0</v>
      </c>
      <c r="L3430" s="5"/>
      <c r="M3430" s="9" t="s">
        <v>373</v>
      </c>
      <c r="N3430" s="9" t="s">
        <v>49</v>
      </c>
      <c r="O3430" s="10">
        <f>'data on outstanding creditors'!$E3430*100/107</f>
        <v>6300</v>
      </c>
      <c r="P3430" s="10">
        <f>'data on outstanding creditors'!$E3430-'data on outstanding creditors'!$O3430</f>
        <v>441</v>
      </c>
      <c r="Q3430" s="7">
        <f>DAY('data on outstanding creditors'!$B3430)</f>
        <v>30</v>
      </c>
      <c r="R3430" s="7">
        <f>MONTH('data on outstanding creditors'!$B3430)</f>
        <v>9</v>
      </c>
      <c r="S3430" s="7">
        <f>YEAR('data on outstanding creditors'!$B3430)</f>
        <v>2025</v>
      </c>
      <c r="T3430" s="11" t="str">
        <f>'data on outstanding creditors'!$C3430&amp;" "&amp;'data on outstanding creditors'!$D3430&amp;" "&amp;TEXT('data on outstanding creditors'!$E3430,"#,##0.00")</f>
        <v>บ.เมดิทอป 1566941 6,741.00</v>
      </c>
      <c r="U3430" s="12"/>
    </row>
    <row r="3431" ht="13.5" customHeight="1">
      <c r="A3431" s="1" t="s">
        <v>5450</v>
      </c>
      <c r="B3431" s="2">
        <v>45930.0</v>
      </c>
      <c r="C3431" s="9" t="s">
        <v>281</v>
      </c>
      <c r="D3431" s="1" t="s">
        <v>5451</v>
      </c>
      <c r="E3431" s="4">
        <v>8500.0</v>
      </c>
      <c r="F3431" s="4"/>
      <c r="G3431" s="4"/>
      <c r="H3431" s="4">
        <f>'data on outstanding creditors'!$E3431-'data on outstanding creditors'!$F3431-'data on outstanding creditors'!$G3431</f>
        <v>8500</v>
      </c>
      <c r="I3431" s="2"/>
      <c r="J3431" s="1" t="s">
        <v>757</v>
      </c>
      <c r="K3431" s="2">
        <v>45965.0</v>
      </c>
      <c r="L3431" s="5"/>
      <c r="M3431" s="9" t="s">
        <v>373</v>
      </c>
      <c r="N3431" s="9" t="s">
        <v>49</v>
      </c>
      <c r="O3431" s="10">
        <f>'data on outstanding creditors'!$E3431*100/107</f>
        <v>7943.925234</v>
      </c>
      <c r="P3431" s="10">
        <f>'data on outstanding creditors'!$E3431-'data on outstanding creditors'!$O3431</f>
        <v>556.0747664</v>
      </c>
      <c r="Q3431" s="7">
        <f>DAY('data on outstanding creditors'!$B3431)</f>
        <v>30</v>
      </c>
      <c r="R3431" s="7">
        <f>MONTH('data on outstanding creditors'!$B3431)</f>
        <v>9</v>
      </c>
      <c r="S3431" s="7">
        <f>YEAR('data on outstanding creditors'!$B3431)</f>
        <v>2025</v>
      </c>
      <c r="T3431" s="11" t="str">
        <f>'data on outstanding creditors'!$C3431&amp;" "&amp;'data on outstanding creditors'!$D3431&amp;" "&amp;TEXT('data on outstanding creditors'!$E3431,"#,##0.00")</f>
        <v>บ.เมดิทอป 1566934 8,500.00</v>
      </c>
      <c r="U3431" s="12"/>
    </row>
    <row r="3432" ht="13.5" customHeight="1">
      <c r="A3432" s="1" t="s">
        <v>5452</v>
      </c>
      <c r="B3432" s="2">
        <v>45930.0</v>
      </c>
      <c r="C3432" s="9" t="s">
        <v>2440</v>
      </c>
      <c r="D3432" s="1" t="s">
        <v>5453</v>
      </c>
      <c r="E3432" s="4">
        <v>97305.0</v>
      </c>
      <c r="F3432" s="4"/>
      <c r="G3432" s="4"/>
      <c r="H3432" s="4">
        <f>'data on outstanding creditors'!$E3432-'data on outstanding creditors'!$F3432-'data on outstanding creditors'!$G3432</f>
        <v>97305</v>
      </c>
      <c r="I3432" s="2"/>
      <c r="J3432" s="1" t="s">
        <v>757</v>
      </c>
      <c r="K3432" s="2">
        <v>45965.0</v>
      </c>
      <c r="L3432" s="5"/>
      <c r="M3432" s="9" t="s">
        <v>373</v>
      </c>
      <c r="N3432" s="9" t="s">
        <v>49</v>
      </c>
      <c r="O3432" s="10">
        <f>'data on outstanding creditors'!$E3432*100/107</f>
        <v>90939.25234</v>
      </c>
      <c r="P3432" s="10">
        <f>'data on outstanding creditors'!$E3432-'data on outstanding creditors'!$O3432</f>
        <v>6365.747664</v>
      </c>
      <c r="Q3432" s="7">
        <f>DAY('data on outstanding creditors'!$B3432)</f>
        <v>30</v>
      </c>
      <c r="R3432" s="7">
        <f>MONTH('data on outstanding creditors'!$B3432)</f>
        <v>9</v>
      </c>
      <c r="S3432" s="7">
        <f>YEAR('data on outstanding creditors'!$B3432)</f>
        <v>2025</v>
      </c>
      <c r="T3432" s="11" t="str">
        <f>'data on outstanding creditors'!$C3432&amp;" "&amp;'data on outstanding creditors'!$D3432&amp;" "&amp;TEXT('data on outstanding creditors'!$E3432,"#,##0.00")</f>
        <v>บ.เออร์วิง คอร์ปอเรชั่น 1600047069 97,305.00</v>
      </c>
      <c r="U3432" s="12"/>
    </row>
    <row r="3433" ht="13.5" customHeight="1">
      <c r="A3433" s="1" t="s">
        <v>5454</v>
      </c>
      <c r="B3433" s="2">
        <v>45930.0</v>
      </c>
      <c r="C3433" s="9" t="s">
        <v>673</v>
      </c>
      <c r="D3433" s="1" t="s">
        <v>5455</v>
      </c>
      <c r="E3433" s="4">
        <v>18590.0</v>
      </c>
      <c r="F3433" s="4"/>
      <c r="G3433" s="4"/>
      <c r="H3433" s="4">
        <f>'data on outstanding creditors'!$E3433-'data on outstanding creditors'!$F3433-'data on outstanding creditors'!$G3433</f>
        <v>18590</v>
      </c>
      <c r="I3433" s="2"/>
      <c r="J3433" s="1" t="s">
        <v>757</v>
      </c>
      <c r="K3433" s="2">
        <v>45965.0</v>
      </c>
      <c r="L3433" s="5"/>
      <c r="M3433" s="9" t="s">
        <v>373</v>
      </c>
      <c r="N3433" s="9" t="s">
        <v>49</v>
      </c>
      <c r="O3433" s="10">
        <f>'data on outstanding creditors'!$E3433*100/107</f>
        <v>17373.83178</v>
      </c>
      <c r="P3433" s="10">
        <f>'data on outstanding creditors'!$E3433-'data on outstanding creditors'!$O3433</f>
        <v>1216.168224</v>
      </c>
      <c r="Q3433" s="7">
        <f>DAY('data on outstanding creditors'!$B3433)</f>
        <v>30</v>
      </c>
      <c r="R3433" s="7">
        <f>MONTH('data on outstanding creditors'!$B3433)</f>
        <v>9</v>
      </c>
      <c r="S3433" s="7">
        <f>YEAR('data on outstanding creditors'!$B3433)</f>
        <v>2025</v>
      </c>
      <c r="T3433" s="11" t="str">
        <f>'data on outstanding creditors'!$C3433&amp;" "&amp;'data on outstanding creditors'!$D3433&amp;" "&amp;TEXT('data on outstanding creditors'!$E3433,"#,##0.00")</f>
        <v>บ.เนฟโฟรแคร์ (ประเทศไทย) 25070519 18,590.00</v>
      </c>
      <c r="U3433" s="12"/>
    </row>
    <row r="3434" ht="13.5" customHeight="1">
      <c r="A3434" s="1"/>
      <c r="B3434" s="2">
        <v>45572.0</v>
      </c>
      <c r="C3434" s="9" t="s">
        <v>375</v>
      </c>
      <c r="D3434" s="1" t="s">
        <v>5456</v>
      </c>
      <c r="E3434" s="4">
        <v>298200.0</v>
      </c>
      <c r="F3434" s="4"/>
      <c r="G3434" s="4"/>
      <c r="H3434" s="4">
        <f>'data on outstanding creditors'!$E3434-'data on outstanding creditors'!$F3434-'data on outstanding creditors'!$G3434</f>
        <v>298200</v>
      </c>
      <c r="I3434" s="2"/>
      <c r="J3434" s="1" t="s">
        <v>646</v>
      </c>
      <c r="K3434" s="2">
        <v>45815.0</v>
      </c>
      <c r="L3434" s="5"/>
      <c r="M3434" s="9" t="s">
        <v>377</v>
      </c>
      <c r="N3434" s="9" t="s">
        <v>49</v>
      </c>
      <c r="O3434" s="10">
        <f>'data on outstanding creditors'!$E3434*100/107</f>
        <v>278691.5888</v>
      </c>
      <c r="P3434" s="10">
        <f>'data on outstanding creditors'!$E3434-'data on outstanding creditors'!$O3434</f>
        <v>19508.41121</v>
      </c>
      <c r="Q3434" s="7">
        <f>DAY('data on outstanding creditors'!$B3434)</f>
        <v>7</v>
      </c>
      <c r="R3434" s="7">
        <f>MONTH('data on outstanding creditors'!$B3434)</f>
        <v>10</v>
      </c>
      <c r="S3434" s="7">
        <f>YEAR('data on outstanding creditors'!$B3434)</f>
        <v>2024</v>
      </c>
      <c r="T3434" s="11" t="str">
        <f>'data on outstanding creditors'!$C3434&amp;" "&amp;'data on outstanding creditors'!$D3434&amp;" "&amp;TEXT('data on outstanding creditors'!$E3434,"#,##0.00")</f>
        <v>บ.บุรีวัตร  สิทธิ จ่ายตรง 006/094 07/67 298,200.00</v>
      </c>
      <c r="U3434" s="12"/>
    </row>
    <row r="3435" ht="13.5" customHeight="1">
      <c r="A3435" s="1"/>
      <c r="B3435" s="2">
        <v>45575.0</v>
      </c>
      <c r="C3435" s="9" t="s">
        <v>379</v>
      </c>
      <c r="D3435" s="1" t="s">
        <v>5457</v>
      </c>
      <c r="E3435" s="4">
        <v>431200.0</v>
      </c>
      <c r="F3435" s="4"/>
      <c r="G3435" s="4"/>
      <c r="H3435" s="4">
        <f>'data on outstanding creditors'!$E3435-'data on outstanding creditors'!$F3435-'data on outstanding creditors'!$G3435</f>
        <v>431200</v>
      </c>
      <c r="I3435" s="2"/>
      <c r="J3435" s="1" t="s">
        <v>646</v>
      </c>
      <c r="K3435" s="2">
        <v>45815.0</v>
      </c>
      <c r="L3435" s="5"/>
      <c r="M3435" s="9" t="s">
        <v>377</v>
      </c>
      <c r="N3435" s="9" t="s">
        <v>49</v>
      </c>
      <c r="O3435" s="10">
        <f>'data on outstanding creditors'!$E3435*100/107</f>
        <v>402990.6542</v>
      </c>
      <c r="P3435" s="10">
        <f>'data on outstanding creditors'!$E3435-'data on outstanding creditors'!$O3435</f>
        <v>28209.34579</v>
      </c>
      <c r="Q3435" s="7">
        <f>DAY('data on outstanding creditors'!$B3435)</f>
        <v>10</v>
      </c>
      <c r="R3435" s="7">
        <f>MONTH('data on outstanding creditors'!$B3435)</f>
        <v>10</v>
      </c>
      <c r="S3435" s="7">
        <f>YEAR('data on outstanding creditors'!$B3435)</f>
        <v>2024</v>
      </c>
      <c r="T3435" s="11" t="str">
        <f>'data on outstanding creditors'!$C3435&amp;" "&amp;'data on outstanding creditors'!$D3435&amp;" "&amp;TEXT('data on outstanding creditors'!$E3435,"#,##0.00")</f>
        <v>บ.บุรีวัตร  สิทธิ สปสช 007/001 09/67 431,200.00</v>
      </c>
      <c r="U3435" s="12"/>
    </row>
    <row r="3436" ht="13.5" customHeight="1">
      <c r="A3436" s="1"/>
      <c r="B3436" s="2">
        <v>45666.0</v>
      </c>
      <c r="C3436" s="9" t="s">
        <v>379</v>
      </c>
      <c r="D3436" s="1" t="s">
        <v>5458</v>
      </c>
      <c r="E3436" s="4">
        <v>1400.0</v>
      </c>
      <c r="F3436" s="4"/>
      <c r="G3436" s="4"/>
      <c r="H3436" s="4">
        <f>'data on outstanding creditors'!$E3436-'data on outstanding creditors'!$F3436-'data on outstanding creditors'!$G3436</f>
        <v>1400</v>
      </c>
      <c r="I3436" s="2"/>
      <c r="J3436" s="1" t="s">
        <v>646</v>
      </c>
      <c r="K3436" s="2">
        <v>45815.0</v>
      </c>
      <c r="L3436" s="5"/>
      <c r="M3436" s="9" t="s">
        <v>377</v>
      </c>
      <c r="N3436" s="9" t="s">
        <v>49</v>
      </c>
      <c r="O3436" s="10">
        <f>'data on outstanding creditors'!$E3436*100/107</f>
        <v>1308.411215</v>
      </c>
      <c r="P3436" s="10">
        <f>'data on outstanding creditors'!$E3436-'data on outstanding creditors'!$O3436</f>
        <v>91.58878505</v>
      </c>
      <c r="Q3436" s="7">
        <f>DAY('data on outstanding creditors'!$B3436)</f>
        <v>9</v>
      </c>
      <c r="R3436" s="7">
        <f>MONTH('data on outstanding creditors'!$B3436)</f>
        <v>1</v>
      </c>
      <c r="S3436" s="7">
        <f>YEAR('data on outstanding creditors'!$B3436)</f>
        <v>2025</v>
      </c>
      <c r="T3436" s="11" t="str">
        <f>'data on outstanding creditors'!$C3436&amp;" "&amp;'data on outstanding creditors'!$D3436&amp;" "&amp;TEXT('data on outstanding creditors'!$E3436,"#,##0.00")</f>
        <v>บ.บุรีวัตร  สิทธิ สปสช 007/005 08/67 1,400.00</v>
      </c>
      <c r="U3436" s="12"/>
    </row>
    <row r="3437" ht="13.5" customHeight="1">
      <c r="A3437" s="1"/>
      <c r="B3437" s="2">
        <v>45666.0</v>
      </c>
      <c r="C3437" s="9" t="s">
        <v>5459</v>
      </c>
      <c r="D3437" s="1" t="s">
        <v>5460</v>
      </c>
      <c r="E3437" s="4">
        <v>5520.0</v>
      </c>
      <c r="F3437" s="4"/>
      <c r="G3437" s="4"/>
      <c r="H3437" s="4">
        <f>'data on outstanding creditors'!$E3437-'data on outstanding creditors'!$F3437-'data on outstanding creditors'!$G3437</f>
        <v>5520</v>
      </c>
      <c r="I3437" s="2"/>
      <c r="J3437" s="1" t="s">
        <v>646</v>
      </c>
      <c r="K3437" s="2">
        <v>45815.0</v>
      </c>
      <c r="L3437" s="5"/>
      <c r="M3437" s="9" t="s">
        <v>377</v>
      </c>
      <c r="N3437" s="9" t="s">
        <v>49</v>
      </c>
      <c r="O3437" s="10">
        <f>'data on outstanding creditors'!$E3437*100/107</f>
        <v>5158.878505</v>
      </c>
      <c r="P3437" s="10">
        <f>'data on outstanding creditors'!$E3437-'data on outstanding creditors'!$O3437</f>
        <v>361.1214953</v>
      </c>
      <c r="Q3437" s="7">
        <f>DAY('data on outstanding creditors'!$B3437)</f>
        <v>9</v>
      </c>
      <c r="R3437" s="7">
        <f>MONTH('data on outstanding creditors'!$B3437)</f>
        <v>1</v>
      </c>
      <c r="S3437" s="7">
        <f>YEAR('data on outstanding creditors'!$B3437)</f>
        <v>2025</v>
      </c>
      <c r="T3437" s="11" t="str">
        <f>'data on outstanding creditors'!$C3437&amp;" "&amp;'data on outstanding creditors'!$D3437&amp;" "&amp;TEXT('data on outstanding creditors'!$E3437,"#,##0.00")</f>
        <v>บ.บุรีวัตร  สิทธิ ชำระเงิน 007/021 11/67 5,520.00</v>
      </c>
      <c r="U3437" s="12"/>
    </row>
    <row r="3438" ht="13.5" customHeight="1">
      <c r="A3438" s="1"/>
      <c r="B3438" s="2">
        <v>45666.0</v>
      </c>
      <c r="C3438" s="9" t="s">
        <v>379</v>
      </c>
      <c r="D3438" s="1" t="s">
        <v>5461</v>
      </c>
      <c r="E3438" s="4">
        <v>447120.0</v>
      </c>
      <c r="F3438" s="4"/>
      <c r="G3438" s="4"/>
      <c r="H3438" s="4">
        <f>'data on outstanding creditors'!$E3438-'data on outstanding creditors'!$F3438-'data on outstanding creditors'!$G3438</f>
        <v>447120</v>
      </c>
      <c r="I3438" s="2"/>
      <c r="J3438" s="1" t="s">
        <v>646</v>
      </c>
      <c r="K3438" s="2">
        <v>45843.0</v>
      </c>
      <c r="L3438" s="5"/>
      <c r="M3438" s="9" t="s">
        <v>377</v>
      </c>
      <c r="N3438" s="9" t="s">
        <v>49</v>
      </c>
      <c r="O3438" s="10">
        <f>'data on outstanding creditors'!$E3438*100/107</f>
        <v>417869.1589</v>
      </c>
      <c r="P3438" s="10">
        <f>'data on outstanding creditors'!$E3438-'data on outstanding creditors'!$O3438</f>
        <v>29250.84112</v>
      </c>
      <c r="Q3438" s="7">
        <f>DAY('data on outstanding creditors'!$B3438)</f>
        <v>9</v>
      </c>
      <c r="R3438" s="7">
        <f>MONTH('data on outstanding creditors'!$B3438)</f>
        <v>1</v>
      </c>
      <c r="S3438" s="7">
        <f>YEAR('data on outstanding creditors'!$B3438)</f>
        <v>2025</v>
      </c>
      <c r="T3438" s="11" t="str">
        <f>'data on outstanding creditors'!$C3438&amp;" "&amp;'data on outstanding creditors'!$D3438&amp;" "&amp;TEXT('data on outstanding creditors'!$E3438,"#,##0.00")</f>
        <v>บ.บุรีวัตร  สิทธิ สปสช 007/006 10/67 447,120.00</v>
      </c>
      <c r="U3438" s="12"/>
    </row>
    <row r="3439" ht="13.5" customHeight="1">
      <c r="A3439" s="1"/>
      <c r="B3439" s="2">
        <v>45666.0</v>
      </c>
      <c r="C3439" s="9" t="s">
        <v>379</v>
      </c>
      <c r="D3439" s="1" t="s">
        <v>5462</v>
      </c>
      <c r="E3439" s="4">
        <v>433320.0</v>
      </c>
      <c r="F3439" s="4"/>
      <c r="G3439" s="4"/>
      <c r="H3439" s="4">
        <f>'data on outstanding creditors'!$E3439-'data on outstanding creditors'!$F3439-'data on outstanding creditors'!$G3439</f>
        <v>433320</v>
      </c>
      <c r="I3439" s="2"/>
      <c r="J3439" s="1" t="s">
        <v>646</v>
      </c>
      <c r="K3439" s="2">
        <v>45843.0</v>
      </c>
      <c r="L3439" s="5"/>
      <c r="M3439" s="9" t="s">
        <v>377</v>
      </c>
      <c r="N3439" s="9" t="s">
        <v>49</v>
      </c>
      <c r="O3439" s="10">
        <f>'data on outstanding creditors'!$E3439*100/107</f>
        <v>404971.9626</v>
      </c>
      <c r="P3439" s="10">
        <f>'data on outstanding creditors'!$E3439-'data on outstanding creditors'!$O3439</f>
        <v>28348.03738</v>
      </c>
      <c r="Q3439" s="7">
        <f>DAY('data on outstanding creditors'!$B3439)</f>
        <v>9</v>
      </c>
      <c r="R3439" s="7">
        <f>MONTH('data on outstanding creditors'!$B3439)</f>
        <v>1</v>
      </c>
      <c r="S3439" s="7">
        <f>YEAR('data on outstanding creditors'!$B3439)</f>
        <v>2025</v>
      </c>
      <c r="T3439" s="11" t="str">
        <f>'data on outstanding creditors'!$C3439&amp;" "&amp;'data on outstanding creditors'!$D3439&amp;" "&amp;TEXT('data on outstanding creditors'!$E3439,"#,##0.00")</f>
        <v>บ.บุรีวัตร  สิทธิ สปสช 007/007 10/67 433,320.00</v>
      </c>
      <c r="U3439" s="12"/>
    </row>
    <row r="3440" ht="13.5" customHeight="1">
      <c r="A3440" s="1"/>
      <c r="B3440" s="2">
        <v>45666.0</v>
      </c>
      <c r="C3440" s="9" t="s">
        <v>379</v>
      </c>
      <c r="D3440" s="1" t="s">
        <v>5463</v>
      </c>
      <c r="E3440" s="4">
        <v>430560.0</v>
      </c>
      <c r="F3440" s="4"/>
      <c r="G3440" s="4"/>
      <c r="H3440" s="4">
        <f>'data on outstanding creditors'!$E3440-'data on outstanding creditors'!$F3440-'data on outstanding creditors'!$G3440</f>
        <v>430560</v>
      </c>
      <c r="I3440" s="2"/>
      <c r="J3440" s="1" t="s">
        <v>646</v>
      </c>
      <c r="K3440" s="2">
        <v>45843.0</v>
      </c>
      <c r="L3440" s="5"/>
      <c r="M3440" s="9" t="s">
        <v>377</v>
      </c>
      <c r="N3440" s="9" t="s">
        <v>49</v>
      </c>
      <c r="O3440" s="10">
        <f>'data on outstanding creditors'!$E3440*100/107</f>
        <v>402392.5234</v>
      </c>
      <c r="P3440" s="10">
        <f>'data on outstanding creditors'!$E3440-'data on outstanding creditors'!$O3440</f>
        <v>28167.47664</v>
      </c>
      <c r="Q3440" s="7">
        <f>DAY('data on outstanding creditors'!$B3440)</f>
        <v>9</v>
      </c>
      <c r="R3440" s="7">
        <f>MONTH('data on outstanding creditors'!$B3440)</f>
        <v>1</v>
      </c>
      <c r="S3440" s="7">
        <f>YEAR('data on outstanding creditors'!$B3440)</f>
        <v>2025</v>
      </c>
      <c r="T3440" s="11" t="str">
        <f>'data on outstanding creditors'!$C3440&amp;" "&amp;'data on outstanding creditors'!$D3440&amp;" "&amp;TEXT('data on outstanding creditors'!$E3440,"#,##0.00")</f>
        <v>บ.บุรีวัตร  สิทธิ สปสช 007/008 10/67 430,560.00</v>
      </c>
      <c r="U3440" s="12"/>
    </row>
    <row r="3441" ht="13.5" customHeight="1">
      <c r="A3441" s="1"/>
      <c r="B3441" s="2">
        <v>45666.0</v>
      </c>
      <c r="C3441" s="9" t="s">
        <v>379</v>
      </c>
      <c r="D3441" s="1" t="s">
        <v>5464</v>
      </c>
      <c r="E3441" s="4">
        <v>379500.0</v>
      </c>
      <c r="F3441" s="4"/>
      <c r="G3441" s="4"/>
      <c r="H3441" s="4">
        <f>'data on outstanding creditors'!$E3441-'data on outstanding creditors'!$F3441-'data on outstanding creditors'!$G3441</f>
        <v>379500</v>
      </c>
      <c r="I3441" s="2"/>
      <c r="J3441" s="1" t="s">
        <v>646</v>
      </c>
      <c r="K3441" s="2">
        <v>45843.0</v>
      </c>
      <c r="L3441" s="5"/>
      <c r="M3441" s="9" t="s">
        <v>377</v>
      </c>
      <c r="N3441" s="9" t="s">
        <v>49</v>
      </c>
      <c r="O3441" s="10">
        <f>'data on outstanding creditors'!$E3441*100/107</f>
        <v>354672.8972</v>
      </c>
      <c r="P3441" s="10">
        <f>'data on outstanding creditors'!$E3441-'data on outstanding creditors'!$O3441</f>
        <v>24827.1028</v>
      </c>
      <c r="Q3441" s="7">
        <f>DAY('data on outstanding creditors'!$B3441)</f>
        <v>9</v>
      </c>
      <c r="R3441" s="7">
        <f>MONTH('data on outstanding creditors'!$B3441)</f>
        <v>1</v>
      </c>
      <c r="S3441" s="7">
        <f>YEAR('data on outstanding creditors'!$B3441)</f>
        <v>2025</v>
      </c>
      <c r="T3441" s="11" t="str">
        <f>'data on outstanding creditors'!$C3441&amp;" "&amp;'data on outstanding creditors'!$D3441&amp;" "&amp;TEXT('data on outstanding creditors'!$E3441,"#,##0.00")</f>
        <v>บ.บุรีวัตร  สิทธิ สปสช 007/009 10/67 379,500.00</v>
      </c>
      <c r="U3441" s="12"/>
    </row>
    <row r="3442" ht="13.5" customHeight="1">
      <c r="A3442" s="1"/>
      <c r="B3442" s="2">
        <v>45666.0</v>
      </c>
      <c r="C3442" s="9" t="s">
        <v>375</v>
      </c>
      <c r="D3442" s="1" t="s">
        <v>5465</v>
      </c>
      <c r="E3442" s="4">
        <v>270480.0</v>
      </c>
      <c r="F3442" s="4"/>
      <c r="G3442" s="4"/>
      <c r="H3442" s="4">
        <f>'data on outstanding creditors'!$E3442-'data on outstanding creditors'!$F3442-'data on outstanding creditors'!$G3442</f>
        <v>270480</v>
      </c>
      <c r="I3442" s="2"/>
      <c r="J3442" s="1" t="s">
        <v>646</v>
      </c>
      <c r="K3442" s="2">
        <v>45843.0</v>
      </c>
      <c r="L3442" s="5"/>
      <c r="M3442" s="9" t="s">
        <v>377</v>
      </c>
      <c r="N3442" s="9" t="s">
        <v>49</v>
      </c>
      <c r="O3442" s="10">
        <f>'data on outstanding creditors'!$E3442*100/107</f>
        <v>252785.0467</v>
      </c>
      <c r="P3442" s="10">
        <f>'data on outstanding creditors'!$E3442-'data on outstanding creditors'!$O3442</f>
        <v>17694.95327</v>
      </c>
      <c r="Q3442" s="7">
        <f>DAY('data on outstanding creditors'!$B3442)</f>
        <v>9</v>
      </c>
      <c r="R3442" s="7">
        <f>MONTH('data on outstanding creditors'!$B3442)</f>
        <v>1</v>
      </c>
      <c r="S3442" s="7">
        <f>YEAR('data on outstanding creditors'!$B3442)</f>
        <v>2025</v>
      </c>
      <c r="T3442" s="11" t="str">
        <f>'data on outstanding creditors'!$C3442&amp;" "&amp;'data on outstanding creditors'!$D3442&amp;" "&amp;TEXT('data on outstanding creditors'!$E3442,"#,##0.00")</f>
        <v>บ.บุรีวัตร  สิทธิ จ่ายตรง 007/012 10/67 270,480.00</v>
      </c>
      <c r="U3442" s="12"/>
    </row>
    <row r="3443" ht="13.5" customHeight="1">
      <c r="A3443" s="1"/>
      <c r="B3443" s="2">
        <v>45666.0</v>
      </c>
      <c r="C3443" s="9" t="s">
        <v>375</v>
      </c>
      <c r="D3443" s="1" t="s">
        <v>5466</v>
      </c>
      <c r="E3443" s="4">
        <v>1380.0</v>
      </c>
      <c r="F3443" s="4"/>
      <c r="G3443" s="4"/>
      <c r="H3443" s="4">
        <f>'data on outstanding creditors'!$E3443-'data on outstanding creditors'!$F3443-'data on outstanding creditors'!$G3443</f>
        <v>1380</v>
      </c>
      <c r="I3443" s="2"/>
      <c r="J3443" s="1" t="s">
        <v>646</v>
      </c>
      <c r="K3443" s="2">
        <v>45843.0</v>
      </c>
      <c r="L3443" s="5"/>
      <c r="M3443" s="9" t="s">
        <v>377</v>
      </c>
      <c r="N3443" s="9" t="s">
        <v>49</v>
      </c>
      <c r="O3443" s="10">
        <f>'data on outstanding creditors'!$E3443*100/107</f>
        <v>1289.719626</v>
      </c>
      <c r="P3443" s="10">
        <f>'data on outstanding creditors'!$E3443-'data on outstanding creditors'!$O3443</f>
        <v>90.28037383</v>
      </c>
      <c r="Q3443" s="7">
        <f>DAY('data on outstanding creditors'!$B3443)</f>
        <v>9</v>
      </c>
      <c r="R3443" s="7">
        <f>MONTH('data on outstanding creditors'!$B3443)</f>
        <v>1</v>
      </c>
      <c r="S3443" s="7">
        <f>YEAR('data on outstanding creditors'!$B3443)</f>
        <v>2025</v>
      </c>
      <c r="T3443" s="11" t="str">
        <f>'data on outstanding creditors'!$C3443&amp;" "&amp;'data on outstanding creditors'!$D3443&amp;" "&amp;TEXT('data on outstanding creditors'!$E3443,"#,##0.00")</f>
        <v>บ.บุรีวัตร  สิทธิ จ่ายตรง 007/014 10/67 1,380.00</v>
      </c>
      <c r="U3443" s="12"/>
    </row>
    <row r="3444" ht="13.5" customHeight="1">
      <c r="A3444" s="1"/>
      <c r="B3444" s="2">
        <v>45666.0</v>
      </c>
      <c r="C3444" s="9" t="s">
        <v>5459</v>
      </c>
      <c r="D3444" s="1" t="s">
        <v>5467</v>
      </c>
      <c r="E3444" s="4">
        <v>2760.0</v>
      </c>
      <c r="F3444" s="4"/>
      <c r="G3444" s="4"/>
      <c r="H3444" s="4">
        <f>'data on outstanding creditors'!$E3444-'data on outstanding creditors'!$F3444-'data on outstanding creditors'!$G3444</f>
        <v>2760</v>
      </c>
      <c r="I3444" s="2"/>
      <c r="J3444" s="1" t="s">
        <v>646</v>
      </c>
      <c r="K3444" s="2">
        <v>45843.0</v>
      </c>
      <c r="L3444" s="5"/>
      <c r="M3444" s="9" t="s">
        <v>377</v>
      </c>
      <c r="N3444" s="9" t="s">
        <v>49</v>
      </c>
      <c r="O3444" s="10">
        <f>'data on outstanding creditors'!$E3444*100/107</f>
        <v>2579.439252</v>
      </c>
      <c r="P3444" s="10">
        <f>'data on outstanding creditors'!$E3444-'data on outstanding creditors'!$O3444</f>
        <v>180.5607477</v>
      </c>
      <c r="Q3444" s="7">
        <f>DAY('data on outstanding creditors'!$B3444)</f>
        <v>9</v>
      </c>
      <c r="R3444" s="7">
        <f>MONTH('data on outstanding creditors'!$B3444)</f>
        <v>1</v>
      </c>
      <c r="S3444" s="7">
        <f>YEAR('data on outstanding creditors'!$B3444)</f>
        <v>2025</v>
      </c>
      <c r="T3444" s="11" t="str">
        <f>'data on outstanding creditors'!$C3444&amp;" "&amp;'data on outstanding creditors'!$D3444&amp;" "&amp;TEXT('data on outstanding creditors'!$E3444,"#,##0.00")</f>
        <v>บ.บุรีวัตร  สิทธิ ชำระเงิน 007/020 10/67 2,760.00</v>
      </c>
      <c r="U3444" s="12"/>
    </row>
    <row r="3445" ht="13.5" customHeight="1">
      <c r="A3445" s="1"/>
      <c r="B3445" s="2">
        <v>45688.0</v>
      </c>
      <c r="C3445" s="9" t="s">
        <v>375</v>
      </c>
      <c r="D3445" s="1" t="s">
        <v>5468</v>
      </c>
      <c r="E3445" s="4">
        <v>261800.0</v>
      </c>
      <c r="F3445" s="4"/>
      <c r="G3445" s="4"/>
      <c r="H3445" s="4">
        <f>'data on outstanding creditors'!$E3445-'data on outstanding creditors'!$F3445-'data on outstanding creditors'!$G3445</f>
        <v>261800</v>
      </c>
      <c r="I3445" s="2"/>
      <c r="J3445" s="1" t="s">
        <v>646</v>
      </c>
      <c r="K3445" s="2">
        <v>45815.0</v>
      </c>
      <c r="L3445" s="5"/>
      <c r="M3445" s="9" t="s">
        <v>377</v>
      </c>
      <c r="N3445" s="9" t="s">
        <v>49</v>
      </c>
      <c r="O3445" s="10">
        <f>'data on outstanding creditors'!$E3445*100/107</f>
        <v>244672.8972</v>
      </c>
      <c r="P3445" s="10">
        <f>'data on outstanding creditors'!$E3445-'data on outstanding creditors'!$O3445</f>
        <v>17127.1028</v>
      </c>
      <c r="Q3445" s="7">
        <f>DAY('data on outstanding creditors'!$B3445)</f>
        <v>31</v>
      </c>
      <c r="R3445" s="7">
        <f>MONTH('data on outstanding creditors'!$B3445)</f>
        <v>1</v>
      </c>
      <c r="S3445" s="7">
        <f>YEAR('data on outstanding creditors'!$B3445)</f>
        <v>2025</v>
      </c>
      <c r="T3445" s="11" t="str">
        <f>'data on outstanding creditors'!$C3445&amp;" "&amp;'data on outstanding creditors'!$D3445&amp;" "&amp;TEXT('data on outstanding creditors'!$E3445,"#,##0.00")</f>
        <v>บ.บุรีวัตร  สิทธิ จ่ายตรง 007/010 09/67 261,800.00</v>
      </c>
      <c r="U3445" s="12"/>
    </row>
    <row r="3446" ht="13.5" customHeight="1">
      <c r="A3446" s="1"/>
      <c r="B3446" s="2">
        <v>45688.0</v>
      </c>
      <c r="C3446" s="9" t="s">
        <v>375</v>
      </c>
      <c r="D3446" s="1" t="s">
        <v>5469</v>
      </c>
      <c r="E3446" s="4">
        <v>291200.0</v>
      </c>
      <c r="F3446" s="4"/>
      <c r="G3446" s="4"/>
      <c r="H3446" s="4">
        <f>'data on outstanding creditors'!$E3446-'data on outstanding creditors'!$F3446-'data on outstanding creditors'!$G3446</f>
        <v>291200</v>
      </c>
      <c r="I3446" s="2"/>
      <c r="J3446" s="1" t="s">
        <v>646</v>
      </c>
      <c r="K3446" s="2">
        <v>45815.0</v>
      </c>
      <c r="L3446" s="5"/>
      <c r="M3446" s="9" t="s">
        <v>377</v>
      </c>
      <c r="N3446" s="9" t="s">
        <v>49</v>
      </c>
      <c r="O3446" s="10">
        <f>'data on outstanding creditors'!$E3446*100/107</f>
        <v>272149.5327</v>
      </c>
      <c r="P3446" s="10">
        <f>'data on outstanding creditors'!$E3446-'data on outstanding creditors'!$O3446</f>
        <v>19050.46729</v>
      </c>
      <c r="Q3446" s="7">
        <f>DAY('data on outstanding creditors'!$B3446)</f>
        <v>31</v>
      </c>
      <c r="R3446" s="7">
        <f>MONTH('data on outstanding creditors'!$B3446)</f>
        <v>1</v>
      </c>
      <c r="S3446" s="7">
        <f>YEAR('data on outstanding creditors'!$B3446)</f>
        <v>2025</v>
      </c>
      <c r="T3446" s="11" t="str">
        <f>'data on outstanding creditors'!$C3446&amp;" "&amp;'data on outstanding creditors'!$D3446&amp;" "&amp;TEXT('data on outstanding creditors'!$E3446,"#,##0.00")</f>
        <v>บ.บุรีวัตร  สิทธิ จ่ายตรง 007/011 09/67 291,200.00</v>
      </c>
      <c r="U3446" s="12"/>
    </row>
    <row r="3447" ht="13.5" customHeight="1">
      <c r="A3447" s="1"/>
      <c r="B3447" s="2">
        <v>45688.0</v>
      </c>
      <c r="C3447" s="9" t="s">
        <v>375</v>
      </c>
      <c r="D3447" s="1" t="s">
        <v>5470</v>
      </c>
      <c r="E3447" s="4">
        <v>288420.0</v>
      </c>
      <c r="F3447" s="4"/>
      <c r="G3447" s="4"/>
      <c r="H3447" s="4">
        <f>'data on outstanding creditors'!$E3447-'data on outstanding creditors'!$F3447-'data on outstanding creditors'!$G3447</f>
        <v>288420</v>
      </c>
      <c r="I3447" s="2"/>
      <c r="J3447" s="1" t="s">
        <v>646</v>
      </c>
      <c r="K3447" s="2">
        <v>45843.0</v>
      </c>
      <c r="L3447" s="5"/>
      <c r="M3447" s="9" t="s">
        <v>377</v>
      </c>
      <c r="N3447" s="9" t="s">
        <v>49</v>
      </c>
      <c r="O3447" s="10">
        <f>'data on outstanding creditors'!$E3447*100/107</f>
        <v>269551.4019</v>
      </c>
      <c r="P3447" s="10">
        <f>'data on outstanding creditors'!$E3447-'data on outstanding creditors'!$O3447</f>
        <v>18868.59813</v>
      </c>
      <c r="Q3447" s="7">
        <f>DAY('data on outstanding creditors'!$B3447)</f>
        <v>31</v>
      </c>
      <c r="R3447" s="7">
        <f>MONTH('data on outstanding creditors'!$B3447)</f>
        <v>1</v>
      </c>
      <c r="S3447" s="7">
        <f>YEAR('data on outstanding creditors'!$B3447)</f>
        <v>2025</v>
      </c>
      <c r="T3447" s="11" t="str">
        <f>'data on outstanding creditors'!$C3447&amp;" "&amp;'data on outstanding creditors'!$D3447&amp;" "&amp;TEXT('data on outstanding creditors'!$E3447,"#,##0.00")</f>
        <v>บ.บุรีวัตร  สิทธิ จ่ายตรง 007/013 10/67 288,420.00</v>
      </c>
      <c r="U3447" s="12"/>
    </row>
    <row r="3448" ht="13.5" customHeight="1">
      <c r="A3448" s="1"/>
      <c r="B3448" s="2">
        <v>45734.0</v>
      </c>
      <c r="C3448" s="9" t="s">
        <v>379</v>
      </c>
      <c r="D3448" s="1" t="s">
        <v>5471</v>
      </c>
      <c r="E3448" s="4">
        <v>487140.0</v>
      </c>
      <c r="F3448" s="4"/>
      <c r="G3448" s="4"/>
      <c r="H3448" s="4">
        <f>'data on outstanding creditors'!$E3448-'data on outstanding creditors'!$F3448-'data on outstanding creditors'!$G3448</f>
        <v>487140</v>
      </c>
      <c r="I3448" s="2"/>
      <c r="J3448" s="1" t="s">
        <v>646</v>
      </c>
      <c r="K3448" s="2">
        <v>45815.0</v>
      </c>
      <c r="L3448" s="5"/>
      <c r="M3448" s="9" t="s">
        <v>377</v>
      </c>
      <c r="N3448" s="9" t="s">
        <v>49</v>
      </c>
      <c r="O3448" s="10">
        <f>'data on outstanding creditors'!$E3448*100/107</f>
        <v>455271.028</v>
      </c>
      <c r="P3448" s="10">
        <f>'data on outstanding creditors'!$E3448-'data on outstanding creditors'!$O3448</f>
        <v>31868.97196</v>
      </c>
      <c r="Q3448" s="7">
        <f>DAY('data on outstanding creditors'!$B3448)</f>
        <v>18</v>
      </c>
      <c r="R3448" s="7">
        <f>MONTH('data on outstanding creditors'!$B3448)</f>
        <v>3</v>
      </c>
      <c r="S3448" s="7">
        <f>YEAR('data on outstanding creditors'!$B3448)</f>
        <v>2025</v>
      </c>
      <c r="T3448" s="11" t="str">
        <f>'data on outstanding creditors'!$C3448&amp;" "&amp;'data on outstanding creditors'!$D3448&amp;" "&amp;TEXT('data on outstanding creditors'!$E3448,"#,##0.00")</f>
        <v>บ.บุรีวัตร  สิทธิ สปสช 007/036 01/68 487,140.00</v>
      </c>
      <c r="U3448" s="12"/>
    </row>
    <row r="3449" ht="13.5" customHeight="1">
      <c r="A3449" s="1"/>
      <c r="B3449" s="2">
        <v>45734.0</v>
      </c>
      <c r="C3449" s="9" t="s">
        <v>379</v>
      </c>
      <c r="D3449" s="1" t="s">
        <v>5472</v>
      </c>
      <c r="E3449" s="4">
        <v>445740.0</v>
      </c>
      <c r="F3449" s="4"/>
      <c r="G3449" s="4"/>
      <c r="H3449" s="4">
        <f>'data on outstanding creditors'!$E3449-'data on outstanding creditors'!$F3449-'data on outstanding creditors'!$G3449</f>
        <v>445740</v>
      </c>
      <c r="I3449" s="2"/>
      <c r="J3449" s="1" t="s">
        <v>646</v>
      </c>
      <c r="K3449" s="2">
        <v>45815.0</v>
      </c>
      <c r="L3449" s="5"/>
      <c r="M3449" s="9" t="s">
        <v>377</v>
      </c>
      <c r="N3449" s="9" t="s">
        <v>49</v>
      </c>
      <c r="O3449" s="10">
        <f>'data on outstanding creditors'!$E3449*100/107</f>
        <v>416579.4393</v>
      </c>
      <c r="P3449" s="10">
        <f>'data on outstanding creditors'!$E3449-'data on outstanding creditors'!$O3449</f>
        <v>29160.56075</v>
      </c>
      <c r="Q3449" s="7">
        <f>DAY('data on outstanding creditors'!$B3449)</f>
        <v>18</v>
      </c>
      <c r="R3449" s="7">
        <f>MONTH('data on outstanding creditors'!$B3449)</f>
        <v>3</v>
      </c>
      <c r="S3449" s="7">
        <f>YEAR('data on outstanding creditors'!$B3449)</f>
        <v>2025</v>
      </c>
      <c r="T3449" s="11" t="str">
        <f>'data on outstanding creditors'!$C3449&amp;" "&amp;'data on outstanding creditors'!$D3449&amp;" "&amp;TEXT('data on outstanding creditors'!$E3449,"#,##0.00")</f>
        <v>บ.บุรีวัตร  สิทธิ สปสช 007/037 01/68 445,740.00</v>
      </c>
      <c r="U3449" s="12"/>
    </row>
    <row r="3450" ht="13.5" customHeight="1">
      <c r="A3450" s="1"/>
      <c r="B3450" s="2">
        <v>45734.0</v>
      </c>
      <c r="C3450" s="9" t="s">
        <v>379</v>
      </c>
      <c r="D3450" s="1" t="s">
        <v>5473</v>
      </c>
      <c r="E3450" s="4">
        <v>463680.0</v>
      </c>
      <c r="F3450" s="4"/>
      <c r="G3450" s="4"/>
      <c r="H3450" s="4">
        <f>'data on outstanding creditors'!$E3450-'data on outstanding creditors'!$F3450-'data on outstanding creditors'!$G3450</f>
        <v>463680</v>
      </c>
      <c r="I3450" s="2"/>
      <c r="J3450" s="1" t="s">
        <v>646</v>
      </c>
      <c r="K3450" s="2">
        <v>45815.0</v>
      </c>
      <c r="L3450" s="5"/>
      <c r="M3450" s="9" t="s">
        <v>377</v>
      </c>
      <c r="N3450" s="9" t="s">
        <v>49</v>
      </c>
      <c r="O3450" s="10">
        <f>'data on outstanding creditors'!$E3450*100/107</f>
        <v>433345.7944</v>
      </c>
      <c r="P3450" s="10">
        <f>'data on outstanding creditors'!$E3450-'data on outstanding creditors'!$O3450</f>
        <v>30334.20561</v>
      </c>
      <c r="Q3450" s="7">
        <f>DAY('data on outstanding creditors'!$B3450)</f>
        <v>18</v>
      </c>
      <c r="R3450" s="7">
        <f>MONTH('data on outstanding creditors'!$B3450)</f>
        <v>3</v>
      </c>
      <c r="S3450" s="7">
        <f>YEAR('data on outstanding creditors'!$B3450)</f>
        <v>2025</v>
      </c>
      <c r="T3450" s="11" t="str">
        <f>'data on outstanding creditors'!$C3450&amp;" "&amp;'data on outstanding creditors'!$D3450&amp;" "&amp;TEXT('data on outstanding creditors'!$E3450,"#,##0.00")</f>
        <v>บ.บุรีวัตร  สิทธิ สปสช 007/038 01/68 463,680.00</v>
      </c>
      <c r="U3450" s="12"/>
    </row>
    <row r="3451" ht="13.5" customHeight="1">
      <c r="A3451" s="1"/>
      <c r="B3451" s="2">
        <v>45734.0</v>
      </c>
      <c r="C3451" s="9" t="s">
        <v>379</v>
      </c>
      <c r="D3451" s="1" t="s">
        <v>5474</v>
      </c>
      <c r="E3451" s="4">
        <v>307740.0</v>
      </c>
      <c r="F3451" s="4"/>
      <c r="G3451" s="4"/>
      <c r="H3451" s="4">
        <f>'data on outstanding creditors'!$E3451-'data on outstanding creditors'!$F3451-'data on outstanding creditors'!$G3451</f>
        <v>307740</v>
      </c>
      <c r="I3451" s="2"/>
      <c r="J3451" s="1" t="s">
        <v>646</v>
      </c>
      <c r="K3451" s="2">
        <v>45815.0</v>
      </c>
      <c r="L3451" s="5"/>
      <c r="M3451" s="9" t="s">
        <v>377</v>
      </c>
      <c r="N3451" s="9" t="s">
        <v>49</v>
      </c>
      <c r="O3451" s="10">
        <f>'data on outstanding creditors'!$E3451*100/107</f>
        <v>287607.4766</v>
      </c>
      <c r="P3451" s="10">
        <f>'data on outstanding creditors'!$E3451-'data on outstanding creditors'!$O3451</f>
        <v>20132.52336</v>
      </c>
      <c r="Q3451" s="7">
        <f>DAY('data on outstanding creditors'!$B3451)</f>
        <v>18</v>
      </c>
      <c r="R3451" s="7">
        <f>MONTH('data on outstanding creditors'!$B3451)</f>
        <v>3</v>
      </c>
      <c r="S3451" s="7">
        <f>YEAR('data on outstanding creditors'!$B3451)</f>
        <v>2025</v>
      </c>
      <c r="T3451" s="11" t="str">
        <f>'data on outstanding creditors'!$C3451&amp;" "&amp;'data on outstanding creditors'!$D3451&amp;" "&amp;TEXT('data on outstanding creditors'!$E3451,"#,##0.00")</f>
        <v>บ.บุรีวัตร  สิทธิ สปสช 007/039 01/68 307,740.00</v>
      </c>
      <c r="U3451" s="12"/>
    </row>
    <row r="3452" ht="13.5" customHeight="1">
      <c r="A3452" s="1"/>
      <c r="B3452" s="2">
        <v>45777.0</v>
      </c>
      <c r="C3452" s="9" t="s">
        <v>379</v>
      </c>
      <c r="D3452" s="1" t="s">
        <v>5475</v>
      </c>
      <c r="E3452" s="4">
        <v>448500.0</v>
      </c>
      <c r="F3452" s="4"/>
      <c r="G3452" s="4"/>
      <c r="H3452" s="4">
        <f>'data on outstanding creditors'!$E3452-'data on outstanding creditors'!$F3452-'data on outstanding creditors'!$G3452</f>
        <v>448500</v>
      </c>
      <c r="I3452" s="2"/>
      <c r="J3452" s="1" t="s">
        <v>646</v>
      </c>
      <c r="K3452" s="2">
        <v>45843.0</v>
      </c>
      <c r="L3452" s="5"/>
      <c r="M3452" s="9" t="s">
        <v>377</v>
      </c>
      <c r="N3452" s="9" t="s">
        <v>49</v>
      </c>
      <c r="O3452" s="10">
        <f>'data on outstanding creditors'!$E3452*100/107</f>
        <v>419158.8785</v>
      </c>
      <c r="P3452" s="10">
        <f>'data on outstanding creditors'!$E3452-'data on outstanding creditors'!$O3452</f>
        <v>29341.1215</v>
      </c>
      <c r="Q3452" s="7">
        <f>DAY('data on outstanding creditors'!$B3452)</f>
        <v>30</v>
      </c>
      <c r="R3452" s="7">
        <f>MONTH('data on outstanding creditors'!$B3452)</f>
        <v>4</v>
      </c>
      <c r="S3452" s="7">
        <f>YEAR('data on outstanding creditors'!$B3452)</f>
        <v>2025</v>
      </c>
      <c r="T3452" s="11" t="str">
        <f>'data on outstanding creditors'!$C3452&amp;" "&amp;'data on outstanding creditors'!$D3452&amp;" "&amp;TEXT('data on outstanding creditors'!$E3452,"#,##0.00")</f>
        <v>บ.บุรีวัตร  สิทธิ สปสช 007/040 02/68 448,500.00</v>
      </c>
      <c r="U3452" s="12"/>
    </row>
    <row r="3453" ht="13.5" customHeight="1">
      <c r="A3453" s="1"/>
      <c r="B3453" s="2">
        <v>45777.0</v>
      </c>
      <c r="C3453" s="9" t="s">
        <v>379</v>
      </c>
      <c r="D3453" s="1" t="s">
        <v>5476</v>
      </c>
      <c r="E3453" s="4">
        <v>438840.0</v>
      </c>
      <c r="F3453" s="4"/>
      <c r="G3453" s="4"/>
      <c r="H3453" s="4">
        <f>'data on outstanding creditors'!$E3453-'data on outstanding creditors'!$F3453-'data on outstanding creditors'!$G3453</f>
        <v>438840</v>
      </c>
      <c r="I3453" s="2"/>
      <c r="J3453" s="1" t="s">
        <v>646</v>
      </c>
      <c r="K3453" s="2">
        <v>45854.0</v>
      </c>
      <c r="L3453" s="5"/>
      <c r="M3453" s="9" t="s">
        <v>377</v>
      </c>
      <c r="N3453" s="9" t="s">
        <v>49</v>
      </c>
      <c r="O3453" s="10">
        <f>'data on outstanding creditors'!$E3453*100/107</f>
        <v>410130.8411</v>
      </c>
      <c r="P3453" s="10">
        <f>'data on outstanding creditors'!$E3453-'data on outstanding creditors'!$O3453</f>
        <v>28709.15888</v>
      </c>
      <c r="Q3453" s="7">
        <f>DAY('data on outstanding creditors'!$B3453)</f>
        <v>30</v>
      </c>
      <c r="R3453" s="7">
        <f>MONTH('data on outstanding creditors'!$B3453)</f>
        <v>4</v>
      </c>
      <c r="S3453" s="7">
        <f>YEAR('data on outstanding creditors'!$B3453)</f>
        <v>2025</v>
      </c>
      <c r="T3453" s="11" t="str">
        <f>'data on outstanding creditors'!$C3453&amp;" "&amp;'data on outstanding creditors'!$D3453&amp;" "&amp;TEXT('data on outstanding creditors'!$E3453,"#,##0.00")</f>
        <v>บ.บุรีวัตร  สิทธิ สปสช 007/041 02/68 438,840.00</v>
      </c>
      <c r="U3453" s="12"/>
    </row>
    <row r="3454" ht="13.5" customHeight="1">
      <c r="A3454" s="1"/>
      <c r="B3454" s="2">
        <v>45777.0</v>
      </c>
      <c r="C3454" s="9" t="s">
        <v>379</v>
      </c>
      <c r="D3454" s="1" t="s">
        <v>5477</v>
      </c>
      <c r="E3454" s="4">
        <v>456780.0</v>
      </c>
      <c r="F3454" s="4"/>
      <c r="G3454" s="4"/>
      <c r="H3454" s="4">
        <f>'data on outstanding creditors'!$E3454-'data on outstanding creditors'!$F3454-'data on outstanding creditors'!$G3454</f>
        <v>456780</v>
      </c>
      <c r="I3454" s="2"/>
      <c r="J3454" s="1" t="s">
        <v>646</v>
      </c>
      <c r="K3454" s="2">
        <v>45843.0</v>
      </c>
      <c r="L3454" s="5"/>
      <c r="M3454" s="9" t="s">
        <v>377</v>
      </c>
      <c r="N3454" s="9" t="s">
        <v>49</v>
      </c>
      <c r="O3454" s="10">
        <f>'data on outstanding creditors'!$E3454*100/107</f>
        <v>426897.1963</v>
      </c>
      <c r="P3454" s="10">
        <f>'data on outstanding creditors'!$E3454-'data on outstanding creditors'!$O3454</f>
        <v>29882.80374</v>
      </c>
      <c r="Q3454" s="7">
        <f>DAY('data on outstanding creditors'!$B3454)</f>
        <v>30</v>
      </c>
      <c r="R3454" s="7">
        <f>MONTH('data on outstanding creditors'!$B3454)</f>
        <v>4</v>
      </c>
      <c r="S3454" s="7">
        <f>YEAR('data on outstanding creditors'!$B3454)</f>
        <v>2025</v>
      </c>
      <c r="T3454" s="11" t="str">
        <f>'data on outstanding creditors'!$C3454&amp;" "&amp;'data on outstanding creditors'!$D3454&amp;" "&amp;TEXT('data on outstanding creditors'!$E3454,"#,##0.00")</f>
        <v>บ.บุรีวัตร  สิทธิ สปสช 007/042 02/68 456,780.00</v>
      </c>
      <c r="U3454" s="12"/>
    </row>
    <row r="3455" ht="13.5" customHeight="1">
      <c r="A3455" s="1"/>
      <c r="B3455" s="2">
        <v>45777.0</v>
      </c>
      <c r="C3455" s="9" t="s">
        <v>379</v>
      </c>
      <c r="D3455" s="1" t="s">
        <v>5478</v>
      </c>
      <c r="E3455" s="4">
        <v>172500.0</v>
      </c>
      <c r="F3455" s="4"/>
      <c r="G3455" s="4"/>
      <c r="H3455" s="4">
        <f>'data on outstanding creditors'!$E3455-'data on outstanding creditors'!$F3455-'data on outstanding creditors'!$G3455</f>
        <v>172500</v>
      </c>
      <c r="I3455" s="2"/>
      <c r="J3455" s="1" t="s">
        <v>646</v>
      </c>
      <c r="K3455" s="2">
        <v>45843.0</v>
      </c>
      <c r="L3455" s="5"/>
      <c r="M3455" s="9" t="s">
        <v>377</v>
      </c>
      <c r="N3455" s="9" t="s">
        <v>49</v>
      </c>
      <c r="O3455" s="10">
        <f>'data on outstanding creditors'!$E3455*100/107</f>
        <v>161214.9533</v>
      </c>
      <c r="P3455" s="10">
        <f>'data on outstanding creditors'!$E3455-'data on outstanding creditors'!$O3455</f>
        <v>11285.04673</v>
      </c>
      <c r="Q3455" s="7">
        <f>DAY('data on outstanding creditors'!$B3455)</f>
        <v>30</v>
      </c>
      <c r="R3455" s="7">
        <f>MONTH('data on outstanding creditors'!$B3455)</f>
        <v>4</v>
      </c>
      <c r="S3455" s="7">
        <f>YEAR('data on outstanding creditors'!$B3455)</f>
        <v>2025</v>
      </c>
      <c r="T3455" s="11" t="str">
        <f>'data on outstanding creditors'!$C3455&amp;" "&amp;'data on outstanding creditors'!$D3455&amp;" "&amp;TEXT('data on outstanding creditors'!$E3455,"#,##0.00")</f>
        <v>บ.บุรีวัตร  สิทธิ สปสช 007/043 02/68 172,500.00</v>
      </c>
      <c r="U3455" s="12"/>
    </row>
    <row r="3456" ht="13.5" customHeight="1">
      <c r="A3456" s="1"/>
      <c r="B3456" s="2">
        <v>45785.0</v>
      </c>
      <c r="C3456" s="9" t="s">
        <v>375</v>
      </c>
      <c r="D3456" s="1" t="s">
        <v>5479</v>
      </c>
      <c r="E3456" s="4">
        <v>24840.0</v>
      </c>
      <c r="F3456" s="4"/>
      <c r="G3456" s="4"/>
      <c r="H3456" s="4">
        <f>'data on outstanding creditors'!$E3456-'data on outstanding creditors'!$F3456-'data on outstanding creditors'!$G3456</f>
        <v>24840</v>
      </c>
      <c r="I3456" s="2"/>
      <c r="J3456" s="1" t="s">
        <v>646</v>
      </c>
      <c r="K3456" s="2">
        <v>45866.0</v>
      </c>
      <c r="L3456" s="5"/>
      <c r="M3456" s="9" t="s">
        <v>377</v>
      </c>
      <c r="N3456" s="9" t="s">
        <v>49</v>
      </c>
      <c r="O3456" s="10">
        <f>'data on outstanding creditors'!$E3456*100/107</f>
        <v>23214.95327</v>
      </c>
      <c r="P3456" s="10">
        <f>'data on outstanding creditors'!$E3456-'data on outstanding creditors'!$O3456</f>
        <v>1625.046729</v>
      </c>
      <c r="Q3456" s="7">
        <f>DAY('data on outstanding creditors'!$B3456)</f>
        <v>8</v>
      </c>
      <c r="R3456" s="7">
        <f>MONTH('data on outstanding creditors'!$B3456)</f>
        <v>5</v>
      </c>
      <c r="S3456" s="7">
        <f>YEAR('data on outstanding creditors'!$B3456)</f>
        <v>2025</v>
      </c>
      <c r="T3456" s="11" t="str">
        <f>'data on outstanding creditors'!$C3456&amp;" "&amp;'data on outstanding creditors'!$D3456&amp;" "&amp;TEXT('data on outstanding creditors'!$E3456,"#,##0.00")</f>
        <v>บ.บุรีวัตร  สิทธิ จ่ายตรง 007/052 01/68 24,840.00</v>
      </c>
      <c r="U3456" s="12"/>
    </row>
    <row r="3457" ht="13.5" customHeight="1">
      <c r="A3457" s="1"/>
      <c r="B3457" s="2">
        <v>45785.0</v>
      </c>
      <c r="C3457" s="9" t="s">
        <v>375</v>
      </c>
      <c r="D3457" s="1" t="s">
        <v>5480</v>
      </c>
      <c r="E3457" s="4">
        <v>1380.0</v>
      </c>
      <c r="F3457" s="4"/>
      <c r="G3457" s="4"/>
      <c r="H3457" s="4">
        <f>'data on outstanding creditors'!$E3457-'data on outstanding creditors'!$F3457-'data on outstanding creditors'!$G3457</f>
        <v>1380</v>
      </c>
      <c r="I3457" s="2"/>
      <c r="J3457" s="1" t="s">
        <v>646</v>
      </c>
      <c r="K3457" s="2">
        <v>45866.0</v>
      </c>
      <c r="L3457" s="5"/>
      <c r="M3457" s="9" t="s">
        <v>377</v>
      </c>
      <c r="N3457" s="9" t="s">
        <v>49</v>
      </c>
      <c r="O3457" s="10">
        <f>'data on outstanding creditors'!$E3457*100/107</f>
        <v>1289.719626</v>
      </c>
      <c r="P3457" s="10">
        <f>'data on outstanding creditors'!$E3457-'data on outstanding creditors'!$O3457</f>
        <v>90.28037383</v>
      </c>
      <c r="Q3457" s="7">
        <f>DAY('data on outstanding creditors'!$B3457)</f>
        <v>8</v>
      </c>
      <c r="R3457" s="7">
        <f>MONTH('data on outstanding creditors'!$B3457)</f>
        <v>5</v>
      </c>
      <c r="S3457" s="7">
        <f>YEAR('data on outstanding creditors'!$B3457)</f>
        <v>2025</v>
      </c>
      <c r="T3457" s="11" t="str">
        <f>'data on outstanding creditors'!$C3457&amp;" "&amp;'data on outstanding creditors'!$D3457&amp;" "&amp;TEXT('data on outstanding creditors'!$E3457,"#,##0.00")</f>
        <v>บ.บุรีวัตร  สิทธิ จ่ายตรง 007/055 01/68 1,380.00</v>
      </c>
      <c r="U3457" s="12"/>
    </row>
    <row r="3458" ht="13.5" customHeight="1">
      <c r="A3458" s="1"/>
      <c r="B3458" s="2">
        <v>45785.0</v>
      </c>
      <c r="C3458" s="9" t="s">
        <v>375</v>
      </c>
      <c r="D3458" s="1" t="s">
        <v>5481</v>
      </c>
      <c r="E3458" s="4">
        <v>17940.0</v>
      </c>
      <c r="F3458" s="4"/>
      <c r="G3458" s="4"/>
      <c r="H3458" s="4">
        <f>'data on outstanding creditors'!$E3458-'data on outstanding creditors'!$F3458-'data on outstanding creditors'!$G3458</f>
        <v>17940</v>
      </c>
      <c r="I3458" s="2"/>
      <c r="J3458" s="1" t="s">
        <v>646</v>
      </c>
      <c r="K3458" s="2">
        <v>45866.0</v>
      </c>
      <c r="L3458" s="5"/>
      <c r="M3458" s="9" t="s">
        <v>377</v>
      </c>
      <c r="N3458" s="9" t="s">
        <v>49</v>
      </c>
      <c r="O3458" s="10">
        <f>'data on outstanding creditors'!$E3458*100/107</f>
        <v>16766.35514</v>
      </c>
      <c r="P3458" s="10">
        <f>'data on outstanding creditors'!$E3458-'data on outstanding creditors'!$O3458</f>
        <v>1173.64486</v>
      </c>
      <c r="Q3458" s="7">
        <f>DAY('data on outstanding creditors'!$B3458)</f>
        <v>8</v>
      </c>
      <c r="R3458" s="7">
        <f>MONTH('data on outstanding creditors'!$B3458)</f>
        <v>5</v>
      </c>
      <c r="S3458" s="7">
        <f>YEAR('data on outstanding creditors'!$B3458)</f>
        <v>2025</v>
      </c>
      <c r="T3458" s="11" t="str">
        <f>'data on outstanding creditors'!$C3458&amp;" "&amp;'data on outstanding creditors'!$D3458&amp;" "&amp;TEXT('data on outstanding creditors'!$E3458,"#,##0.00")</f>
        <v>บ.บุรีวัตร  สิทธิ จ่ายตรง 007/056 02/68 17,940.00</v>
      </c>
      <c r="U3458" s="12"/>
    </row>
    <row r="3459" ht="13.5" customHeight="1">
      <c r="A3459" s="1"/>
      <c r="B3459" s="2">
        <v>45785.0</v>
      </c>
      <c r="C3459" s="9" t="s">
        <v>375</v>
      </c>
      <c r="D3459" s="1" t="s">
        <v>5482</v>
      </c>
      <c r="E3459" s="4">
        <v>6900.0</v>
      </c>
      <c r="F3459" s="4"/>
      <c r="G3459" s="4"/>
      <c r="H3459" s="4">
        <f>'data on outstanding creditors'!$E3459-'data on outstanding creditors'!$F3459-'data on outstanding creditors'!$G3459</f>
        <v>6900</v>
      </c>
      <c r="I3459" s="2"/>
      <c r="J3459" s="1" t="s">
        <v>646</v>
      </c>
      <c r="K3459" s="2">
        <v>45866.0</v>
      </c>
      <c r="L3459" s="5"/>
      <c r="M3459" s="9" t="s">
        <v>377</v>
      </c>
      <c r="N3459" s="9" t="s">
        <v>49</v>
      </c>
      <c r="O3459" s="10">
        <f>'data on outstanding creditors'!$E3459*100/107</f>
        <v>6448.598131</v>
      </c>
      <c r="P3459" s="10">
        <f>'data on outstanding creditors'!$E3459-'data on outstanding creditors'!$O3459</f>
        <v>451.4018692</v>
      </c>
      <c r="Q3459" s="7">
        <f>DAY('data on outstanding creditors'!$B3459)</f>
        <v>8</v>
      </c>
      <c r="R3459" s="7">
        <f>MONTH('data on outstanding creditors'!$B3459)</f>
        <v>5</v>
      </c>
      <c r="S3459" s="7">
        <f>YEAR('data on outstanding creditors'!$B3459)</f>
        <v>2025</v>
      </c>
      <c r="T3459" s="11" t="str">
        <f>'data on outstanding creditors'!$C3459&amp;" "&amp;'data on outstanding creditors'!$D3459&amp;" "&amp;TEXT('data on outstanding creditors'!$E3459,"#,##0.00")</f>
        <v>บ.บุรีวัตร  สิทธิ จ่ายตรง 007/058 01/68 6,900.00</v>
      </c>
      <c r="U3459" s="12"/>
    </row>
    <row r="3460" ht="13.5" customHeight="1">
      <c r="A3460" s="1"/>
      <c r="B3460" s="2">
        <v>45785.0</v>
      </c>
      <c r="C3460" s="9" t="s">
        <v>375</v>
      </c>
      <c r="D3460" s="1" t="s">
        <v>5483</v>
      </c>
      <c r="E3460" s="4">
        <v>22080.0</v>
      </c>
      <c r="F3460" s="4"/>
      <c r="G3460" s="4"/>
      <c r="H3460" s="4">
        <f>'data on outstanding creditors'!$E3460-'data on outstanding creditors'!$F3460-'data on outstanding creditors'!$G3460</f>
        <v>22080</v>
      </c>
      <c r="I3460" s="2"/>
      <c r="J3460" s="1" t="s">
        <v>646</v>
      </c>
      <c r="K3460" s="2">
        <v>45866.0</v>
      </c>
      <c r="L3460" s="5"/>
      <c r="M3460" s="9" t="s">
        <v>377</v>
      </c>
      <c r="N3460" s="9" t="s">
        <v>49</v>
      </c>
      <c r="O3460" s="10">
        <f>'data on outstanding creditors'!$E3460*100/107</f>
        <v>20635.51402</v>
      </c>
      <c r="P3460" s="10">
        <f>'data on outstanding creditors'!$E3460-'data on outstanding creditors'!$O3460</f>
        <v>1444.485981</v>
      </c>
      <c r="Q3460" s="7">
        <f>DAY('data on outstanding creditors'!$B3460)</f>
        <v>8</v>
      </c>
      <c r="R3460" s="7">
        <f>MONTH('data on outstanding creditors'!$B3460)</f>
        <v>5</v>
      </c>
      <c r="S3460" s="7">
        <f>YEAR('data on outstanding creditors'!$B3460)</f>
        <v>2025</v>
      </c>
      <c r="T3460" s="11" t="str">
        <f>'data on outstanding creditors'!$C3460&amp;" "&amp;'data on outstanding creditors'!$D3460&amp;" "&amp;TEXT('data on outstanding creditors'!$E3460,"#,##0.00")</f>
        <v>บ.บุรีวัตร  สิทธิ จ่ายตรง 007/059 12/67 22,080.00</v>
      </c>
      <c r="U3460" s="12"/>
    </row>
    <row r="3461" ht="13.5" customHeight="1">
      <c r="A3461" s="1"/>
      <c r="B3461" s="2">
        <v>45785.0</v>
      </c>
      <c r="C3461" s="9" t="s">
        <v>375</v>
      </c>
      <c r="D3461" s="1" t="s">
        <v>5484</v>
      </c>
      <c r="E3461" s="4">
        <v>19320.0</v>
      </c>
      <c r="F3461" s="4"/>
      <c r="G3461" s="4"/>
      <c r="H3461" s="4">
        <f>'data on outstanding creditors'!$E3461-'data on outstanding creditors'!$F3461-'data on outstanding creditors'!$G3461</f>
        <v>19320</v>
      </c>
      <c r="I3461" s="2"/>
      <c r="J3461" s="1" t="s">
        <v>646</v>
      </c>
      <c r="K3461" s="2">
        <v>45866.0</v>
      </c>
      <c r="L3461" s="5"/>
      <c r="M3461" s="9" t="s">
        <v>377</v>
      </c>
      <c r="N3461" s="9" t="s">
        <v>49</v>
      </c>
      <c r="O3461" s="10">
        <f>'data on outstanding creditors'!$E3461*100/107</f>
        <v>18056.07477</v>
      </c>
      <c r="P3461" s="10">
        <f>'data on outstanding creditors'!$E3461-'data on outstanding creditors'!$O3461</f>
        <v>1263.925234</v>
      </c>
      <c r="Q3461" s="7">
        <f>DAY('data on outstanding creditors'!$B3461)</f>
        <v>8</v>
      </c>
      <c r="R3461" s="7">
        <f>MONTH('data on outstanding creditors'!$B3461)</f>
        <v>5</v>
      </c>
      <c r="S3461" s="7">
        <f>YEAR('data on outstanding creditors'!$B3461)</f>
        <v>2025</v>
      </c>
      <c r="T3461" s="11" t="str">
        <f>'data on outstanding creditors'!$C3461&amp;" "&amp;'data on outstanding creditors'!$D3461&amp;" "&amp;TEXT('data on outstanding creditors'!$E3461,"#,##0.00")</f>
        <v>บ.บุรีวัตร  สิทธิ จ่ายตรง 007/061 03/68 19,320.00</v>
      </c>
      <c r="U3461" s="12"/>
    </row>
    <row r="3462" ht="13.5" customHeight="1">
      <c r="A3462" s="1"/>
      <c r="B3462" s="2">
        <v>45785.0</v>
      </c>
      <c r="C3462" s="9" t="s">
        <v>379</v>
      </c>
      <c r="D3462" s="1" t="s">
        <v>5485</v>
      </c>
      <c r="E3462" s="4">
        <v>462300.0</v>
      </c>
      <c r="F3462" s="4"/>
      <c r="G3462" s="4"/>
      <c r="H3462" s="4">
        <f>'data on outstanding creditors'!$E3462-'data on outstanding creditors'!$F3462-'data on outstanding creditors'!$G3462</f>
        <v>462300</v>
      </c>
      <c r="I3462" s="2"/>
      <c r="J3462" s="1" t="s">
        <v>646</v>
      </c>
      <c r="K3462" s="2">
        <v>45866.0</v>
      </c>
      <c r="L3462" s="5"/>
      <c r="M3462" s="9" t="s">
        <v>377</v>
      </c>
      <c r="N3462" s="9" t="s">
        <v>49</v>
      </c>
      <c r="O3462" s="10">
        <f>'data on outstanding creditors'!$E3462*100/107</f>
        <v>432056.0748</v>
      </c>
      <c r="P3462" s="10">
        <f>'data on outstanding creditors'!$E3462-'data on outstanding creditors'!$O3462</f>
        <v>30243.92523</v>
      </c>
      <c r="Q3462" s="7">
        <f>DAY('data on outstanding creditors'!$B3462)</f>
        <v>8</v>
      </c>
      <c r="R3462" s="7">
        <f>MONTH('data on outstanding creditors'!$B3462)</f>
        <v>5</v>
      </c>
      <c r="S3462" s="7">
        <f>YEAR('data on outstanding creditors'!$B3462)</f>
        <v>2025</v>
      </c>
      <c r="T3462" s="11" t="str">
        <f>'data on outstanding creditors'!$C3462&amp;" "&amp;'data on outstanding creditors'!$D3462&amp;" "&amp;TEXT('data on outstanding creditors'!$E3462,"#,##0.00")</f>
        <v>บ.บุรีวัตร  สิทธิ สปสช 007/067 03/68 462,300.00</v>
      </c>
      <c r="U3462" s="12"/>
    </row>
    <row r="3463" ht="13.5" customHeight="1">
      <c r="A3463" s="1"/>
      <c r="B3463" s="2">
        <v>45785.0</v>
      </c>
      <c r="C3463" s="9" t="s">
        <v>379</v>
      </c>
      <c r="D3463" s="1" t="s">
        <v>5486</v>
      </c>
      <c r="E3463" s="4">
        <v>451260.0</v>
      </c>
      <c r="F3463" s="4"/>
      <c r="G3463" s="4"/>
      <c r="H3463" s="4">
        <f>'data on outstanding creditors'!$E3463-'data on outstanding creditors'!$F3463-'data on outstanding creditors'!$G3463</f>
        <v>451260</v>
      </c>
      <c r="I3463" s="2"/>
      <c r="J3463" s="1" t="s">
        <v>646</v>
      </c>
      <c r="K3463" s="2">
        <v>45866.0</v>
      </c>
      <c r="L3463" s="5"/>
      <c r="M3463" s="9" t="s">
        <v>377</v>
      </c>
      <c r="N3463" s="9" t="s">
        <v>49</v>
      </c>
      <c r="O3463" s="10">
        <f>'data on outstanding creditors'!$E3463*100/107</f>
        <v>421738.3178</v>
      </c>
      <c r="P3463" s="10">
        <f>'data on outstanding creditors'!$E3463-'data on outstanding creditors'!$O3463</f>
        <v>29521.68224</v>
      </c>
      <c r="Q3463" s="7">
        <f>DAY('data on outstanding creditors'!$B3463)</f>
        <v>8</v>
      </c>
      <c r="R3463" s="7">
        <f>MONTH('data on outstanding creditors'!$B3463)</f>
        <v>5</v>
      </c>
      <c r="S3463" s="7">
        <f>YEAR('data on outstanding creditors'!$B3463)</f>
        <v>2025</v>
      </c>
      <c r="T3463" s="11" t="str">
        <f>'data on outstanding creditors'!$C3463&amp;" "&amp;'data on outstanding creditors'!$D3463&amp;" "&amp;TEXT('data on outstanding creditors'!$E3463,"#,##0.00")</f>
        <v>บ.บุรีวัตร  สิทธิ สปสช 007/068 03/68 451,260.00</v>
      </c>
      <c r="U3463" s="12"/>
    </row>
    <row r="3464" ht="13.5" customHeight="1">
      <c r="A3464" s="1"/>
      <c r="B3464" s="2">
        <v>45785.0</v>
      </c>
      <c r="C3464" s="9" t="s">
        <v>379</v>
      </c>
      <c r="D3464" s="1" t="s">
        <v>5487</v>
      </c>
      <c r="E3464" s="4">
        <v>321540.0</v>
      </c>
      <c r="F3464" s="4"/>
      <c r="G3464" s="4"/>
      <c r="H3464" s="4">
        <f>'data on outstanding creditors'!$E3464-'data on outstanding creditors'!$F3464-'data on outstanding creditors'!$G3464</f>
        <v>321540</v>
      </c>
      <c r="I3464" s="2"/>
      <c r="J3464" s="1" t="s">
        <v>646</v>
      </c>
      <c r="K3464" s="2">
        <v>45866.0</v>
      </c>
      <c r="L3464" s="5"/>
      <c r="M3464" s="9" t="s">
        <v>377</v>
      </c>
      <c r="N3464" s="9" t="s">
        <v>49</v>
      </c>
      <c r="O3464" s="10">
        <f>'data on outstanding creditors'!$E3464*100/107</f>
        <v>300504.6729</v>
      </c>
      <c r="P3464" s="10">
        <f>'data on outstanding creditors'!$E3464-'data on outstanding creditors'!$O3464</f>
        <v>21035.3271</v>
      </c>
      <c r="Q3464" s="7">
        <f>DAY('data on outstanding creditors'!$B3464)</f>
        <v>8</v>
      </c>
      <c r="R3464" s="7">
        <f>MONTH('data on outstanding creditors'!$B3464)</f>
        <v>5</v>
      </c>
      <c r="S3464" s="7">
        <f>YEAR('data on outstanding creditors'!$B3464)</f>
        <v>2025</v>
      </c>
      <c r="T3464" s="11" t="str">
        <f>'data on outstanding creditors'!$C3464&amp;" "&amp;'data on outstanding creditors'!$D3464&amp;" "&amp;TEXT('data on outstanding creditors'!$E3464,"#,##0.00")</f>
        <v>บ.บุรีวัตร  สิทธิ สปสช 007/070 03/68 321,540.00</v>
      </c>
      <c r="U3464" s="12"/>
    </row>
    <row r="3465" ht="13.5" customHeight="1">
      <c r="A3465" s="1"/>
      <c r="B3465" s="2">
        <v>45796.0</v>
      </c>
      <c r="C3465" s="9" t="s">
        <v>379</v>
      </c>
      <c r="D3465" s="1" t="s">
        <v>5488</v>
      </c>
      <c r="E3465" s="4">
        <v>473340.0</v>
      </c>
      <c r="F3465" s="4"/>
      <c r="G3465" s="4"/>
      <c r="H3465" s="4">
        <f>'data on outstanding creditors'!$E3465-'data on outstanding creditors'!$F3465-'data on outstanding creditors'!$G3465</f>
        <v>473340</v>
      </c>
      <c r="I3465" s="2"/>
      <c r="J3465" s="1" t="s">
        <v>646</v>
      </c>
      <c r="K3465" s="2">
        <v>45928.0</v>
      </c>
      <c r="L3465" s="5"/>
      <c r="M3465" s="9" t="s">
        <v>377</v>
      </c>
      <c r="N3465" s="9" t="s">
        <v>49</v>
      </c>
      <c r="O3465" s="10">
        <f>'data on outstanding creditors'!$E3465*100/107</f>
        <v>442373.8318</v>
      </c>
      <c r="P3465" s="10">
        <f>'data on outstanding creditors'!$E3465-'data on outstanding creditors'!$O3465</f>
        <v>30966.16822</v>
      </c>
      <c r="Q3465" s="7">
        <f>DAY('data on outstanding creditors'!$B3465)</f>
        <v>19</v>
      </c>
      <c r="R3465" s="7">
        <f>MONTH('data on outstanding creditors'!$B3465)</f>
        <v>5</v>
      </c>
      <c r="S3465" s="7">
        <f>YEAR('data on outstanding creditors'!$B3465)</f>
        <v>2025</v>
      </c>
      <c r="T3465" s="11" t="str">
        <f>'data on outstanding creditors'!$C3465&amp;" "&amp;'data on outstanding creditors'!$D3465&amp;" "&amp;TEXT('data on outstanding creditors'!$E3465,"#,##0.00")</f>
        <v>บ.บุรีวัตร  สิทธิ สปสช 007/069 03/68 473,340.00</v>
      </c>
      <c r="U3465" s="12"/>
    </row>
    <row r="3466" ht="13.5" customHeight="1">
      <c r="A3466" s="1"/>
      <c r="B3466" s="2">
        <v>45796.0</v>
      </c>
      <c r="C3466" s="9" t="s">
        <v>375</v>
      </c>
      <c r="D3466" s="1" t="s">
        <v>5489</v>
      </c>
      <c r="E3466" s="4">
        <v>291180.0</v>
      </c>
      <c r="F3466" s="4"/>
      <c r="G3466" s="4"/>
      <c r="H3466" s="4">
        <f>'data on outstanding creditors'!$E3466-'data on outstanding creditors'!$F3466-'data on outstanding creditors'!$G3466</f>
        <v>291180</v>
      </c>
      <c r="I3466" s="2"/>
      <c r="J3466" s="1" t="s">
        <v>646</v>
      </c>
      <c r="K3466" s="2">
        <v>45928.0</v>
      </c>
      <c r="L3466" s="5"/>
      <c r="M3466" s="9" t="s">
        <v>377</v>
      </c>
      <c r="N3466" s="9" t="s">
        <v>49</v>
      </c>
      <c r="O3466" s="10">
        <f>'data on outstanding creditors'!$E3466*100/107</f>
        <v>272130.8411</v>
      </c>
      <c r="P3466" s="10">
        <f>'data on outstanding creditors'!$E3466-'data on outstanding creditors'!$O3466</f>
        <v>19049.15888</v>
      </c>
      <c r="Q3466" s="7">
        <f>DAY('data on outstanding creditors'!$B3466)</f>
        <v>19</v>
      </c>
      <c r="R3466" s="7">
        <f>MONTH('data on outstanding creditors'!$B3466)</f>
        <v>5</v>
      </c>
      <c r="S3466" s="7">
        <f>YEAR('data on outstanding creditors'!$B3466)</f>
        <v>2025</v>
      </c>
      <c r="T3466" s="11" t="str">
        <f>'data on outstanding creditors'!$C3466&amp;" "&amp;'data on outstanding creditors'!$D3466&amp;" "&amp;TEXT('data on outstanding creditors'!$E3466,"#,##0.00")</f>
        <v>บ.บุรีวัตร  สิทธิ จ่ายตรง 007/063 03/68 291,180.00</v>
      </c>
      <c r="U3466" s="12"/>
    </row>
    <row r="3467" ht="13.5" customHeight="1">
      <c r="A3467" s="1"/>
      <c r="B3467" s="2">
        <v>45796.0</v>
      </c>
      <c r="C3467" s="9" t="s">
        <v>375</v>
      </c>
      <c r="D3467" s="1" t="s">
        <v>5490</v>
      </c>
      <c r="E3467" s="4">
        <v>259440.0</v>
      </c>
      <c r="F3467" s="4"/>
      <c r="G3467" s="4"/>
      <c r="H3467" s="4">
        <f>'data on outstanding creditors'!$E3467-'data on outstanding creditors'!$F3467-'data on outstanding creditors'!$G3467</f>
        <v>259440</v>
      </c>
      <c r="I3467" s="2"/>
      <c r="J3467" s="1" t="s">
        <v>646</v>
      </c>
      <c r="K3467" s="2">
        <v>45928.0</v>
      </c>
      <c r="L3467" s="5"/>
      <c r="M3467" s="9" t="s">
        <v>377</v>
      </c>
      <c r="N3467" s="9" t="s">
        <v>49</v>
      </c>
      <c r="O3467" s="10">
        <f>'data on outstanding creditors'!$E3467*100/107</f>
        <v>242467.2897</v>
      </c>
      <c r="P3467" s="10">
        <f>'data on outstanding creditors'!$E3467-'data on outstanding creditors'!$O3467</f>
        <v>16972.71028</v>
      </c>
      <c r="Q3467" s="7">
        <f>DAY('data on outstanding creditors'!$B3467)</f>
        <v>19</v>
      </c>
      <c r="R3467" s="7">
        <f>MONTH('data on outstanding creditors'!$B3467)</f>
        <v>5</v>
      </c>
      <c r="S3467" s="7">
        <f>YEAR('data on outstanding creditors'!$B3467)</f>
        <v>2025</v>
      </c>
      <c r="T3467" s="11" t="str">
        <f>'data on outstanding creditors'!$C3467&amp;" "&amp;'data on outstanding creditors'!$D3467&amp;" "&amp;TEXT('data on outstanding creditors'!$E3467,"#,##0.00")</f>
        <v>บ.บุรีวัตร  สิทธิ จ่ายตรง 007/062 03/68 259,440.00</v>
      </c>
      <c r="U3467" s="12"/>
    </row>
    <row r="3468" ht="13.5" customHeight="1">
      <c r="A3468" s="1"/>
      <c r="B3468" s="2">
        <v>45796.0</v>
      </c>
      <c r="C3468" s="9" t="s">
        <v>375</v>
      </c>
      <c r="D3468" s="1" t="s">
        <v>5491</v>
      </c>
      <c r="E3468" s="4">
        <v>248400.0</v>
      </c>
      <c r="F3468" s="4"/>
      <c r="G3468" s="4"/>
      <c r="H3468" s="4">
        <f>'data on outstanding creditors'!$E3468-'data on outstanding creditors'!$F3468-'data on outstanding creditors'!$G3468</f>
        <v>248400</v>
      </c>
      <c r="I3468" s="2"/>
      <c r="J3468" s="1" t="s">
        <v>646</v>
      </c>
      <c r="K3468" s="2">
        <v>45928.0</v>
      </c>
      <c r="L3468" s="5"/>
      <c r="M3468" s="9" t="s">
        <v>377</v>
      </c>
      <c r="N3468" s="9" t="s">
        <v>49</v>
      </c>
      <c r="O3468" s="10">
        <f>'data on outstanding creditors'!$E3468*100/107</f>
        <v>232149.5327</v>
      </c>
      <c r="P3468" s="10">
        <f>'data on outstanding creditors'!$E3468-'data on outstanding creditors'!$O3468</f>
        <v>16250.46729</v>
      </c>
      <c r="Q3468" s="7">
        <f>DAY('data on outstanding creditors'!$B3468)</f>
        <v>19</v>
      </c>
      <c r="R3468" s="7">
        <f>MONTH('data on outstanding creditors'!$B3468)</f>
        <v>5</v>
      </c>
      <c r="S3468" s="7">
        <f>YEAR('data on outstanding creditors'!$B3468)</f>
        <v>2025</v>
      </c>
      <c r="T3468" s="11" t="str">
        <f>'data on outstanding creditors'!$C3468&amp;" "&amp;'data on outstanding creditors'!$D3468&amp;" "&amp;TEXT('data on outstanding creditors'!$E3468,"#,##0.00")</f>
        <v>บ.บุรีวัตร  สิทธิ จ่ายตรง 007/060 02/68 248,400.00</v>
      </c>
      <c r="U3468" s="12"/>
    </row>
    <row r="3469" ht="13.5" customHeight="1">
      <c r="A3469" s="1"/>
      <c r="B3469" s="2">
        <v>45796.0</v>
      </c>
      <c r="C3469" s="9" t="s">
        <v>375</v>
      </c>
      <c r="D3469" s="1" t="s">
        <v>5492</v>
      </c>
      <c r="E3469" s="4">
        <v>274620.0</v>
      </c>
      <c r="F3469" s="4"/>
      <c r="G3469" s="4"/>
      <c r="H3469" s="4">
        <f>'data on outstanding creditors'!$E3469-'data on outstanding creditors'!$F3469-'data on outstanding creditors'!$G3469</f>
        <v>274620</v>
      </c>
      <c r="I3469" s="2"/>
      <c r="J3469" s="1" t="s">
        <v>646</v>
      </c>
      <c r="K3469" s="2">
        <v>45928.0</v>
      </c>
      <c r="L3469" s="5"/>
      <c r="M3469" s="9" t="s">
        <v>377</v>
      </c>
      <c r="N3469" s="9" t="s">
        <v>49</v>
      </c>
      <c r="O3469" s="10">
        <f>'data on outstanding creditors'!$E3469*100/107</f>
        <v>256654.2056</v>
      </c>
      <c r="P3469" s="10">
        <f>'data on outstanding creditors'!$E3469-'data on outstanding creditors'!$O3469</f>
        <v>17965.79439</v>
      </c>
      <c r="Q3469" s="7">
        <f>DAY('data on outstanding creditors'!$B3469)</f>
        <v>19</v>
      </c>
      <c r="R3469" s="7">
        <f>MONTH('data on outstanding creditors'!$B3469)</f>
        <v>5</v>
      </c>
      <c r="S3469" s="7">
        <f>YEAR('data on outstanding creditors'!$B3469)</f>
        <v>2025</v>
      </c>
      <c r="T3469" s="11" t="str">
        <f>'data on outstanding creditors'!$C3469&amp;" "&amp;'data on outstanding creditors'!$D3469&amp;" "&amp;TEXT('data on outstanding creditors'!$E3469,"#,##0.00")</f>
        <v>บ.บุรีวัตร  สิทธิ จ่ายตรง 007/057 02/68 274,620.00</v>
      </c>
      <c r="U3469" s="12"/>
    </row>
    <row r="3470" ht="13.5" customHeight="1">
      <c r="A3470" s="1"/>
      <c r="B3470" s="2">
        <v>45796.0</v>
      </c>
      <c r="C3470" s="9" t="s">
        <v>375</v>
      </c>
      <c r="D3470" s="1" t="s">
        <v>5493</v>
      </c>
      <c r="E3470" s="4">
        <v>281520.0</v>
      </c>
      <c r="F3470" s="4"/>
      <c r="G3470" s="4"/>
      <c r="H3470" s="4">
        <f>'data on outstanding creditors'!$E3470-'data on outstanding creditors'!$F3470-'data on outstanding creditors'!$G3470</f>
        <v>281520</v>
      </c>
      <c r="I3470" s="2"/>
      <c r="J3470" s="1" t="s">
        <v>646</v>
      </c>
      <c r="K3470" s="2">
        <v>45928.0</v>
      </c>
      <c r="L3470" s="5"/>
      <c r="M3470" s="9" t="s">
        <v>377</v>
      </c>
      <c r="N3470" s="9" t="s">
        <v>49</v>
      </c>
      <c r="O3470" s="10">
        <f>'data on outstanding creditors'!$E3470*100/107</f>
        <v>263102.8037</v>
      </c>
      <c r="P3470" s="10">
        <f>'data on outstanding creditors'!$E3470-'data on outstanding creditors'!$O3470</f>
        <v>18417.19626</v>
      </c>
      <c r="Q3470" s="7">
        <f>DAY('data on outstanding creditors'!$B3470)</f>
        <v>19</v>
      </c>
      <c r="R3470" s="7">
        <f>MONTH('data on outstanding creditors'!$B3470)</f>
        <v>5</v>
      </c>
      <c r="S3470" s="7">
        <f>YEAR('data on outstanding creditors'!$B3470)</f>
        <v>2025</v>
      </c>
      <c r="T3470" s="11" t="str">
        <f>'data on outstanding creditors'!$C3470&amp;" "&amp;'data on outstanding creditors'!$D3470&amp;" "&amp;TEXT('data on outstanding creditors'!$E3470,"#,##0.00")</f>
        <v>บ.บุรีวัตร  สิทธิ จ่ายตรง 007/053 01/68 281,520.00</v>
      </c>
      <c r="U3470" s="12"/>
    </row>
    <row r="3471" ht="13.5" customHeight="1">
      <c r="A3471" s="1"/>
      <c r="B3471" s="2">
        <v>45807.0</v>
      </c>
      <c r="C3471" s="9" t="s">
        <v>5494</v>
      </c>
      <c r="D3471" s="1" t="s">
        <v>5495</v>
      </c>
      <c r="E3471" s="4">
        <v>120060.0</v>
      </c>
      <c r="F3471" s="4"/>
      <c r="G3471" s="4"/>
      <c r="H3471" s="4">
        <f>'data on outstanding creditors'!$E3471-'data on outstanding creditors'!$F3471-'data on outstanding creditors'!$G3471</f>
        <v>120060</v>
      </c>
      <c r="I3471" s="2"/>
      <c r="J3471" s="1" t="s">
        <v>646</v>
      </c>
      <c r="K3471" s="2">
        <v>45928.0</v>
      </c>
      <c r="L3471" s="5"/>
      <c r="M3471" s="9" t="s">
        <v>377</v>
      </c>
      <c r="N3471" s="9" t="s">
        <v>49</v>
      </c>
      <c r="O3471" s="10">
        <f>'data on outstanding creditors'!$E3471*100/107</f>
        <v>112205.6075</v>
      </c>
      <c r="P3471" s="10">
        <f>'data on outstanding creditors'!$E3471-'data on outstanding creditors'!$O3471</f>
        <v>7854.392523</v>
      </c>
      <c r="Q3471" s="7">
        <f>DAY('data on outstanding creditors'!$B3471)</f>
        <v>30</v>
      </c>
      <c r="R3471" s="7">
        <f>MONTH('data on outstanding creditors'!$B3471)</f>
        <v>5</v>
      </c>
      <c r="S3471" s="7">
        <f>YEAR('data on outstanding creditors'!$B3471)</f>
        <v>2025</v>
      </c>
      <c r="T3471" s="11" t="str">
        <f>'data on outstanding creditors'!$C3471&amp;" "&amp;'data on outstanding creditors'!$D3471&amp;" "&amp;TEXT('data on outstanding creditors'!$E3471,"#,##0.00")</f>
        <v>บ.บุรีวัตร  สิทธิ อปท 007/079 12/67 120,060.00</v>
      </c>
      <c r="U3471" s="12"/>
    </row>
    <row r="3472" ht="13.5" customHeight="1">
      <c r="A3472" s="1"/>
      <c r="B3472" s="2">
        <v>45807.0</v>
      </c>
      <c r="C3472" s="9" t="s">
        <v>5494</v>
      </c>
      <c r="D3472" s="1" t="s">
        <v>5496</v>
      </c>
      <c r="E3472" s="4">
        <v>126960.0</v>
      </c>
      <c r="F3472" s="4"/>
      <c r="G3472" s="4"/>
      <c r="H3472" s="4">
        <f>'data on outstanding creditors'!$E3472-'data on outstanding creditors'!$F3472-'data on outstanding creditors'!$G3472</f>
        <v>126960</v>
      </c>
      <c r="I3472" s="2"/>
      <c r="J3472" s="1" t="s">
        <v>646</v>
      </c>
      <c r="K3472" s="2">
        <v>45928.0</v>
      </c>
      <c r="L3472" s="5"/>
      <c r="M3472" s="9" t="s">
        <v>377</v>
      </c>
      <c r="N3472" s="9" t="s">
        <v>49</v>
      </c>
      <c r="O3472" s="10">
        <f>'data on outstanding creditors'!$E3472*100/107</f>
        <v>118654.2056</v>
      </c>
      <c r="P3472" s="10">
        <f>'data on outstanding creditors'!$E3472-'data on outstanding creditors'!$O3472</f>
        <v>8305.794393</v>
      </c>
      <c r="Q3472" s="7">
        <f>DAY('data on outstanding creditors'!$B3472)</f>
        <v>30</v>
      </c>
      <c r="R3472" s="7">
        <f>MONTH('data on outstanding creditors'!$B3472)</f>
        <v>5</v>
      </c>
      <c r="S3472" s="7">
        <f>YEAR('data on outstanding creditors'!$B3472)</f>
        <v>2025</v>
      </c>
      <c r="T3472" s="11" t="str">
        <f>'data on outstanding creditors'!$C3472&amp;" "&amp;'data on outstanding creditors'!$D3472&amp;" "&amp;TEXT('data on outstanding creditors'!$E3472,"#,##0.00")</f>
        <v>บ.บุรีวัตร  สิทธิ อปท 007/078 11/67 126,960.00</v>
      </c>
      <c r="U3472" s="12"/>
    </row>
    <row r="3473" ht="13.5" customHeight="1">
      <c r="A3473" s="1"/>
      <c r="B3473" s="2">
        <v>45807.0</v>
      </c>
      <c r="C3473" s="9" t="s">
        <v>375</v>
      </c>
      <c r="D3473" s="1" t="s">
        <v>5497</v>
      </c>
      <c r="E3473" s="4">
        <v>306360.0</v>
      </c>
      <c r="F3473" s="4"/>
      <c r="G3473" s="4"/>
      <c r="H3473" s="4">
        <f>'data on outstanding creditors'!$E3473-'data on outstanding creditors'!$F3473-'data on outstanding creditors'!$G3473</f>
        <v>306360</v>
      </c>
      <c r="I3473" s="2"/>
      <c r="J3473" s="1" t="s">
        <v>646</v>
      </c>
      <c r="K3473" s="2">
        <v>45928.0</v>
      </c>
      <c r="L3473" s="5"/>
      <c r="M3473" s="9" t="s">
        <v>377</v>
      </c>
      <c r="N3473" s="9" t="s">
        <v>49</v>
      </c>
      <c r="O3473" s="10">
        <f>'data on outstanding creditors'!$E3473*100/107</f>
        <v>286317.757</v>
      </c>
      <c r="P3473" s="10">
        <f>'data on outstanding creditors'!$E3473-'data on outstanding creditors'!$O3473</f>
        <v>20042.24299</v>
      </c>
      <c r="Q3473" s="7">
        <f>DAY('data on outstanding creditors'!$B3473)</f>
        <v>30</v>
      </c>
      <c r="R3473" s="7">
        <f>MONTH('data on outstanding creditors'!$B3473)</f>
        <v>5</v>
      </c>
      <c r="S3473" s="7">
        <f>YEAR('data on outstanding creditors'!$B3473)</f>
        <v>2025</v>
      </c>
      <c r="T3473" s="11" t="str">
        <f>'data on outstanding creditors'!$C3473&amp;" "&amp;'data on outstanding creditors'!$D3473&amp;" "&amp;TEXT('data on outstanding creditors'!$E3473,"#,##0.00")</f>
        <v>บ.บุรีวัตร  สิทธิ จ่ายตรง 007/051 12/67 306,360.00</v>
      </c>
      <c r="U3473" s="12"/>
    </row>
    <row r="3474" ht="13.5" customHeight="1">
      <c r="A3474" s="1"/>
      <c r="B3474" s="2">
        <v>45807.0</v>
      </c>
      <c r="C3474" s="9" t="s">
        <v>5494</v>
      </c>
      <c r="D3474" s="1" t="s">
        <v>5498</v>
      </c>
      <c r="E3474" s="4">
        <v>114540.0</v>
      </c>
      <c r="F3474" s="4"/>
      <c r="G3474" s="4"/>
      <c r="H3474" s="4">
        <f>'data on outstanding creditors'!$E3474-'data on outstanding creditors'!$F3474-'data on outstanding creditors'!$G3474</f>
        <v>114540</v>
      </c>
      <c r="I3474" s="2"/>
      <c r="J3474" s="1" t="s">
        <v>646</v>
      </c>
      <c r="K3474" s="2">
        <v>45928.0</v>
      </c>
      <c r="L3474" s="5"/>
      <c r="M3474" s="9" t="s">
        <v>377</v>
      </c>
      <c r="N3474" s="9" t="s">
        <v>49</v>
      </c>
      <c r="O3474" s="10">
        <f>'data on outstanding creditors'!$E3474*100/107</f>
        <v>107046.729</v>
      </c>
      <c r="P3474" s="10">
        <f>'data on outstanding creditors'!$E3474-'data on outstanding creditors'!$O3474</f>
        <v>7493.271028</v>
      </c>
      <c r="Q3474" s="7">
        <f>DAY('data on outstanding creditors'!$B3474)</f>
        <v>30</v>
      </c>
      <c r="R3474" s="7">
        <f>MONTH('data on outstanding creditors'!$B3474)</f>
        <v>5</v>
      </c>
      <c r="S3474" s="7">
        <f>YEAR('data on outstanding creditors'!$B3474)</f>
        <v>2025</v>
      </c>
      <c r="T3474" s="11" t="str">
        <f>'data on outstanding creditors'!$C3474&amp;" "&amp;'data on outstanding creditors'!$D3474&amp;" "&amp;TEXT('data on outstanding creditors'!$E3474,"#,##0.00")</f>
        <v>บ.บุรีวัตร  สิทธิ อปท 007/082 03/68 114,540.00</v>
      </c>
      <c r="U3474" s="12"/>
    </row>
    <row r="3475" ht="13.5" customHeight="1">
      <c r="A3475" s="1"/>
      <c r="B3475" s="2">
        <v>45807.0</v>
      </c>
      <c r="C3475" s="9" t="s">
        <v>5494</v>
      </c>
      <c r="D3475" s="1" t="s">
        <v>5499</v>
      </c>
      <c r="E3475" s="4">
        <v>89700.0</v>
      </c>
      <c r="F3475" s="4"/>
      <c r="G3475" s="4"/>
      <c r="H3475" s="4">
        <f>'data on outstanding creditors'!$E3475-'data on outstanding creditors'!$F3475-'data on outstanding creditors'!$G3475</f>
        <v>89700</v>
      </c>
      <c r="I3475" s="2"/>
      <c r="J3475" s="1" t="s">
        <v>646</v>
      </c>
      <c r="K3475" s="2">
        <v>45928.0</v>
      </c>
      <c r="L3475" s="5"/>
      <c r="M3475" s="9" t="s">
        <v>377</v>
      </c>
      <c r="N3475" s="9" t="s">
        <v>49</v>
      </c>
      <c r="O3475" s="10">
        <f>'data on outstanding creditors'!$E3475*100/107</f>
        <v>83831.7757</v>
      </c>
      <c r="P3475" s="10">
        <f>'data on outstanding creditors'!$E3475-'data on outstanding creditors'!$O3475</f>
        <v>5868.224299</v>
      </c>
      <c r="Q3475" s="7">
        <f>DAY('data on outstanding creditors'!$B3475)</f>
        <v>30</v>
      </c>
      <c r="R3475" s="7">
        <f>MONTH('data on outstanding creditors'!$B3475)</f>
        <v>5</v>
      </c>
      <c r="S3475" s="7">
        <f>YEAR('data on outstanding creditors'!$B3475)</f>
        <v>2025</v>
      </c>
      <c r="T3475" s="11" t="str">
        <f>'data on outstanding creditors'!$C3475&amp;" "&amp;'data on outstanding creditors'!$D3475&amp;" "&amp;TEXT('data on outstanding creditors'!$E3475,"#,##0.00")</f>
        <v>บ.บุรีวัตร  สิทธิ อปท 007/081 02/68 89,700.00</v>
      </c>
      <c r="U3475" s="12"/>
    </row>
    <row r="3476" ht="13.5" customHeight="1">
      <c r="A3476" s="1"/>
      <c r="B3476" s="2">
        <v>45807.0</v>
      </c>
      <c r="C3476" s="9" t="s">
        <v>375</v>
      </c>
      <c r="D3476" s="1" t="s">
        <v>5500</v>
      </c>
      <c r="E3476" s="4">
        <v>313260.0</v>
      </c>
      <c r="F3476" s="4"/>
      <c r="G3476" s="4"/>
      <c r="H3476" s="4">
        <f>'data on outstanding creditors'!$E3476-'data on outstanding creditors'!$F3476-'data on outstanding creditors'!$G3476</f>
        <v>313260</v>
      </c>
      <c r="I3476" s="2"/>
      <c r="J3476" s="1" t="s">
        <v>646</v>
      </c>
      <c r="K3476" s="2">
        <v>45928.0</v>
      </c>
      <c r="L3476" s="5"/>
      <c r="M3476" s="9" t="s">
        <v>377</v>
      </c>
      <c r="N3476" s="9" t="s">
        <v>49</v>
      </c>
      <c r="O3476" s="10">
        <f>'data on outstanding creditors'!$E3476*100/107</f>
        <v>292766.3551</v>
      </c>
      <c r="P3476" s="10">
        <f>'data on outstanding creditors'!$E3476-'data on outstanding creditors'!$O3476</f>
        <v>20493.64486</v>
      </c>
      <c r="Q3476" s="7">
        <f>DAY('data on outstanding creditors'!$B3476)</f>
        <v>30</v>
      </c>
      <c r="R3476" s="7">
        <f>MONTH('data on outstanding creditors'!$B3476)</f>
        <v>5</v>
      </c>
      <c r="S3476" s="7">
        <f>YEAR('data on outstanding creditors'!$B3476)</f>
        <v>2025</v>
      </c>
      <c r="T3476" s="11" t="str">
        <f>'data on outstanding creditors'!$C3476&amp;" "&amp;'data on outstanding creditors'!$D3476&amp;" "&amp;TEXT('data on outstanding creditors'!$E3476,"#,##0.00")</f>
        <v>บ.บุรีวัตร  สิทธิ จ่ายตรง 007/054 01/68 313,260.00</v>
      </c>
      <c r="U3476" s="12"/>
    </row>
    <row r="3477" ht="13.5" customHeight="1">
      <c r="A3477" s="1"/>
      <c r="B3477" s="2">
        <v>45807.0</v>
      </c>
      <c r="C3477" s="9" t="s">
        <v>5494</v>
      </c>
      <c r="D3477" s="1" t="s">
        <v>5501</v>
      </c>
      <c r="E3477" s="4">
        <v>135240.0</v>
      </c>
      <c r="F3477" s="4"/>
      <c r="G3477" s="4"/>
      <c r="H3477" s="4">
        <f>'data on outstanding creditors'!$E3477-'data on outstanding creditors'!$F3477-'data on outstanding creditors'!$G3477</f>
        <v>135240</v>
      </c>
      <c r="I3477" s="2"/>
      <c r="J3477" s="1" t="s">
        <v>757</v>
      </c>
      <c r="K3477" s="2">
        <v>45965.0</v>
      </c>
      <c r="L3477" s="5"/>
      <c r="M3477" s="9" t="s">
        <v>377</v>
      </c>
      <c r="N3477" s="9" t="s">
        <v>49</v>
      </c>
      <c r="O3477" s="10">
        <f>'data on outstanding creditors'!$E3477*100/107</f>
        <v>126392.5234</v>
      </c>
      <c r="P3477" s="10">
        <f>'data on outstanding creditors'!$E3477-'data on outstanding creditors'!$O3477</f>
        <v>8847.476636</v>
      </c>
      <c r="Q3477" s="7">
        <f>DAY('data on outstanding creditors'!$B3477)</f>
        <v>30</v>
      </c>
      <c r="R3477" s="7">
        <f>MONTH('data on outstanding creditors'!$B3477)</f>
        <v>5</v>
      </c>
      <c r="S3477" s="7">
        <f>YEAR('data on outstanding creditors'!$B3477)</f>
        <v>2025</v>
      </c>
      <c r="T3477" s="11" t="str">
        <f>'data on outstanding creditors'!$C3477&amp;" "&amp;'data on outstanding creditors'!$D3477&amp;" "&amp;TEXT('data on outstanding creditors'!$E3477,"#,##0.00")</f>
        <v>บ.บุรีวัตร  สิทธิ อปท 007/077 10/67 135,240.00</v>
      </c>
      <c r="U3477" s="12"/>
    </row>
    <row r="3478" ht="13.5" customHeight="1">
      <c r="A3478" s="1"/>
      <c r="B3478" s="2">
        <v>45807.0</v>
      </c>
      <c r="C3478" s="9" t="s">
        <v>5494</v>
      </c>
      <c r="D3478" s="1" t="s">
        <v>5502</v>
      </c>
      <c r="E3478" s="4">
        <v>127400.0</v>
      </c>
      <c r="F3478" s="4"/>
      <c r="G3478" s="4"/>
      <c r="H3478" s="4">
        <f>'data on outstanding creditors'!$E3478-'data on outstanding creditors'!$F3478-'data on outstanding creditors'!$G3478</f>
        <v>127400</v>
      </c>
      <c r="I3478" s="2"/>
      <c r="J3478" s="1" t="s">
        <v>757</v>
      </c>
      <c r="K3478" s="2">
        <v>45965.0</v>
      </c>
      <c r="L3478" s="5"/>
      <c r="M3478" s="9" t="s">
        <v>377</v>
      </c>
      <c r="N3478" s="9" t="s">
        <v>49</v>
      </c>
      <c r="O3478" s="10">
        <f>'data on outstanding creditors'!$E3478*100/107</f>
        <v>119065.4206</v>
      </c>
      <c r="P3478" s="10">
        <f>'data on outstanding creditors'!$E3478-'data on outstanding creditors'!$O3478</f>
        <v>8334.579439</v>
      </c>
      <c r="Q3478" s="7">
        <f>DAY('data on outstanding creditors'!$B3478)</f>
        <v>30</v>
      </c>
      <c r="R3478" s="7">
        <f>MONTH('data on outstanding creditors'!$B3478)</f>
        <v>5</v>
      </c>
      <c r="S3478" s="7">
        <f>YEAR('data on outstanding creditors'!$B3478)</f>
        <v>2025</v>
      </c>
      <c r="T3478" s="11" t="str">
        <f>'data on outstanding creditors'!$C3478&amp;" "&amp;'data on outstanding creditors'!$D3478&amp;" "&amp;TEXT('data on outstanding creditors'!$E3478,"#,##0.00")</f>
        <v>บ.บุรีวัตร  สิทธิ อปท 007/076 09/67 127,400.00</v>
      </c>
      <c r="U3478" s="12"/>
    </row>
    <row r="3479" ht="13.5" customHeight="1">
      <c r="A3479" s="1"/>
      <c r="B3479" s="2">
        <v>45807.0</v>
      </c>
      <c r="C3479" s="9" t="s">
        <v>5494</v>
      </c>
      <c r="D3479" s="1" t="s">
        <v>5503</v>
      </c>
      <c r="E3479" s="4">
        <v>124200.0</v>
      </c>
      <c r="F3479" s="4"/>
      <c r="G3479" s="4"/>
      <c r="H3479" s="4">
        <f>'data on outstanding creditors'!$E3479-'data on outstanding creditors'!$F3479-'data on outstanding creditors'!$G3479</f>
        <v>124200</v>
      </c>
      <c r="I3479" s="2"/>
      <c r="J3479" s="1" t="s">
        <v>646</v>
      </c>
      <c r="K3479" s="2">
        <v>45928.0</v>
      </c>
      <c r="L3479" s="5"/>
      <c r="M3479" s="9" t="s">
        <v>377</v>
      </c>
      <c r="N3479" s="9" t="s">
        <v>49</v>
      </c>
      <c r="O3479" s="10">
        <f>'data on outstanding creditors'!$E3479*100/107</f>
        <v>116074.7664</v>
      </c>
      <c r="P3479" s="10">
        <f>'data on outstanding creditors'!$E3479-'data on outstanding creditors'!$O3479</f>
        <v>8125.233645</v>
      </c>
      <c r="Q3479" s="7">
        <f>DAY('data on outstanding creditors'!$B3479)</f>
        <v>30</v>
      </c>
      <c r="R3479" s="7">
        <f>MONTH('data on outstanding creditors'!$B3479)</f>
        <v>5</v>
      </c>
      <c r="S3479" s="7">
        <f>YEAR('data on outstanding creditors'!$B3479)</f>
        <v>2025</v>
      </c>
      <c r="T3479" s="11" t="str">
        <f>'data on outstanding creditors'!$C3479&amp;" "&amp;'data on outstanding creditors'!$D3479&amp;" "&amp;TEXT('data on outstanding creditors'!$E3479,"#,##0.00")</f>
        <v>บ.บุรีวัตร  สิทธิ อปท 007/080 01/68 124,200.00</v>
      </c>
      <c r="U3479" s="12"/>
    </row>
    <row r="3480" ht="13.5" customHeight="1">
      <c r="A3480" s="1"/>
      <c r="B3480" s="2">
        <v>45827.0</v>
      </c>
      <c r="C3480" s="9" t="s">
        <v>5494</v>
      </c>
      <c r="D3480" s="1" t="s">
        <v>5504</v>
      </c>
      <c r="E3480" s="4">
        <v>126000.0</v>
      </c>
      <c r="F3480" s="4"/>
      <c r="G3480" s="4"/>
      <c r="H3480" s="4">
        <f>'data on outstanding creditors'!$E3480-'data on outstanding creditors'!$F3480-'data on outstanding creditors'!$G3480</f>
        <v>126000</v>
      </c>
      <c r="I3480" s="2"/>
      <c r="J3480" s="1"/>
      <c r="K3480" s="2"/>
      <c r="L3480" s="5"/>
      <c r="M3480" s="9" t="s">
        <v>377</v>
      </c>
      <c r="N3480" s="9" t="s">
        <v>49</v>
      </c>
      <c r="O3480" s="10">
        <f>'data on outstanding creditors'!$E3480*100/107</f>
        <v>117757.0093</v>
      </c>
      <c r="P3480" s="10">
        <f>'data on outstanding creditors'!$E3480-'data on outstanding creditors'!$O3480</f>
        <v>8242.990654</v>
      </c>
      <c r="Q3480" s="7">
        <f>DAY('data on outstanding creditors'!$B3480)</f>
        <v>19</v>
      </c>
      <c r="R3480" s="7">
        <f>MONTH('data on outstanding creditors'!$B3480)</f>
        <v>6</v>
      </c>
      <c r="S3480" s="7">
        <f>YEAR('data on outstanding creditors'!$B3480)</f>
        <v>2025</v>
      </c>
      <c r="T3480" s="11" t="str">
        <f>'data on outstanding creditors'!$C3480&amp;" "&amp;'data on outstanding creditors'!$D3480&amp;" "&amp;TEXT('data on outstanding creditors'!$E3480,"#,##0.00")</f>
        <v>บ.บุรีวัตร  สิทธิ อปท 007/071 04/67 126,000.00</v>
      </c>
      <c r="U3480" s="12"/>
    </row>
    <row r="3481" ht="13.5" customHeight="1">
      <c r="A3481" s="1"/>
      <c r="B3481" s="2">
        <v>45827.0</v>
      </c>
      <c r="C3481" s="9" t="s">
        <v>5494</v>
      </c>
      <c r="D3481" s="1" t="s">
        <v>5505</v>
      </c>
      <c r="E3481" s="4">
        <v>140000.0</v>
      </c>
      <c r="F3481" s="4"/>
      <c r="G3481" s="4"/>
      <c r="H3481" s="4">
        <f>'data on outstanding creditors'!$E3481-'data on outstanding creditors'!$F3481-'data on outstanding creditors'!$G3481</f>
        <v>140000</v>
      </c>
      <c r="I3481" s="2"/>
      <c r="J3481" s="1"/>
      <c r="K3481" s="2"/>
      <c r="L3481" s="5"/>
      <c r="M3481" s="9" t="s">
        <v>377</v>
      </c>
      <c r="N3481" s="9" t="s">
        <v>49</v>
      </c>
      <c r="O3481" s="10">
        <f>'data on outstanding creditors'!$E3481*100/107</f>
        <v>130841.1215</v>
      </c>
      <c r="P3481" s="10">
        <f>'data on outstanding creditors'!$E3481-'data on outstanding creditors'!$O3481</f>
        <v>9158.878505</v>
      </c>
      <c r="Q3481" s="7">
        <f>DAY('data on outstanding creditors'!$B3481)</f>
        <v>19</v>
      </c>
      <c r="R3481" s="7">
        <f>MONTH('data on outstanding creditors'!$B3481)</f>
        <v>6</v>
      </c>
      <c r="S3481" s="7">
        <f>YEAR('data on outstanding creditors'!$B3481)</f>
        <v>2025</v>
      </c>
      <c r="T3481" s="11" t="str">
        <f>'data on outstanding creditors'!$C3481&amp;" "&amp;'data on outstanding creditors'!$D3481&amp;" "&amp;TEXT('data on outstanding creditors'!$E3481,"#,##0.00")</f>
        <v>บ.บุรีวัตร  สิทธิ อปท 007/072 05/67 140,000.00</v>
      </c>
      <c r="U3481" s="12"/>
    </row>
    <row r="3482" ht="13.5" customHeight="1">
      <c r="A3482" s="1"/>
      <c r="B3482" s="2">
        <v>45827.0</v>
      </c>
      <c r="C3482" s="9" t="s">
        <v>5494</v>
      </c>
      <c r="D3482" s="1" t="s">
        <v>5506</v>
      </c>
      <c r="E3482" s="4">
        <v>140000.0</v>
      </c>
      <c r="F3482" s="4"/>
      <c r="G3482" s="4"/>
      <c r="H3482" s="4">
        <f>'data on outstanding creditors'!$E3482-'data on outstanding creditors'!$F3482-'data on outstanding creditors'!$G3482</f>
        <v>140000</v>
      </c>
      <c r="I3482" s="2"/>
      <c r="J3482" s="1"/>
      <c r="K3482" s="2"/>
      <c r="L3482" s="5"/>
      <c r="M3482" s="9" t="s">
        <v>377</v>
      </c>
      <c r="N3482" s="9" t="s">
        <v>49</v>
      </c>
      <c r="O3482" s="10">
        <f>'data on outstanding creditors'!$E3482*100/107</f>
        <v>130841.1215</v>
      </c>
      <c r="P3482" s="10">
        <f>'data on outstanding creditors'!$E3482-'data on outstanding creditors'!$O3482</f>
        <v>9158.878505</v>
      </c>
      <c r="Q3482" s="7">
        <f>DAY('data on outstanding creditors'!$B3482)</f>
        <v>19</v>
      </c>
      <c r="R3482" s="7">
        <f>MONTH('data on outstanding creditors'!$B3482)</f>
        <v>6</v>
      </c>
      <c r="S3482" s="7">
        <f>YEAR('data on outstanding creditors'!$B3482)</f>
        <v>2025</v>
      </c>
      <c r="T3482" s="11" t="str">
        <f>'data on outstanding creditors'!$C3482&amp;" "&amp;'data on outstanding creditors'!$D3482&amp;" "&amp;TEXT('data on outstanding creditors'!$E3482,"#,##0.00")</f>
        <v>บ.บุรีวัตร  สิทธิ อปท 007/073 06/67 140,000.00</v>
      </c>
      <c r="U3482" s="12"/>
    </row>
    <row r="3483" ht="13.5" customHeight="1">
      <c r="A3483" s="1"/>
      <c r="B3483" s="2">
        <v>45827.0</v>
      </c>
      <c r="C3483" s="9" t="s">
        <v>5494</v>
      </c>
      <c r="D3483" s="1" t="s">
        <v>5507</v>
      </c>
      <c r="E3483" s="4">
        <v>155400.0</v>
      </c>
      <c r="F3483" s="4"/>
      <c r="G3483" s="4"/>
      <c r="H3483" s="4">
        <f>'data on outstanding creditors'!$E3483-'data on outstanding creditors'!$F3483-'data on outstanding creditors'!$G3483</f>
        <v>155400</v>
      </c>
      <c r="I3483" s="2"/>
      <c r="J3483" s="1"/>
      <c r="K3483" s="2"/>
      <c r="L3483" s="5"/>
      <c r="M3483" s="9" t="s">
        <v>377</v>
      </c>
      <c r="N3483" s="9" t="s">
        <v>49</v>
      </c>
      <c r="O3483" s="10">
        <f>'data on outstanding creditors'!$E3483*100/107</f>
        <v>145233.6449</v>
      </c>
      <c r="P3483" s="10">
        <f>'data on outstanding creditors'!$E3483-'data on outstanding creditors'!$O3483</f>
        <v>10166.35514</v>
      </c>
      <c r="Q3483" s="7">
        <f>DAY('data on outstanding creditors'!$B3483)</f>
        <v>19</v>
      </c>
      <c r="R3483" s="7">
        <f>MONTH('data on outstanding creditors'!$B3483)</f>
        <v>6</v>
      </c>
      <c r="S3483" s="7">
        <f>YEAR('data on outstanding creditors'!$B3483)</f>
        <v>2025</v>
      </c>
      <c r="T3483" s="11" t="str">
        <f>'data on outstanding creditors'!$C3483&amp;" "&amp;'data on outstanding creditors'!$D3483&amp;" "&amp;TEXT('data on outstanding creditors'!$E3483,"#,##0.00")</f>
        <v>บ.บุรีวัตร  สิทธิ อปท 007/074 07/67 155,400.00</v>
      </c>
      <c r="U3483" s="12"/>
    </row>
    <row r="3484" ht="13.5" customHeight="1">
      <c r="A3484" s="1"/>
      <c r="B3484" s="2">
        <v>45827.0</v>
      </c>
      <c r="C3484" s="9" t="s">
        <v>5494</v>
      </c>
      <c r="D3484" s="1" t="s">
        <v>5508</v>
      </c>
      <c r="E3484" s="4">
        <v>142800.0</v>
      </c>
      <c r="F3484" s="4"/>
      <c r="G3484" s="4"/>
      <c r="H3484" s="4">
        <f>'data on outstanding creditors'!$E3484-'data on outstanding creditors'!$F3484-'data on outstanding creditors'!$G3484</f>
        <v>142800</v>
      </c>
      <c r="I3484" s="2"/>
      <c r="J3484" s="1" t="s">
        <v>757</v>
      </c>
      <c r="K3484" s="2">
        <v>45965.0</v>
      </c>
      <c r="L3484" s="5"/>
      <c r="M3484" s="9" t="s">
        <v>377</v>
      </c>
      <c r="N3484" s="9" t="s">
        <v>49</v>
      </c>
      <c r="O3484" s="10">
        <f>'data on outstanding creditors'!$E3484*100/107</f>
        <v>133457.9439</v>
      </c>
      <c r="P3484" s="10">
        <f>'data on outstanding creditors'!$E3484-'data on outstanding creditors'!$O3484</f>
        <v>9342.056075</v>
      </c>
      <c r="Q3484" s="7">
        <f>DAY('data on outstanding creditors'!$B3484)</f>
        <v>19</v>
      </c>
      <c r="R3484" s="7">
        <f>MONTH('data on outstanding creditors'!$B3484)</f>
        <v>6</v>
      </c>
      <c r="S3484" s="7">
        <f>YEAR('data on outstanding creditors'!$B3484)</f>
        <v>2025</v>
      </c>
      <c r="T3484" s="11" t="str">
        <f>'data on outstanding creditors'!$C3484&amp;" "&amp;'data on outstanding creditors'!$D3484&amp;" "&amp;TEXT('data on outstanding creditors'!$E3484,"#,##0.00")</f>
        <v>บ.บุรีวัตร  สิทธิ อปท 007/075 08/67 142,800.00</v>
      </c>
      <c r="U3484" s="12"/>
    </row>
    <row r="3485" ht="13.5" customHeight="1">
      <c r="A3485" s="1"/>
      <c r="B3485" s="2">
        <v>45838.0</v>
      </c>
      <c r="C3485" s="9" t="s">
        <v>379</v>
      </c>
      <c r="D3485" s="1" t="s">
        <v>5509</v>
      </c>
      <c r="E3485" s="4">
        <v>478860.0</v>
      </c>
      <c r="F3485" s="4"/>
      <c r="G3485" s="4"/>
      <c r="H3485" s="4">
        <f>'data on outstanding creditors'!$E3485-'data on outstanding creditors'!$F3485-'data on outstanding creditors'!$G3485</f>
        <v>478860</v>
      </c>
      <c r="I3485" s="2"/>
      <c r="J3485" s="1"/>
      <c r="K3485" s="2"/>
      <c r="L3485" s="5"/>
      <c r="M3485" s="9" t="s">
        <v>377</v>
      </c>
      <c r="N3485" s="9" t="s">
        <v>49</v>
      </c>
      <c r="O3485" s="10">
        <f>'data on outstanding creditors'!$E3485*100/107</f>
        <v>447532.7103</v>
      </c>
      <c r="P3485" s="10">
        <f>'data on outstanding creditors'!$E3485-'data on outstanding creditors'!$O3485</f>
        <v>31327.28972</v>
      </c>
      <c r="Q3485" s="7">
        <f>DAY('data on outstanding creditors'!$B3485)</f>
        <v>30</v>
      </c>
      <c r="R3485" s="7">
        <f>MONTH('data on outstanding creditors'!$B3485)</f>
        <v>6</v>
      </c>
      <c r="S3485" s="7">
        <f>YEAR('data on outstanding creditors'!$B3485)</f>
        <v>2025</v>
      </c>
      <c r="T3485" s="11" t="str">
        <f>'data on outstanding creditors'!$C3485&amp;" "&amp;'data on outstanding creditors'!$D3485&amp;" "&amp;TEXT('data on outstanding creditors'!$E3485,"#,##0.00")</f>
        <v>บ.บุรีวัตร  สิทธิ สปสช 007/083 04/68 478,860.00</v>
      </c>
      <c r="U3485" s="12"/>
    </row>
    <row r="3486" ht="13.5" customHeight="1">
      <c r="A3486" s="1"/>
      <c r="B3486" s="2">
        <v>45838.0</v>
      </c>
      <c r="C3486" s="9" t="s">
        <v>379</v>
      </c>
      <c r="D3486" s="1" t="s">
        <v>5510</v>
      </c>
      <c r="E3486" s="4">
        <v>456780.0</v>
      </c>
      <c r="F3486" s="4"/>
      <c r="G3486" s="4"/>
      <c r="H3486" s="4">
        <f>'data on outstanding creditors'!$E3486-'data on outstanding creditors'!$F3486-'data on outstanding creditors'!$G3486</f>
        <v>456780</v>
      </c>
      <c r="I3486" s="2"/>
      <c r="J3486" s="1"/>
      <c r="K3486" s="2"/>
      <c r="L3486" s="5"/>
      <c r="M3486" s="9" t="s">
        <v>377</v>
      </c>
      <c r="N3486" s="9" t="s">
        <v>49</v>
      </c>
      <c r="O3486" s="10">
        <f>'data on outstanding creditors'!$E3486*100/107</f>
        <v>426897.1963</v>
      </c>
      <c r="P3486" s="10">
        <f>'data on outstanding creditors'!$E3486-'data on outstanding creditors'!$O3486</f>
        <v>29882.80374</v>
      </c>
      <c r="Q3486" s="7">
        <f>DAY('data on outstanding creditors'!$B3486)</f>
        <v>30</v>
      </c>
      <c r="R3486" s="7">
        <f>MONTH('data on outstanding creditors'!$B3486)</f>
        <v>6</v>
      </c>
      <c r="S3486" s="7">
        <f>YEAR('data on outstanding creditors'!$B3486)</f>
        <v>2025</v>
      </c>
      <c r="T3486" s="11" t="str">
        <f>'data on outstanding creditors'!$C3486&amp;" "&amp;'data on outstanding creditors'!$D3486&amp;" "&amp;TEXT('data on outstanding creditors'!$E3486,"#,##0.00")</f>
        <v>บ.บุรีวัตร  สิทธิ สปสช 007/084 04/68 456,780.00</v>
      </c>
      <c r="U3486" s="12"/>
    </row>
    <row r="3487" ht="13.5" customHeight="1">
      <c r="A3487" s="1"/>
      <c r="B3487" s="2">
        <v>45838.0</v>
      </c>
      <c r="C3487" s="9" t="s">
        <v>379</v>
      </c>
      <c r="D3487" s="1" t="s">
        <v>5511</v>
      </c>
      <c r="E3487" s="4">
        <v>445740.0</v>
      </c>
      <c r="F3487" s="4"/>
      <c r="G3487" s="4"/>
      <c r="H3487" s="4">
        <f>'data on outstanding creditors'!$E3487-'data on outstanding creditors'!$F3487-'data on outstanding creditors'!$G3487</f>
        <v>445740</v>
      </c>
      <c r="I3487" s="2"/>
      <c r="J3487" s="1"/>
      <c r="K3487" s="2"/>
      <c r="L3487" s="5"/>
      <c r="M3487" s="9" t="s">
        <v>377</v>
      </c>
      <c r="N3487" s="9" t="s">
        <v>49</v>
      </c>
      <c r="O3487" s="10">
        <f>'data on outstanding creditors'!$E3487*100/107</f>
        <v>416579.4393</v>
      </c>
      <c r="P3487" s="10">
        <f>'data on outstanding creditors'!$E3487-'data on outstanding creditors'!$O3487</f>
        <v>29160.56075</v>
      </c>
      <c r="Q3487" s="7">
        <f>DAY('data on outstanding creditors'!$B3487)</f>
        <v>30</v>
      </c>
      <c r="R3487" s="7">
        <f>MONTH('data on outstanding creditors'!$B3487)</f>
        <v>6</v>
      </c>
      <c r="S3487" s="7">
        <f>YEAR('data on outstanding creditors'!$B3487)</f>
        <v>2025</v>
      </c>
      <c r="T3487" s="11" t="str">
        <f>'data on outstanding creditors'!$C3487&amp;" "&amp;'data on outstanding creditors'!$D3487&amp;" "&amp;TEXT('data on outstanding creditors'!$E3487,"#,##0.00")</f>
        <v>บ.บุรีวัตร  สิทธิ สปสช 007/085 04/68 445,740.00</v>
      </c>
      <c r="U3487" s="12"/>
    </row>
    <row r="3488" ht="13.5" customHeight="1">
      <c r="A3488" s="1"/>
      <c r="B3488" s="2">
        <v>45838.0</v>
      </c>
      <c r="C3488" s="9" t="s">
        <v>379</v>
      </c>
      <c r="D3488" s="1" t="s">
        <v>5512</v>
      </c>
      <c r="E3488" s="4">
        <v>342240.0</v>
      </c>
      <c r="F3488" s="4"/>
      <c r="G3488" s="4"/>
      <c r="H3488" s="4">
        <f>'data on outstanding creditors'!$E3488-'data on outstanding creditors'!$F3488-'data on outstanding creditors'!$G3488</f>
        <v>342240</v>
      </c>
      <c r="I3488" s="2"/>
      <c r="J3488" s="1"/>
      <c r="K3488" s="2"/>
      <c r="L3488" s="5"/>
      <c r="M3488" s="9" t="s">
        <v>377</v>
      </c>
      <c r="N3488" s="9" t="s">
        <v>49</v>
      </c>
      <c r="O3488" s="10">
        <f>'data on outstanding creditors'!$E3488*100/107</f>
        <v>319850.4673</v>
      </c>
      <c r="P3488" s="10">
        <f>'data on outstanding creditors'!$E3488-'data on outstanding creditors'!$O3488</f>
        <v>22389.53271</v>
      </c>
      <c r="Q3488" s="7">
        <f>DAY('data on outstanding creditors'!$B3488)</f>
        <v>30</v>
      </c>
      <c r="R3488" s="7">
        <f>MONTH('data on outstanding creditors'!$B3488)</f>
        <v>6</v>
      </c>
      <c r="S3488" s="7">
        <f>YEAR('data on outstanding creditors'!$B3488)</f>
        <v>2025</v>
      </c>
      <c r="T3488" s="11" t="str">
        <f>'data on outstanding creditors'!$C3488&amp;" "&amp;'data on outstanding creditors'!$D3488&amp;" "&amp;TEXT('data on outstanding creditors'!$E3488,"#,##0.00")</f>
        <v>บ.บุรีวัตร  สิทธิ สปสช 007/086 04/68 342,240.00</v>
      </c>
      <c r="U3488" s="12"/>
    </row>
    <row r="3489" ht="13.5" customHeight="1">
      <c r="A3489" s="1"/>
      <c r="B3489" s="2">
        <v>45838.0</v>
      </c>
      <c r="C3489" s="9" t="s">
        <v>379</v>
      </c>
      <c r="D3489" s="1" t="s">
        <v>5513</v>
      </c>
      <c r="E3489" s="4">
        <v>396060.0</v>
      </c>
      <c r="F3489" s="4"/>
      <c r="G3489" s="4"/>
      <c r="H3489" s="4">
        <f>'data on outstanding creditors'!$E3489-'data on outstanding creditors'!$F3489-'data on outstanding creditors'!$G3489</f>
        <v>396060</v>
      </c>
      <c r="I3489" s="2"/>
      <c r="J3489" s="1"/>
      <c r="K3489" s="2"/>
      <c r="L3489" s="5"/>
      <c r="M3489" s="9" t="s">
        <v>377</v>
      </c>
      <c r="N3489" s="9" t="s">
        <v>49</v>
      </c>
      <c r="O3489" s="10">
        <f>'data on outstanding creditors'!$E3489*100/107</f>
        <v>370149.5327</v>
      </c>
      <c r="P3489" s="10">
        <f>'data on outstanding creditors'!$E3489-'data on outstanding creditors'!$O3489</f>
        <v>25910.46729</v>
      </c>
      <c r="Q3489" s="7">
        <f>DAY('data on outstanding creditors'!$B3489)</f>
        <v>30</v>
      </c>
      <c r="R3489" s="7">
        <f>MONTH('data on outstanding creditors'!$B3489)</f>
        <v>6</v>
      </c>
      <c r="S3489" s="7">
        <f>YEAR('data on outstanding creditors'!$B3489)</f>
        <v>2025</v>
      </c>
      <c r="T3489" s="11" t="str">
        <f>'data on outstanding creditors'!$C3489&amp;" "&amp;'data on outstanding creditors'!$D3489&amp;" "&amp;TEXT('data on outstanding creditors'!$E3489,"#,##0.00")</f>
        <v>บ.บุรีวัตร  สิทธิ สปสช 007/087 12/67 396,060.00</v>
      </c>
      <c r="U3489" s="12"/>
    </row>
    <row r="3490" ht="13.5" customHeight="1">
      <c r="A3490" s="1"/>
      <c r="B3490" s="2">
        <v>45838.0</v>
      </c>
      <c r="C3490" s="9" t="s">
        <v>375</v>
      </c>
      <c r="D3490" s="1" t="s">
        <v>5514</v>
      </c>
      <c r="E3490" s="4">
        <v>291180.0</v>
      </c>
      <c r="F3490" s="4"/>
      <c r="G3490" s="4"/>
      <c r="H3490" s="4">
        <f>'data on outstanding creditors'!$E3490-'data on outstanding creditors'!$F3490-'data on outstanding creditors'!$G3490</f>
        <v>291180</v>
      </c>
      <c r="I3490" s="2"/>
      <c r="J3490" s="1"/>
      <c r="K3490" s="2"/>
      <c r="L3490" s="5"/>
      <c r="M3490" s="9" t="s">
        <v>377</v>
      </c>
      <c r="N3490" s="9" t="s">
        <v>49</v>
      </c>
      <c r="O3490" s="10">
        <f>'data on outstanding creditors'!$E3490*100/107</f>
        <v>272130.8411</v>
      </c>
      <c r="P3490" s="10">
        <f>'data on outstanding creditors'!$E3490-'data on outstanding creditors'!$O3490</f>
        <v>19049.15888</v>
      </c>
      <c r="Q3490" s="7">
        <f>DAY('data on outstanding creditors'!$B3490)</f>
        <v>30</v>
      </c>
      <c r="R3490" s="7">
        <f>MONTH('data on outstanding creditors'!$B3490)</f>
        <v>6</v>
      </c>
      <c r="S3490" s="7">
        <f>YEAR('data on outstanding creditors'!$B3490)</f>
        <v>2025</v>
      </c>
      <c r="T3490" s="11" t="str">
        <f>'data on outstanding creditors'!$C3490&amp;" "&amp;'data on outstanding creditors'!$D3490&amp;" "&amp;TEXT('data on outstanding creditors'!$E3490,"#,##0.00")</f>
        <v>บ.บุรีวัตร  สิทธิ จ่ายตรง 007/088 04/68 291,180.00</v>
      </c>
      <c r="U3490" s="12"/>
    </row>
    <row r="3491" ht="13.5" customHeight="1">
      <c r="A3491" s="1"/>
      <c r="B3491" s="2">
        <v>45838.0</v>
      </c>
      <c r="C3491" s="9" t="s">
        <v>375</v>
      </c>
      <c r="D3491" s="1" t="s">
        <v>5515</v>
      </c>
      <c r="E3491" s="4">
        <v>1380.0</v>
      </c>
      <c r="F3491" s="4"/>
      <c r="G3491" s="4"/>
      <c r="H3491" s="4">
        <f>'data on outstanding creditors'!$E3491-'data on outstanding creditors'!$F3491-'data on outstanding creditors'!$G3491</f>
        <v>1380</v>
      </c>
      <c r="I3491" s="2"/>
      <c r="J3491" s="1"/>
      <c r="K3491" s="2"/>
      <c r="L3491" s="5"/>
      <c r="M3491" s="9" t="s">
        <v>377</v>
      </c>
      <c r="N3491" s="9" t="s">
        <v>49</v>
      </c>
      <c r="O3491" s="10">
        <f>'data on outstanding creditors'!$E3491*100/107</f>
        <v>1289.719626</v>
      </c>
      <c r="P3491" s="10">
        <f>'data on outstanding creditors'!$E3491-'data on outstanding creditors'!$O3491</f>
        <v>90.28037383</v>
      </c>
      <c r="Q3491" s="7">
        <f>DAY('data on outstanding creditors'!$B3491)</f>
        <v>30</v>
      </c>
      <c r="R3491" s="7">
        <f>MONTH('data on outstanding creditors'!$B3491)</f>
        <v>6</v>
      </c>
      <c r="S3491" s="7">
        <f>YEAR('data on outstanding creditors'!$B3491)</f>
        <v>2025</v>
      </c>
      <c r="T3491" s="11" t="str">
        <f>'data on outstanding creditors'!$C3491&amp;" "&amp;'data on outstanding creditors'!$D3491&amp;" "&amp;TEXT('data on outstanding creditors'!$E3491,"#,##0.00")</f>
        <v>บ.บุรีวัตร  สิทธิ จ่ายตรง 007/089 03/68 1,380.00</v>
      </c>
      <c r="U3491" s="12"/>
    </row>
    <row r="3492" ht="13.5" customHeight="1">
      <c r="A3492" s="1"/>
      <c r="B3492" s="2">
        <v>45838.0</v>
      </c>
      <c r="C3492" s="9" t="s">
        <v>375</v>
      </c>
      <c r="D3492" s="1" t="s">
        <v>5516</v>
      </c>
      <c r="E3492" s="4">
        <v>253920.0</v>
      </c>
      <c r="F3492" s="4"/>
      <c r="G3492" s="4"/>
      <c r="H3492" s="4">
        <f>'data on outstanding creditors'!$E3492-'data on outstanding creditors'!$F3492-'data on outstanding creditors'!$G3492</f>
        <v>253920</v>
      </c>
      <c r="I3492" s="2"/>
      <c r="J3492" s="1"/>
      <c r="K3492" s="2"/>
      <c r="L3492" s="5"/>
      <c r="M3492" s="9" t="s">
        <v>377</v>
      </c>
      <c r="N3492" s="9" t="s">
        <v>49</v>
      </c>
      <c r="O3492" s="10">
        <f>'data on outstanding creditors'!$E3492*100/107</f>
        <v>237308.4112</v>
      </c>
      <c r="P3492" s="10">
        <f>'data on outstanding creditors'!$E3492-'data on outstanding creditors'!$O3492</f>
        <v>16611.58879</v>
      </c>
      <c r="Q3492" s="7">
        <f>DAY('data on outstanding creditors'!$B3492)</f>
        <v>30</v>
      </c>
      <c r="R3492" s="7">
        <f>MONTH('data on outstanding creditors'!$B3492)</f>
        <v>6</v>
      </c>
      <c r="S3492" s="7">
        <f>YEAR('data on outstanding creditors'!$B3492)</f>
        <v>2025</v>
      </c>
      <c r="T3492" s="11" t="str">
        <f>'data on outstanding creditors'!$C3492&amp;" "&amp;'data on outstanding creditors'!$D3492&amp;" "&amp;TEXT('data on outstanding creditors'!$E3492,"#,##0.00")</f>
        <v>บ.บุรีวัตร  สิทธิ จ่ายตรง 007/090 04/68 253,920.00</v>
      </c>
      <c r="U3492" s="12"/>
    </row>
    <row r="3493" ht="13.5" customHeight="1">
      <c r="A3493" s="1"/>
      <c r="B3493" s="2">
        <v>45838.0</v>
      </c>
      <c r="C3493" s="9" t="s">
        <v>375</v>
      </c>
      <c r="D3493" s="1" t="s">
        <v>5517</v>
      </c>
      <c r="E3493" s="4">
        <v>1380.0</v>
      </c>
      <c r="F3493" s="4"/>
      <c r="G3493" s="4"/>
      <c r="H3493" s="4">
        <f>'data on outstanding creditors'!$E3493-'data on outstanding creditors'!$F3493-'data on outstanding creditors'!$G3493</f>
        <v>1380</v>
      </c>
      <c r="I3493" s="2"/>
      <c r="J3493" s="1"/>
      <c r="K3493" s="2"/>
      <c r="L3493" s="5"/>
      <c r="M3493" s="9" t="s">
        <v>377</v>
      </c>
      <c r="N3493" s="9" t="s">
        <v>49</v>
      </c>
      <c r="O3493" s="10">
        <f>'data on outstanding creditors'!$E3493*100/107</f>
        <v>1289.719626</v>
      </c>
      <c r="P3493" s="10">
        <f>'data on outstanding creditors'!$E3493-'data on outstanding creditors'!$O3493</f>
        <v>90.28037383</v>
      </c>
      <c r="Q3493" s="7">
        <f>DAY('data on outstanding creditors'!$B3493)</f>
        <v>30</v>
      </c>
      <c r="R3493" s="7">
        <f>MONTH('data on outstanding creditors'!$B3493)</f>
        <v>6</v>
      </c>
      <c r="S3493" s="7">
        <f>YEAR('data on outstanding creditors'!$B3493)</f>
        <v>2025</v>
      </c>
      <c r="T3493" s="11" t="str">
        <f>'data on outstanding creditors'!$C3493&amp;" "&amp;'data on outstanding creditors'!$D3493&amp;" "&amp;TEXT('data on outstanding creditors'!$E3493,"#,##0.00")</f>
        <v>บ.บุรีวัตร  สิทธิ จ่ายตรง 007/091 04/68 1,380.00</v>
      </c>
      <c r="U3493" s="12"/>
    </row>
    <row r="3494" ht="13.5" customHeight="1">
      <c r="A3494" s="1"/>
      <c r="B3494" s="2">
        <v>45838.0</v>
      </c>
      <c r="C3494" s="9" t="s">
        <v>375</v>
      </c>
      <c r="D3494" s="1" t="s">
        <v>5518</v>
      </c>
      <c r="E3494" s="4">
        <v>1380.0</v>
      </c>
      <c r="F3494" s="4"/>
      <c r="G3494" s="4"/>
      <c r="H3494" s="4">
        <f>'data on outstanding creditors'!$E3494-'data on outstanding creditors'!$F3494-'data on outstanding creditors'!$G3494</f>
        <v>1380</v>
      </c>
      <c r="I3494" s="2"/>
      <c r="J3494" s="1"/>
      <c r="K3494" s="2"/>
      <c r="L3494" s="5"/>
      <c r="M3494" s="9" t="s">
        <v>377</v>
      </c>
      <c r="N3494" s="9" t="s">
        <v>49</v>
      </c>
      <c r="O3494" s="10">
        <f>'data on outstanding creditors'!$E3494*100/107</f>
        <v>1289.719626</v>
      </c>
      <c r="P3494" s="10">
        <f>'data on outstanding creditors'!$E3494-'data on outstanding creditors'!$O3494</f>
        <v>90.28037383</v>
      </c>
      <c r="Q3494" s="7">
        <f>DAY('data on outstanding creditors'!$B3494)</f>
        <v>30</v>
      </c>
      <c r="R3494" s="7">
        <f>MONTH('data on outstanding creditors'!$B3494)</f>
        <v>6</v>
      </c>
      <c r="S3494" s="7">
        <f>YEAR('data on outstanding creditors'!$B3494)</f>
        <v>2025</v>
      </c>
      <c r="T3494" s="11" t="str">
        <f>'data on outstanding creditors'!$C3494&amp;" "&amp;'data on outstanding creditors'!$D3494&amp;" "&amp;TEXT('data on outstanding creditors'!$E3494,"#,##0.00")</f>
        <v>บ.บุรีวัตร  สิทธิ จ่ายตรง 007/092 04/68 1,380.00</v>
      </c>
      <c r="U3494" s="12"/>
    </row>
    <row r="3495" ht="13.5" customHeight="1">
      <c r="A3495" s="1"/>
      <c r="B3495" s="2">
        <v>45838.0</v>
      </c>
      <c r="C3495" s="9" t="s">
        <v>375</v>
      </c>
      <c r="D3495" s="1" t="s">
        <v>5519</v>
      </c>
      <c r="E3495" s="4">
        <v>242250.0</v>
      </c>
      <c r="F3495" s="4"/>
      <c r="G3495" s="4"/>
      <c r="H3495" s="4">
        <f>'data on outstanding creditors'!$E3495-'data on outstanding creditors'!$F3495-'data on outstanding creditors'!$G3495</f>
        <v>242250</v>
      </c>
      <c r="I3495" s="2"/>
      <c r="J3495" s="1"/>
      <c r="K3495" s="2"/>
      <c r="L3495" s="5"/>
      <c r="M3495" s="9" t="s">
        <v>377</v>
      </c>
      <c r="N3495" s="9" t="s">
        <v>49</v>
      </c>
      <c r="O3495" s="10">
        <f>'data on outstanding creditors'!$E3495*100/107</f>
        <v>226401.8692</v>
      </c>
      <c r="P3495" s="10">
        <f>'data on outstanding creditors'!$E3495-'data on outstanding creditors'!$O3495</f>
        <v>15848.13084</v>
      </c>
      <c r="Q3495" s="7">
        <f>DAY('data on outstanding creditors'!$B3495)</f>
        <v>30</v>
      </c>
      <c r="R3495" s="7">
        <f>MONTH('data on outstanding creditors'!$B3495)</f>
        <v>6</v>
      </c>
      <c r="S3495" s="7">
        <f>YEAR('data on outstanding creditors'!$B3495)</f>
        <v>2025</v>
      </c>
      <c r="T3495" s="11" t="str">
        <f>'data on outstanding creditors'!$C3495&amp;" "&amp;'data on outstanding creditors'!$D3495&amp;" "&amp;TEXT('data on outstanding creditors'!$E3495,"#,##0.00")</f>
        <v>บ.บุรีวัตร  สิทธิ จ่ายตรง 007/093 05/68 242,250.00</v>
      </c>
      <c r="U3495" s="12"/>
    </row>
    <row r="3496" ht="13.5" customHeight="1">
      <c r="A3496" s="1"/>
      <c r="B3496" s="2">
        <v>45838.0</v>
      </c>
      <c r="C3496" s="9" t="s">
        <v>5520</v>
      </c>
      <c r="D3496" s="1" t="s">
        <v>5521</v>
      </c>
      <c r="E3496" s="4">
        <v>139380.0</v>
      </c>
      <c r="F3496" s="4"/>
      <c r="G3496" s="4"/>
      <c r="H3496" s="4">
        <f>'data on outstanding creditors'!$E3496-'data on outstanding creditors'!$F3496-'data on outstanding creditors'!$G3496</f>
        <v>139380</v>
      </c>
      <c r="I3496" s="2"/>
      <c r="J3496" s="1"/>
      <c r="K3496" s="2"/>
      <c r="L3496" s="5"/>
      <c r="M3496" s="9" t="s">
        <v>377</v>
      </c>
      <c r="N3496" s="9" t="s">
        <v>49</v>
      </c>
      <c r="O3496" s="10">
        <f>'data on outstanding creditors'!$E3496*100/107</f>
        <v>130261.6822</v>
      </c>
      <c r="P3496" s="10">
        <f>'data on outstanding creditors'!$E3496-'data on outstanding creditors'!$O3496</f>
        <v>9118.317757</v>
      </c>
      <c r="Q3496" s="7">
        <f>DAY('data on outstanding creditors'!$B3496)</f>
        <v>30</v>
      </c>
      <c r="R3496" s="7">
        <f>MONTH('data on outstanding creditors'!$B3496)</f>
        <v>6</v>
      </c>
      <c r="S3496" s="7">
        <f>YEAR('data on outstanding creditors'!$B3496)</f>
        <v>2025</v>
      </c>
      <c r="T3496" s="11" t="str">
        <f>'data on outstanding creditors'!$C3496&amp;" "&amp;'data on outstanding creditors'!$D3496&amp;" "&amp;TEXT('data on outstanding creditors'!$E3496,"#,##0.00")</f>
        <v>บ.บุรีวัตร  สิทธิ ปกส 007/094 03/68 139,380.00</v>
      </c>
      <c r="U3496" s="12"/>
    </row>
    <row r="3497" ht="13.5" customHeight="1">
      <c r="A3497" s="1"/>
      <c r="B3497" s="2">
        <v>45838.0</v>
      </c>
      <c r="C3497" s="9" t="s">
        <v>5520</v>
      </c>
      <c r="D3497" s="1" t="s">
        <v>5522</v>
      </c>
      <c r="E3497" s="4">
        <v>121440.0</v>
      </c>
      <c r="F3497" s="4"/>
      <c r="G3497" s="4"/>
      <c r="H3497" s="4">
        <f>'data on outstanding creditors'!$E3497-'data on outstanding creditors'!$F3497-'data on outstanding creditors'!$G3497</f>
        <v>121440</v>
      </c>
      <c r="I3497" s="2"/>
      <c r="J3497" s="1"/>
      <c r="K3497" s="2"/>
      <c r="L3497" s="5"/>
      <c r="M3497" s="9" t="s">
        <v>377</v>
      </c>
      <c r="N3497" s="9" t="s">
        <v>49</v>
      </c>
      <c r="O3497" s="10">
        <f>'data on outstanding creditors'!$E3497*100/107</f>
        <v>113495.3271</v>
      </c>
      <c r="P3497" s="10">
        <f>'data on outstanding creditors'!$E3497-'data on outstanding creditors'!$O3497</f>
        <v>7944.672897</v>
      </c>
      <c r="Q3497" s="7">
        <f>DAY('data on outstanding creditors'!$B3497)</f>
        <v>30</v>
      </c>
      <c r="R3497" s="7">
        <f>MONTH('data on outstanding creditors'!$B3497)</f>
        <v>6</v>
      </c>
      <c r="S3497" s="7">
        <f>YEAR('data on outstanding creditors'!$B3497)</f>
        <v>2025</v>
      </c>
      <c r="T3497" s="11" t="str">
        <f>'data on outstanding creditors'!$C3497&amp;" "&amp;'data on outstanding creditors'!$D3497&amp;" "&amp;TEXT('data on outstanding creditors'!$E3497,"#,##0.00")</f>
        <v>บ.บุรีวัตร  สิทธิ ปกส 007/095 04/68 121,440.00</v>
      </c>
      <c r="U3497" s="12"/>
    </row>
    <row r="3498" ht="13.5" customHeight="1">
      <c r="A3498" s="1"/>
      <c r="B3498" s="2">
        <v>45838.0</v>
      </c>
      <c r="C3498" s="9" t="s">
        <v>5520</v>
      </c>
      <c r="D3498" s="1" t="s">
        <v>5523</v>
      </c>
      <c r="E3498" s="4">
        <v>12420.0</v>
      </c>
      <c r="F3498" s="4"/>
      <c r="G3498" s="4"/>
      <c r="H3498" s="4">
        <f>'data on outstanding creditors'!$E3498-'data on outstanding creditors'!$F3498-'data on outstanding creditors'!$G3498</f>
        <v>12420</v>
      </c>
      <c r="I3498" s="2"/>
      <c r="J3498" s="1"/>
      <c r="K3498" s="2"/>
      <c r="L3498" s="5"/>
      <c r="M3498" s="9" t="s">
        <v>377</v>
      </c>
      <c r="N3498" s="9" t="s">
        <v>49</v>
      </c>
      <c r="O3498" s="10">
        <f>'data on outstanding creditors'!$E3498*100/107</f>
        <v>11607.47664</v>
      </c>
      <c r="P3498" s="10">
        <f>'data on outstanding creditors'!$E3498-'data on outstanding creditors'!$O3498</f>
        <v>812.5233645</v>
      </c>
      <c r="Q3498" s="7">
        <f>DAY('data on outstanding creditors'!$B3498)</f>
        <v>30</v>
      </c>
      <c r="R3498" s="7">
        <f>MONTH('data on outstanding creditors'!$B3498)</f>
        <v>6</v>
      </c>
      <c r="S3498" s="7">
        <f>YEAR('data on outstanding creditors'!$B3498)</f>
        <v>2025</v>
      </c>
      <c r="T3498" s="11" t="str">
        <f>'data on outstanding creditors'!$C3498&amp;" "&amp;'data on outstanding creditors'!$D3498&amp;" "&amp;TEXT('data on outstanding creditors'!$E3498,"#,##0.00")</f>
        <v>บ.บุรีวัตร  สิทธิ ปกส 007/096 03/68 12,420.00</v>
      </c>
      <c r="U3498" s="12"/>
    </row>
    <row r="3499" ht="13.5" customHeight="1">
      <c r="A3499" s="1"/>
      <c r="B3499" s="2">
        <v>45838.0</v>
      </c>
      <c r="C3499" s="9" t="s">
        <v>375</v>
      </c>
      <c r="D3499" s="1" t="s">
        <v>5524</v>
      </c>
      <c r="E3499" s="4">
        <v>274125.0</v>
      </c>
      <c r="F3499" s="4"/>
      <c r="G3499" s="4"/>
      <c r="H3499" s="4">
        <f>'data on outstanding creditors'!$E3499-'data on outstanding creditors'!$F3499-'data on outstanding creditors'!$G3499</f>
        <v>274125</v>
      </c>
      <c r="I3499" s="2"/>
      <c r="J3499" s="1"/>
      <c r="K3499" s="2"/>
      <c r="L3499" s="5"/>
      <c r="M3499" s="9" t="s">
        <v>377</v>
      </c>
      <c r="N3499" s="9" t="s">
        <v>49</v>
      </c>
      <c r="O3499" s="10">
        <f>'data on outstanding creditors'!$E3499*100/107</f>
        <v>256191.5888</v>
      </c>
      <c r="P3499" s="10">
        <f>'data on outstanding creditors'!$E3499-'data on outstanding creditors'!$O3499</f>
        <v>17933.41121</v>
      </c>
      <c r="Q3499" s="7">
        <f>DAY('data on outstanding creditors'!$B3499)</f>
        <v>30</v>
      </c>
      <c r="R3499" s="7">
        <f>MONTH('data on outstanding creditors'!$B3499)</f>
        <v>6</v>
      </c>
      <c r="S3499" s="7">
        <f>YEAR('data on outstanding creditors'!$B3499)</f>
        <v>2025</v>
      </c>
      <c r="T3499" s="11" t="str">
        <f>'data on outstanding creditors'!$C3499&amp;" "&amp;'data on outstanding creditors'!$D3499&amp;" "&amp;TEXT('data on outstanding creditors'!$E3499,"#,##0.00")</f>
        <v>บ.บุรีวัตร  สิทธิ จ่ายตรง 007/097 05/68 274,125.00</v>
      </c>
      <c r="U3499" s="12"/>
    </row>
    <row r="3500" ht="13.5" customHeight="1">
      <c r="A3500" s="1"/>
      <c r="B3500" s="2">
        <v>45838.0</v>
      </c>
      <c r="C3500" s="9" t="s">
        <v>375</v>
      </c>
      <c r="D3500" s="1" t="s">
        <v>5525</v>
      </c>
      <c r="E3500" s="4">
        <v>40800.0</v>
      </c>
      <c r="F3500" s="4"/>
      <c r="G3500" s="4"/>
      <c r="H3500" s="4">
        <f>'data on outstanding creditors'!$E3500-'data on outstanding creditors'!$F3500-'data on outstanding creditors'!$G3500</f>
        <v>40800</v>
      </c>
      <c r="I3500" s="2"/>
      <c r="J3500" s="1"/>
      <c r="K3500" s="2"/>
      <c r="L3500" s="5"/>
      <c r="M3500" s="9" t="s">
        <v>377</v>
      </c>
      <c r="N3500" s="9" t="s">
        <v>49</v>
      </c>
      <c r="O3500" s="10">
        <f>'data on outstanding creditors'!$E3500*100/107</f>
        <v>38130.84112</v>
      </c>
      <c r="P3500" s="10">
        <f>'data on outstanding creditors'!$E3500-'data on outstanding creditors'!$O3500</f>
        <v>2669.158879</v>
      </c>
      <c r="Q3500" s="7">
        <f>DAY('data on outstanding creditors'!$B3500)</f>
        <v>30</v>
      </c>
      <c r="R3500" s="7">
        <f>MONTH('data on outstanding creditors'!$B3500)</f>
        <v>6</v>
      </c>
      <c r="S3500" s="7">
        <f>YEAR('data on outstanding creditors'!$B3500)</f>
        <v>2025</v>
      </c>
      <c r="T3500" s="11" t="str">
        <f>'data on outstanding creditors'!$C3500&amp;" "&amp;'data on outstanding creditors'!$D3500&amp;" "&amp;TEXT('data on outstanding creditors'!$E3500,"#,##0.00")</f>
        <v>บ.บุรีวัตร  สิทธิ จ่ายตรง 007/098 06/68 40,800.00</v>
      </c>
      <c r="U3500" s="12"/>
    </row>
    <row r="3501" ht="13.5" customHeight="1">
      <c r="A3501" s="1"/>
      <c r="B3501" s="2">
        <v>45838.0</v>
      </c>
      <c r="C3501" s="9" t="s">
        <v>375</v>
      </c>
      <c r="D3501" s="1" t="s">
        <v>5526</v>
      </c>
      <c r="E3501" s="4">
        <v>1275.0</v>
      </c>
      <c r="F3501" s="4"/>
      <c r="G3501" s="4"/>
      <c r="H3501" s="4">
        <f>'data on outstanding creditors'!$E3501-'data on outstanding creditors'!$F3501-'data on outstanding creditors'!$G3501</f>
        <v>1275</v>
      </c>
      <c r="I3501" s="2"/>
      <c r="J3501" s="1"/>
      <c r="K3501" s="2"/>
      <c r="L3501" s="5"/>
      <c r="M3501" s="9" t="s">
        <v>377</v>
      </c>
      <c r="N3501" s="9" t="s">
        <v>49</v>
      </c>
      <c r="O3501" s="10">
        <f>'data on outstanding creditors'!$E3501*100/107</f>
        <v>1191.588785</v>
      </c>
      <c r="P3501" s="10">
        <f>'data on outstanding creditors'!$E3501-'data on outstanding creditors'!$O3501</f>
        <v>83.41121495</v>
      </c>
      <c r="Q3501" s="7">
        <f>DAY('data on outstanding creditors'!$B3501)</f>
        <v>30</v>
      </c>
      <c r="R3501" s="7">
        <f>MONTH('data on outstanding creditors'!$B3501)</f>
        <v>6</v>
      </c>
      <c r="S3501" s="7">
        <f>YEAR('data on outstanding creditors'!$B3501)</f>
        <v>2025</v>
      </c>
      <c r="T3501" s="11" t="str">
        <f>'data on outstanding creditors'!$C3501&amp;" "&amp;'data on outstanding creditors'!$D3501&amp;" "&amp;TEXT('data on outstanding creditors'!$E3501,"#,##0.00")</f>
        <v>บ.บุรีวัตร  สิทธิ จ่ายตรง 007/099 05/68 1,275.00</v>
      </c>
      <c r="U3501" s="12"/>
    </row>
    <row r="3502" ht="13.5" customHeight="1">
      <c r="A3502" s="1"/>
      <c r="B3502" s="2">
        <v>45838.0</v>
      </c>
      <c r="C3502" s="9" t="s">
        <v>5520</v>
      </c>
      <c r="D3502" s="1" t="s">
        <v>5527</v>
      </c>
      <c r="E3502" s="4">
        <v>128340.0</v>
      </c>
      <c r="F3502" s="4"/>
      <c r="G3502" s="4"/>
      <c r="H3502" s="4">
        <f>'data on outstanding creditors'!$E3502-'data on outstanding creditors'!$F3502-'data on outstanding creditors'!$G3502</f>
        <v>128340</v>
      </c>
      <c r="I3502" s="2"/>
      <c r="J3502" s="1"/>
      <c r="K3502" s="2"/>
      <c r="L3502" s="5"/>
      <c r="M3502" s="9" t="s">
        <v>377</v>
      </c>
      <c r="N3502" s="9" t="s">
        <v>49</v>
      </c>
      <c r="O3502" s="10">
        <f>'data on outstanding creditors'!$E3502*100/107</f>
        <v>119943.9252</v>
      </c>
      <c r="P3502" s="10">
        <f>'data on outstanding creditors'!$E3502-'data on outstanding creditors'!$O3502</f>
        <v>8396.074766</v>
      </c>
      <c r="Q3502" s="7">
        <f>DAY('data on outstanding creditors'!$B3502)</f>
        <v>30</v>
      </c>
      <c r="R3502" s="7">
        <f>MONTH('data on outstanding creditors'!$B3502)</f>
        <v>6</v>
      </c>
      <c r="S3502" s="7">
        <f>YEAR('data on outstanding creditors'!$B3502)</f>
        <v>2025</v>
      </c>
      <c r="T3502" s="11" t="str">
        <f>'data on outstanding creditors'!$C3502&amp;" "&amp;'data on outstanding creditors'!$D3502&amp;" "&amp;TEXT('data on outstanding creditors'!$E3502,"#,##0.00")</f>
        <v>บ.บุรีวัตร  สิทธิ ปกส 007/100 04/68 128,340.00</v>
      </c>
      <c r="U3502" s="12"/>
    </row>
    <row r="3503" ht="13.5" customHeight="1">
      <c r="A3503" s="1"/>
      <c r="B3503" s="2">
        <v>45838.0</v>
      </c>
      <c r="C3503" s="9" t="s">
        <v>5520</v>
      </c>
      <c r="D3503" s="1" t="s">
        <v>5528</v>
      </c>
      <c r="E3503" s="4">
        <v>30360.0</v>
      </c>
      <c r="F3503" s="4"/>
      <c r="G3503" s="4"/>
      <c r="H3503" s="4">
        <f>'data on outstanding creditors'!$E3503-'data on outstanding creditors'!$F3503-'data on outstanding creditors'!$G3503</f>
        <v>30360</v>
      </c>
      <c r="I3503" s="2"/>
      <c r="J3503" s="1"/>
      <c r="K3503" s="2"/>
      <c r="L3503" s="5"/>
      <c r="M3503" s="9" t="s">
        <v>377</v>
      </c>
      <c r="N3503" s="9" t="s">
        <v>49</v>
      </c>
      <c r="O3503" s="10">
        <f>'data on outstanding creditors'!$E3503*100/107</f>
        <v>28373.83178</v>
      </c>
      <c r="P3503" s="10">
        <f>'data on outstanding creditors'!$E3503-'data on outstanding creditors'!$O3503</f>
        <v>1986.168224</v>
      </c>
      <c r="Q3503" s="7">
        <f>DAY('data on outstanding creditors'!$B3503)</f>
        <v>30</v>
      </c>
      <c r="R3503" s="7">
        <f>MONTH('data on outstanding creditors'!$B3503)</f>
        <v>6</v>
      </c>
      <c r="S3503" s="7">
        <f>YEAR('data on outstanding creditors'!$B3503)</f>
        <v>2025</v>
      </c>
      <c r="T3503" s="11" t="str">
        <f>'data on outstanding creditors'!$C3503&amp;" "&amp;'data on outstanding creditors'!$D3503&amp;" "&amp;TEXT('data on outstanding creditors'!$E3503,"#,##0.00")</f>
        <v>บ.บุรีวัตร  สิทธิ ปกส 008/001 04/68 30,360.00</v>
      </c>
      <c r="U3503" s="12"/>
    </row>
    <row r="3504" ht="13.5" customHeight="1">
      <c r="A3504" s="1"/>
      <c r="B3504" s="2">
        <v>45838.0</v>
      </c>
      <c r="C3504" s="9" t="s">
        <v>5520</v>
      </c>
      <c r="D3504" s="1" t="s">
        <v>5529</v>
      </c>
      <c r="E3504" s="4">
        <v>154275.0</v>
      </c>
      <c r="F3504" s="4"/>
      <c r="G3504" s="4"/>
      <c r="H3504" s="4">
        <f>'data on outstanding creditors'!$E3504-'data on outstanding creditors'!$F3504-'data on outstanding creditors'!$G3504</f>
        <v>154275</v>
      </c>
      <c r="I3504" s="2"/>
      <c r="J3504" s="1"/>
      <c r="K3504" s="2"/>
      <c r="L3504" s="5"/>
      <c r="M3504" s="9" t="s">
        <v>377</v>
      </c>
      <c r="N3504" s="9" t="s">
        <v>49</v>
      </c>
      <c r="O3504" s="10">
        <f>'data on outstanding creditors'!$E3504*100/107</f>
        <v>144182.243</v>
      </c>
      <c r="P3504" s="10">
        <f>'data on outstanding creditors'!$E3504-'data on outstanding creditors'!$O3504</f>
        <v>10092.75701</v>
      </c>
      <c r="Q3504" s="7">
        <f>DAY('data on outstanding creditors'!$B3504)</f>
        <v>30</v>
      </c>
      <c r="R3504" s="7">
        <f>MONTH('data on outstanding creditors'!$B3504)</f>
        <v>6</v>
      </c>
      <c r="S3504" s="7">
        <f>YEAR('data on outstanding creditors'!$B3504)</f>
        <v>2025</v>
      </c>
      <c r="T3504" s="11" t="str">
        <f>'data on outstanding creditors'!$C3504&amp;" "&amp;'data on outstanding creditors'!$D3504&amp;" "&amp;TEXT('data on outstanding creditors'!$E3504,"#,##0.00")</f>
        <v>บ.บุรีวัตร  สิทธิ ปกส 008/002 05/68 154,275.00</v>
      </c>
      <c r="U3504" s="12"/>
    </row>
    <row r="3505" ht="13.5" customHeight="1">
      <c r="A3505" s="1"/>
      <c r="B3505" s="2">
        <v>45838.0</v>
      </c>
      <c r="C3505" s="9" t="s">
        <v>5520</v>
      </c>
      <c r="D3505" s="1" t="s">
        <v>5529</v>
      </c>
      <c r="E3505" s="4">
        <v>154275.0</v>
      </c>
      <c r="F3505" s="4"/>
      <c r="G3505" s="4"/>
      <c r="H3505" s="4">
        <f>'data on outstanding creditors'!$E3505-'data on outstanding creditors'!$F3505-'data on outstanding creditors'!$G3505</f>
        <v>154275</v>
      </c>
      <c r="I3505" s="2"/>
      <c r="J3505" s="1"/>
      <c r="K3505" s="2"/>
      <c r="L3505" s="5" t="s">
        <v>758</v>
      </c>
      <c r="M3505" s="9" t="s">
        <v>377</v>
      </c>
      <c r="N3505" s="9" t="s">
        <v>49</v>
      </c>
      <c r="O3505" s="10">
        <f>'data on outstanding creditors'!$E3505*100/107</f>
        <v>144182.243</v>
      </c>
      <c r="P3505" s="10">
        <f>'data on outstanding creditors'!$E3505-'data on outstanding creditors'!$O3505</f>
        <v>10092.75701</v>
      </c>
      <c r="Q3505" s="7">
        <f>DAY('data on outstanding creditors'!$B3505)</f>
        <v>30</v>
      </c>
      <c r="R3505" s="7">
        <f>MONTH('data on outstanding creditors'!$B3505)</f>
        <v>6</v>
      </c>
      <c r="S3505" s="7">
        <f>YEAR('data on outstanding creditors'!$B3505)</f>
        <v>2025</v>
      </c>
      <c r="T3505" s="11" t="str">
        <f>'data on outstanding creditors'!$C3505&amp;" "&amp;'data on outstanding creditors'!$D3505&amp;" "&amp;TEXT('data on outstanding creditors'!$E3505,"#,##0.00")</f>
        <v>บ.บุรีวัตร  สิทธิ ปกส 008/002 05/68 154,275.00</v>
      </c>
      <c r="U3505" s="12"/>
    </row>
    <row r="3506" ht="13.5" customHeight="1">
      <c r="A3506" s="1"/>
      <c r="B3506" s="2">
        <v>45838.0</v>
      </c>
      <c r="C3506" s="9" t="s">
        <v>5520</v>
      </c>
      <c r="D3506" s="1" t="s">
        <v>5529</v>
      </c>
      <c r="E3506" s="4">
        <v>153000.0</v>
      </c>
      <c r="F3506" s="4"/>
      <c r="G3506" s="4"/>
      <c r="H3506" s="4">
        <f>'data on outstanding creditors'!$E3506-'data on outstanding creditors'!$F3506-'data on outstanding creditors'!$G3506</f>
        <v>153000</v>
      </c>
      <c r="I3506" s="2"/>
      <c r="J3506" s="1"/>
      <c r="K3506" s="2"/>
      <c r="L3506" s="5" t="s">
        <v>758</v>
      </c>
      <c r="M3506" s="9" t="s">
        <v>377</v>
      </c>
      <c r="N3506" s="9" t="s">
        <v>49</v>
      </c>
      <c r="O3506" s="10">
        <f>'data on outstanding creditors'!$E3506*100/107</f>
        <v>142990.6542</v>
      </c>
      <c r="P3506" s="10">
        <f>'data on outstanding creditors'!$E3506-'data on outstanding creditors'!$O3506</f>
        <v>10009.34579</v>
      </c>
      <c r="Q3506" s="7">
        <f>DAY('data on outstanding creditors'!$B3506)</f>
        <v>30</v>
      </c>
      <c r="R3506" s="7">
        <f>MONTH('data on outstanding creditors'!$B3506)</f>
        <v>6</v>
      </c>
      <c r="S3506" s="7">
        <f>YEAR('data on outstanding creditors'!$B3506)</f>
        <v>2025</v>
      </c>
      <c r="T3506" s="11" t="str">
        <f>'data on outstanding creditors'!$C3506&amp;" "&amp;'data on outstanding creditors'!$D3506&amp;" "&amp;TEXT('data on outstanding creditors'!$E3506,"#,##0.00")</f>
        <v>บ.บุรีวัตร  สิทธิ ปกส 008/002 05/68 153,000.00</v>
      </c>
      <c r="U3506" s="12"/>
    </row>
    <row r="3507" ht="13.5" customHeight="1">
      <c r="A3507" s="1"/>
      <c r="B3507" s="2">
        <v>45852.0</v>
      </c>
      <c r="C3507" s="9" t="s">
        <v>379</v>
      </c>
      <c r="D3507" s="1" t="s">
        <v>5530</v>
      </c>
      <c r="E3507" s="4">
        <v>311100.0</v>
      </c>
      <c r="F3507" s="4"/>
      <c r="G3507" s="4"/>
      <c r="H3507" s="4">
        <f>'data on outstanding creditors'!$E3507-'data on outstanding creditors'!$F3507-'data on outstanding creditors'!$G3507</f>
        <v>311100</v>
      </c>
      <c r="I3507" s="2"/>
      <c r="J3507" s="1"/>
      <c r="K3507" s="2"/>
      <c r="L3507" s="5"/>
      <c r="M3507" s="9" t="s">
        <v>377</v>
      </c>
      <c r="N3507" s="9" t="s">
        <v>49</v>
      </c>
      <c r="O3507" s="10">
        <f>'data on outstanding creditors'!$E3507*100/107</f>
        <v>290747.6636</v>
      </c>
      <c r="P3507" s="10">
        <f>'data on outstanding creditors'!$E3507-'data on outstanding creditors'!$O3507</f>
        <v>20352.33645</v>
      </c>
      <c r="Q3507" s="7">
        <f>DAY('data on outstanding creditors'!$B3507)</f>
        <v>14</v>
      </c>
      <c r="R3507" s="7">
        <f>MONTH('data on outstanding creditors'!$B3507)</f>
        <v>7</v>
      </c>
      <c r="S3507" s="7">
        <f>YEAR('data on outstanding creditors'!$B3507)</f>
        <v>2025</v>
      </c>
      <c r="T3507" s="11" t="str">
        <f>'data on outstanding creditors'!$C3507&amp;" "&amp;'data on outstanding creditors'!$D3507&amp;" "&amp;TEXT('data on outstanding creditors'!$E3507,"#,##0.00")</f>
        <v>บ.บุรีวัตร  สิทธิ สปสช 008/003 07/68 311,100.00</v>
      </c>
      <c r="U3507" s="12"/>
    </row>
    <row r="3508" ht="13.5" customHeight="1">
      <c r="A3508" s="1"/>
      <c r="B3508" s="2">
        <v>45852.0</v>
      </c>
      <c r="C3508" s="9" t="s">
        <v>379</v>
      </c>
      <c r="D3508" s="1" t="s">
        <v>5531</v>
      </c>
      <c r="E3508" s="4">
        <v>235875.0</v>
      </c>
      <c r="F3508" s="4"/>
      <c r="G3508" s="4"/>
      <c r="H3508" s="4">
        <f>'data on outstanding creditors'!$E3508-'data on outstanding creditors'!$F3508-'data on outstanding creditors'!$G3508</f>
        <v>235875</v>
      </c>
      <c r="I3508" s="2"/>
      <c r="J3508" s="1"/>
      <c r="K3508" s="2"/>
      <c r="L3508" s="5"/>
      <c r="M3508" s="9" t="s">
        <v>377</v>
      </c>
      <c r="N3508" s="9" t="s">
        <v>49</v>
      </c>
      <c r="O3508" s="10">
        <f>'data on outstanding creditors'!$E3508*100/107</f>
        <v>220443.9252</v>
      </c>
      <c r="P3508" s="10">
        <f>'data on outstanding creditors'!$E3508-'data on outstanding creditors'!$O3508</f>
        <v>15431.07477</v>
      </c>
      <c r="Q3508" s="7">
        <f>DAY('data on outstanding creditors'!$B3508)</f>
        <v>14</v>
      </c>
      <c r="R3508" s="7">
        <f>MONTH('data on outstanding creditors'!$B3508)</f>
        <v>7</v>
      </c>
      <c r="S3508" s="7">
        <f>YEAR('data on outstanding creditors'!$B3508)</f>
        <v>2025</v>
      </c>
      <c r="T3508" s="11" t="str">
        <f>'data on outstanding creditors'!$C3508&amp;" "&amp;'data on outstanding creditors'!$D3508&amp;" "&amp;TEXT('data on outstanding creditors'!$E3508,"#,##0.00")</f>
        <v>บ.บุรีวัตร  สิทธิ สปสช 008/004 07/68 235,875.00</v>
      </c>
      <c r="U3508" s="12"/>
    </row>
    <row r="3509" ht="13.5" customHeight="1">
      <c r="A3509" s="1"/>
      <c r="B3509" s="2">
        <v>45852.0</v>
      </c>
      <c r="C3509" s="9" t="s">
        <v>375</v>
      </c>
      <c r="D3509" s="1" t="s">
        <v>5532</v>
      </c>
      <c r="E3509" s="4">
        <v>163200.0</v>
      </c>
      <c r="F3509" s="4"/>
      <c r="G3509" s="4"/>
      <c r="H3509" s="4">
        <f>'data on outstanding creditors'!$E3509-'data on outstanding creditors'!$F3509-'data on outstanding creditors'!$G3509</f>
        <v>163200</v>
      </c>
      <c r="I3509" s="2"/>
      <c r="J3509" s="1"/>
      <c r="K3509" s="2"/>
      <c r="L3509" s="5"/>
      <c r="M3509" s="9" t="s">
        <v>377</v>
      </c>
      <c r="N3509" s="9" t="s">
        <v>49</v>
      </c>
      <c r="O3509" s="10">
        <f>'data on outstanding creditors'!$E3509*100/107</f>
        <v>152523.3645</v>
      </c>
      <c r="P3509" s="10">
        <f>'data on outstanding creditors'!$E3509-'data on outstanding creditors'!$O3509</f>
        <v>10676.63551</v>
      </c>
      <c r="Q3509" s="7">
        <f>DAY('data on outstanding creditors'!$B3509)</f>
        <v>14</v>
      </c>
      <c r="R3509" s="7">
        <f>MONTH('data on outstanding creditors'!$B3509)</f>
        <v>7</v>
      </c>
      <c r="S3509" s="7">
        <f>YEAR('data on outstanding creditors'!$B3509)</f>
        <v>2025</v>
      </c>
      <c r="T3509" s="11" t="str">
        <f>'data on outstanding creditors'!$C3509&amp;" "&amp;'data on outstanding creditors'!$D3509&amp;" "&amp;TEXT('data on outstanding creditors'!$E3509,"#,##0.00")</f>
        <v>บ.บุรีวัตร  สิทธิ จ่ายตรง 008/005 07/68 163,200.00</v>
      </c>
      <c r="U3509" s="12"/>
    </row>
    <row r="3510" ht="13.5" customHeight="1">
      <c r="A3510" s="1"/>
      <c r="B3510" s="2">
        <v>45852.0</v>
      </c>
      <c r="C3510" s="9" t="s">
        <v>5520</v>
      </c>
      <c r="D3510" s="1" t="s">
        <v>5533</v>
      </c>
      <c r="E3510" s="4">
        <v>91800.0</v>
      </c>
      <c r="F3510" s="4"/>
      <c r="G3510" s="4"/>
      <c r="H3510" s="4">
        <f>'data on outstanding creditors'!$E3510-'data on outstanding creditors'!$F3510-'data on outstanding creditors'!$G3510</f>
        <v>91800</v>
      </c>
      <c r="I3510" s="2"/>
      <c r="J3510" s="1"/>
      <c r="K3510" s="2"/>
      <c r="L3510" s="5"/>
      <c r="M3510" s="9" t="s">
        <v>377</v>
      </c>
      <c r="N3510" s="9" t="s">
        <v>49</v>
      </c>
      <c r="O3510" s="10">
        <f>'data on outstanding creditors'!$E3510*100/107</f>
        <v>85794.39252</v>
      </c>
      <c r="P3510" s="10">
        <f>'data on outstanding creditors'!$E3510-'data on outstanding creditors'!$O3510</f>
        <v>6005.607477</v>
      </c>
      <c r="Q3510" s="7">
        <f>DAY('data on outstanding creditors'!$B3510)</f>
        <v>14</v>
      </c>
      <c r="R3510" s="7">
        <f>MONTH('data on outstanding creditors'!$B3510)</f>
        <v>7</v>
      </c>
      <c r="S3510" s="7">
        <f>YEAR('data on outstanding creditors'!$B3510)</f>
        <v>2025</v>
      </c>
      <c r="T3510" s="11" t="str">
        <f>'data on outstanding creditors'!$C3510&amp;" "&amp;'data on outstanding creditors'!$D3510&amp;" "&amp;TEXT('data on outstanding creditors'!$E3510,"#,##0.00")</f>
        <v>บ.บุรีวัตร  สิทธิ ปกส 008/006 07/68 91,800.00</v>
      </c>
      <c r="U3510" s="12"/>
    </row>
    <row r="3511" ht="13.5" customHeight="1">
      <c r="A3511" s="1"/>
      <c r="B3511" s="2">
        <v>45852.0</v>
      </c>
      <c r="C3511" s="9" t="s">
        <v>5494</v>
      </c>
      <c r="D3511" s="1" t="s">
        <v>5534</v>
      </c>
      <c r="E3511" s="4">
        <v>30600.0</v>
      </c>
      <c r="F3511" s="4"/>
      <c r="G3511" s="4"/>
      <c r="H3511" s="4">
        <f>'data on outstanding creditors'!$E3511-'data on outstanding creditors'!$F3511-'data on outstanding creditors'!$G3511</f>
        <v>30600</v>
      </c>
      <c r="I3511" s="2"/>
      <c r="J3511" s="1"/>
      <c r="K3511" s="2"/>
      <c r="L3511" s="5"/>
      <c r="M3511" s="9" t="s">
        <v>377</v>
      </c>
      <c r="N3511" s="9" t="s">
        <v>49</v>
      </c>
      <c r="O3511" s="10">
        <f>'data on outstanding creditors'!$E3511*100/107</f>
        <v>28598.13084</v>
      </c>
      <c r="P3511" s="10">
        <f>'data on outstanding creditors'!$E3511-'data on outstanding creditors'!$O3511</f>
        <v>2001.869159</v>
      </c>
      <c r="Q3511" s="7">
        <f>DAY('data on outstanding creditors'!$B3511)</f>
        <v>14</v>
      </c>
      <c r="R3511" s="7">
        <f>MONTH('data on outstanding creditors'!$B3511)</f>
        <v>7</v>
      </c>
      <c r="S3511" s="7">
        <f>YEAR('data on outstanding creditors'!$B3511)</f>
        <v>2025</v>
      </c>
      <c r="T3511" s="11" t="str">
        <f>'data on outstanding creditors'!$C3511&amp;" "&amp;'data on outstanding creditors'!$D3511&amp;" "&amp;TEXT('data on outstanding creditors'!$E3511,"#,##0.00")</f>
        <v>บ.บุรีวัตร  สิทธิ อปท 008/007 07/68 30,600.00</v>
      </c>
      <c r="U3511" s="12"/>
    </row>
    <row r="3512" ht="13.5" customHeight="1">
      <c r="A3512" s="1"/>
      <c r="B3512" s="2">
        <v>45862.0</v>
      </c>
      <c r="C3512" s="9" t="s">
        <v>375</v>
      </c>
      <c r="D3512" s="1" t="s">
        <v>5535</v>
      </c>
      <c r="E3512" s="4">
        <v>156825.0</v>
      </c>
      <c r="F3512" s="4"/>
      <c r="G3512" s="4"/>
      <c r="H3512" s="4">
        <f>'data on outstanding creditors'!$E3512-'data on outstanding creditors'!$F3512-'data on outstanding creditors'!$G3512</f>
        <v>156825</v>
      </c>
      <c r="I3512" s="2"/>
      <c r="J3512" s="1"/>
      <c r="K3512" s="2"/>
      <c r="L3512" s="5"/>
      <c r="M3512" s="9" t="s">
        <v>377</v>
      </c>
      <c r="N3512" s="9" t="s">
        <v>49</v>
      </c>
      <c r="O3512" s="10">
        <f>'data on outstanding creditors'!$E3512*100/107</f>
        <v>146565.4206</v>
      </c>
      <c r="P3512" s="10">
        <f>'data on outstanding creditors'!$E3512-'data on outstanding creditors'!$O3512</f>
        <v>10259.57944</v>
      </c>
      <c r="Q3512" s="7">
        <f>DAY('data on outstanding creditors'!$B3512)</f>
        <v>24</v>
      </c>
      <c r="R3512" s="7">
        <f>MONTH('data on outstanding creditors'!$B3512)</f>
        <v>7</v>
      </c>
      <c r="S3512" s="7">
        <f>YEAR('data on outstanding creditors'!$B3512)</f>
        <v>2025</v>
      </c>
      <c r="T3512" s="11" t="str">
        <f>'data on outstanding creditors'!$C3512&amp;" "&amp;'data on outstanding creditors'!$D3512&amp;" "&amp;TEXT('data on outstanding creditors'!$E3512,"#,##0.00")</f>
        <v>บ.บุรีวัตร  สิทธิ จ่ายตรง 008/012 07/68 156,825.00</v>
      </c>
      <c r="U3512" s="12"/>
    </row>
    <row r="3513" ht="13.5" customHeight="1">
      <c r="A3513" s="1"/>
      <c r="B3513" s="2">
        <v>45862.0</v>
      </c>
      <c r="C3513" s="9" t="s">
        <v>5494</v>
      </c>
      <c r="D3513" s="1" t="s">
        <v>5536</v>
      </c>
      <c r="E3513" s="4">
        <v>29325.0</v>
      </c>
      <c r="F3513" s="4"/>
      <c r="G3513" s="4"/>
      <c r="H3513" s="4">
        <f>'data on outstanding creditors'!$E3513-'data on outstanding creditors'!$F3513-'data on outstanding creditors'!$G3513</f>
        <v>29325</v>
      </c>
      <c r="I3513" s="2"/>
      <c r="J3513" s="1"/>
      <c r="K3513" s="2"/>
      <c r="L3513" s="5"/>
      <c r="M3513" s="9" t="s">
        <v>377</v>
      </c>
      <c r="N3513" s="9" t="s">
        <v>49</v>
      </c>
      <c r="O3513" s="10">
        <f>'data on outstanding creditors'!$E3513*100/107</f>
        <v>27406.54206</v>
      </c>
      <c r="P3513" s="10">
        <f>'data on outstanding creditors'!$E3513-'data on outstanding creditors'!$O3513</f>
        <v>1918.457944</v>
      </c>
      <c r="Q3513" s="7">
        <f>DAY('data on outstanding creditors'!$B3513)</f>
        <v>24</v>
      </c>
      <c r="R3513" s="7">
        <f>MONTH('data on outstanding creditors'!$B3513)</f>
        <v>7</v>
      </c>
      <c r="S3513" s="7">
        <f>YEAR('data on outstanding creditors'!$B3513)</f>
        <v>2025</v>
      </c>
      <c r="T3513" s="11" t="str">
        <f>'data on outstanding creditors'!$C3513&amp;" "&amp;'data on outstanding creditors'!$D3513&amp;" "&amp;TEXT('data on outstanding creditors'!$E3513,"#,##0.00")</f>
        <v>บ.บุรีวัตร  สิทธิ อปท 008/013 07/68 29,325.00</v>
      </c>
      <c r="U3513" s="12"/>
    </row>
    <row r="3514" ht="13.5" customHeight="1">
      <c r="A3514" s="1"/>
      <c r="B3514" s="2">
        <v>45862.0</v>
      </c>
      <c r="C3514" s="9" t="s">
        <v>5520</v>
      </c>
      <c r="D3514" s="1" t="s">
        <v>5537</v>
      </c>
      <c r="E3514" s="4">
        <v>80325.0</v>
      </c>
      <c r="F3514" s="4"/>
      <c r="G3514" s="4"/>
      <c r="H3514" s="4">
        <f>'data on outstanding creditors'!$E3514-'data on outstanding creditors'!$F3514-'data on outstanding creditors'!$G3514</f>
        <v>80325</v>
      </c>
      <c r="I3514" s="2"/>
      <c r="J3514" s="1"/>
      <c r="K3514" s="2"/>
      <c r="L3514" s="5"/>
      <c r="M3514" s="9" t="s">
        <v>377</v>
      </c>
      <c r="N3514" s="9" t="s">
        <v>49</v>
      </c>
      <c r="O3514" s="10">
        <f>'data on outstanding creditors'!$E3514*100/107</f>
        <v>75070.09346</v>
      </c>
      <c r="P3514" s="10">
        <f>'data on outstanding creditors'!$E3514-'data on outstanding creditors'!$O3514</f>
        <v>5254.906542</v>
      </c>
      <c r="Q3514" s="7">
        <f>DAY('data on outstanding creditors'!$B3514)</f>
        <v>24</v>
      </c>
      <c r="R3514" s="7">
        <f>MONTH('data on outstanding creditors'!$B3514)</f>
        <v>7</v>
      </c>
      <c r="S3514" s="7">
        <f>YEAR('data on outstanding creditors'!$B3514)</f>
        <v>2025</v>
      </c>
      <c r="T3514" s="11" t="str">
        <f>'data on outstanding creditors'!$C3514&amp;" "&amp;'data on outstanding creditors'!$D3514&amp;" "&amp;TEXT('data on outstanding creditors'!$E3514,"#,##0.00")</f>
        <v>บ.บุรีวัตร  สิทธิ ปกส 008/014 07/68 80,325.00</v>
      </c>
      <c r="U3514" s="12"/>
    </row>
    <row r="3515" ht="13.5" customHeight="1">
      <c r="A3515" s="1"/>
      <c r="B3515" s="2">
        <v>45862.0</v>
      </c>
      <c r="C3515" s="9" t="s">
        <v>379</v>
      </c>
      <c r="D3515" s="1" t="s">
        <v>5538</v>
      </c>
      <c r="E3515" s="4">
        <v>266475.0</v>
      </c>
      <c r="F3515" s="4"/>
      <c r="G3515" s="4"/>
      <c r="H3515" s="4">
        <f>'data on outstanding creditors'!$E3515-'data on outstanding creditors'!$F3515-'data on outstanding creditors'!$G3515</f>
        <v>266475</v>
      </c>
      <c r="I3515" s="2"/>
      <c r="J3515" s="1"/>
      <c r="K3515" s="2"/>
      <c r="L3515" s="5"/>
      <c r="M3515" s="9" t="s">
        <v>377</v>
      </c>
      <c r="N3515" s="9" t="s">
        <v>49</v>
      </c>
      <c r="O3515" s="10">
        <f>'data on outstanding creditors'!$E3515*100/107</f>
        <v>249042.0561</v>
      </c>
      <c r="P3515" s="10">
        <f>'data on outstanding creditors'!$E3515-'data on outstanding creditors'!$O3515</f>
        <v>17432.94393</v>
      </c>
      <c r="Q3515" s="7">
        <f>DAY('data on outstanding creditors'!$B3515)</f>
        <v>24</v>
      </c>
      <c r="R3515" s="7">
        <f>MONTH('data on outstanding creditors'!$B3515)</f>
        <v>7</v>
      </c>
      <c r="S3515" s="7">
        <f>YEAR('data on outstanding creditors'!$B3515)</f>
        <v>2025</v>
      </c>
      <c r="T3515" s="11" t="str">
        <f>'data on outstanding creditors'!$C3515&amp;" "&amp;'data on outstanding creditors'!$D3515&amp;" "&amp;TEXT('data on outstanding creditors'!$E3515,"#,##0.00")</f>
        <v>บ.บุรีวัตร  สิทธิ สปสช 008/015 07/68 266,475.00</v>
      </c>
      <c r="U3515" s="12"/>
    </row>
    <row r="3516" ht="13.5" customHeight="1">
      <c r="A3516" s="1"/>
      <c r="B3516" s="2">
        <v>45862.0</v>
      </c>
      <c r="C3516" s="9" t="s">
        <v>379</v>
      </c>
      <c r="D3516" s="1" t="s">
        <v>5539</v>
      </c>
      <c r="E3516" s="4">
        <v>237150.0</v>
      </c>
      <c r="F3516" s="4"/>
      <c r="G3516" s="4"/>
      <c r="H3516" s="4">
        <f>'data on outstanding creditors'!$E3516-'data on outstanding creditors'!$F3516-'data on outstanding creditors'!$G3516</f>
        <v>237150</v>
      </c>
      <c r="I3516" s="2"/>
      <c r="J3516" s="1"/>
      <c r="K3516" s="2"/>
      <c r="L3516" s="5"/>
      <c r="M3516" s="9" t="s">
        <v>377</v>
      </c>
      <c r="N3516" s="9" t="s">
        <v>49</v>
      </c>
      <c r="O3516" s="10">
        <f>'data on outstanding creditors'!$E3516*100/107</f>
        <v>221635.514</v>
      </c>
      <c r="P3516" s="10">
        <f>'data on outstanding creditors'!$E3516-'data on outstanding creditors'!$O3516</f>
        <v>15514.48598</v>
      </c>
      <c r="Q3516" s="7">
        <f>DAY('data on outstanding creditors'!$B3516)</f>
        <v>24</v>
      </c>
      <c r="R3516" s="7">
        <f>MONTH('data on outstanding creditors'!$B3516)</f>
        <v>7</v>
      </c>
      <c r="S3516" s="7">
        <f>YEAR('data on outstanding creditors'!$B3516)</f>
        <v>2025</v>
      </c>
      <c r="T3516" s="11" t="str">
        <f>'data on outstanding creditors'!$C3516&amp;" "&amp;'data on outstanding creditors'!$D3516&amp;" "&amp;TEXT('data on outstanding creditors'!$E3516,"#,##0.00")</f>
        <v>บ.บุรีวัตร  สิทธิ สปสช 008/016 07/68 237,150.00</v>
      </c>
      <c r="U3516" s="12"/>
    </row>
    <row r="3517" ht="13.5" customHeight="1">
      <c r="A3517" s="1"/>
      <c r="B3517" s="2">
        <v>45874.0</v>
      </c>
      <c r="C3517" s="9" t="s">
        <v>379</v>
      </c>
      <c r="D3517" s="1" t="s">
        <v>5540</v>
      </c>
      <c r="E3517" s="4">
        <v>303450.0</v>
      </c>
      <c r="F3517" s="4"/>
      <c r="G3517" s="4"/>
      <c r="H3517" s="4">
        <f>'data on outstanding creditors'!$E3517-'data on outstanding creditors'!$F3517-'data on outstanding creditors'!$G3517</f>
        <v>303450</v>
      </c>
      <c r="I3517" s="2"/>
      <c r="J3517" s="1"/>
      <c r="K3517" s="2"/>
      <c r="L3517" s="5"/>
      <c r="M3517" s="9" t="s">
        <v>377</v>
      </c>
      <c r="N3517" s="9" t="s">
        <v>49</v>
      </c>
      <c r="O3517" s="10">
        <f>'data on outstanding creditors'!$E3517*100/107</f>
        <v>283598.1308</v>
      </c>
      <c r="P3517" s="10">
        <f>'data on outstanding creditors'!$E3517-'data on outstanding creditors'!$O3517</f>
        <v>19851.86916</v>
      </c>
      <c r="Q3517" s="7">
        <f>DAY('data on outstanding creditors'!$B3517)</f>
        <v>5</v>
      </c>
      <c r="R3517" s="7">
        <f>MONTH('data on outstanding creditors'!$B3517)</f>
        <v>8</v>
      </c>
      <c r="S3517" s="7">
        <f>YEAR('data on outstanding creditors'!$B3517)</f>
        <v>2025</v>
      </c>
      <c r="T3517" s="11" t="str">
        <f>'data on outstanding creditors'!$C3517&amp;" "&amp;'data on outstanding creditors'!$D3517&amp;" "&amp;TEXT('data on outstanding creditors'!$E3517,"#,##0.00")</f>
        <v>บ.บุรีวัตร  สิทธิ สปสช 008/022 07/68 303,450.00</v>
      </c>
      <c r="U3517" s="12"/>
    </row>
    <row r="3518" ht="13.5" customHeight="1">
      <c r="A3518" s="1"/>
      <c r="B3518" s="2">
        <v>45874.0</v>
      </c>
      <c r="C3518" s="9" t="s">
        <v>5494</v>
      </c>
      <c r="D3518" s="1" t="s">
        <v>5541</v>
      </c>
      <c r="E3518" s="4">
        <v>34425.0</v>
      </c>
      <c r="F3518" s="4"/>
      <c r="G3518" s="4"/>
      <c r="H3518" s="4">
        <f>'data on outstanding creditors'!$E3518-'data on outstanding creditors'!$F3518-'data on outstanding creditors'!$G3518</f>
        <v>34425</v>
      </c>
      <c r="I3518" s="2"/>
      <c r="J3518" s="1"/>
      <c r="K3518" s="2"/>
      <c r="L3518" s="5"/>
      <c r="M3518" s="9" t="s">
        <v>377</v>
      </c>
      <c r="N3518" s="9" t="s">
        <v>49</v>
      </c>
      <c r="O3518" s="10">
        <f>'data on outstanding creditors'!$E3518*100/107</f>
        <v>32172.8972</v>
      </c>
      <c r="P3518" s="10">
        <f>'data on outstanding creditors'!$E3518-'data on outstanding creditors'!$O3518</f>
        <v>2252.102804</v>
      </c>
      <c r="Q3518" s="7">
        <f>DAY('data on outstanding creditors'!$B3518)</f>
        <v>5</v>
      </c>
      <c r="R3518" s="7">
        <f>MONTH('data on outstanding creditors'!$B3518)</f>
        <v>8</v>
      </c>
      <c r="S3518" s="7">
        <f>YEAR('data on outstanding creditors'!$B3518)</f>
        <v>2025</v>
      </c>
      <c r="T3518" s="11" t="str">
        <f>'data on outstanding creditors'!$C3518&amp;" "&amp;'data on outstanding creditors'!$D3518&amp;" "&amp;TEXT('data on outstanding creditors'!$E3518,"#,##0.00")</f>
        <v>บ.บุรีวัตร  สิทธิ อปท 008/024 07/68 34,425.00</v>
      </c>
      <c r="U3518" s="12"/>
    </row>
    <row r="3519" ht="13.5" customHeight="1">
      <c r="A3519" s="1"/>
      <c r="B3519" s="2">
        <v>45874.0</v>
      </c>
      <c r="C3519" s="9" t="s">
        <v>5520</v>
      </c>
      <c r="D3519" s="1" t="s">
        <v>5542</v>
      </c>
      <c r="E3519" s="4">
        <v>104550.0</v>
      </c>
      <c r="F3519" s="4"/>
      <c r="G3519" s="4"/>
      <c r="H3519" s="4">
        <f>'data on outstanding creditors'!$E3519-'data on outstanding creditors'!$F3519-'data on outstanding creditors'!$G3519</f>
        <v>104550</v>
      </c>
      <c r="I3519" s="2"/>
      <c r="J3519" s="1"/>
      <c r="K3519" s="2"/>
      <c r="L3519" s="5"/>
      <c r="M3519" s="9" t="s">
        <v>377</v>
      </c>
      <c r="N3519" s="9" t="s">
        <v>49</v>
      </c>
      <c r="O3519" s="10">
        <f>'data on outstanding creditors'!$E3519*100/107</f>
        <v>97710.28037</v>
      </c>
      <c r="P3519" s="10">
        <f>'data on outstanding creditors'!$E3519-'data on outstanding creditors'!$O3519</f>
        <v>6839.719626</v>
      </c>
      <c r="Q3519" s="7">
        <f>DAY('data on outstanding creditors'!$B3519)</f>
        <v>5</v>
      </c>
      <c r="R3519" s="7">
        <f>MONTH('data on outstanding creditors'!$B3519)</f>
        <v>8</v>
      </c>
      <c r="S3519" s="7">
        <f>YEAR('data on outstanding creditors'!$B3519)</f>
        <v>2025</v>
      </c>
      <c r="T3519" s="11" t="str">
        <f>'data on outstanding creditors'!$C3519&amp;" "&amp;'data on outstanding creditors'!$D3519&amp;" "&amp;TEXT('data on outstanding creditors'!$E3519,"#,##0.00")</f>
        <v>บ.บุรีวัตร  สิทธิ ปกส 008/025 07/68 104,550.00</v>
      </c>
      <c r="U3519" s="12"/>
    </row>
    <row r="3520" ht="13.5" customHeight="1">
      <c r="A3520" s="1"/>
      <c r="B3520" s="2">
        <v>45874.0</v>
      </c>
      <c r="C3520" s="9" t="s">
        <v>379</v>
      </c>
      <c r="D3520" s="1" t="s">
        <v>5543</v>
      </c>
      <c r="E3520" s="4">
        <v>313650.0</v>
      </c>
      <c r="F3520" s="4"/>
      <c r="G3520" s="4"/>
      <c r="H3520" s="4">
        <f>'data on outstanding creditors'!$E3520-'data on outstanding creditors'!$F3520-'data on outstanding creditors'!$G3520</f>
        <v>313650</v>
      </c>
      <c r="I3520" s="2"/>
      <c r="J3520" s="1"/>
      <c r="K3520" s="2"/>
      <c r="L3520" s="5"/>
      <c r="M3520" s="9" t="s">
        <v>377</v>
      </c>
      <c r="N3520" s="9" t="s">
        <v>49</v>
      </c>
      <c r="O3520" s="10">
        <f>'data on outstanding creditors'!$E3520*100/107</f>
        <v>293130.8411</v>
      </c>
      <c r="P3520" s="10">
        <f>'data on outstanding creditors'!$E3520-'data on outstanding creditors'!$O3520</f>
        <v>20519.15888</v>
      </c>
      <c r="Q3520" s="7">
        <f>DAY('data on outstanding creditors'!$B3520)</f>
        <v>5</v>
      </c>
      <c r="R3520" s="7">
        <f>MONTH('data on outstanding creditors'!$B3520)</f>
        <v>8</v>
      </c>
      <c r="S3520" s="7">
        <f>YEAR('data on outstanding creditors'!$B3520)</f>
        <v>2025</v>
      </c>
      <c r="T3520" s="11" t="str">
        <f>'data on outstanding creditors'!$C3520&amp;" "&amp;'data on outstanding creditors'!$D3520&amp;" "&amp;TEXT('data on outstanding creditors'!$E3520,"#,##0.00")</f>
        <v>บ.บุรีวัตร  สิทธิ สปสช 008/023 07/68 313,650.00</v>
      </c>
      <c r="U3520" s="12"/>
    </row>
    <row r="3521" ht="13.5" customHeight="1">
      <c r="A3521" s="1"/>
      <c r="B3521" s="2">
        <v>45875.0</v>
      </c>
      <c r="C3521" s="9" t="s">
        <v>375</v>
      </c>
      <c r="D3521" s="1" t="s">
        <v>5544</v>
      </c>
      <c r="E3521" s="4">
        <v>193800.0</v>
      </c>
      <c r="F3521" s="4"/>
      <c r="G3521" s="4"/>
      <c r="H3521" s="4">
        <f>'data on outstanding creditors'!$E3521-'data on outstanding creditors'!$F3521-'data on outstanding creditors'!$G3521</f>
        <v>193800</v>
      </c>
      <c r="I3521" s="2"/>
      <c r="J3521" s="1"/>
      <c r="K3521" s="2"/>
      <c r="L3521" s="5"/>
      <c r="M3521" s="9" t="s">
        <v>377</v>
      </c>
      <c r="N3521" s="9" t="s">
        <v>49</v>
      </c>
      <c r="O3521" s="10">
        <f>'data on outstanding creditors'!$E3521*100/107</f>
        <v>181121.4953</v>
      </c>
      <c r="P3521" s="10">
        <f>'data on outstanding creditors'!$E3521-'data on outstanding creditors'!$O3521</f>
        <v>12678.50467</v>
      </c>
      <c r="Q3521" s="7">
        <f>DAY('data on outstanding creditors'!$B3521)</f>
        <v>6</v>
      </c>
      <c r="R3521" s="7">
        <f>MONTH('data on outstanding creditors'!$B3521)</f>
        <v>8</v>
      </c>
      <c r="S3521" s="7">
        <f>YEAR('data on outstanding creditors'!$B3521)</f>
        <v>2025</v>
      </c>
      <c r="T3521" s="11" t="str">
        <f>'data on outstanding creditors'!$C3521&amp;" "&amp;'data on outstanding creditors'!$D3521&amp;" "&amp;TEXT('data on outstanding creditors'!$E3521,"#,##0.00")</f>
        <v>บ.บุรีวัตร  สิทธิ จ่ายตรง 008/026 07/68 193,800.00</v>
      </c>
      <c r="U3521" s="12"/>
    </row>
    <row r="3522" ht="13.5" customHeight="1">
      <c r="A3522" s="1"/>
      <c r="B3522" s="2">
        <v>45882.0</v>
      </c>
      <c r="C3522" s="9" t="s">
        <v>379</v>
      </c>
      <c r="D3522" s="1" t="s">
        <v>5545</v>
      </c>
      <c r="E3522" s="4">
        <v>267750.0</v>
      </c>
      <c r="F3522" s="4"/>
      <c r="G3522" s="4"/>
      <c r="H3522" s="4">
        <f>'data on outstanding creditors'!$E3522-'data on outstanding creditors'!$F3522-'data on outstanding creditors'!$G3522</f>
        <v>267750</v>
      </c>
      <c r="I3522" s="2"/>
      <c r="J3522" s="1"/>
      <c r="K3522" s="2"/>
      <c r="L3522" s="5"/>
      <c r="M3522" s="9" t="s">
        <v>377</v>
      </c>
      <c r="N3522" s="9" t="s">
        <v>49</v>
      </c>
      <c r="O3522" s="10">
        <f>'data on outstanding creditors'!$E3522*100/107</f>
        <v>250233.6449</v>
      </c>
      <c r="P3522" s="10">
        <f>'data on outstanding creditors'!$E3522-'data on outstanding creditors'!$O3522</f>
        <v>17516.35514</v>
      </c>
      <c r="Q3522" s="7">
        <f>DAY('data on outstanding creditors'!$B3522)</f>
        <v>13</v>
      </c>
      <c r="R3522" s="7">
        <f>MONTH('data on outstanding creditors'!$B3522)</f>
        <v>8</v>
      </c>
      <c r="S3522" s="7">
        <f>YEAR('data on outstanding creditors'!$B3522)</f>
        <v>2025</v>
      </c>
      <c r="T3522" s="11" t="str">
        <f>'data on outstanding creditors'!$C3522&amp;" "&amp;'data on outstanding creditors'!$D3522&amp;" "&amp;TEXT('data on outstanding creditors'!$E3522,"#,##0.00")</f>
        <v>บ.บุรีวัตร  สิทธิ สปสช 008/027 08/68 267,750.00</v>
      </c>
      <c r="U3522" s="12"/>
    </row>
    <row r="3523" ht="13.5" customHeight="1">
      <c r="A3523" s="1"/>
      <c r="B3523" s="2">
        <v>45882.0</v>
      </c>
      <c r="C3523" s="9" t="s">
        <v>379</v>
      </c>
      <c r="D3523" s="1" t="s">
        <v>5546</v>
      </c>
      <c r="E3523" s="4">
        <v>240975.0</v>
      </c>
      <c r="F3523" s="4"/>
      <c r="G3523" s="4"/>
      <c r="H3523" s="4">
        <f>'data on outstanding creditors'!$E3523-'data on outstanding creditors'!$F3523-'data on outstanding creditors'!$G3523</f>
        <v>240975</v>
      </c>
      <c r="I3523" s="2"/>
      <c r="J3523" s="1"/>
      <c r="K3523" s="2"/>
      <c r="L3523" s="5"/>
      <c r="M3523" s="9" t="s">
        <v>377</v>
      </c>
      <c r="N3523" s="9" t="s">
        <v>49</v>
      </c>
      <c r="O3523" s="10">
        <f>'data on outstanding creditors'!$E3523*100/107</f>
        <v>225210.2804</v>
      </c>
      <c r="P3523" s="10">
        <f>'data on outstanding creditors'!$E3523-'data on outstanding creditors'!$O3523</f>
        <v>15764.71963</v>
      </c>
      <c r="Q3523" s="7">
        <f>DAY('data on outstanding creditors'!$B3523)</f>
        <v>13</v>
      </c>
      <c r="R3523" s="7">
        <f>MONTH('data on outstanding creditors'!$B3523)</f>
        <v>8</v>
      </c>
      <c r="S3523" s="7">
        <f>YEAR('data on outstanding creditors'!$B3523)</f>
        <v>2025</v>
      </c>
      <c r="T3523" s="11" t="str">
        <f>'data on outstanding creditors'!$C3523&amp;" "&amp;'data on outstanding creditors'!$D3523&amp;" "&amp;TEXT('data on outstanding creditors'!$E3523,"#,##0.00")</f>
        <v>บ.บุรีวัตร  สิทธิ สปสช 008/028 08/68 240,975.00</v>
      </c>
      <c r="U3523" s="12"/>
    </row>
    <row r="3524" ht="13.5" customHeight="1">
      <c r="A3524" s="1"/>
      <c r="B3524" s="2">
        <v>45882.0</v>
      </c>
      <c r="C3524" s="9" t="s">
        <v>5520</v>
      </c>
      <c r="D3524" s="1" t="s">
        <v>5547</v>
      </c>
      <c r="E3524" s="4">
        <v>82875.0</v>
      </c>
      <c r="F3524" s="4"/>
      <c r="G3524" s="4"/>
      <c r="H3524" s="4">
        <f>'data on outstanding creditors'!$E3524-'data on outstanding creditors'!$F3524-'data on outstanding creditors'!$G3524</f>
        <v>82875</v>
      </c>
      <c r="I3524" s="2"/>
      <c r="J3524" s="1"/>
      <c r="K3524" s="2"/>
      <c r="L3524" s="5"/>
      <c r="M3524" s="9" t="s">
        <v>377</v>
      </c>
      <c r="N3524" s="9" t="s">
        <v>49</v>
      </c>
      <c r="O3524" s="10">
        <f>'data on outstanding creditors'!$E3524*100/107</f>
        <v>77453.27103</v>
      </c>
      <c r="P3524" s="10">
        <f>'data on outstanding creditors'!$E3524-'data on outstanding creditors'!$O3524</f>
        <v>5421.728972</v>
      </c>
      <c r="Q3524" s="7">
        <f>DAY('data on outstanding creditors'!$B3524)</f>
        <v>13</v>
      </c>
      <c r="R3524" s="7">
        <f>MONTH('data on outstanding creditors'!$B3524)</f>
        <v>8</v>
      </c>
      <c r="S3524" s="7">
        <f>YEAR('data on outstanding creditors'!$B3524)</f>
        <v>2025</v>
      </c>
      <c r="T3524" s="11" t="str">
        <f>'data on outstanding creditors'!$C3524&amp;" "&amp;'data on outstanding creditors'!$D3524&amp;" "&amp;TEXT('data on outstanding creditors'!$E3524,"#,##0.00")</f>
        <v>บ.บุรีวัตร  สิทธิ ปกส 008/029 08/68 82,875.00</v>
      </c>
      <c r="U3524" s="12"/>
    </row>
    <row r="3525" ht="13.5" customHeight="1">
      <c r="A3525" s="1"/>
      <c r="B3525" s="2">
        <v>45882.0</v>
      </c>
      <c r="C3525" s="9" t="s">
        <v>5494</v>
      </c>
      <c r="D3525" s="1" t="s">
        <v>5548</v>
      </c>
      <c r="E3525" s="4">
        <v>29325.0</v>
      </c>
      <c r="F3525" s="4"/>
      <c r="G3525" s="4"/>
      <c r="H3525" s="4">
        <f>'data on outstanding creditors'!$E3525-'data on outstanding creditors'!$F3525-'data on outstanding creditors'!$G3525</f>
        <v>29325</v>
      </c>
      <c r="I3525" s="2"/>
      <c r="J3525" s="1"/>
      <c r="K3525" s="2"/>
      <c r="L3525" s="5"/>
      <c r="M3525" s="9" t="s">
        <v>377</v>
      </c>
      <c r="N3525" s="9" t="s">
        <v>49</v>
      </c>
      <c r="O3525" s="10">
        <f>'data on outstanding creditors'!$E3525*100/107</f>
        <v>27406.54206</v>
      </c>
      <c r="P3525" s="10">
        <f>'data on outstanding creditors'!$E3525-'data on outstanding creditors'!$O3525</f>
        <v>1918.457944</v>
      </c>
      <c r="Q3525" s="7">
        <f>DAY('data on outstanding creditors'!$B3525)</f>
        <v>13</v>
      </c>
      <c r="R3525" s="7">
        <f>MONTH('data on outstanding creditors'!$B3525)</f>
        <v>8</v>
      </c>
      <c r="S3525" s="7">
        <f>YEAR('data on outstanding creditors'!$B3525)</f>
        <v>2025</v>
      </c>
      <c r="T3525" s="11" t="str">
        <f>'data on outstanding creditors'!$C3525&amp;" "&amp;'data on outstanding creditors'!$D3525&amp;" "&amp;TEXT('data on outstanding creditors'!$E3525,"#,##0.00")</f>
        <v>บ.บุรีวัตร  สิทธิ อปท 008/030 08/68 29,325.00</v>
      </c>
      <c r="U3525" s="12"/>
    </row>
    <row r="3526" ht="13.5" customHeight="1">
      <c r="A3526" s="1"/>
      <c r="B3526" s="2">
        <v>45882.0</v>
      </c>
      <c r="C3526" s="9" t="s">
        <v>375</v>
      </c>
      <c r="D3526" s="1" t="s">
        <v>5549</v>
      </c>
      <c r="E3526" s="4">
        <v>150450.0</v>
      </c>
      <c r="F3526" s="4"/>
      <c r="G3526" s="4"/>
      <c r="H3526" s="4">
        <f>'data on outstanding creditors'!$E3526-'data on outstanding creditors'!$F3526-'data on outstanding creditors'!$G3526</f>
        <v>150450</v>
      </c>
      <c r="I3526" s="2"/>
      <c r="J3526" s="1"/>
      <c r="K3526" s="2"/>
      <c r="L3526" s="5"/>
      <c r="M3526" s="9" t="s">
        <v>377</v>
      </c>
      <c r="N3526" s="9" t="s">
        <v>49</v>
      </c>
      <c r="O3526" s="10">
        <f>'data on outstanding creditors'!$E3526*100/107</f>
        <v>140607.4766</v>
      </c>
      <c r="P3526" s="10">
        <f>'data on outstanding creditors'!$E3526-'data on outstanding creditors'!$O3526</f>
        <v>9842.523364</v>
      </c>
      <c r="Q3526" s="7">
        <f>DAY('data on outstanding creditors'!$B3526)</f>
        <v>13</v>
      </c>
      <c r="R3526" s="7">
        <f>MONTH('data on outstanding creditors'!$B3526)</f>
        <v>8</v>
      </c>
      <c r="S3526" s="7">
        <f>YEAR('data on outstanding creditors'!$B3526)</f>
        <v>2025</v>
      </c>
      <c r="T3526" s="11" t="str">
        <f>'data on outstanding creditors'!$C3526&amp;" "&amp;'data on outstanding creditors'!$D3526&amp;" "&amp;TEXT('data on outstanding creditors'!$E3526,"#,##0.00")</f>
        <v>บ.บุรีวัตร  สิทธิ จ่ายตรง 008/031 08/68 150,450.00</v>
      </c>
      <c r="U3526" s="12"/>
    </row>
    <row r="3527" ht="13.5" customHeight="1">
      <c r="A3527" s="1"/>
      <c r="B3527" s="2">
        <v>45882.0</v>
      </c>
      <c r="C3527" s="9" t="s">
        <v>379</v>
      </c>
      <c r="D3527" s="1" t="s">
        <v>5545</v>
      </c>
      <c r="E3527" s="4">
        <v>267750.0</v>
      </c>
      <c r="F3527" s="4"/>
      <c r="G3527" s="4"/>
      <c r="H3527" s="4">
        <f>'data on outstanding creditors'!$E3527-'data on outstanding creditors'!$F3527-'data on outstanding creditors'!$G3527</f>
        <v>267750</v>
      </c>
      <c r="I3527" s="2"/>
      <c r="J3527" s="1"/>
      <c r="K3527" s="2"/>
      <c r="L3527" s="5" t="s">
        <v>758</v>
      </c>
      <c r="M3527" s="9" t="s">
        <v>377</v>
      </c>
      <c r="N3527" s="9" t="s">
        <v>49</v>
      </c>
      <c r="O3527" s="10">
        <f>'data on outstanding creditors'!$E3527*100/107</f>
        <v>250233.6449</v>
      </c>
      <c r="P3527" s="10">
        <f>'data on outstanding creditors'!$E3527-'data on outstanding creditors'!$O3527</f>
        <v>17516.35514</v>
      </c>
      <c r="Q3527" s="7">
        <f>DAY('data on outstanding creditors'!$B3527)</f>
        <v>13</v>
      </c>
      <c r="R3527" s="7">
        <f>MONTH('data on outstanding creditors'!$B3527)</f>
        <v>8</v>
      </c>
      <c r="S3527" s="7">
        <f>YEAR('data on outstanding creditors'!$B3527)</f>
        <v>2025</v>
      </c>
      <c r="T3527" s="11" t="str">
        <f>'data on outstanding creditors'!$C3527&amp;" "&amp;'data on outstanding creditors'!$D3527&amp;" "&amp;TEXT('data on outstanding creditors'!$E3527,"#,##0.00")</f>
        <v>บ.บุรีวัตร  สิทธิ สปสช 008/027 08/68 267,750.00</v>
      </c>
      <c r="U3527" s="12"/>
    </row>
    <row r="3528" ht="13.5" customHeight="1">
      <c r="A3528" s="1"/>
      <c r="B3528" s="2">
        <v>45882.0</v>
      </c>
      <c r="C3528" s="9" t="s">
        <v>379</v>
      </c>
      <c r="D3528" s="1" t="s">
        <v>5546</v>
      </c>
      <c r="E3528" s="4">
        <v>240975.0</v>
      </c>
      <c r="F3528" s="4"/>
      <c r="G3528" s="4"/>
      <c r="H3528" s="4">
        <f>'data on outstanding creditors'!$E3528-'data on outstanding creditors'!$F3528-'data on outstanding creditors'!$G3528</f>
        <v>240975</v>
      </c>
      <c r="I3528" s="2"/>
      <c r="J3528" s="1"/>
      <c r="K3528" s="2"/>
      <c r="L3528" s="5" t="s">
        <v>758</v>
      </c>
      <c r="M3528" s="9" t="s">
        <v>377</v>
      </c>
      <c r="N3528" s="9" t="s">
        <v>49</v>
      </c>
      <c r="O3528" s="10">
        <f>'data on outstanding creditors'!$E3528*100/107</f>
        <v>225210.2804</v>
      </c>
      <c r="P3528" s="10">
        <f>'data on outstanding creditors'!$E3528-'data on outstanding creditors'!$O3528</f>
        <v>15764.71963</v>
      </c>
      <c r="Q3528" s="7">
        <f>DAY('data on outstanding creditors'!$B3528)</f>
        <v>13</v>
      </c>
      <c r="R3528" s="7">
        <f>MONTH('data on outstanding creditors'!$B3528)</f>
        <v>8</v>
      </c>
      <c r="S3528" s="7">
        <f>YEAR('data on outstanding creditors'!$B3528)</f>
        <v>2025</v>
      </c>
      <c r="T3528" s="11" t="str">
        <f>'data on outstanding creditors'!$C3528&amp;" "&amp;'data on outstanding creditors'!$D3528&amp;" "&amp;TEXT('data on outstanding creditors'!$E3528,"#,##0.00")</f>
        <v>บ.บุรีวัตร  สิทธิ สปสช 008/028 08/68 240,975.00</v>
      </c>
      <c r="U3528" s="12"/>
    </row>
    <row r="3529" ht="13.5" customHeight="1">
      <c r="A3529" s="1"/>
      <c r="B3529" s="2">
        <v>45882.0</v>
      </c>
      <c r="C3529" s="9" t="s">
        <v>379</v>
      </c>
      <c r="D3529" s="1" t="s">
        <v>5545</v>
      </c>
      <c r="E3529" s="4">
        <v>270300.0</v>
      </c>
      <c r="F3529" s="4"/>
      <c r="G3529" s="4"/>
      <c r="H3529" s="4">
        <f>'data on outstanding creditors'!$E3529-'data on outstanding creditors'!$F3529-'data on outstanding creditors'!$G3529</f>
        <v>270300</v>
      </c>
      <c r="I3529" s="2"/>
      <c r="J3529" s="1"/>
      <c r="K3529" s="2"/>
      <c r="L3529" s="5" t="s">
        <v>758</v>
      </c>
      <c r="M3529" s="9" t="s">
        <v>377</v>
      </c>
      <c r="N3529" s="9" t="s">
        <v>49</v>
      </c>
      <c r="O3529" s="10">
        <f>'data on outstanding creditors'!$E3529*100/107</f>
        <v>252616.8224</v>
      </c>
      <c r="P3529" s="10">
        <f>'data on outstanding creditors'!$E3529-'data on outstanding creditors'!$O3529</f>
        <v>17683.17757</v>
      </c>
      <c r="Q3529" s="7">
        <f>DAY('data on outstanding creditors'!$B3529)</f>
        <v>13</v>
      </c>
      <c r="R3529" s="7">
        <f>MONTH('data on outstanding creditors'!$B3529)</f>
        <v>8</v>
      </c>
      <c r="S3529" s="7">
        <f>YEAR('data on outstanding creditors'!$B3529)</f>
        <v>2025</v>
      </c>
      <c r="T3529" s="11" t="str">
        <f>'data on outstanding creditors'!$C3529&amp;" "&amp;'data on outstanding creditors'!$D3529&amp;" "&amp;TEXT('data on outstanding creditors'!$E3529,"#,##0.00")</f>
        <v>บ.บุรีวัตร  สิทธิ สปสช 008/027 08/68 270,300.00</v>
      </c>
      <c r="U3529" s="12"/>
    </row>
    <row r="3530" ht="13.5" customHeight="1">
      <c r="A3530" s="1"/>
      <c r="B3530" s="2">
        <v>45882.0</v>
      </c>
      <c r="C3530" s="9" t="s">
        <v>379</v>
      </c>
      <c r="D3530" s="1" t="s">
        <v>5546</v>
      </c>
      <c r="E3530" s="4">
        <v>242250.0</v>
      </c>
      <c r="F3530" s="4"/>
      <c r="G3530" s="4"/>
      <c r="H3530" s="4">
        <f>'data on outstanding creditors'!$E3530-'data on outstanding creditors'!$F3530-'data on outstanding creditors'!$G3530</f>
        <v>242250</v>
      </c>
      <c r="I3530" s="2"/>
      <c r="J3530" s="1"/>
      <c r="K3530" s="2"/>
      <c r="L3530" s="5" t="s">
        <v>758</v>
      </c>
      <c r="M3530" s="9" t="s">
        <v>377</v>
      </c>
      <c r="N3530" s="9" t="s">
        <v>49</v>
      </c>
      <c r="O3530" s="10">
        <f>'data on outstanding creditors'!$E3530*100/107</f>
        <v>226401.8692</v>
      </c>
      <c r="P3530" s="10">
        <f>'data on outstanding creditors'!$E3530-'data on outstanding creditors'!$O3530</f>
        <v>15848.13084</v>
      </c>
      <c r="Q3530" s="7">
        <f>DAY('data on outstanding creditors'!$B3530)</f>
        <v>13</v>
      </c>
      <c r="R3530" s="7">
        <f>MONTH('data on outstanding creditors'!$B3530)</f>
        <v>8</v>
      </c>
      <c r="S3530" s="7">
        <f>YEAR('data on outstanding creditors'!$B3530)</f>
        <v>2025</v>
      </c>
      <c r="T3530" s="11" t="str">
        <f>'data on outstanding creditors'!$C3530&amp;" "&amp;'data on outstanding creditors'!$D3530&amp;" "&amp;TEXT('data on outstanding creditors'!$E3530,"#,##0.00")</f>
        <v>บ.บุรีวัตร  สิทธิ สปสช 008/028 08/68 242,250.00</v>
      </c>
      <c r="U3530" s="12"/>
    </row>
    <row r="3531" ht="13.5" customHeight="1">
      <c r="A3531" s="1"/>
      <c r="B3531" s="2">
        <v>45891.0</v>
      </c>
      <c r="C3531" s="9" t="s">
        <v>5520</v>
      </c>
      <c r="D3531" s="1" t="s">
        <v>5550</v>
      </c>
      <c r="E3531" s="4">
        <v>11475.0</v>
      </c>
      <c r="F3531" s="4"/>
      <c r="G3531" s="4"/>
      <c r="H3531" s="4">
        <f>'data on outstanding creditors'!$E3531-'data on outstanding creditors'!$F3531-'data on outstanding creditors'!$G3531</f>
        <v>11475</v>
      </c>
      <c r="I3531" s="2"/>
      <c r="J3531" s="1"/>
      <c r="K3531" s="2"/>
      <c r="L3531" s="5"/>
      <c r="M3531" s="9" t="s">
        <v>377</v>
      </c>
      <c r="N3531" s="9" t="s">
        <v>49</v>
      </c>
      <c r="O3531" s="10">
        <f>'data on outstanding creditors'!$E3531*100/107</f>
        <v>10724.29907</v>
      </c>
      <c r="P3531" s="10">
        <f>'data on outstanding creditors'!$E3531-'data on outstanding creditors'!$O3531</f>
        <v>750.7009346</v>
      </c>
      <c r="Q3531" s="7">
        <f>DAY('data on outstanding creditors'!$B3531)</f>
        <v>22</v>
      </c>
      <c r="R3531" s="7">
        <f>MONTH('data on outstanding creditors'!$B3531)</f>
        <v>8</v>
      </c>
      <c r="S3531" s="7">
        <f>YEAR('data on outstanding creditors'!$B3531)</f>
        <v>2025</v>
      </c>
      <c r="T3531" s="11" t="str">
        <f>'data on outstanding creditors'!$C3531&amp;" "&amp;'data on outstanding creditors'!$D3531&amp;" "&amp;TEXT('data on outstanding creditors'!$E3531,"#,##0.00")</f>
        <v>บ.บุรีวัตร  สิทธิ ปกส 008/032 06/68 11,475.00</v>
      </c>
      <c r="U3531" s="12"/>
    </row>
    <row r="3532" ht="13.5" customHeight="1">
      <c r="A3532" s="1"/>
      <c r="B3532" s="2">
        <v>45891.0</v>
      </c>
      <c r="C3532" s="9" t="s">
        <v>379</v>
      </c>
      <c r="D3532" s="1" t="s">
        <v>5551</v>
      </c>
      <c r="E3532" s="4">
        <v>298350.0</v>
      </c>
      <c r="F3532" s="4"/>
      <c r="G3532" s="4"/>
      <c r="H3532" s="4">
        <f>'data on outstanding creditors'!$E3532-'data on outstanding creditors'!$F3532-'data on outstanding creditors'!$G3532</f>
        <v>298350</v>
      </c>
      <c r="I3532" s="2"/>
      <c r="J3532" s="1"/>
      <c r="K3532" s="2"/>
      <c r="L3532" s="5"/>
      <c r="M3532" s="9" t="s">
        <v>377</v>
      </c>
      <c r="N3532" s="9" t="s">
        <v>49</v>
      </c>
      <c r="O3532" s="10">
        <f>'data on outstanding creditors'!$E3532*100/107</f>
        <v>278831.7757</v>
      </c>
      <c r="P3532" s="10">
        <f>'data on outstanding creditors'!$E3532-'data on outstanding creditors'!$O3532</f>
        <v>19518.2243</v>
      </c>
      <c r="Q3532" s="7">
        <f>DAY('data on outstanding creditors'!$B3532)</f>
        <v>22</v>
      </c>
      <c r="R3532" s="7">
        <f>MONTH('data on outstanding creditors'!$B3532)</f>
        <v>8</v>
      </c>
      <c r="S3532" s="7">
        <f>YEAR('data on outstanding creditors'!$B3532)</f>
        <v>2025</v>
      </c>
      <c r="T3532" s="11" t="str">
        <f>'data on outstanding creditors'!$C3532&amp;" "&amp;'data on outstanding creditors'!$D3532&amp;" "&amp;TEXT('data on outstanding creditors'!$E3532,"#,##0.00")</f>
        <v>บ.บุรีวัตร  สิทธิ สปสช 008/033 08/68 298,350.00</v>
      </c>
      <c r="U3532" s="12"/>
    </row>
    <row r="3533" ht="13.5" customHeight="1">
      <c r="A3533" s="1"/>
      <c r="B3533" s="2">
        <v>45891.0</v>
      </c>
      <c r="C3533" s="9" t="s">
        <v>379</v>
      </c>
      <c r="D3533" s="1" t="s">
        <v>5552</v>
      </c>
      <c r="E3533" s="4">
        <v>260100.0</v>
      </c>
      <c r="F3533" s="4"/>
      <c r="G3533" s="4"/>
      <c r="H3533" s="4">
        <f>'data on outstanding creditors'!$E3533-'data on outstanding creditors'!$F3533-'data on outstanding creditors'!$G3533</f>
        <v>260100</v>
      </c>
      <c r="I3533" s="2"/>
      <c r="J3533" s="1"/>
      <c r="K3533" s="2"/>
      <c r="L3533" s="5"/>
      <c r="M3533" s="9" t="s">
        <v>377</v>
      </c>
      <c r="N3533" s="9" t="s">
        <v>49</v>
      </c>
      <c r="O3533" s="10">
        <f>'data on outstanding creditors'!$E3533*100/107</f>
        <v>243084.1121</v>
      </c>
      <c r="P3533" s="10">
        <f>'data on outstanding creditors'!$E3533-'data on outstanding creditors'!$O3533</f>
        <v>17015.88785</v>
      </c>
      <c r="Q3533" s="7">
        <f>DAY('data on outstanding creditors'!$B3533)</f>
        <v>22</v>
      </c>
      <c r="R3533" s="7">
        <f>MONTH('data on outstanding creditors'!$B3533)</f>
        <v>8</v>
      </c>
      <c r="S3533" s="7">
        <f>YEAR('data on outstanding creditors'!$B3533)</f>
        <v>2025</v>
      </c>
      <c r="T3533" s="11" t="str">
        <f>'data on outstanding creditors'!$C3533&amp;" "&amp;'data on outstanding creditors'!$D3533&amp;" "&amp;TEXT('data on outstanding creditors'!$E3533,"#,##0.00")</f>
        <v>บ.บุรีวัตร  สิทธิ สปสช 008/034 08/68 260,100.00</v>
      </c>
      <c r="U3533" s="12"/>
    </row>
    <row r="3534" ht="13.5" customHeight="1">
      <c r="A3534" s="1"/>
      <c r="B3534" s="2">
        <v>45891.0</v>
      </c>
      <c r="C3534" s="9" t="s">
        <v>5494</v>
      </c>
      <c r="D3534" s="1" t="s">
        <v>5553</v>
      </c>
      <c r="E3534" s="4">
        <v>34425.0</v>
      </c>
      <c r="F3534" s="4"/>
      <c r="G3534" s="4"/>
      <c r="H3534" s="4">
        <f>'data on outstanding creditors'!$E3534-'data on outstanding creditors'!$F3534-'data on outstanding creditors'!$G3534</f>
        <v>34425</v>
      </c>
      <c r="I3534" s="2"/>
      <c r="J3534" s="1"/>
      <c r="K3534" s="2"/>
      <c r="L3534" s="5"/>
      <c r="M3534" s="9" t="s">
        <v>377</v>
      </c>
      <c r="N3534" s="9" t="s">
        <v>49</v>
      </c>
      <c r="O3534" s="10">
        <f>'data on outstanding creditors'!$E3534*100/107</f>
        <v>32172.8972</v>
      </c>
      <c r="P3534" s="10">
        <f>'data on outstanding creditors'!$E3534-'data on outstanding creditors'!$O3534</f>
        <v>2252.102804</v>
      </c>
      <c r="Q3534" s="7">
        <f>DAY('data on outstanding creditors'!$B3534)</f>
        <v>22</v>
      </c>
      <c r="R3534" s="7">
        <f>MONTH('data on outstanding creditors'!$B3534)</f>
        <v>8</v>
      </c>
      <c r="S3534" s="7">
        <f>YEAR('data on outstanding creditors'!$B3534)</f>
        <v>2025</v>
      </c>
      <c r="T3534" s="11" t="str">
        <f>'data on outstanding creditors'!$C3534&amp;" "&amp;'data on outstanding creditors'!$D3534&amp;" "&amp;TEXT('data on outstanding creditors'!$E3534,"#,##0.00")</f>
        <v>บ.บุรีวัตร  สิทธิ อปท 008/035 08/68 34,425.00</v>
      </c>
      <c r="U3534" s="12"/>
    </row>
    <row r="3535" ht="13.5" customHeight="1">
      <c r="A3535" s="1"/>
      <c r="B3535" s="2">
        <v>45891.0</v>
      </c>
      <c r="C3535" s="9" t="s">
        <v>375</v>
      </c>
      <c r="D3535" s="1" t="s">
        <v>5554</v>
      </c>
      <c r="E3535" s="4">
        <v>179775.0</v>
      </c>
      <c r="F3535" s="4"/>
      <c r="G3535" s="4"/>
      <c r="H3535" s="4">
        <f>'data on outstanding creditors'!$E3535-'data on outstanding creditors'!$F3535-'data on outstanding creditors'!$G3535</f>
        <v>179775</v>
      </c>
      <c r="I3535" s="2"/>
      <c r="J3535" s="1"/>
      <c r="K3535" s="2"/>
      <c r="L3535" s="5"/>
      <c r="M3535" s="9" t="s">
        <v>377</v>
      </c>
      <c r="N3535" s="9" t="s">
        <v>49</v>
      </c>
      <c r="O3535" s="10">
        <f>'data on outstanding creditors'!$E3535*100/107</f>
        <v>168014.0187</v>
      </c>
      <c r="P3535" s="10">
        <f>'data on outstanding creditors'!$E3535-'data on outstanding creditors'!$O3535</f>
        <v>11760.98131</v>
      </c>
      <c r="Q3535" s="7">
        <f>DAY('data on outstanding creditors'!$B3535)</f>
        <v>22</v>
      </c>
      <c r="R3535" s="7">
        <f>MONTH('data on outstanding creditors'!$B3535)</f>
        <v>8</v>
      </c>
      <c r="S3535" s="7">
        <f>YEAR('data on outstanding creditors'!$B3535)</f>
        <v>2025</v>
      </c>
      <c r="T3535" s="11" t="str">
        <f>'data on outstanding creditors'!$C3535&amp;" "&amp;'data on outstanding creditors'!$D3535&amp;" "&amp;TEXT('data on outstanding creditors'!$E3535,"#,##0.00")</f>
        <v>บ.บุรีวัตร  สิทธิ จ่ายตรง 008/036 08/68 179,775.00</v>
      </c>
      <c r="U3535" s="12"/>
    </row>
    <row r="3536" ht="13.5" customHeight="1">
      <c r="A3536" s="1"/>
      <c r="B3536" s="2">
        <v>45891.0</v>
      </c>
      <c r="C3536" s="9" t="s">
        <v>5520</v>
      </c>
      <c r="D3536" s="1" t="s">
        <v>5555</v>
      </c>
      <c r="E3536" s="4">
        <v>93075.0</v>
      </c>
      <c r="F3536" s="4"/>
      <c r="G3536" s="4"/>
      <c r="H3536" s="4">
        <f>'data on outstanding creditors'!$E3536-'data on outstanding creditors'!$F3536-'data on outstanding creditors'!$G3536</f>
        <v>93075</v>
      </c>
      <c r="I3536" s="2"/>
      <c r="J3536" s="1"/>
      <c r="K3536" s="2"/>
      <c r="L3536" s="5"/>
      <c r="M3536" s="9" t="s">
        <v>377</v>
      </c>
      <c r="N3536" s="9" t="s">
        <v>49</v>
      </c>
      <c r="O3536" s="10">
        <f>'data on outstanding creditors'!$E3536*100/107</f>
        <v>86985.98131</v>
      </c>
      <c r="P3536" s="10">
        <f>'data on outstanding creditors'!$E3536-'data on outstanding creditors'!$O3536</f>
        <v>6089.018692</v>
      </c>
      <c r="Q3536" s="7">
        <f>DAY('data on outstanding creditors'!$B3536)</f>
        <v>22</v>
      </c>
      <c r="R3536" s="7">
        <f>MONTH('data on outstanding creditors'!$B3536)</f>
        <v>8</v>
      </c>
      <c r="S3536" s="7">
        <f>YEAR('data on outstanding creditors'!$B3536)</f>
        <v>2025</v>
      </c>
      <c r="T3536" s="11" t="str">
        <f>'data on outstanding creditors'!$C3536&amp;" "&amp;'data on outstanding creditors'!$D3536&amp;" "&amp;TEXT('data on outstanding creditors'!$E3536,"#,##0.00")</f>
        <v>บ.บุรีวัตร  สิทธิ ปกส 008/037 08/68 93,075.00</v>
      </c>
      <c r="U3536" s="12"/>
    </row>
    <row r="3537" ht="13.5" customHeight="1">
      <c r="A3537" s="1"/>
      <c r="B3537" s="2">
        <v>45891.0</v>
      </c>
      <c r="C3537" s="9" t="s">
        <v>379</v>
      </c>
      <c r="D3537" s="1" t="s">
        <v>5551</v>
      </c>
      <c r="E3537" s="4">
        <v>298350.0</v>
      </c>
      <c r="F3537" s="4"/>
      <c r="G3537" s="4"/>
      <c r="H3537" s="4">
        <f>'data on outstanding creditors'!$E3537-'data on outstanding creditors'!$F3537-'data on outstanding creditors'!$G3537</f>
        <v>298350</v>
      </c>
      <c r="I3537" s="2"/>
      <c r="J3537" s="1"/>
      <c r="K3537" s="2"/>
      <c r="L3537" s="5" t="s">
        <v>758</v>
      </c>
      <c r="M3537" s="9" t="s">
        <v>377</v>
      </c>
      <c r="N3537" s="9" t="s">
        <v>49</v>
      </c>
      <c r="O3537" s="10">
        <f>'data on outstanding creditors'!$E3537*100/107</f>
        <v>278831.7757</v>
      </c>
      <c r="P3537" s="10">
        <f>'data on outstanding creditors'!$E3537-'data on outstanding creditors'!$O3537</f>
        <v>19518.2243</v>
      </c>
      <c r="Q3537" s="7">
        <f>DAY('data on outstanding creditors'!$B3537)</f>
        <v>22</v>
      </c>
      <c r="R3537" s="7">
        <f>MONTH('data on outstanding creditors'!$B3537)</f>
        <v>8</v>
      </c>
      <c r="S3537" s="7">
        <f>YEAR('data on outstanding creditors'!$B3537)</f>
        <v>2025</v>
      </c>
      <c r="T3537" s="11" t="str">
        <f>'data on outstanding creditors'!$C3537&amp;" "&amp;'data on outstanding creditors'!$D3537&amp;" "&amp;TEXT('data on outstanding creditors'!$E3537,"#,##0.00")</f>
        <v>บ.บุรีวัตร  สิทธิ สปสช 008/033 08/68 298,350.00</v>
      </c>
      <c r="U3537" s="12"/>
    </row>
    <row r="3538" ht="13.5" customHeight="1">
      <c r="A3538" s="1"/>
      <c r="B3538" s="2">
        <v>45891.0</v>
      </c>
      <c r="C3538" s="9" t="s">
        <v>379</v>
      </c>
      <c r="D3538" s="1" t="s">
        <v>5552</v>
      </c>
      <c r="E3538" s="4">
        <v>260100.0</v>
      </c>
      <c r="F3538" s="4"/>
      <c r="G3538" s="4"/>
      <c r="H3538" s="4">
        <f>'data on outstanding creditors'!$E3538-'data on outstanding creditors'!$F3538-'data on outstanding creditors'!$G3538</f>
        <v>260100</v>
      </c>
      <c r="I3538" s="2"/>
      <c r="J3538" s="1"/>
      <c r="K3538" s="2"/>
      <c r="L3538" s="5" t="s">
        <v>758</v>
      </c>
      <c r="M3538" s="9" t="s">
        <v>377</v>
      </c>
      <c r="N3538" s="9" t="s">
        <v>49</v>
      </c>
      <c r="O3538" s="10">
        <f>'data on outstanding creditors'!$E3538*100/107</f>
        <v>243084.1121</v>
      </c>
      <c r="P3538" s="10">
        <f>'data on outstanding creditors'!$E3538-'data on outstanding creditors'!$O3538</f>
        <v>17015.88785</v>
      </c>
      <c r="Q3538" s="7">
        <f>DAY('data on outstanding creditors'!$B3538)</f>
        <v>22</v>
      </c>
      <c r="R3538" s="7">
        <f>MONTH('data on outstanding creditors'!$B3538)</f>
        <v>8</v>
      </c>
      <c r="S3538" s="7">
        <f>YEAR('data on outstanding creditors'!$B3538)</f>
        <v>2025</v>
      </c>
      <c r="T3538" s="11" t="str">
        <f>'data on outstanding creditors'!$C3538&amp;" "&amp;'data on outstanding creditors'!$D3538&amp;" "&amp;TEXT('data on outstanding creditors'!$E3538,"#,##0.00")</f>
        <v>บ.บุรีวัตร  สิทธิ สปสช 008/034 08/68 260,100.00</v>
      </c>
      <c r="U3538" s="12"/>
    </row>
    <row r="3539" ht="13.5" customHeight="1">
      <c r="A3539" s="1"/>
      <c r="B3539" s="2">
        <v>45891.0</v>
      </c>
      <c r="C3539" s="9" t="s">
        <v>379</v>
      </c>
      <c r="D3539" s="1" t="s">
        <v>5551</v>
      </c>
      <c r="E3539" s="4">
        <v>299625.0</v>
      </c>
      <c r="F3539" s="4"/>
      <c r="G3539" s="4"/>
      <c r="H3539" s="4">
        <f>'data on outstanding creditors'!$E3539-'data on outstanding creditors'!$F3539-'data on outstanding creditors'!$G3539</f>
        <v>299625</v>
      </c>
      <c r="I3539" s="2"/>
      <c r="J3539" s="1"/>
      <c r="K3539" s="2"/>
      <c r="L3539" s="5" t="s">
        <v>758</v>
      </c>
      <c r="M3539" s="9" t="s">
        <v>377</v>
      </c>
      <c r="N3539" s="9" t="s">
        <v>49</v>
      </c>
      <c r="O3539" s="10">
        <f>'data on outstanding creditors'!$E3539*100/107</f>
        <v>280023.3645</v>
      </c>
      <c r="P3539" s="10">
        <f>'data on outstanding creditors'!$E3539-'data on outstanding creditors'!$O3539</f>
        <v>19601.63551</v>
      </c>
      <c r="Q3539" s="7">
        <f>DAY('data on outstanding creditors'!$B3539)</f>
        <v>22</v>
      </c>
      <c r="R3539" s="7">
        <f>MONTH('data on outstanding creditors'!$B3539)</f>
        <v>8</v>
      </c>
      <c r="S3539" s="7">
        <f>YEAR('data on outstanding creditors'!$B3539)</f>
        <v>2025</v>
      </c>
      <c r="T3539" s="11" t="str">
        <f>'data on outstanding creditors'!$C3539&amp;" "&amp;'data on outstanding creditors'!$D3539&amp;" "&amp;TEXT('data on outstanding creditors'!$E3539,"#,##0.00")</f>
        <v>บ.บุรีวัตร  สิทธิ สปสช 008/033 08/68 299,625.00</v>
      </c>
      <c r="U3539" s="12"/>
    </row>
    <row r="3540" ht="13.5" customHeight="1">
      <c r="A3540" s="1"/>
      <c r="B3540" s="2">
        <v>45891.0</v>
      </c>
      <c r="C3540" s="9" t="s">
        <v>379</v>
      </c>
      <c r="D3540" s="1" t="s">
        <v>5552</v>
      </c>
      <c r="E3540" s="4">
        <v>262650.0</v>
      </c>
      <c r="F3540" s="4"/>
      <c r="G3540" s="4"/>
      <c r="H3540" s="4">
        <f>'data on outstanding creditors'!$E3540-'data on outstanding creditors'!$F3540-'data on outstanding creditors'!$G3540</f>
        <v>262650</v>
      </c>
      <c r="I3540" s="2"/>
      <c r="J3540" s="1"/>
      <c r="K3540" s="2"/>
      <c r="L3540" s="5" t="s">
        <v>758</v>
      </c>
      <c r="M3540" s="9" t="s">
        <v>377</v>
      </c>
      <c r="N3540" s="9" t="s">
        <v>49</v>
      </c>
      <c r="O3540" s="10">
        <f>'data on outstanding creditors'!$E3540*100/107</f>
        <v>245467.2897</v>
      </c>
      <c r="P3540" s="10">
        <f>'data on outstanding creditors'!$E3540-'data on outstanding creditors'!$O3540</f>
        <v>17182.71028</v>
      </c>
      <c r="Q3540" s="7">
        <f>DAY('data on outstanding creditors'!$B3540)</f>
        <v>22</v>
      </c>
      <c r="R3540" s="7">
        <f>MONTH('data on outstanding creditors'!$B3540)</f>
        <v>8</v>
      </c>
      <c r="S3540" s="7">
        <f>YEAR('data on outstanding creditors'!$B3540)</f>
        <v>2025</v>
      </c>
      <c r="T3540" s="11" t="str">
        <f>'data on outstanding creditors'!$C3540&amp;" "&amp;'data on outstanding creditors'!$D3540&amp;" "&amp;TEXT('data on outstanding creditors'!$E3540,"#,##0.00")</f>
        <v>บ.บุรีวัตร  สิทธิ สปสช 008/034 08/68 262,650.00</v>
      </c>
      <c r="U3540" s="12"/>
    </row>
    <row r="3541" ht="13.5" customHeight="1">
      <c r="A3541" s="1"/>
      <c r="B3541" s="2">
        <v>45905.0</v>
      </c>
      <c r="C3541" s="9" t="s">
        <v>379</v>
      </c>
      <c r="D3541" s="1" t="s">
        <v>5556</v>
      </c>
      <c r="E3541" s="4">
        <v>238425.0</v>
      </c>
      <c r="F3541" s="4"/>
      <c r="G3541" s="4"/>
      <c r="H3541" s="4">
        <f>'data on outstanding creditors'!$E3541-'data on outstanding creditors'!$F3541-'data on outstanding creditors'!$G3541</f>
        <v>238425</v>
      </c>
      <c r="I3541" s="2"/>
      <c r="J3541" s="1"/>
      <c r="K3541" s="2"/>
      <c r="L3541" s="5"/>
      <c r="M3541" s="9" t="s">
        <v>377</v>
      </c>
      <c r="N3541" s="9" t="s">
        <v>49</v>
      </c>
      <c r="O3541" s="10">
        <f>'data on outstanding creditors'!$E3541*100/107</f>
        <v>222827.1028</v>
      </c>
      <c r="P3541" s="10">
        <f>'data on outstanding creditors'!$E3541-'data on outstanding creditors'!$O3541</f>
        <v>15597.8972</v>
      </c>
      <c r="Q3541" s="7">
        <f>DAY('data on outstanding creditors'!$B3541)</f>
        <v>5</v>
      </c>
      <c r="R3541" s="7">
        <f>MONTH('data on outstanding creditors'!$B3541)</f>
        <v>9</v>
      </c>
      <c r="S3541" s="7">
        <f>YEAR('data on outstanding creditors'!$B3541)</f>
        <v>2025</v>
      </c>
      <c r="T3541" s="11" t="str">
        <f>'data on outstanding creditors'!$C3541&amp;" "&amp;'data on outstanding creditors'!$D3541&amp;" "&amp;TEXT('data on outstanding creditors'!$E3541,"#,##0.00")</f>
        <v>บ.บุรีวัตร  สิทธิ สปสช 008/038 08/68 238,425.00</v>
      </c>
      <c r="U3541" s="12"/>
    </row>
    <row r="3542" ht="13.5" customHeight="1">
      <c r="A3542" s="1"/>
      <c r="B3542" s="2">
        <v>45905.0</v>
      </c>
      <c r="C3542" s="9" t="s">
        <v>379</v>
      </c>
      <c r="D3542" s="1" t="s">
        <v>5557</v>
      </c>
      <c r="E3542" s="4">
        <v>317475.0</v>
      </c>
      <c r="F3542" s="4"/>
      <c r="G3542" s="4"/>
      <c r="H3542" s="4">
        <f>'data on outstanding creditors'!$E3542-'data on outstanding creditors'!$F3542-'data on outstanding creditors'!$G3542</f>
        <v>317475</v>
      </c>
      <c r="I3542" s="2"/>
      <c r="J3542" s="1"/>
      <c r="K3542" s="2"/>
      <c r="L3542" s="5"/>
      <c r="M3542" s="9" t="s">
        <v>377</v>
      </c>
      <c r="N3542" s="9" t="s">
        <v>49</v>
      </c>
      <c r="O3542" s="10">
        <f>'data on outstanding creditors'!$E3542*100/107</f>
        <v>296705.6075</v>
      </c>
      <c r="P3542" s="10">
        <f>'data on outstanding creditors'!$E3542-'data on outstanding creditors'!$O3542</f>
        <v>20769.39252</v>
      </c>
      <c r="Q3542" s="7">
        <f>DAY('data on outstanding creditors'!$B3542)</f>
        <v>5</v>
      </c>
      <c r="R3542" s="7">
        <f>MONTH('data on outstanding creditors'!$B3542)</f>
        <v>9</v>
      </c>
      <c r="S3542" s="7">
        <f>YEAR('data on outstanding creditors'!$B3542)</f>
        <v>2025</v>
      </c>
      <c r="T3542" s="11" t="str">
        <f>'data on outstanding creditors'!$C3542&amp;" "&amp;'data on outstanding creditors'!$D3542&amp;" "&amp;TEXT('data on outstanding creditors'!$E3542,"#,##0.00")</f>
        <v>บ.บุรีวัตร  สิทธิ สปสช 008/039 08/68 317,475.00</v>
      </c>
      <c r="U3542" s="12"/>
    </row>
    <row r="3543" ht="13.5" customHeight="1">
      <c r="A3543" s="1"/>
      <c r="B3543" s="2">
        <v>45905.0</v>
      </c>
      <c r="C3543" s="9" t="s">
        <v>5494</v>
      </c>
      <c r="D3543" s="1" t="s">
        <v>5558</v>
      </c>
      <c r="E3543" s="4">
        <v>30600.0</v>
      </c>
      <c r="F3543" s="4"/>
      <c r="G3543" s="4"/>
      <c r="H3543" s="4">
        <f>'data on outstanding creditors'!$E3543-'data on outstanding creditors'!$F3543-'data on outstanding creditors'!$G3543</f>
        <v>30600</v>
      </c>
      <c r="I3543" s="2"/>
      <c r="J3543" s="1"/>
      <c r="K3543" s="2"/>
      <c r="L3543" s="5"/>
      <c r="M3543" s="9" t="s">
        <v>377</v>
      </c>
      <c r="N3543" s="9" t="s">
        <v>49</v>
      </c>
      <c r="O3543" s="10">
        <f>'data on outstanding creditors'!$E3543*100/107</f>
        <v>28598.13084</v>
      </c>
      <c r="P3543" s="10">
        <f>'data on outstanding creditors'!$E3543-'data on outstanding creditors'!$O3543</f>
        <v>2001.869159</v>
      </c>
      <c r="Q3543" s="7">
        <f>DAY('data on outstanding creditors'!$B3543)</f>
        <v>5</v>
      </c>
      <c r="R3543" s="7">
        <f>MONTH('data on outstanding creditors'!$B3543)</f>
        <v>9</v>
      </c>
      <c r="S3543" s="7">
        <f>YEAR('data on outstanding creditors'!$B3543)</f>
        <v>2025</v>
      </c>
      <c r="T3543" s="11" t="str">
        <f>'data on outstanding creditors'!$C3543&amp;" "&amp;'data on outstanding creditors'!$D3543&amp;" "&amp;TEXT('data on outstanding creditors'!$E3543,"#,##0.00")</f>
        <v>บ.บุรีวัตร  สิทธิ อปท 008/040 08/68 30,600.00</v>
      </c>
      <c r="U3543" s="12"/>
    </row>
    <row r="3544" ht="13.5" customHeight="1">
      <c r="A3544" s="1"/>
      <c r="B3544" s="2">
        <v>45905.0</v>
      </c>
      <c r="C3544" s="9" t="s">
        <v>375</v>
      </c>
      <c r="D3544" s="1" t="s">
        <v>5559</v>
      </c>
      <c r="E3544" s="4">
        <v>163200.0</v>
      </c>
      <c r="F3544" s="4"/>
      <c r="G3544" s="4"/>
      <c r="H3544" s="4">
        <f>'data on outstanding creditors'!$E3544-'data on outstanding creditors'!$F3544-'data on outstanding creditors'!$G3544</f>
        <v>163200</v>
      </c>
      <c r="I3544" s="2"/>
      <c r="J3544" s="1"/>
      <c r="K3544" s="2"/>
      <c r="L3544" s="5"/>
      <c r="M3544" s="9" t="s">
        <v>377</v>
      </c>
      <c r="N3544" s="9" t="s">
        <v>49</v>
      </c>
      <c r="O3544" s="10">
        <f>'data on outstanding creditors'!$E3544*100/107</f>
        <v>152523.3645</v>
      </c>
      <c r="P3544" s="10">
        <f>'data on outstanding creditors'!$E3544-'data on outstanding creditors'!$O3544</f>
        <v>10676.63551</v>
      </c>
      <c r="Q3544" s="7">
        <f>DAY('data on outstanding creditors'!$B3544)</f>
        <v>5</v>
      </c>
      <c r="R3544" s="7">
        <f>MONTH('data on outstanding creditors'!$B3544)</f>
        <v>9</v>
      </c>
      <c r="S3544" s="7">
        <f>YEAR('data on outstanding creditors'!$B3544)</f>
        <v>2025</v>
      </c>
      <c r="T3544" s="11" t="str">
        <f>'data on outstanding creditors'!$C3544&amp;" "&amp;'data on outstanding creditors'!$D3544&amp;" "&amp;TEXT('data on outstanding creditors'!$E3544,"#,##0.00")</f>
        <v>บ.บุรีวัตร  สิทธิ จ่ายตรง 008/041 08/68 163,200.00</v>
      </c>
      <c r="U3544" s="12"/>
    </row>
    <row r="3545" ht="13.5" customHeight="1">
      <c r="A3545" s="1"/>
      <c r="B3545" s="2">
        <v>45905.0</v>
      </c>
      <c r="C3545" s="9" t="s">
        <v>5520</v>
      </c>
      <c r="D3545" s="1" t="s">
        <v>5560</v>
      </c>
      <c r="E3545" s="4">
        <v>93075.0</v>
      </c>
      <c r="F3545" s="4"/>
      <c r="G3545" s="4"/>
      <c r="H3545" s="4">
        <f>'data on outstanding creditors'!$E3545-'data on outstanding creditors'!$F3545-'data on outstanding creditors'!$G3545</f>
        <v>93075</v>
      </c>
      <c r="I3545" s="2"/>
      <c r="J3545" s="1"/>
      <c r="K3545" s="2"/>
      <c r="L3545" s="5"/>
      <c r="M3545" s="9" t="s">
        <v>377</v>
      </c>
      <c r="N3545" s="9" t="s">
        <v>49</v>
      </c>
      <c r="O3545" s="10">
        <f>'data on outstanding creditors'!$E3545*100/107</f>
        <v>86985.98131</v>
      </c>
      <c r="P3545" s="10">
        <f>'data on outstanding creditors'!$E3545-'data on outstanding creditors'!$O3545</f>
        <v>6089.018692</v>
      </c>
      <c r="Q3545" s="7">
        <f>DAY('data on outstanding creditors'!$B3545)</f>
        <v>5</v>
      </c>
      <c r="R3545" s="7">
        <f>MONTH('data on outstanding creditors'!$B3545)</f>
        <v>9</v>
      </c>
      <c r="S3545" s="7">
        <f>YEAR('data on outstanding creditors'!$B3545)</f>
        <v>2025</v>
      </c>
      <c r="T3545" s="11" t="str">
        <f>'data on outstanding creditors'!$C3545&amp;" "&amp;'data on outstanding creditors'!$D3545&amp;" "&amp;TEXT('data on outstanding creditors'!$E3545,"#,##0.00")</f>
        <v>บ.บุรีวัตร  สิทธิ ปกส 008/042 08/68 93,075.00</v>
      </c>
      <c r="U3545" s="12"/>
    </row>
    <row r="3546" ht="13.5" customHeight="1">
      <c r="A3546" s="1"/>
      <c r="B3546" s="2">
        <v>45911.0</v>
      </c>
      <c r="C3546" s="9" t="s">
        <v>379</v>
      </c>
      <c r="D3546" s="1" t="s">
        <v>5561</v>
      </c>
      <c r="E3546" s="4">
        <v>464100.0</v>
      </c>
      <c r="F3546" s="4"/>
      <c r="G3546" s="4"/>
      <c r="H3546" s="4">
        <f>'data on outstanding creditors'!$E3546-'data on outstanding creditors'!$F3546-'data on outstanding creditors'!$G3546</f>
        <v>464100</v>
      </c>
      <c r="I3546" s="2"/>
      <c r="J3546" s="1"/>
      <c r="K3546" s="2"/>
      <c r="L3546" s="5"/>
      <c r="M3546" s="9" t="s">
        <v>377</v>
      </c>
      <c r="N3546" s="9" t="s">
        <v>49</v>
      </c>
      <c r="O3546" s="10">
        <f>'data on outstanding creditors'!$E3546*100/107</f>
        <v>433738.3178</v>
      </c>
      <c r="P3546" s="10">
        <f>'data on outstanding creditors'!$E3546-'data on outstanding creditors'!$O3546</f>
        <v>30361.68224</v>
      </c>
      <c r="Q3546" s="7">
        <f>DAY('data on outstanding creditors'!$B3546)</f>
        <v>11</v>
      </c>
      <c r="R3546" s="7">
        <f>MONTH('data on outstanding creditors'!$B3546)</f>
        <v>9</v>
      </c>
      <c r="S3546" s="7">
        <f>YEAR('data on outstanding creditors'!$B3546)</f>
        <v>2025</v>
      </c>
      <c r="T3546" s="11" t="str">
        <f>'data on outstanding creditors'!$C3546&amp;" "&amp;'data on outstanding creditors'!$D3546&amp;" "&amp;TEXT('data on outstanding creditors'!$E3546,"#,##0.00")</f>
        <v>บ.บุรีวัตร  สิทธิ สปสช 008/043 09/68 464,100.00</v>
      </c>
      <c r="U3546" s="12"/>
    </row>
    <row r="3547" ht="13.5" customHeight="1">
      <c r="A3547" s="1"/>
      <c r="B3547" s="2">
        <v>45911.0</v>
      </c>
      <c r="C3547" s="9" t="s">
        <v>379</v>
      </c>
      <c r="D3547" s="1" t="s">
        <v>5562</v>
      </c>
      <c r="E3547" s="4">
        <v>480675.0</v>
      </c>
      <c r="F3547" s="4"/>
      <c r="G3547" s="4"/>
      <c r="H3547" s="4">
        <f>'data on outstanding creditors'!$E3547-'data on outstanding creditors'!$F3547-'data on outstanding creditors'!$G3547</f>
        <v>480675</v>
      </c>
      <c r="I3547" s="2"/>
      <c r="J3547" s="1"/>
      <c r="K3547" s="2"/>
      <c r="L3547" s="5"/>
      <c r="M3547" s="9" t="s">
        <v>377</v>
      </c>
      <c r="N3547" s="9" t="s">
        <v>49</v>
      </c>
      <c r="O3547" s="10">
        <f>'data on outstanding creditors'!$E3547*100/107</f>
        <v>449228.972</v>
      </c>
      <c r="P3547" s="10">
        <f>'data on outstanding creditors'!$E3547-'data on outstanding creditors'!$O3547</f>
        <v>31446.02804</v>
      </c>
      <c r="Q3547" s="7">
        <f>DAY('data on outstanding creditors'!$B3547)</f>
        <v>11</v>
      </c>
      <c r="R3547" s="7">
        <f>MONTH('data on outstanding creditors'!$B3547)</f>
        <v>9</v>
      </c>
      <c r="S3547" s="7">
        <f>YEAR('data on outstanding creditors'!$B3547)</f>
        <v>2025</v>
      </c>
      <c r="T3547" s="11" t="str">
        <f>'data on outstanding creditors'!$C3547&amp;" "&amp;'data on outstanding creditors'!$D3547&amp;" "&amp;TEXT('data on outstanding creditors'!$E3547,"#,##0.00")</f>
        <v>บ.บุรีวัตร  สิทธิ สปสช 008/044 09/68 480,675.00</v>
      </c>
      <c r="U3547" s="12"/>
    </row>
    <row r="3548" ht="13.5" customHeight="1">
      <c r="A3548" s="1"/>
      <c r="B3548" s="2">
        <v>45911.0</v>
      </c>
      <c r="C3548" s="9" t="s">
        <v>379</v>
      </c>
      <c r="D3548" s="1" t="s">
        <v>5563</v>
      </c>
      <c r="E3548" s="4">
        <v>484500.0</v>
      </c>
      <c r="F3548" s="4"/>
      <c r="G3548" s="4"/>
      <c r="H3548" s="4">
        <f>'data on outstanding creditors'!$E3548-'data on outstanding creditors'!$F3548-'data on outstanding creditors'!$G3548</f>
        <v>484500</v>
      </c>
      <c r="I3548" s="2"/>
      <c r="J3548" s="1"/>
      <c r="K3548" s="2"/>
      <c r="L3548" s="5"/>
      <c r="M3548" s="9" t="s">
        <v>377</v>
      </c>
      <c r="N3548" s="9" t="s">
        <v>49</v>
      </c>
      <c r="O3548" s="10">
        <f>'data on outstanding creditors'!$E3548*100/107</f>
        <v>452803.7383</v>
      </c>
      <c r="P3548" s="10">
        <f>'data on outstanding creditors'!$E3548-'data on outstanding creditors'!$O3548</f>
        <v>31696.26168</v>
      </c>
      <c r="Q3548" s="7">
        <f>DAY('data on outstanding creditors'!$B3548)</f>
        <v>11</v>
      </c>
      <c r="R3548" s="7">
        <f>MONTH('data on outstanding creditors'!$B3548)</f>
        <v>9</v>
      </c>
      <c r="S3548" s="7">
        <f>YEAR('data on outstanding creditors'!$B3548)</f>
        <v>2025</v>
      </c>
      <c r="T3548" s="11" t="str">
        <f>'data on outstanding creditors'!$C3548&amp;" "&amp;'data on outstanding creditors'!$D3548&amp;" "&amp;TEXT('data on outstanding creditors'!$E3548,"#,##0.00")</f>
        <v>บ.บุรีวัตร  สิทธิ สปสช 008/045 09/68 484,500.00</v>
      </c>
      <c r="U3548" s="12"/>
    </row>
    <row r="3549" ht="13.5" customHeight="1">
      <c r="A3549" s="1"/>
      <c r="B3549" s="2">
        <v>45911.0</v>
      </c>
      <c r="C3549" s="9" t="s">
        <v>379</v>
      </c>
      <c r="D3549" s="1" t="s">
        <v>5564</v>
      </c>
      <c r="E3549" s="4">
        <v>177225.0</v>
      </c>
      <c r="F3549" s="4"/>
      <c r="G3549" s="4"/>
      <c r="H3549" s="4">
        <f>'data on outstanding creditors'!$E3549-'data on outstanding creditors'!$F3549-'data on outstanding creditors'!$G3549</f>
        <v>177225</v>
      </c>
      <c r="I3549" s="2"/>
      <c r="J3549" s="1"/>
      <c r="K3549" s="2"/>
      <c r="L3549" s="5"/>
      <c r="M3549" s="9" t="s">
        <v>377</v>
      </c>
      <c r="N3549" s="9" t="s">
        <v>49</v>
      </c>
      <c r="O3549" s="10">
        <f>'data on outstanding creditors'!$E3549*100/107</f>
        <v>165630.8411</v>
      </c>
      <c r="P3549" s="10">
        <f>'data on outstanding creditors'!$E3549-'data on outstanding creditors'!$O3549</f>
        <v>11594.15888</v>
      </c>
      <c r="Q3549" s="7">
        <f>DAY('data on outstanding creditors'!$B3549)</f>
        <v>11</v>
      </c>
      <c r="R3549" s="7">
        <f>MONTH('data on outstanding creditors'!$B3549)</f>
        <v>9</v>
      </c>
      <c r="S3549" s="7">
        <f>YEAR('data on outstanding creditors'!$B3549)</f>
        <v>2025</v>
      </c>
      <c r="T3549" s="11" t="str">
        <f>'data on outstanding creditors'!$C3549&amp;" "&amp;'data on outstanding creditors'!$D3549&amp;" "&amp;TEXT('data on outstanding creditors'!$E3549,"#,##0.00")</f>
        <v>บ.บุรีวัตร  สิทธิ สปสช 008/046 09/68 177,225.00</v>
      </c>
      <c r="U3549" s="12"/>
    </row>
    <row r="3550" ht="13.5" customHeight="1">
      <c r="A3550" s="1"/>
      <c r="B3550" s="2">
        <v>45912.0</v>
      </c>
      <c r="C3550" s="9" t="s">
        <v>379</v>
      </c>
      <c r="D3550" s="1" t="s">
        <v>5565</v>
      </c>
      <c r="E3550" s="4">
        <v>304725.0</v>
      </c>
      <c r="F3550" s="4"/>
      <c r="G3550" s="4"/>
      <c r="H3550" s="4">
        <f>'data on outstanding creditors'!$E3550-'data on outstanding creditors'!$F3550-'data on outstanding creditors'!$G3550</f>
        <v>304725</v>
      </c>
      <c r="I3550" s="2"/>
      <c r="J3550" s="1"/>
      <c r="K3550" s="2"/>
      <c r="L3550" s="5"/>
      <c r="M3550" s="9" t="s">
        <v>377</v>
      </c>
      <c r="N3550" s="9" t="s">
        <v>49</v>
      </c>
      <c r="O3550" s="10">
        <f>'data on outstanding creditors'!$E3550*100/107</f>
        <v>284789.7196</v>
      </c>
      <c r="P3550" s="10">
        <f>'data on outstanding creditors'!$E3550-'data on outstanding creditors'!$O3550</f>
        <v>19935.28037</v>
      </c>
      <c r="Q3550" s="7">
        <f>DAY('data on outstanding creditors'!$B3550)</f>
        <v>12</v>
      </c>
      <c r="R3550" s="7">
        <f>MONTH('data on outstanding creditors'!$B3550)</f>
        <v>9</v>
      </c>
      <c r="S3550" s="7">
        <f>YEAR('data on outstanding creditors'!$B3550)</f>
        <v>2025</v>
      </c>
      <c r="T3550" s="11" t="str">
        <f>'data on outstanding creditors'!$C3550&amp;" "&amp;'data on outstanding creditors'!$D3550&amp;" "&amp;TEXT('data on outstanding creditors'!$E3550,"#,##0.00")</f>
        <v>บ.บุรีวัตร  สิทธิ สปสช 008/047 09/68 304,725.00</v>
      </c>
      <c r="U3550" s="12"/>
    </row>
    <row r="3551" ht="13.5" customHeight="1">
      <c r="A3551" s="1"/>
      <c r="B3551" s="2">
        <v>45912.0</v>
      </c>
      <c r="C3551" s="9" t="s">
        <v>379</v>
      </c>
      <c r="D3551" s="1" t="s">
        <v>5566</v>
      </c>
      <c r="E3551" s="4">
        <v>258825.0</v>
      </c>
      <c r="F3551" s="4"/>
      <c r="G3551" s="4"/>
      <c r="H3551" s="4">
        <f>'data on outstanding creditors'!$E3551-'data on outstanding creditors'!$F3551-'data on outstanding creditors'!$G3551</f>
        <v>258825</v>
      </c>
      <c r="I3551" s="2"/>
      <c r="J3551" s="1"/>
      <c r="K3551" s="2"/>
      <c r="L3551" s="5"/>
      <c r="M3551" s="9" t="s">
        <v>377</v>
      </c>
      <c r="N3551" s="9" t="s">
        <v>49</v>
      </c>
      <c r="O3551" s="10">
        <f>'data on outstanding creditors'!$E3551*100/107</f>
        <v>241892.5234</v>
      </c>
      <c r="P3551" s="10">
        <f>'data on outstanding creditors'!$E3551-'data on outstanding creditors'!$O3551</f>
        <v>16932.47664</v>
      </c>
      <c r="Q3551" s="7">
        <f>DAY('data on outstanding creditors'!$B3551)</f>
        <v>12</v>
      </c>
      <c r="R3551" s="7">
        <f>MONTH('data on outstanding creditors'!$B3551)</f>
        <v>9</v>
      </c>
      <c r="S3551" s="7">
        <f>YEAR('data on outstanding creditors'!$B3551)</f>
        <v>2025</v>
      </c>
      <c r="T3551" s="11" t="str">
        <f>'data on outstanding creditors'!$C3551&amp;" "&amp;'data on outstanding creditors'!$D3551&amp;" "&amp;TEXT('data on outstanding creditors'!$E3551,"#,##0.00")</f>
        <v>บ.บุรีวัตร  สิทธิ สปสช 008/048 09/68 258,825.00</v>
      </c>
      <c r="U3551" s="12"/>
    </row>
    <row r="3552" ht="13.5" customHeight="1">
      <c r="A3552" s="1"/>
      <c r="B3552" s="2">
        <v>45912.0</v>
      </c>
      <c r="C3552" s="9" t="s">
        <v>5494</v>
      </c>
      <c r="D3552" s="1" t="s">
        <v>5567</v>
      </c>
      <c r="E3552" s="4">
        <v>34425.0</v>
      </c>
      <c r="F3552" s="4"/>
      <c r="G3552" s="4"/>
      <c r="H3552" s="4">
        <f>'data on outstanding creditors'!$E3552-'data on outstanding creditors'!$F3552-'data on outstanding creditors'!$G3552</f>
        <v>34425</v>
      </c>
      <c r="I3552" s="2"/>
      <c r="J3552" s="1"/>
      <c r="K3552" s="2"/>
      <c r="L3552" s="5"/>
      <c r="M3552" s="9" t="s">
        <v>377</v>
      </c>
      <c r="N3552" s="9" t="s">
        <v>49</v>
      </c>
      <c r="O3552" s="10">
        <f>'data on outstanding creditors'!$E3552*100/107</f>
        <v>32172.8972</v>
      </c>
      <c r="P3552" s="10">
        <f>'data on outstanding creditors'!$E3552-'data on outstanding creditors'!$O3552</f>
        <v>2252.102804</v>
      </c>
      <c r="Q3552" s="7">
        <f>DAY('data on outstanding creditors'!$B3552)</f>
        <v>12</v>
      </c>
      <c r="R3552" s="7">
        <f>MONTH('data on outstanding creditors'!$B3552)</f>
        <v>9</v>
      </c>
      <c r="S3552" s="7">
        <f>YEAR('data on outstanding creditors'!$B3552)</f>
        <v>2025</v>
      </c>
      <c r="T3552" s="11" t="str">
        <f>'data on outstanding creditors'!$C3552&amp;" "&amp;'data on outstanding creditors'!$D3552&amp;" "&amp;TEXT('data on outstanding creditors'!$E3552,"#,##0.00")</f>
        <v>บ.บุรีวัตร  สิทธิ อปท 008/049 09/68 34,425.00</v>
      </c>
      <c r="U3552" s="12"/>
    </row>
    <row r="3553" ht="13.5" customHeight="1">
      <c r="A3553" s="1"/>
      <c r="B3553" s="2">
        <v>45912.0</v>
      </c>
      <c r="C3553" s="9" t="s">
        <v>375</v>
      </c>
      <c r="D3553" s="1" t="s">
        <v>5568</v>
      </c>
      <c r="E3553" s="4">
        <v>160650.0</v>
      </c>
      <c r="F3553" s="4"/>
      <c r="G3553" s="4"/>
      <c r="H3553" s="4">
        <f>'data on outstanding creditors'!$E3553-'data on outstanding creditors'!$F3553-'data on outstanding creditors'!$G3553</f>
        <v>160650</v>
      </c>
      <c r="I3553" s="2"/>
      <c r="J3553" s="1"/>
      <c r="K3553" s="2"/>
      <c r="L3553" s="5"/>
      <c r="M3553" s="9" t="s">
        <v>377</v>
      </c>
      <c r="N3553" s="9" t="s">
        <v>49</v>
      </c>
      <c r="O3553" s="10">
        <f>'data on outstanding creditors'!$E3553*100/107</f>
        <v>150140.1869</v>
      </c>
      <c r="P3553" s="10">
        <f>'data on outstanding creditors'!$E3553-'data on outstanding creditors'!$O3553</f>
        <v>10509.81308</v>
      </c>
      <c r="Q3553" s="7">
        <f>DAY('data on outstanding creditors'!$B3553)</f>
        <v>12</v>
      </c>
      <c r="R3553" s="7">
        <f>MONTH('data on outstanding creditors'!$B3553)</f>
        <v>9</v>
      </c>
      <c r="S3553" s="7">
        <f>YEAR('data on outstanding creditors'!$B3553)</f>
        <v>2025</v>
      </c>
      <c r="T3553" s="11" t="str">
        <f>'data on outstanding creditors'!$C3553&amp;" "&amp;'data on outstanding creditors'!$D3553&amp;" "&amp;TEXT('data on outstanding creditors'!$E3553,"#,##0.00")</f>
        <v>บ.บุรีวัตร  สิทธิ จ่ายตรง 008/050 09/68 160,650.00</v>
      </c>
      <c r="U3553" s="12"/>
    </row>
    <row r="3554" ht="13.5" customHeight="1">
      <c r="A3554" s="1"/>
      <c r="B3554" s="2">
        <v>45912.0</v>
      </c>
      <c r="C3554" s="9" t="s">
        <v>5520</v>
      </c>
      <c r="D3554" s="1" t="s">
        <v>5569</v>
      </c>
      <c r="E3554" s="4">
        <v>91800.0</v>
      </c>
      <c r="F3554" s="4"/>
      <c r="G3554" s="4"/>
      <c r="H3554" s="4">
        <f>'data on outstanding creditors'!$E3554-'data on outstanding creditors'!$F3554-'data on outstanding creditors'!$G3554</f>
        <v>91800</v>
      </c>
      <c r="I3554" s="2"/>
      <c r="J3554" s="1"/>
      <c r="K3554" s="2"/>
      <c r="L3554" s="5"/>
      <c r="M3554" s="9" t="s">
        <v>377</v>
      </c>
      <c r="N3554" s="9" t="s">
        <v>49</v>
      </c>
      <c r="O3554" s="10">
        <f>'data on outstanding creditors'!$E3554*100/107</f>
        <v>85794.39252</v>
      </c>
      <c r="P3554" s="10">
        <f>'data on outstanding creditors'!$E3554-'data on outstanding creditors'!$O3554</f>
        <v>6005.607477</v>
      </c>
      <c r="Q3554" s="7">
        <f>DAY('data on outstanding creditors'!$B3554)</f>
        <v>12</v>
      </c>
      <c r="R3554" s="7">
        <f>MONTH('data on outstanding creditors'!$B3554)</f>
        <v>9</v>
      </c>
      <c r="S3554" s="7">
        <f>YEAR('data on outstanding creditors'!$B3554)</f>
        <v>2025</v>
      </c>
      <c r="T3554" s="11" t="str">
        <f>'data on outstanding creditors'!$C3554&amp;" "&amp;'data on outstanding creditors'!$D3554&amp;" "&amp;TEXT('data on outstanding creditors'!$E3554,"#,##0.00")</f>
        <v>บ.บุรีวัตร  สิทธิ ปกส 008/051 09/68 91,800.00</v>
      </c>
      <c r="U3554" s="12"/>
    </row>
    <row r="3555" ht="13.5" customHeight="1">
      <c r="A3555" s="1"/>
      <c r="B3555" s="2">
        <v>45915.0</v>
      </c>
      <c r="C3555" s="9" t="s">
        <v>5520</v>
      </c>
      <c r="D3555" s="1" t="s">
        <v>5570</v>
      </c>
      <c r="E3555" s="4">
        <v>124950.0</v>
      </c>
      <c r="F3555" s="4"/>
      <c r="G3555" s="4"/>
      <c r="H3555" s="4">
        <f>'data on outstanding creditors'!$E3555-'data on outstanding creditors'!$F3555-'data on outstanding creditors'!$G3555</f>
        <v>124950</v>
      </c>
      <c r="I3555" s="2"/>
      <c r="J3555" s="1"/>
      <c r="K3555" s="2"/>
      <c r="L3555" s="5"/>
      <c r="M3555" s="9" t="s">
        <v>377</v>
      </c>
      <c r="N3555" s="9" t="s">
        <v>49</v>
      </c>
      <c r="O3555" s="10">
        <f>'data on outstanding creditors'!$E3555*100/107</f>
        <v>116775.7009</v>
      </c>
      <c r="P3555" s="10">
        <f>'data on outstanding creditors'!$E3555-'data on outstanding creditors'!$O3555</f>
        <v>8174.299065</v>
      </c>
      <c r="Q3555" s="7">
        <f>DAY('data on outstanding creditors'!$B3555)</f>
        <v>15</v>
      </c>
      <c r="R3555" s="7">
        <f>MONTH('data on outstanding creditors'!$B3555)</f>
        <v>9</v>
      </c>
      <c r="S3555" s="7">
        <f>YEAR('data on outstanding creditors'!$B3555)</f>
        <v>2025</v>
      </c>
      <c r="T3555" s="11" t="str">
        <f>'data on outstanding creditors'!$C3555&amp;" "&amp;'data on outstanding creditors'!$D3555&amp;" "&amp;TEXT('data on outstanding creditors'!$E3555,"#,##0.00")</f>
        <v>บ.บุรีวัตร  สิทธิ ปกส 008/021 09/68 124,950.00</v>
      </c>
      <c r="U3555" s="12"/>
    </row>
    <row r="3556" ht="13.5" customHeight="1">
      <c r="A3556" s="1"/>
      <c r="B3556" s="2">
        <v>45915.0</v>
      </c>
      <c r="C3556" s="9" t="s">
        <v>5520</v>
      </c>
      <c r="D3556" s="1" t="s">
        <v>5571</v>
      </c>
      <c r="E3556" s="4">
        <v>122400.0</v>
      </c>
      <c r="F3556" s="4"/>
      <c r="G3556" s="4"/>
      <c r="H3556" s="4">
        <f>'data on outstanding creditors'!$E3556-'data on outstanding creditors'!$F3556-'data on outstanding creditors'!$G3556</f>
        <v>122400</v>
      </c>
      <c r="I3556" s="2"/>
      <c r="J3556" s="1"/>
      <c r="K3556" s="2"/>
      <c r="L3556" s="5"/>
      <c r="M3556" s="9" t="s">
        <v>377</v>
      </c>
      <c r="N3556" s="9" t="s">
        <v>49</v>
      </c>
      <c r="O3556" s="10">
        <f>'data on outstanding creditors'!$E3556*100/107</f>
        <v>114392.5234</v>
      </c>
      <c r="P3556" s="10">
        <f>'data on outstanding creditors'!$E3556-'data on outstanding creditors'!$O3556</f>
        <v>8007.476636</v>
      </c>
      <c r="Q3556" s="7">
        <f>DAY('data on outstanding creditors'!$B3556)</f>
        <v>15</v>
      </c>
      <c r="R3556" s="7">
        <f>MONTH('data on outstanding creditors'!$B3556)</f>
        <v>9</v>
      </c>
      <c r="S3556" s="7">
        <f>YEAR('data on outstanding creditors'!$B3556)</f>
        <v>2025</v>
      </c>
      <c r="T3556" s="11" t="str">
        <f>'data on outstanding creditors'!$C3556&amp;" "&amp;'data on outstanding creditors'!$D3556&amp;" "&amp;TEXT('data on outstanding creditors'!$E3556,"#,##0.00")</f>
        <v>บ.บุรีวัตร  สิทธิ ปกส 008/020 09/68 122,400.00</v>
      </c>
      <c r="U3556" s="12"/>
    </row>
    <row r="3557" ht="13.5" customHeight="1">
      <c r="A3557" s="1"/>
      <c r="B3557" s="2">
        <v>45915.0</v>
      </c>
      <c r="C3557" s="9" t="s">
        <v>5520</v>
      </c>
      <c r="D3557" s="1" t="s">
        <v>5572</v>
      </c>
      <c r="E3557" s="4">
        <v>124950.0</v>
      </c>
      <c r="F3557" s="4"/>
      <c r="G3557" s="4"/>
      <c r="H3557" s="4">
        <f>'data on outstanding creditors'!$E3557-'data on outstanding creditors'!$F3557-'data on outstanding creditors'!$G3557</f>
        <v>124950</v>
      </c>
      <c r="I3557" s="2"/>
      <c r="J3557" s="1"/>
      <c r="K3557" s="2"/>
      <c r="L3557" s="5"/>
      <c r="M3557" s="9" t="s">
        <v>377</v>
      </c>
      <c r="N3557" s="9" t="s">
        <v>49</v>
      </c>
      <c r="O3557" s="10">
        <f>'data on outstanding creditors'!$E3557*100/107</f>
        <v>116775.7009</v>
      </c>
      <c r="P3557" s="10">
        <f>'data on outstanding creditors'!$E3557-'data on outstanding creditors'!$O3557</f>
        <v>8174.299065</v>
      </c>
      <c r="Q3557" s="7">
        <f>DAY('data on outstanding creditors'!$B3557)</f>
        <v>15</v>
      </c>
      <c r="R3557" s="7">
        <f>MONTH('data on outstanding creditors'!$B3557)</f>
        <v>9</v>
      </c>
      <c r="S3557" s="7">
        <f>YEAR('data on outstanding creditors'!$B3557)</f>
        <v>2025</v>
      </c>
      <c r="T3557" s="11" t="str">
        <f>'data on outstanding creditors'!$C3557&amp;" "&amp;'data on outstanding creditors'!$D3557&amp;" "&amp;TEXT('data on outstanding creditors'!$E3557,"#,##0.00")</f>
        <v>บ.บุรีวัตร  สิทธิ ปกส 008/019 09/68 124,950.00</v>
      </c>
      <c r="U3557" s="12"/>
    </row>
    <row r="3558" ht="13.5" customHeight="1">
      <c r="A3558" s="1"/>
      <c r="B3558" s="2">
        <v>45915.0</v>
      </c>
      <c r="C3558" s="9" t="s">
        <v>375</v>
      </c>
      <c r="D3558" s="1" t="s">
        <v>5573</v>
      </c>
      <c r="E3558" s="4">
        <v>257550.0</v>
      </c>
      <c r="F3558" s="4"/>
      <c r="G3558" s="4"/>
      <c r="H3558" s="4">
        <f>'data on outstanding creditors'!$E3558-'data on outstanding creditors'!$F3558-'data on outstanding creditors'!$G3558</f>
        <v>257550</v>
      </c>
      <c r="I3558" s="2"/>
      <c r="J3558" s="1"/>
      <c r="K3558" s="2"/>
      <c r="L3558" s="5"/>
      <c r="M3558" s="9" t="s">
        <v>377</v>
      </c>
      <c r="N3558" s="9" t="s">
        <v>49</v>
      </c>
      <c r="O3558" s="10">
        <f>'data on outstanding creditors'!$E3558*100/107</f>
        <v>240700.9346</v>
      </c>
      <c r="P3558" s="10">
        <f>'data on outstanding creditors'!$E3558-'data on outstanding creditors'!$O3558</f>
        <v>16849.06542</v>
      </c>
      <c r="Q3558" s="7">
        <f>DAY('data on outstanding creditors'!$B3558)</f>
        <v>15</v>
      </c>
      <c r="R3558" s="7">
        <f>MONTH('data on outstanding creditors'!$B3558)</f>
        <v>9</v>
      </c>
      <c r="S3558" s="7">
        <f>YEAR('data on outstanding creditors'!$B3558)</f>
        <v>2025</v>
      </c>
      <c r="T3558" s="11" t="str">
        <f>'data on outstanding creditors'!$C3558&amp;" "&amp;'data on outstanding creditors'!$D3558&amp;" "&amp;TEXT('data on outstanding creditors'!$E3558,"#,##0.00")</f>
        <v>บ.บุรีวัตร  สิทธิ จ่ายตรง 008/018 09/68 257,550.00</v>
      </c>
      <c r="U3558" s="12"/>
    </row>
    <row r="3559" ht="13.5" customHeight="1">
      <c r="A3559" s="1"/>
      <c r="B3559" s="2">
        <v>45915.0</v>
      </c>
      <c r="C3559" s="9" t="s">
        <v>379</v>
      </c>
      <c r="D3559" s="1" t="s">
        <v>5574</v>
      </c>
      <c r="E3559" s="4">
        <v>433500.0</v>
      </c>
      <c r="F3559" s="4"/>
      <c r="G3559" s="4"/>
      <c r="H3559" s="4">
        <f>'data on outstanding creditors'!$E3559-'data on outstanding creditors'!$F3559-'data on outstanding creditors'!$G3559</f>
        <v>433500</v>
      </c>
      <c r="I3559" s="2"/>
      <c r="J3559" s="1"/>
      <c r="K3559" s="2"/>
      <c r="L3559" s="5"/>
      <c r="M3559" s="9" t="s">
        <v>377</v>
      </c>
      <c r="N3559" s="9" t="s">
        <v>49</v>
      </c>
      <c r="O3559" s="10">
        <f>'data on outstanding creditors'!$E3559*100/107</f>
        <v>405140.1869</v>
      </c>
      <c r="P3559" s="10">
        <f>'data on outstanding creditors'!$E3559-'data on outstanding creditors'!$O3559</f>
        <v>28359.81308</v>
      </c>
      <c r="Q3559" s="7">
        <f>DAY('data on outstanding creditors'!$B3559)</f>
        <v>15</v>
      </c>
      <c r="R3559" s="7">
        <f>MONTH('data on outstanding creditors'!$B3559)</f>
        <v>9</v>
      </c>
      <c r="S3559" s="7">
        <f>YEAR('data on outstanding creditors'!$B3559)</f>
        <v>2025</v>
      </c>
      <c r="T3559" s="11" t="str">
        <f>'data on outstanding creditors'!$C3559&amp;" "&amp;'data on outstanding creditors'!$D3559&amp;" "&amp;TEXT('data on outstanding creditors'!$E3559,"#,##0.00")</f>
        <v>บ.บุรีวัตร  สิทธิ สปสช 008/010 09/68 433,500.00</v>
      </c>
      <c r="U3559" s="12"/>
    </row>
    <row r="3560" ht="13.5" customHeight="1">
      <c r="A3560" s="1"/>
      <c r="B3560" s="2">
        <v>45915.0</v>
      </c>
      <c r="C3560" s="9" t="s">
        <v>379</v>
      </c>
      <c r="D3560" s="1" t="s">
        <v>5575</v>
      </c>
      <c r="E3560" s="4">
        <v>126225.0</v>
      </c>
      <c r="F3560" s="4"/>
      <c r="G3560" s="4"/>
      <c r="H3560" s="4">
        <f>'data on outstanding creditors'!$E3560-'data on outstanding creditors'!$F3560-'data on outstanding creditors'!$G3560</f>
        <v>126225</v>
      </c>
      <c r="I3560" s="2"/>
      <c r="J3560" s="1"/>
      <c r="K3560" s="2"/>
      <c r="L3560" s="5"/>
      <c r="M3560" s="9" t="s">
        <v>377</v>
      </c>
      <c r="N3560" s="9" t="s">
        <v>49</v>
      </c>
      <c r="O3560" s="10">
        <f>'data on outstanding creditors'!$E3560*100/107</f>
        <v>117967.2897</v>
      </c>
      <c r="P3560" s="10">
        <f>'data on outstanding creditors'!$E3560-'data on outstanding creditors'!$O3560</f>
        <v>8257.71028</v>
      </c>
      <c r="Q3560" s="7">
        <f>DAY('data on outstanding creditors'!$B3560)</f>
        <v>15</v>
      </c>
      <c r="R3560" s="7">
        <f>MONTH('data on outstanding creditors'!$B3560)</f>
        <v>9</v>
      </c>
      <c r="S3560" s="7">
        <f>YEAR('data on outstanding creditors'!$B3560)</f>
        <v>2025</v>
      </c>
      <c r="T3560" s="11" t="str">
        <f>'data on outstanding creditors'!$C3560&amp;" "&amp;'data on outstanding creditors'!$D3560&amp;" "&amp;TEXT('data on outstanding creditors'!$E3560,"#,##0.00")</f>
        <v>บ.บุรีวัตร  สิทธิ สปสช 008/011 09/68 126,225.00</v>
      </c>
      <c r="U3560" s="12"/>
    </row>
    <row r="3561" ht="13.5" customHeight="1">
      <c r="A3561" s="1"/>
      <c r="B3561" s="2">
        <v>45915.0</v>
      </c>
      <c r="C3561" s="9" t="s">
        <v>375</v>
      </c>
      <c r="D3561" s="1" t="s">
        <v>5576</v>
      </c>
      <c r="E3561" s="4">
        <v>195075.0</v>
      </c>
      <c r="F3561" s="4"/>
      <c r="G3561" s="4"/>
      <c r="H3561" s="4">
        <f>'data on outstanding creditors'!$E3561-'data on outstanding creditors'!$F3561-'data on outstanding creditors'!$G3561</f>
        <v>195075</v>
      </c>
      <c r="I3561" s="2"/>
      <c r="J3561" s="1"/>
      <c r="K3561" s="2"/>
      <c r="L3561" s="5"/>
      <c r="M3561" s="9" t="s">
        <v>377</v>
      </c>
      <c r="N3561" s="9" t="s">
        <v>49</v>
      </c>
      <c r="O3561" s="10">
        <f>'data on outstanding creditors'!$E3561*100/107</f>
        <v>182313.0841</v>
      </c>
      <c r="P3561" s="10">
        <f>'data on outstanding creditors'!$E3561-'data on outstanding creditors'!$O3561</f>
        <v>12761.91589</v>
      </c>
      <c r="Q3561" s="7">
        <f>DAY('data on outstanding creditors'!$B3561)</f>
        <v>15</v>
      </c>
      <c r="R3561" s="7">
        <f>MONTH('data on outstanding creditors'!$B3561)</f>
        <v>9</v>
      </c>
      <c r="S3561" s="7">
        <f>YEAR('data on outstanding creditors'!$B3561)</f>
        <v>2025</v>
      </c>
      <c r="T3561" s="11" t="str">
        <f>'data on outstanding creditors'!$C3561&amp;" "&amp;'data on outstanding creditors'!$D3561&amp;" "&amp;TEXT('data on outstanding creditors'!$E3561,"#,##0.00")</f>
        <v>บ.บุรีวัตร  สิทธิ จ่ายตรง 008/017 09/68 195,075.00</v>
      </c>
      <c r="U3561" s="12"/>
    </row>
    <row r="3562" ht="13.5" customHeight="1">
      <c r="A3562" s="1"/>
      <c r="B3562" s="2">
        <v>45916.0</v>
      </c>
      <c r="C3562" s="9" t="s">
        <v>379</v>
      </c>
      <c r="D3562" s="1" t="s">
        <v>5577</v>
      </c>
      <c r="E3562" s="4">
        <v>464100.0</v>
      </c>
      <c r="F3562" s="4"/>
      <c r="G3562" s="4"/>
      <c r="H3562" s="4">
        <f>'data on outstanding creditors'!$E3562-'data on outstanding creditors'!$F3562-'data on outstanding creditors'!$G3562</f>
        <v>464100</v>
      </c>
      <c r="I3562" s="2"/>
      <c r="J3562" s="1"/>
      <c r="K3562" s="2"/>
      <c r="L3562" s="5"/>
      <c r="M3562" s="9" t="s">
        <v>377</v>
      </c>
      <c r="N3562" s="9" t="s">
        <v>49</v>
      </c>
      <c r="O3562" s="10">
        <f>'data on outstanding creditors'!$E3562*100/107</f>
        <v>433738.3178</v>
      </c>
      <c r="P3562" s="10">
        <f>'data on outstanding creditors'!$E3562-'data on outstanding creditors'!$O3562</f>
        <v>30361.68224</v>
      </c>
      <c r="Q3562" s="7">
        <f>DAY('data on outstanding creditors'!$B3562)</f>
        <v>16</v>
      </c>
      <c r="R3562" s="7">
        <f>MONTH('data on outstanding creditors'!$B3562)</f>
        <v>9</v>
      </c>
      <c r="S3562" s="7">
        <f>YEAR('data on outstanding creditors'!$B3562)</f>
        <v>2025</v>
      </c>
      <c r="T3562" s="11" t="str">
        <f>'data on outstanding creditors'!$C3562&amp;" "&amp;'data on outstanding creditors'!$D3562&amp;" "&amp;TEXT('data on outstanding creditors'!$E3562,"#,##0.00")</f>
        <v>บ.บุรีวัตร  สิทธิ สปสช 008/009 09/68 464,100.00</v>
      </c>
      <c r="U3562" s="12"/>
    </row>
    <row r="3563" ht="13.5" customHeight="1">
      <c r="A3563" s="1"/>
      <c r="B3563" s="2">
        <v>45916.0</v>
      </c>
      <c r="C3563" s="9" t="s">
        <v>379</v>
      </c>
      <c r="D3563" s="1" t="s">
        <v>5578</v>
      </c>
      <c r="E3563" s="4">
        <v>488325.0</v>
      </c>
      <c r="F3563" s="4"/>
      <c r="G3563" s="4"/>
      <c r="H3563" s="4">
        <f>'data on outstanding creditors'!$E3563-'data on outstanding creditors'!$F3563-'data on outstanding creditors'!$G3563</f>
        <v>488325</v>
      </c>
      <c r="I3563" s="2"/>
      <c r="J3563" s="1"/>
      <c r="K3563" s="2"/>
      <c r="L3563" s="5"/>
      <c r="M3563" s="9" t="s">
        <v>377</v>
      </c>
      <c r="N3563" s="9" t="s">
        <v>49</v>
      </c>
      <c r="O3563" s="10">
        <f>'data on outstanding creditors'!$E3563*100/107</f>
        <v>456378.5047</v>
      </c>
      <c r="P3563" s="10">
        <f>'data on outstanding creditors'!$E3563-'data on outstanding creditors'!$O3563</f>
        <v>31946.49533</v>
      </c>
      <c r="Q3563" s="7">
        <f>DAY('data on outstanding creditors'!$B3563)</f>
        <v>16</v>
      </c>
      <c r="R3563" s="7">
        <f>MONTH('data on outstanding creditors'!$B3563)</f>
        <v>9</v>
      </c>
      <c r="S3563" s="7">
        <f>YEAR('data on outstanding creditors'!$B3563)</f>
        <v>2025</v>
      </c>
      <c r="T3563" s="11" t="str">
        <f>'data on outstanding creditors'!$C3563&amp;" "&amp;'data on outstanding creditors'!$D3563&amp;" "&amp;TEXT('data on outstanding creditors'!$E3563,"#,##0.00")</f>
        <v>บ.บุรีวัตร  สิทธิ สปสช 008/008 09/68 488,325.00</v>
      </c>
      <c r="U3563" s="12"/>
    </row>
    <row r="3564" ht="13.5" customHeight="1">
      <c r="A3564" s="1"/>
      <c r="B3564" s="2">
        <v>45925.0</v>
      </c>
      <c r="C3564" s="9" t="s">
        <v>5494</v>
      </c>
      <c r="D3564" s="1" t="s">
        <v>5579</v>
      </c>
      <c r="E3564" s="4">
        <v>111780.0</v>
      </c>
      <c r="F3564" s="4"/>
      <c r="G3564" s="4"/>
      <c r="H3564" s="4">
        <f>'data on outstanding creditors'!$E3564-'data on outstanding creditors'!$F3564-'data on outstanding creditors'!$G3564</f>
        <v>111780</v>
      </c>
      <c r="I3564" s="2"/>
      <c r="J3564" s="1"/>
      <c r="K3564" s="2"/>
      <c r="L3564" s="5"/>
      <c r="M3564" s="9" t="s">
        <v>377</v>
      </c>
      <c r="N3564" s="9" t="s">
        <v>49</v>
      </c>
      <c r="O3564" s="10">
        <f>'data on outstanding creditors'!$E3564*100/107</f>
        <v>104467.2897</v>
      </c>
      <c r="P3564" s="10">
        <f>'data on outstanding creditors'!$E3564-'data on outstanding creditors'!$O3564</f>
        <v>7312.71028</v>
      </c>
      <c r="Q3564" s="7">
        <f>DAY('data on outstanding creditors'!$B3564)</f>
        <v>25</v>
      </c>
      <c r="R3564" s="7">
        <f>MONTH('data on outstanding creditors'!$B3564)</f>
        <v>9</v>
      </c>
      <c r="S3564" s="7">
        <f>YEAR('data on outstanding creditors'!$B3564)</f>
        <v>2025</v>
      </c>
      <c r="T3564" s="11" t="str">
        <f>'data on outstanding creditors'!$C3564&amp;" "&amp;'data on outstanding creditors'!$D3564&amp;" "&amp;TEXT('data on outstanding creditors'!$E3564,"#,##0.00")</f>
        <v>บ.บุรีวัตร  สิทธิ อปท 008/052 04/68 111,780.00</v>
      </c>
      <c r="U3564" s="12"/>
    </row>
    <row r="3565" ht="13.5" customHeight="1">
      <c r="A3565" s="1"/>
      <c r="B3565" s="2">
        <v>45925.0</v>
      </c>
      <c r="C3565" s="9" t="s">
        <v>5494</v>
      </c>
      <c r="D3565" s="1" t="s">
        <v>5580</v>
      </c>
      <c r="E3565" s="4">
        <v>104550.0</v>
      </c>
      <c r="F3565" s="4"/>
      <c r="G3565" s="4"/>
      <c r="H3565" s="4">
        <f>'data on outstanding creditors'!$E3565-'data on outstanding creditors'!$F3565-'data on outstanding creditors'!$G3565</f>
        <v>104550</v>
      </c>
      <c r="I3565" s="2"/>
      <c r="J3565" s="1"/>
      <c r="K3565" s="2"/>
      <c r="L3565" s="5"/>
      <c r="M3565" s="9" t="s">
        <v>377</v>
      </c>
      <c r="N3565" s="9" t="s">
        <v>49</v>
      </c>
      <c r="O3565" s="10">
        <f>'data on outstanding creditors'!$E3565*100/107</f>
        <v>97710.28037</v>
      </c>
      <c r="P3565" s="10">
        <f>'data on outstanding creditors'!$E3565-'data on outstanding creditors'!$O3565</f>
        <v>6839.719626</v>
      </c>
      <c r="Q3565" s="7">
        <f>DAY('data on outstanding creditors'!$B3565)</f>
        <v>25</v>
      </c>
      <c r="R3565" s="7">
        <f>MONTH('data on outstanding creditors'!$B3565)</f>
        <v>9</v>
      </c>
      <c r="S3565" s="7">
        <f>YEAR('data on outstanding creditors'!$B3565)</f>
        <v>2025</v>
      </c>
      <c r="T3565" s="11" t="str">
        <f>'data on outstanding creditors'!$C3565&amp;" "&amp;'data on outstanding creditors'!$D3565&amp;" "&amp;TEXT('data on outstanding creditors'!$E3565,"#,##0.00")</f>
        <v>บ.บุรีวัตร  สิทธิ อปท 008/053 05/68 104,550.00</v>
      </c>
      <c r="U3565" s="12"/>
    </row>
    <row r="3566" ht="13.5" customHeight="1">
      <c r="A3566" s="1"/>
      <c r="B3566" s="2">
        <v>45925.0</v>
      </c>
      <c r="C3566" s="9" t="s">
        <v>5494</v>
      </c>
      <c r="D3566" s="1" t="s">
        <v>5581</v>
      </c>
      <c r="E3566" s="4">
        <v>1275.0</v>
      </c>
      <c r="F3566" s="4"/>
      <c r="G3566" s="4"/>
      <c r="H3566" s="4">
        <f>'data on outstanding creditors'!$E3566-'data on outstanding creditors'!$F3566-'data on outstanding creditors'!$G3566</f>
        <v>1275</v>
      </c>
      <c r="I3566" s="2"/>
      <c r="J3566" s="1"/>
      <c r="K3566" s="2"/>
      <c r="L3566" s="5"/>
      <c r="M3566" s="9" t="s">
        <v>377</v>
      </c>
      <c r="N3566" s="9" t="s">
        <v>49</v>
      </c>
      <c r="O3566" s="10">
        <f>'data on outstanding creditors'!$E3566*100/107</f>
        <v>1191.588785</v>
      </c>
      <c r="P3566" s="10">
        <f>'data on outstanding creditors'!$E3566-'data on outstanding creditors'!$O3566</f>
        <v>83.41121495</v>
      </c>
      <c r="Q3566" s="7">
        <f>DAY('data on outstanding creditors'!$B3566)</f>
        <v>25</v>
      </c>
      <c r="R3566" s="7">
        <f>MONTH('data on outstanding creditors'!$B3566)</f>
        <v>9</v>
      </c>
      <c r="S3566" s="7">
        <f>YEAR('data on outstanding creditors'!$B3566)</f>
        <v>2025</v>
      </c>
      <c r="T3566" s="11" t="str">
        <f>'data on outstanding creditors'!$C3566&amp;" "&amp;'data on outstanding creditors'!$D3566&amp;" "&amp;TEXT('data on outstanding creditors'!$E3566,"#,##0.00")</f>
        <v>บ.บุรีวัตร  สิทธิ อปท 008/054 12/67 1,275.00</v>
      </c>
      <c r="U3566" s="12"/>
    </row>
    <row r="3567" ht="13.5" customHeight="1">
      <c r="A3567" s="1"/>
      <c r="B3567" s="2">
        <v>45925.0</v>
      </c>
      <c r="C3567" s="9" t="s">
        <v>5494</v>
      </c>
      <c r="D3567" s="1" t="s">
        <v>5582</v>
      </c>
      <c r="E3567" s="4">
        <v>91800.0</v>
      </c>
      <c r="F3567" s="4"/>
      <c r="G3567" s="4"/>
      <c r="H3567" s="4">
        <f>'data on outstanding creditors'!$E3567-'data on outstanding creditors'!$F3567-'data on outstanding creditors'!$G3567</f>
        <v>91800</v>
      </c>
      <c r="I3567" s="2"/>
      <c r="J3567" s="1"/>
      <c r="K3567" s="2"/>
      <c r="L3567" s="5"/>
      <c r="M3567" s="9" t="s">
        <v>377</v>
      </c>
      <c r="N3567" s="9" t="s">
        <v>49</v>
      </c>
      <c r="O3567" s="10">
        <f>'data on outstanding creditors'!$E3567*100/107</f>
        <v>85794.39252</v>
      </c>
      <c r="P3567" s="10">
        <f>'data on outstanding creditors'!$E3567-'data on outstanding creditors'!$O3567</f>
        <v>6005.607477</v>
      </c>
      <c r="Q3567" s="7">
        <f>DAY('data on outstanding creditors'!$B3567)</f>
        <v>25</v>
      </c>
      <c r="R3567" s="7">
        <f>MONTH('data on outstanding creditors'!$B3567)</f>
        <v>9</v>
      </c>
      <c r="S3567" s="7">
        <f>YEAR('data on outstanding creditors'!$B3567)</f>
        <v>2025</v>
      </c>
      <c r="T3567" s="11" t="str">
        <f>'data on outstanding creditors'!$C3567&amp;" "&amp;'data on outstanding creditors'!$D3567&amp;" "&amp;TEXT('data on outstanding creditors'!$E3567,"#,##0.00")</f>
        <v>บ.บุรีวัตร  สิทธิ อปท 008/055 06/68 91,800.00</v>
      </c>
      <c r="U3567" s="12"/>
    </row>
    <row r="3568" ht="13.5" customHeight="1">
      <c r="A3568" s="1"/>
      <c r="B3568" s="2">
        <v>45925.0</v>
      </c>
      <c r="C3568" s="9" t="s">
        <v>379</v>
      </c>
      <c r="D3568" s="1" t="s">
        <v>5583</v>
      </c>
      <c r="E3568" s="4">
        <v>5100.0</v>
      </c>
      <c r="F3568" s="4"/>
      <c r="G3568" s="4"/>
      <c r="H3568" s="4">
        <f>'data on outstanding creditors'!$E3568-'data on outstanding creditors'!$F3568-'data on outstanding creditors'!$G3568</f>
        <v>5100</v>
      </c>
      <c r="I3568" s="2"/>
      <c r="J3568" s="1"/>
      <c r="K3568" s="2"/>
      <c r="L3568" s="5"/>
      <c r="M3568" s="9" t="s">
        <v>377</v>
      </c>
      <c r="N3568" s="9" t="s">
        <v>49</v>
      </c>
      <c r="O3568" s="10">
        <f>'data on outstanding creditors'!$E3568*100/107</f>
        <v>4766.35514</v>
      </c>
      <c r="P3568" s="10">
        <f>'data on outstanding creditors'!$E3568-'data on outstanding creditors'!$O3568</f>
        <v>333.6448598</v>
      </c>
      <c r="Q3568" s="7">
        <f>DAY('data on outstanding creditors'!$B3568)</f>
        <v>25</v>
      </c>
      <c r="R3568" s="7">
        <f>MONTH('data on outstanding creditors'!$B3568)</f>
        <v>9</v>
      </c>
      <c r="S3568" s="7">
        <f>YEAR('data on outstanding creditors'!$B3568)</f>
        <v>2025</v>
      </c>
      <c r="T3568" s="11" t="str">
        <f>'data on outstanding creditors'!$C3568&amp;" "&amp;'data on outstanding creditors'!$D3568&amp;" "&amp;TEXT('data on outstanding creditors'!$E3568,"#,##0.00")</f>
        <v>บ.บุรีวัตร  สิทธิ สปสช 008/056 07/68 5,100.00</v>
      </c>
      <c r="U3568" s="12"/>
    </row>
    <row r="3569" ht="13.5" customHeight="1">
      <c r="A3569" s="1"/>
      <c r="B3569" s="2">
        <v>45929.0</v>
      </c>
      <c r="C3569" s="9" t="s">
        <v>379</v>
      </c>
      <c r="D3569" s="1" t="s">
        <v>5584</v>
      </c>
      <c r="E3569" s="4">
        <v>237150.0</v>
      </c>
      <c r="F3569" s="4"/>
      <c r="G3569" s="4"/>
      <c r="H3569" s="4">
        <f>'data on outstanding creditors'!$E3569-'data on outstanding creditors'!$F3569-'data on outstanding creditors'!$G3569</f>
        <v>237150</v>
      </c>
      <c r="I3569" s="2"/>
      <c r="J3569" s="1"/>
      <c r="K3569" s="2"/>
      <c r="L3569" s="5"/>
      <c r="M3569" s="9" t="s">
        <v>377</v>
      </c>
      <c r="N3569" s="9" t="s">
        <v>49</v>
      </c>
      <c r="O3569" s="10">
        <f>'data on outstanding creditors'!$E3569*100/107</f>
        <v>221635.514</v>
      </c>
      <c r="P3569" s="10">
        <f>'data on outstanding creditors'!$E3569-'data on outstanding creditors'!$O3569</f>
        <v>15514.48598</v>
      </c>
      <c r="Q3569" s="7">
        <f>DAY('data on outstanding creditors'!$B3569)</f>
        <v>29</v>
      </c>
      <c r="R3569" s="7">
        <f>MONTH('data on outstanding creditors'!$B3569)</f>
        <v>9</v>
      </c>
      <c r="S3569" s="7">
        <f>YEAR('data on outstanding creditors'!$B3569)</f>
        <v>2025</v>
      </c>
      <c r="T3569" s="11" t="str">
        <f>'data on outstanding creditors'!$C3569&amp;" "&amp;'data on outstanding creditors'!$D3569&amp;" "&amp;TEXT('data on outstanding creditors'!$E3569,"#,##0.00")</f>
        <v>บ.บุรีวัตร  สิทธิ สปสช 008/057 09/68 237,150.00</v>
      </c>
      <c r="U3569" s="12"/>
    </row>
    <row r="3570" ht="13.5" customHeight="1">
      <c r="A3570" s="1"/>
      <c r="B3570" s="2">
        <v>45929.0</v>
      </c>
      <c r="C3570" s="9" t="s">
        <v>379</v>
      </c>
      <c r="D3570" s="1" t="s">
        <v>5585</v>
      </c>
      <c r="E3570" s="4">
        <v>311100.0</v>
      </c>
      <c r="F3570" s="4"/>
      <c r="G3570" s="4"/>
      <c r="H3570" s="4">
        <f>'data on outstanding creditors'!$E3570-'data on outstanding creditors'!$F3570-'data on outstanding creditors'!$G3570</f>
        <v>311100</v>
      </c>
      <c r="I3570" s="2"/>
      <c r="J3570" s="1"/>
      <c r="K3570" s="2"/>
      <c r="L3570" s="5"/>
      <c r="M3570" s="9" t="s">
        <v>377</v>
      </c>
      <c r="N3570" s="9" t="s">
        <v>49</v>
      </c>
      <c r="O3570" s="10">
        <f>'data on outstanding creditors'!$E3570*100/107</f>
        <v>290747.6636</v>
      </c>
      <c r="P3570" s="10">
        <f>'data on outstanding creditors'!$E3570-'data on outstanding creditors'!$O3570</f>
        <v>20352.33645</v>
      </c>
      <c r="Q3570" s="7">
        <f>DAY('data on outstanding creditors'!$B3570)</f>
        <v>29</v>
      </c>
      <c r="R3570" s="7">
        <f>MONTH('data on outstanding creditors'!$B3570)</f>
        <v>9</v>
      </c>
      <c r="S3570" s="7">
        <f>YEAR('data on outstanding creditors'!$B3570)</f>
        <v>2025</v>
      </c>
      <c r="T3570" s="11" t="str">
        <f>'data on outstanding creditors'!$C3570&amp;" "&amp;'data on outstanding creditors'!$D3570&amp;" "&amp;TEXT('data on outstanding creditors'!$E3570,"#,##0.00")</f>
        <v>บ.บุรีวัตร  สิทธิ สปสช 008/058 09/68 311,100.00</v>
      </c>
      <c r="U3570" s="12"/>
    </row>
    <row r="3571" ht="13.5" customHeight="1">
      <c r="A3571" s="1"/>
      <c r="B3571" s="2">
        <v>45929.0</v>
      </c>
      <c r="C3571" s="9" t="s">
        <v>5494</v>
      </c>
      <c r="D3571" s="1" t="s">
        <v>5586</v>
      </c>
      <c r="E3571" s="4">
        <v>30600.0</v>
      </c>
      <c r="F3571" s="4"/>
      <c r="G3571" s="4"/>
      <c r="H3571" s="4">
        <f>'data on outstanding creditors'!$E3571-'data on outstanding creditors'!$F3571-'data on outstanding creditors'!$G3571</f>
        <v>30600</v>
      </c>
      <c r="I3571" s="2"/>
      <c r="J3571" s="1"/>
      <c r="K3571" s="2"/>
      <c r="L3571" s="5"/>
      <c r="M3571" s="9" t="s">
        <v>377</v>
      </c>
      <c r="N3571" s="9" t="s">
        <v>49</v>
      </c>
      <c r="O3571" s="10">
        <f>'data on outstanding creditors'!$E3571*100/107</f>
        <v>28598.13084</v>
      </c>
      <c r="P3571" s="10">
        <f>'data on outstanding creditors'!$E3571-'data on outstanding creditors'!$O3571</f>
        <v>2001.869159</v>
      </c>
      <c r="Q3571" s="7">
        <f>DAY('data on outstanding creditors'!$B3571)</f>
        <v>29</v>
      </c>
      <c r="R3571" s="7">
        <f>MONTH('data on outstanding creditors'!$B3571)</f>
        <v>9</v>
      </c>
      <c r="S3571" s="7">
        <f>YEAR('data on outstanding creditors'!$B3571)</f>
        <v>2025</v>
      </c>
      <c r="T3571" s="11" t="str">
        <f>'data on outstanding creditors'!$C3571&amp;" "&amp;'data on outstanding creditors'!$D3571&amp;" "&amp;TEXT('data on outstanding creditors'!$E3571,"#,##0.00")</f>
        <v>บ.บุรีวัตร  สิทธิ อปท 008/059 09/68 30,600.00</v>
      </c>
      <c r="U3571" s="12"/>
    </row>
    <row r="3572" ht="13.5" customHeight="1">
      <c r="A3572" s="1"/>
      <c r="B3572" s="2">
        <v>45929.0</v>
      </c>
      <c r="C3572" s="9" t="s">
        <v>375</v>
      </c>
      <c r="D3572" s="1" t="s">
        <v>5587</v>
      </c>
      <c r="E3572" s="4">
        <v>147900.0</v>
      </c>
      <c r="F3572" s="4"/>
      <c r="G3572" s="4"/>
      <c r="H3572" s="4">
        <f>'data on outstanding creditors'!$E3572-'data on outstanding creditors'!$F3572-'data on outstanding creditors'!$G3572</f>
        <v>147900</v>
      </c>
      <c r="I3572" s="2"/>
      <c r="J3572" s="1"/>
      <c r="K3572" s="2"/>
      <c r="L3572" s="5"/>
      <c r="M3572" s="9" t="s">
        <v>377</v>
      </c>
      <c r="N3572" s="9" t="s">
        <v>49</v>
      </c>
      <c r="O3572" s="10">
        <f>'data on outstanding creditors'!$E3572*100/107</f>
        <v>138224.2991</v>
      </c>
      <c r="P3572" s="10">
        <f>'data on outstanding creditors'!$E3572-'data on outstanding creditors'!$O3572</f>
        <v>9675.700935</v>
      </c>
      <c r="Q3572" s="7">
        <f>DAY('data on outstanding creditors'!$B3572)</f>
        <v>29</v>
      </c>
      <c r="R3572" s="7">
        <f>MONTH('data on outstanding creditors'!$B3572)</f>
        <v>9</v>
      </c>
      <c r="S3572" s="7">
        <f>YEAR('data on outstanding creditors'!$B3572)</f>
        <v>2025</v>
      </c>
      <c r="T3572" s="11" t="str">
        <f>'data on outstanding creditors'!$C3572&amp;" "&amp;'data on outstanding creditors'!$D3572&amp;" "&amp;TEXT('data on outstanding creditors'!$E3572,"#,##0.00")</f>
        <v>บ.บุรีวัตร  สิทธิ จ่ายตรง 008/060 09/68 147,900.00</v>
      </c>
      <c r="U3572" s="12"/>
    </row>
    <row r="3573" ht="13.5" customHeight="1">
      <c r="A3573" s="1"/>
      <c r="B3573" s="2">
        <v>45929.0</v>
      </c>
      <c r="C3573" s="9" t="s">
        <v>5520</v>
      </c>
      <c r="D3573" s="1" t="s">
        <v>5588</v>
      </c>
      <c r="E3573" s="4">
        <v>87975.0</v>
      </c>
      <c r="F3573" s="4"/>
      <c r="G3573" s="4"/>
      <c r="H3573" s="4">
        <f>'data on outstanding creditors'!$E3573-'data on outstanding creditors'!$F3573-'data on outstanding creditors'!$G3573</f>
        <v>87975</v>
      </c>
      <c r="I3573" s="2"/>
      <c r="J3573" s="1"/>
      <c r="K3573" s="2"/>
      <c r="L3573" s="5"/>
      <c r="M3573" s="9" t="s">
        <v>377</v>
      </c>
      <c r="N3573" s="9" t="s">
        <v>49</v>
      </c>
      <c r="O3573" s="10">
        <f>'data on outstanding creditors'!$E3573*100/107</f>
        <v>82219.62617</v>
      </c>
      <c r="P3573" s="10">
        <f>'data on outstanding creditors'!$E3573-'data on outstanding creditors'!$O3573</f>
        <v>5755.373832</v>
      </c>
      <c r="Q3573" s="7">
        <f>DAY('data on outstanding creditors'!$B3573)</f>
        <v>29</v>
      </c>
      <c r="R3573" s="7">
        <f>MONTH('data on outstanding creditors'!$B3573)</f>
        <v>9</v>
      </c>
      <c r="S3573" s="7">
        <f>YEAR('data on outstanding creditors'!$B3573)</f>
        <v>2025</v>
      </c>
      <c r="T3573" s="11" t="str">
        <f>'data on outstanding creditors'!$C3573&amp;" "&amp;'data on outstanding creditors'!$D3573&amp;" "&amp;TEXT('data on outstanding creditors'!$E3573,"#,##0.00")</f>
        <v>บ.บุรีวัตร  สิทธิ ปกส 008/061 09/68 87,975.00</v>
      </c>
      <c r="U3573" s="12"/>
    </row>
    <row r="3574" ht="13.5" customHeight="1">
      <c r="A3574" s="1"/>
      <c r="B3574" s="2">
        <v>45944.0</v>
      </c>
      <c r="C3574" s="9" t="s">
        <v>379</v>
      </c>
      <c r="D3574" s="1" t="s">
        <v>5589</v>
      </c>
      <c r="E3574" s="4">
        <v>237150.0</v>
      </c>
      <c r="F3574" s="4"/>
      <c r="G3574" s="4"/>
      <c r="H3574" s="4">
        <f>'data on outstanding creditors'!$E3574-'data on outstanding creditors'!$F3574-'data on outstanding creditors'!$G3574</f>
        <v>237150</v>
      </c>
      <c r="I3574" s="2"/>
      <c r="J3574" s="1"/>
      <c r="K3574" s="2"/>
      <c r="L3574" s="5"/>
      <c r="M3574" s="9" t="s">
        <v>377</v>
      </c>
      <c r="N3574" s="9" t="s">
        <v>49</v>
      </c>
      <c r="O3574" s="10">
        <f>'data on outstanding creditors'!$E3574*100/107</f>
        <v>221635.514</v>
      </c>
      <c r="P3574" s="10">
        <f>'data on outstanding creditors'!$E3574-'data on outstanding creditors'!$O3574</f>
        <v>15514.48598</v>
      </c>
      <c r="Q3574" s="7">
        <f>DAY('data on outstanding creditors'!$B3574)</f>
        <v>14</v>
      </c>
      <c r="R3574" s="7">
        <f>MONTH('data on outstanding creditors'!$B3574)</f>
        <v>10</v>
      </c>
      <c r="S3574" s="7">
        <f>YEAR('data on outstanding creditors'!$B3574)</f>
        <v>2025</v>
      </c>
      <c r="T3574" s="11" t="str">
        <f>'data on outstanding creditors'!$C3574&amp;" "&amp;'data on outstanding creditors'!$D3574&amp;" "&amp;TEXT('data on outstanding creditors'!$E3574,"#,##0.00")</f>
        <v>บ.บุรีวัตร  สิทธิ สปสช 008/062 09/68 237,150.00</v>
      </c>
      <c r="U3574" s="12"/>
    </row>
    <row r="3575" ht="13.5" customHeight="1">
      <c r="A3575" s="1"/>
      <c r="B3575" s="2">
        <v>45944.0</v>
      </c>
      <c r="C3575" s="9" t="s">
        <v>379</v>
      </c>
      <c r="D3575" s="1" t="s">
        <v>5590</v>
      </c>
      <c r="E3575" s="4">
        <v>271575.0</v>
      </c>
      <c r="F3575" s="4"/>
      <c r="G3575" s="4"/>
      <c r="H3575" s="4">
        <f>'data on outstanding creditors'!$E3575-'data on outstanding creditors'!$F3575-'data on outstanding creditors'!$G3575</f>
        <v>271575</v>
      </c>
      <c r="I3575" s="2"/>
      <c r="J3575" s="1"/>
      <c r="K3575" s="2"/>
      <c r="L3575" s="5"/>
      <c r="M3575" s="9" t="s">
        <v>377</v>
      </c>
      <c r="N3575" s="9" t="s">
        <v>49</v>
      </c>
      <c r="O3575" s="10">
        <f>'data on outstanding creditors'!$E3575*100/107</f>
        <v>253808.4112</v>
      </c>
      <c r="P3575" s="10">
        <f>'data on outstanding creditors'!$E3575-'data on outstanding creditors'!$O3575</f>
        <v>17766.58879</v>
      </c>
      <c r="Q3575" s="7">
        <f>DAY('data on outstanding creditors'!$B3575)</f>
        <v>14</v>
      </c>
      <c r="R3575" s="7">
        <f>MONTH('data on outstanding creditors'!$B3575)</f>
        <v>10</v>
      </c>
      <c r="S3575" s="7">
        <f>YEAR('data on outstanding creditors'!$B3575)</f>
        <v>2025</v>
      </c>
      <c r="T3575" s="11" t="str">
        <f>'data on outstanding creditors'!$C3575&amp;" "&amp;'data on outstanding creditors'!$D3575&amp;" "&amp;TEXT('data on outstanding creditors'!$E3575,"#,##0.00")</f>
        <v>บ.บุรีวัตร  สิทธิ สปสช 008/063 09/68 271,575.00</v>
      </c>
      <c r="U3575" s="12"/>
    </row>
    <row r="3576" ht="13.5" customHeight="1">
      <c r="A3576" s="1"/>
      <c r="B3576" s="2">
        <v>45944.0</v>
      </c>
      <c r="C3576" s="9" t="s">
        <v>5494</v>
      </c>
      <c r="D3576" s="1" t="s">
        <v>5591</v>
      </c>
      <c r="E3576" s="4">
        <v>28050.0</v>
      </c>
      <c r="F3576" s="4"/>
      <c r="G3576" s="4"/>
      <c r="H3576" s="4">
        <f>'data on outstanding creditors'!$E3576-'data on outstanding creditors'!$F3576-'data on outstanding creditors'!$G3576</f>
        <v>28050</v>
      </c>
      <c r="I3576" s="2"/>
      <c r="J3576" s="1"/>
      <c r="K3576" s="2"/>
      <c r="L3576" s="5"/>
      <c r="M3576" s="9" t="s">
        <v>377</v>
      </c>
      <c r="N3576" s="9" t="s">
        <v>49</v>
      </c>
      <c r="O3576" s="10">
        <f>'data on outstanding creditors'!$E3576*100/107</f>
        <v>26214.95327</v>
      </c>
      <c r="P3576" s="10">
        <f>'data on outstanding creditors'!$E3576-'data on outstanding creditors'!$O3576</f>
        <v>1835.046729</v>
      </c>
      <c r="Q3576" s="7">
        <f>DAY('data on outstanding creditors'!$B3576)</f>
        <v>14</v>
      </c>
      <c r="R3576" s="7">
        <f>MONTH('data on outstanding creditors'!$B3576)</f>
        <v>10</v>
      </c>
      <c r="S3576" s="7">
        <f>YEAR('data on outstanding creditors'!$B3576)</f>
        <v>2025</v>
      </c>
      <c r="T3576" s="11" t="str">
        <f>'data on outstanding creditors'!$C3576&amp;" "&amp;'data on outstanding creditors'!$D3576&amp;" "&amp;TEXT('data on outstanding creditors'!$E3576,"#,##0.00")</f>
        <v>บ.บุรีวัตร  สิทธิ อปท 008/064 09/68 28,050.00</v>
      </c>
      <c r="U3576" s="12"/>
    </row>
    <row r="3577" ht="13.5" customHeight="1">
      <c r="A3577" s="1"/>
      <c r="B3577" s="2">
        <v>45944.0</v>
      </c>
      <c r="C3577" s="9" t="s">
        <v>375</v>
      </c>
      <c r="D3577" s="1" t="s">
        <v>5592</v>
      </c>
      <c r="E3577" s="4">
        <v>81600.0</v>
      </c>
      <c r="F3577" s="4"/>
      <c r="G3577" s="4"/>
      <c r="H3577" s="4">
        <f>'data on outstanding creditors'!$E3577-'data on outstanding creditors'!$F3577-'data on outstanding creditors'!$G3577</f>
        <v>81600</v>
      </c>
      <c r="I3577" s="2"/>
      <c r="J3577" s="1"/>
      <c r="K3577" s="2"/>
      <c r="L3577" s="5"/>
      <c r="M3577" s="9" t="s">
        <v>377</v>
      </c>
      <c r="N3577" s="9" t="s">
        <v>49</v>
      </c>
      <c r="O3577" s="10">
        <f>'data on outstanding creditors'!$E3577*100/107</f>
        <v>76261.68224</v>
      </c>
      <c r="P3577" s="10">
        <f>'data on outstanding creditors'!$E3577-'data on outstanding creditors'!$O3577</f>
        <v>5338.317757</v>
      </c>
      <c r="Q3577" s="7">
        <f>DAY('data on outstanding creditors'!$B3577)</f>
        <v>14</v>
      </c>
      <c r="R3577" s="7">
        <f>MONTH('data on outstanding creditors'!$B3577)</f>
        <v>10</v>
      </c>
      <c r="S3577" s="7">
        <f>YEAR('data on outstanding creditors'!$B3577)</f>
        <v>2025</v>
      </c>
      <c r="T3577" s="11" t="str">
        <f>'data on outstanding creditors'!$C3577&amp;" "&amp;'data on outstanding creditors'!$D3577&amp;" "&amp;TEXT('data on outstanding creditors'!$E3577,"#,##0.00")</f>
        <v>บ.บุรีวัตร  สิทธิ จ่ายตรง 008/065 09/68 81,600.00</v>
      </c>
      <c r="U3577" s="12"/>
    </row>
    <row r="3578" ht="13.5" customHeight="1">
      <c r="A3578" s="1"/>
      <c r="B3578" s="2">
        <v>45944.0</v>
      </c>
      <c r="C3578" s="9" t="s">
        <v>5520</v>
      </c>
      <c r="D3578" s="1" t="s">
        <v>5593</v>
      </c>
      <c r="E3578" s="4">
        <v>137700.0</v>
      </c>
      <c r="F3578" s="4"/>
      <c r="G3578" s="4"/>
      <c r="H3578" s="4">
        <f>'data on outstanding creditors'!$E3578-'data on outstanding creditors'!$F3578-'data on outstanding creditors'!$G3578</f>
        <v>137700</v>
      </c>
      <c r="I3578" s="2"/>
      <c r="J3578" s="1"/>
      <c r="K3578" s="2"/>
      <c r="L3578" s="5"/>
      <c r="M3578" s="9" t="s">
        <v>377</v>
      </c>
      <c r="N3578" s="9" t="s">
        <v>49</v>
      </c>
      <c r="O3578" s="10">
        <f>'data on outstanding creditors'!$E3578*100/107</f>
        <v>128691.5888</v>
      </c>
      <c r="P3578" s="10">
        <f>'data on outstanding creditors'!$E3578-'data on outstanding creditors'!$O3578</f>
        <v>9008.411215</v>
      </c>
      <c r="Q3578" s="7">
        <f>DAY('data on outstanding creditors'!$B3578)</f>
        <v>14</v>
      </c>
      <c r="R3578" s="7">
        <f>MONTH('data on outstanding creditors'!$B3578)</f>
        <v>10</v>
      </c>
      <c r="S3578" s="7">
        <f>YEAR('data on outstanding creditors'!$B3578)</f>
        <v>2025</v>
      </c>
      <c r="T3578" s="11" t="str">
        <f>'data on outstanding creditors'!$C3578&amp;" "&amp;'data on outstanding creditors'!$D3578&amp;" "&amp;TEXT('data on outstanding creditors'!$E3578,"#,##0.00")</f>
        <v>บ.บุรีวัตร  สิทธิ ปกส 008/066 09/68 137,700.00</v>
      </c>
      <c r="U3578" s="12"/>
    </row>
    <row r="3579" ht="13.5" customHeight="1">
      <c r="A3579" s="1"/>
      <c r="B3579" s="2">
        <v>45945.0</v>
      </c>
      <c r="C3579" s="9" t="s">
        <v>379</v>
      </c>
      <c r="D3579" s="1" t="s">
        <v>5594</v>
      </c>
      <c r="E3579" s="4">
        <v>1275.0</v>
      </c>
      <c r="F3579" s="4"/>
      <c r="G3579" s="4"/>
      <c r="H3579" s="4">
        <f>'data on outstanding creditors'!$E3579-'data on outstanding creditors'!$F3579-'data on outstanding creditors'!$G3579</f>
        <v>1275</v>
      </c>
      <c r="I3579" s="2"/>
      <c r="J3579" s="1"/>
      <c r="K3579" s="2"/>
      <c r="L3579" s="5"/>
      <c r="M3579" s="9" t="s">
        <v>377</v>
      </c>
      <c r="N3579" s="9" t="s">
        <v>49</v>
      </c>
      <c r="O3579" s="10">
        <f>'data on outstanding creditors'!$E3579*100/107</f>
        <v>1191.588785</v>
      </c>
      <c r="P3579" s="10">
        <f>'data on outstanding creditors'!$E3579-'data on outstanding creditors'!$O3579</f>
        <v>83.41121495</v>
      </c>
      <c r="Q3579" s="7">
        <f>DAY('data on outstanding creditors'!$B3579)</f>
        <v>15</v>
      </c>
      <c r="R3579" s="7">
        <f>MONTH('data on outstanding creditors'!$B3579)</f>
        <v>10</v>
      </c>
      <c r="S3579" s="7">
        <f>YEAR('data on outstanding creditors'!$B3579)</f>
        <v>2025</v>
      </c>
      <c r="T3579" s="11" t="str">
        <f>'data on outstanding creditors'!$C3579&amp;" "&amp;'data on outstanding creditors'!$D3579&amp;" "&amp;TEXT('data on outstanding creditors'!$E3579,"#,##0.00")</f>
        <v>บ.บุรีวัตร  สิทธิ สปสช 008/067 05/68 1,275.00</v>
      </c>
      <c r="U3579" s="12"/>
    </row>
    <row r="3580" ht="13.5" customHeight="1">
      <c r="A3580" s="1"/>
      <c r="B3580" s="2">
        <v>45945.0</v>
      </c>
      <c r="C3580" s="9" t="s">
        <v>379</v>
      </c>
      <c r="D3580" s="1" t="s">
        <v>5595</v>
      </c>
      <c r="E3580" s="4">
        <v>242250.0</v>
      </c>
      <c r="F3580" s="4"/>
      <c r="G3580" s="4"/>
      <c r="H3580" s="4">
        <f>'data on outstanding creditors'!$E3580-'data on outstanding creditors'!$F3580-'data on outstanding creditors'!$G3580</f>
        <v>242250</v>
      </c>
      <c r="I3580" s="2"/>
      <c r="J3580" s="1"/>
      <c r="K3580" s="2"/>
      <c r="L3580" s="5"/>
      <c r="M3580" s="9" t="s">
        <v>377</v>
      </c>
      <c r="N3580" s="9" t="s">
        <v>49</v>
      </c>
      <c r="O3580" s="10">
        <f>'data on outstanding creditors'!$E3580*100/107</f>
        <v>226401.8692</v>
      </c>
      <c r="P3580" s="10">
        <f>'data on outstanding creditors'!$E3580-'data on outstanding creditors'!$O3580</f>
        <v>15848.13084</v>
      </c>
      <c r="Q3580" s="7">
        <f>DAY('data on outstanding creditors'!$B3580)</f>
        <v>15</v>
      </c>
      <c r="R3580" s="7">
        <f>MONTH('data on outstanding creditors'!$B3580)</f>
        <v>10</v>
      </c>
      <c r="S3580" s="7">
        <f>YEAR('data on outstanding creditors'!$B3580)</f>
        <v>2025</v>
      </c>
      <c r="T3580" s="11" t="str">
        <f>'data on outstanding creditors'!$C3580&amp;" "&amp;'data on outstanding creditors'!$D3580&amp;" "&amp;TEXT('data on outstanding creditors'!$E3580,"#,##0.00")</f>
        <v>บ.บุรีวัตร  สิทธิ สปสช 008/068 10/68 242,250.00</v>
      </c>
      <c r="U3580" s="12"/>
    </row>
    <row r="3581" ht="13.5" customHeight="1">
      <c r="A3581" s="1"/>
      <c r="B3581" s="2">
        <v>45945.0</v>
      </c>
      <c r="C3581" s="9" t="s">
        <v>379</v>
      </c>
      <c r="D3581" s="1" t="s">
        <v>5596</v>
      </c>
      <c r="E3581" s="4">
        <v>306000.0</v>
      </c>
      <c r="F3581" s="4"/>
      <c r="G3581" s="4"/>
      <c r="H3581" s="4">
        <f>'data on outstanding creditors'!$E3581-'data on outstanding creditors'!$F3581-'data on outstanding creditors'!$G3581</f>
        <v>306000</v>
      </c>
      <c r="I3581" s="2"/>
      <c r="J3581" s="1"/>
      <c r="K3581" s="2"/>
      <c r="L3581" s="5"/>
      <c r="M3581" s="9" t="s">
        <v>377</v>
      </c>
      <c r="N3581" s="9" t="s">
        <v>49</v>
      </c>
      <c r="O3581" s="10">
        <f>'data on outstanding creditors'!$E3581*100/107</f>
        <v>285981.3084</v>
      </c>
      <c r="P3581" s="10">
        <f>'data on outstanding creditors'!$E3581-'data on outstanding creditors'!$O3581</f>
        <v>20018.69159</v>
      </c>
      <c r="Q3581" s="7">
        <f>DAY('data on outstanding creditors'!$B3581)</f>
        <v>15</v>
      </c>
      <c r="R3581" s="7">
        <f>MONTH('data on outstanding creditors'!$B3581)</f>
        <v>10</v>
      </c>
      <c r="S3581" s="7">
        <f>YEAR('data on outstanding creditors'!$B3581)</f>
        <v>2025</v>
      </c>
      <c r="T3581" s="11" t="str">
        <f>'data on outstanding creditors'!$C3581&amp;" "&amp;'data on outstanding creditors'!$D3581&amp;" "&amp;TEXT('data on outstanding creditors'!$E3581,"#,##0.00")</f>
        <v>บ.บุรีวัตร  สิทธิ สปสช 008/069 10/68 306,000.00</v>
      </c>
      <c r="U3581" s="12"/>
    </row>
    <row r="3582" ht="13.5" customHeight="1">
      <c r="A3582" s="1"/>
      <c r="B3582" s="2">
        <v>45945.0</v>
      </c>
      <c r="C3582" s="9" t="s">
        <v>375</v>
      </c>
      <c r="D3582" s="1" t="s">
        <v>5597</v>
      </c>
      <c r="E3582" s="4">
        <v>153000.0</v>
      </c>
      <c r="F3582" s="4"/>
      <c r="G3582" s="4"/>
      <c r="H3582" s="4">
        <f>'data on outstanding creditors'!$E3582-'data on outstanding creditors'!$F3582-'data on outstanding creditors'!$G3582</f>
        <v>153000</v>
      </c>
      <c r="I3582" s="2"/>
      <c r="J3582" s="1"/>
      <c r="K3582" s="2"/>
      <c r="L3582" s="5"/>
      <c r="M3582" s="9" t="s">
        <v>377</v>
      </c>
      <c r="N3582" s="9" t="s">
        <v>49</v>
      </c>
      <c r="O3582" s="10">
        <f>'data on outstanding creditors'!$E3582*100/107</f>
        <v>142990.6542</v>
      </c>
      <c r="P3582" s="10">
        <f>'data on outstanding creditors'!$E3582-'data on outstanding creditors'!$O3582</f>
        <v>10009.34579</v>
      </c>
      <c r="Q3582" s="7">
        <f>DAY('data on outstanding creditors'!$B3582)</f>
        <v>15</v>
      </c>
      <c r="R3582" s="7">
        <f>MONTH('data on outstanding creditors'!$B3582)</f>
        <v>10</v>
      </c>
      <c r="S3582" s="7">
        <f>YEAR('data on outstanding creditors'!$B3582)</f>
        <v>2025</v>
      </c>
      <c r="T3582" s="11" t="str">
        <f>'data on outstanding creditors'!$C3582&amp;" "&amp;'data on outstanding creditors'!$D3582&amp;" "&amp;TEXT('data on outstanding creditors'!$E3582,"#,##0.00")</f>
        <v>บ.บุรีวัตร  สิทธิ จ่ายตรง 008/070 10/68 153,000.00</v>
      </c>
      <c r="U3582" s="12"/>
    </row>
    <row r="3583" ht="13.5" customHeight="1">
      <c r="A3583" s="1"/>
      <c r="B3583" s="2">
        <v>45945.0</v>
      </c>
      <c r="C3583" s="9" t="s">
        <v>5494</v>
      </c>
      <c r="D3583" s="1" t="s">
        <v>5598</v>
      </c>
      <c r="E3583" s="4">
        <v>34425.0</v>
      </c>
      <c r="F3583" s="4"/>
      <c r="G3583" s="4"/>
      <c r="H3583" s="4">
        <f>'data on outstanding creditors'!$E3583-'data on outstanding creditors'!$F3583-'data on outstanding creditors'!$G3583</f>
        <v>34425</v>
      </c>
      <c r="I3583" s="2"/>
      <c r="J3583" s="1"/>
      <c r="K3583" s="2"/>
      <c r="L3583" s="5"/>
      <c r="M3583" s="9" t="s">
        <v>377</v>
      </c>
      <c r="N3583" s="9" t="s">
        <v>49</v>
      </c>
      <c r="O3583" s="10">
        <f>'data on outstanding creditors'!$E3583*100/107</f>
        <v>32172.8972</v>
      </c>
      <c r="P3583" s="10">
        <f>'data on outstanding creditors'!$E3583-'data on outstanding creditors'!$O3583</f>
        <v>2252.102804</v>
      </c>
      <c r="Q3583" s="7">
        <f>DAY('data on outstanding creditors'!$B3583)</f>
        <v>15</v>
      </c>
      <c r="R3583" s="7">
        <f>MONTH('data on outstanding creditors'!$B3583)</f>
        <v>10</v>
      </c>
      <c r="S3583" s="7">
        <f>YEAR('data on outstanding creditors'!$B3583)</f>
        <v>2025</v>
      </c>
      <c r="T3583" s="11" t="str">
        <f>'data on outstanding creditors'!$C3583&amp;" "&amp;'data on outstanding creditors'!$D3583&amp;" "&amp;TEXT('data on outstanding creditors'!$E3583,"#,##0.00")</f>
        <v>บ.บุรีวัตร  สิทธิ อปท 008/071 10/68 34,425.00</v>
      </c>
      <c r="U3583" s="12"/>
    </row>
    <row r="3584" ht="13.5" customHeight="1">
      <c r="A3584" s="1"/>
      <c r="B3584" s="2">
        <v>45945.0</v>
      </c>
      <c r="C3584" s="9" t="s">
        <v>5520</v>
      </c>
      <c r="D3584" s="1" t="s">
        <v>5599</v>
      </c>
      <c r="E3584" s="4">
        <v>90525.0</v>
      </c>
      <c r="F3584" s="4"/>
      <c r="G3584" s="4"/>
      <c r="H3584" s="4">
        <f>'data on outstanding creditors'!$E3584-'data on outstanding creditors'!$F3584-'data on outstanding creditors'!$G3584</f>
        <v>90525</v>
      </c>
      <c r="I3584" s="2"/>
      <c r="J3584" s="1"/>
      <c r="K3584" s="2"/>
      <c r="L3584" s="5"/>
      <c r="M3584" s="9" t="s">
        <v>377</v>
      </c>
      <c r="N3584" s="9" t="s">
        <v>49</v>
      </c>
      <c r="O3584" s="10">
        <f>'data on outstanding creditors'!$E3584*100/107</f>
        <v>84602.80374</v>
      </c>
      <c r="P3584" s="10">
        <f>'data on outstanding creditors'!$E3584-'data on outstanding creditors'!$O3584</f>
        <v>5922.196262</v>
      </c>
      <c r="Q3584" s="7">
        <f>DAY('data on outstanding creditors'!$B3584)</f>
        <v>15</v>
      </c>
      <c r="R3584" s="7">
        <f>MONTH('data on outstanding creditors'!$B3584)</f>
        <v>10</v>
      </c>
      <c r="S3584" s="7">
        <f>YEAR('data on outstanding creditors'!$B3584)</f>
        <v>2025</v>
      </c>
      <c r="T3584" s="11" t="str">
        <f>'data on outstanding creditors'!$C3584&amp;" "&amp;'data on outstanding creditors'!$D3584&amp;" "&amp;TEXT('data on outstanding creditors'!$E3584,"#,##0.00")</f>
        <v>บ.บุรีวัตร  สิทธิ ปกส 008/072 10/68 90,525.00</v>
      </c>
      <c r="U3584" s="12"/>
    </row>
    <row r="3585" ht="13.5" customHeight="1">
      <c r="A3585" s="1"/>
      <c r="B3585" s="2">
        <v>45954.0</v>
      </c>
      <c r="C3585" s="9" t="s">
        <v>379</v>
      </c>
      <c r="D3585" s="1" t="s">
        <v>5600</v>
      </c>
      <c r="E3585" s="4">
        <v>1275.0</v>
      </c>
      <c r="F3585" s="4"/>
      <c r="G3585" s="4"/>
      <c r="H3585" s="4">
        <f>'data on outstanding creditors'!$E3585-'data on outstanding creditors'!$F3585-'data on outstanding creditors'!$G3585</f>
        <v>1275</v>
      </c>
      <c r="I3585" s="2"/>
      <c r="J3585" s="1"/>
      <c r="K3585" s="2"/>
      <c r="L3585" s="5"/>
      <c r="M3585" s="9" t="s">
        <v>377</v>
      </c>
      <c r="N3585" s="9" t="s">
        <v>49</v>
      </c>
      <c r="O3585" s="10">
        <f>'data on outstanding creditors'!$E3585*100/107</f>
        <v>1191.588785</v>
      </c>
      <c r="P3585" s="10">
        <f>'data on outstanding creditors'!$E3585-'data on outstanding creditors'!$O3585</f>
        <v>83.41121495</v>
      </c>
      <c r="Q3585" s="7">
        <f>DAY('data on outstanding creditors'!$B3585)</f>
        <v>24</v>
      </c>
      <c r="R3585" s="7">
        <f>MONTH('data on outstanding creditors'!$B3585)</f>
        <v>10</v>
      </c>
      <c r="S3585" s="7">
        <f>YEAR('data on outstanding creditors'!$B3585)</f>
        <v>2025</v>
      </c>
      <c r="T3585" s="11" t="str">
        <f>'data on outstanding creditors'!$C3585&amp;" "&amp;'data on outstanding creditors'!$D3585&amp;" "&amp;TEXT('data on outstanding creditors'!$E3585,"#,##0.00")</f>
        <v>บ.บุรีวัตร  สิทธิ สปสช 008/073 08/68 1,275.00</v>
      </c>
      <c r="U3585" s="12"/>
    </row>
    <row r="3586" ht="13.5" customHeight="1">
      <c r="A3586" s="1"/>
      <c r="B3586" s="2">
        <v>45954.0</v>
      </c>
      <c r="C3586" s="9" t="s">
        <v>379</v>
      </c>
      <c r="D3586" s="1" t="s">
        <v>5601</v>
      </c>
      <c r="E3586" s="4">
        <v>255000.0</v>
      </c>
      <c r="F3586" s="4"/>
      <c r="G3586" s="4"/>
      <c r="H3586" s="4">
        <f>'data on outstanding creditors'!$E3586-'data on outstanding creditors'!$F3586-'data on outstanding creditors'!$G3586</f>
        <v>255000</v>
      </c>
      <c r="I3586" s="2"/>
      <c r="J3586" s="1"/>
      <c r="K3586" s="2"/>
      <c r="L3586" s="5"/>
      <c r="M3586" s="9" t="s">
        <v>377</v>
      </c>
      <c r="N3586" s="9" t="s">
        <v>49</v>
      </c>
      <c r="O3586" s="10">
        <f>'data on outstanding creditors'!$E3586*100/107</f>
        <v>238317.757</v>
      </c>
      <c r="P3586" s="10">
        <f>'data on outstanding creditors'!$E3586-'data on outstanding creditors'!$O3586</f>
        <v>16682.24299</v>
      </c>
      <c r="Q3586" s="7">
        <f>DAY('data on outstanding creditors'!$B3586)</f>
        <v>24</v>
      </c>
      <c r="R3586" s="7">
        <f>MONTH('data on outstanding creditors'!$B3586)</f>
        <v>10</v>
      </c>
      <c r="S3586" s="7">
        <f>YEAR('data on outstanding creditors'!$B3586)</f>
        <v>2025</v>
      </c>
      <c r="T3586" s="11" t="str">
        <f>'data on outstanding creditors'!$C3586&amp;" "&amp;'data on outstanding creditors'!$D3586&amp;" "&amp;TEXT('data on outstanding creditors'!$E3586,"#,##0.00")</f>
        <v>บ.บุรีวัตร  สิทธิ สปสช 008/074 09/68 255,000.00</v>
      </c>
      <c r="U3586" s="12"/>
    </row>
    <row r="3587" ht="13.5" customHeight="1">
      <c r="A3587" s="1"/>
      <c r="B3587" s="2">
        <v>45954.0</v>
      </c>
      <c r="C3587" s="9" t="s">
        <v>379</v>
      </c>
      <c r="D3587" s="1" t="s">
        <v>5602</v>
      </c>
      <c r="E3587" s="4">
        <v>235875.0</v>
      </c>
      <c r="F3587" s="4"/>
      <c r="G3587" s="4"/>
      <c r="H3587" s="4">
        <f>'data on outstanding creditors'!$E3587-'data on outstanding creditors'!$F3587-'data on outstanding creditors'!$G3587</f>
        <v>235875</v>
      </c>
      <c r="I3587" s="2"/>
      <c r="J3587" s="1"/>
      <c r="K3587" s="2"/>
      <c r="L3587" s="5"/>
      <c r="M3587" s="9" t="s">
        <v>377</v>
      </c>
      <c r="N3587" s="9" t="s">
        <v>49</v>
      </c>
      <c r="O3587" s="10">
        <f>'data on outstanding creditors'!$E3587*100/107</f>
        <v>220443.9252</v>
      </c>
      <c r="P3587" s="10">
        <f>'data on outstanding creditors'!$E3587-'data on outstanding creditors'!$O3587</f>
        <v>15431.07477</v>
      </c>
      <c r="Q3587" s="7">
        <f>DAY('data on outstanding creditors'!$B3587)</f>
        <v>24</v>
      </c>
      <c r="R3587" s="7">
        <f>MONTH('data on outstanding creditors'!$B3587)</f>
        <v>10</v>
      </c>
      <c r="S3587" s="7">
        <f>YEAR('data on outstanding creditors'!$B3587)</f>
        <v>2025</v>
      </c>
      <c r="T3587" s="11" t="str">
        <f>'data on outstanding creditors'!$C3587&amp;" "&amp;'data on outstanding creditors'!$D3587&amp;" "&amp;TEXT('data on outstanding creditors'!$E3587,"#,##0.00")</f>
        <v>บ.บุรีวัตร  สิทธิ สปสช 008/075 09/68 235,875.00</v>
      </c>
      <c r="U3587" s="12"/>
    </row>
    <row r="3588" ht="13.5" customHeight="1">
      <c r="A3588" s="1"/>
      <c r="B3588" s="2">
        <v>45954.0</v>
      </c>
      <c r="C3588" s="9" t="s">
        <v>5520</v>
      </c>
      <c r="D3588" s="1" t="s">
        <v>5603</v>
      </c>
      <c r="E3588" s="4">
        <v>82875.0</v>
      </c>
      <c r="F3588" s="4"/>
      <c r="G3588" s="4"/>
      <c r="H3588" s="4">
        <f>'data on outstanding creditors'!$E3588-'data on outstanding creditors'!$F3588-'data on outstanding creditors'!$G3588</f>
        <v>82875</v>
      </c>
      <c r="I3588" s="2"/>
      <c r="J3588" s="1"/>
      <c r="K3588" s="2"/>
      <c r="L3588" s="5"/>
      <c r="M3588" s="9" t="s">
        <v>377</v>
      </c>
      <c r="N3588" s="9" t="s">
        <v>49</v>
      </c>
      <c r="O3588" s="10">
        <f>'data on outstanding creditors'!$E3588*100/107</f>
        <v>77453.27103</v>
      </c>
      <c r="P3588" s="10">
        <f>'data on outstanding creditors'!$E3588-'data on outstanding creditors'!$O3588</f>
        <v>5421.728972</v>
      </c>
      <c r="Q3588" s="7">
        <f>DAY('data on outstanding creditors'!$B3588)</f>
        <v>24</v>
      </c>
      <c r="R3588" s="7">
        <f>MONTH('data on outstanding creditors'!$B3588)</f>
        <v>10</v>
      </c>
      <c r="S3588" s="7">
        <f>YEAR('data on outstanding creditors'!$B3588)</f>
        <v>2025</v>
      </c>
      <c r="T3588" s="11" t="str">
        <f>'data on outstanding creditors'!$C3588&amp;" "&amp;'data on outstanding creditors'!$D3588&amp;" "&amp;TEXT('data on outstanding creditors'!$E3588,"#,##0.00")</f>
        <v>บ.บุรีวัตร  สิทธิ ปกส 008/076 09/68 82,875.00</v>
      </c>
      <c r="U3588" s="12"/>
    </row>
    <row r="3589" ht="13.5" customHeight="1">
      <c r="A3589" s="1"/>
      <c r="B3589" s="2">
        <v>45954.0</v>
      </c>
      <c r="C3589" s="9" t="s">
        <v>375</v>
      </c>
      <c r="D3589" s="1" t="s">
        <v>5604</v>
      </c>
      <c r="E3589" s="4">
        <v>138975.0</v>
      </c>
      <c r="F3589" s="4"/>
      <c r="G3589" s="4"/>
      <c r="H3589" s="4">
        <f>'data on outstanding creditors'!$E3589-'data on outstanding creditors'!$F3589-'data on outstanding creditors'!$G3589</f>
        <v>138975</v>
      </c>
      <c r="I3589" s="2"/>
      <c r="J3589" s="1"/>
      <c r="K3589" s="2"/>
      <c r="L3589" s="5"/>
      <c r="M3589" s="9" t="s">
        <v>377</v>
      </c>
      <c r="N3589" s="9" t="s">
        <v>49</v>
      </c>
      <c r="O3589" s="10">
        <f>'data on outstanding creditors'!$E3589*100/107</f>
        <v>129883.1776</v>
      </c>
      <c r="P3589" s="10">
        <f>'data on outstanding creditors'!$E3589-'data on outstanding creditors'!$O3589</f>
        <v>9091.82243</v>
      </c>
      <c r="Q3589" s="7">
        <f>DAY('data on outstanding creditors'!$B3589)</f>
        <v>24</v>
      </c>
      <c r="R3589" s="7">
        <f>MONTH('data on outstanding creditors'!$B3589)</f>
        <v>10</v>
      </c>
      <c r="S3589" s="7">
        <f>YEAR('data on outstanding creditors'!$B3589)</f>
        <v>2025</v>
      </c>
      <c r="T3589" s="11" t="str">
        <f>'data on outstanding creditors'!$C3589&amp;" "&amp;'data on outstanding creditors'!$D3589&amp;" "&amp;TEXT('data on outstanding creditors'!$E3589,"#,##0.00")</f>
        <v>บ.บุรีวัตร  สิทธิ จ่ายตรง 008/077 09/68 138,975.00</v>
      </c>
      <c r="U3589" s="12"/>
    </row>
    <row r="3590" ht="13.5" customHeight="1">
      <c r="A3590" s="1"/>
      <c r="B3590" s="2">
        <v>45954.0</v>
      </c>
      <c r="C3590" s="9" t="s">
        <v>5494</v>
      </c>
      <c r="D3590" s="1" t="s">
        <v>5605</v>
      </c>
      <c r="E3590" s="4">
        <v>29325.0</v>
      </c>
      <c r="F3590" s="4"/>
      <c r="G3590" s="4"/>
      <c r="H3590" s="4">
        <f>'data on outstanding creditors'!$E3590-'data on outstanding creditors'!$F3590-'data on outstanding creditors'!$G3590</f>
        <v>29325</v>
      </c>
      <c r="I3590" s="2"/>
      <c r="J3590" s="1"/>
      <c r="K3590" s="2"/>
      <c r="L3590" s="5"/>
      <c r="M3590" s="9" t="s">
        <v>377</v>
      </c>
      <c r="N3590" s="9" t="s">
        <v>49</v>
      </c>
      <c r="O3590" s="10">
        <f>'data on outstanding creditors'!$E3590*100/107</f>
        <v>27406.54206</v>
      </c>
      <c r="P3590" s="10">
        <f>'data on outstanding creditors'!$E3590-'data on outstanding creditors'!$O3590</f>
        <v>1918.457944</v>
      </c>
      <c r="Q3590" s="7">
        <f>DAY('data on outstanding creditors'!$B3590)</f>
        <v>24</v>
      </c>
      <c r="R3590" s="7">
        <f>MONTH('data on outstanding creditors'!$B3590)</f>
        <v>10</v>
      </c>
      <c r="S3590" s="7">
        <f>YEAR('data on outstanding creditors'!$B3590)</f>
        <v>2025</v>
      </c>
      <c r="T3590" s="11" t="str">
        <f>'data on outstanding creditors'!$C3590&amp;" "&amp;'data on outstanding creditors'!$D3590&amp;" "&amp;TEXT('data on outstanding creditors'!$E3590,"#,##0.00")</f>
        <v>บ.บุรีวัตร  สิทธิ อปท 008/078 09/68 29,325.00</v>
      </c>
      <c r="U3590" s="12"/>
    </row>
    <row r="3591" ht="13.5" customHeight="1">
      <c r="A3591" s="1" t="s">
        <v>5606</v>
      </c>
      <c r="B3591" s="2">
        <v>45659.0</v>
      </c>
      <c r="C3591" s="9" t="s">
        <v>5607</v>
      </c>
      <c r="D3591" s="1" t="s">
        <v>5608</v>
      </c>
      <c r="E3591" s="4">
        <v>129676.0</v>
      </c>
      <c r="F3591" s="4"/>
      <c r="G3591" s="4"/>
      <c r="H3591" s="4">
        <f>'data on outstanding creditors'!$E3591-'data on outstanding creditors'!$F3591-'data on outstanding creditors'!$G3591</f>
        <v>129676</v>
      </c>
      <c r="I3591" s="2"/>
      <c r="J3591" s="1" t="s">
        <v>646</v>
      </c>
      <c r="K3591" s="2">
        <v>45843.0</v>
      </c>
      <c r="L3591" s="5"/>
      <c r="M3591" s="9" t="s">
        <v>58</v>
      </c>
      <c r="N3591" s="9" t="s">
        <v>49</v>
      </c>
      <c r="O3591" s="10">
        <f>'data on outstanding creditors'!$E3591*100/107</f>
        <v>121192.5234</v>
      </c>
      <c r="P3591" s="10">
        <f>'data on outstanding creditors'!$E3591-'data on outstanding creditors'!$O3591</f>
        <v>8483.476636</v>
      </c>
      <c r="Q3591" s="7">
        <f>DAY('data on outstanding creditors'!$B3591)</f>
        <v>2</v>
      </c>
      <c r="R3591" s="7">
        <f>MONTH('data on outstanding creditors'!$B3591)</f>
        <v>1</v>
      </c>
      <c r="S3591" s="7">
        <f>YEAR('data on outstanding creditors'!$B3591)</f>
        <v>2025</v>
      </c>
      <c r="T3591" s="11" t="str">
        <f>'data on outstanding creditors'!$C3591&amp;" "&amp;'data on outstanding creditors'!$D3591&amp;" "&amp;TEXT('data on outstanding creditors'!$E3591,"#,##0.00")</f>
        <v>บ.อาร์เอ็นดี ไดแอกโนสติกส์ INT-RND-680100088 129,676.00</v>
      </c>
      <c r="U3591" s="12"/>
    </row>
    <row r="3592" ht="13.5" customHeight="1">
      <c r="A3592" s="1" t="s">
        <v>5609</v>
      </c>
      <c r="B3592" s="2">
        <v>45691.0</v>
      </c>
      <c r="C3592" s="9" t="s">
        <v>5607</v>
      </c>
      <c r="D3592" s="1" t="s">
        <v>5610</v>
      </c>
      <c r="E3592" s="4">
        <v>283869.0</v>
      </c>
      <c r="F3592" s="4"/>
      <c r="G3592" s="4"/>
      <c r="H3592" s="4">
        <f>'data on outstanding creditors'!$E3592-'data on outstanding creditors'!$F3592-'data on outstanding creditors'!$G3592</f>
        <v>283869</v>
      </c>
      <c r="I3592" s="2"/>
      <c r="J3592" s="1" t="s">
        <v>646</v>
      </c>
      <c r="K3592" s="2">
        <v>45843.0</v>
      </c>
      <c r="L3592" s="5"/>
      <c r="M3592" s="9" t="s">
        <v>58</v>
      </c>
      <c r="N3592" s="9" t="s">
        <v>49</v>
      </c>
      <c r="O3592" s="10">
        <f>'data on outstanding creditors'!$E3592*100/107</f>
        <v>265298.1308</v>
      </c>
      <c r="P3592" s="10">
        <f>'data on outstanding creditors'!$E3592-'data on outstanding creditors'!$O3592</f>
        <v>18570.86916</v>
      </c>
      <c r="Q3592" s="7">
        <f>DAY('data on outstanding creditors'!$B3592)</f>
        <v>3</v>
      </c>
      <c r="R3592" s="7">
        <f>MONTH('data on outstanding creditors'!$B3592)</f>
        <v>2</v>
      </c>
      <c r="S3592" s="7">
        <f>YEAR('data on outstanding creditors'!$B3592)</f>
        <v>2025</v>
      </c>
      <c r="T3592" s="11" t="str">
        <f>'data on outstanding creditors'!$C3592&amp;" "&amp;'data on outstanding creditors'!$D3592&amp;" "&amp;TEXT('data on outstanding creditors'!$E3592,"#,##0.00")</f>
        <v>บ.อาร์เอ็นดี ไดแอกโนสติกส์ INT-RND-680200098 283,869.00</v>
      </c>
      <c r="U3592" s="12"/>
    </row>
    <row r="3593" ht="13.5" customHeight="1">
      <c r="A3593" s="1"/>
      <c r="B3593" s="2">
        <v>45691.0</v>
      </c>
      <c r="C3593" s="9" t="s">
        <v>3888</v>
      </c>
      <c r="D3593" s="1" t="s">
        <v>5611</v>
      </c>
      <c r="E3593" s="4">
        <v>114312.5</v>
      </c>
      <c r="F3593" s="4"/>
      <c r="G3593" s="4"/>
      <c r="H3593" s="4">
        <f>'data on outstanding creditors'!$E3593-'data on outstanding creditors'!$F3593-'data on outstanding creditors'!$G3593</f>
        <v>114312.5</v>
      </c>
      <c r="I3593" s="2"/>
      <c r="J3593" s="1" t="s">
        <v>646</v>
      </c>
      <c r="K3593" s="2">
        <v>45800.0</v>
      </c>
      <c r="L3593" s="5"/>
      <c r="M3593" s="9" t="s">
        <v>58</v>
      </c>
      <c r="N3593" s="9" t="s">
        <v>49</v>
      </c>
      <c r="O3593" s="10">
        <f>'data on outstanding creditors'!$E3593*100/107</f>
        <v>106834.1121</v>
      </c>
      <c r="P3593" s="10">
        <f>'data on outstanding creditors'!$E3593-'data on outstanding creditors'!$O3593</f>
        <v>7478.38785</v>
      </c>
      <c r="Q3593" s="7">
        <f>DAY('data on outstanding creditors'!$B3593)</f>
        <v>3</v>
      </c>
      <c r="R3593" s="7">
        <f>MONTH('data on outstanding creditors'!$B3593)</f>
        <v>2</v>
      </c>
      <c r="S3593" s="7">
        <f>YEAR('data on outstanding creditors'!$B3593)</f>
        <v>2025</v>
      </c>
      <c r="T3593" s="11" t="str">
        <f>'data on outstanding creditors'!$C3593&amp;" "&amp;'data on outstanding creditors'!$D3593&amp;" "&amp;TEXT('data on outstanding creditors'!$E3593,"#,##0.00")</f>
        <v>บ.พี ซี แอล โฮลดิ้ง PCI25-02-0139 114,312.50</v>
      </c>
      <c r="U3593" s="12"/>
    </row>
    <row r="3594" ht="13.5" customHeight="1">
      <c r="A3594" s="1"/>
      <c r="B3594" s="2">
        <v>45691.0</v>
      </c>
      <c r="C3594" s="9" t="s">
        <v>3888</v>
      </c>
      <c r="D3594" s="1" t="s">
        <v>5612</v>
      </c>
      <c r="E3594" s="4">
        <v>315714.0</v>
      </c>
      <c r="F3594" s="4"/>
      <c r="G3594" s="4"/>
      <c r="H3594" s="4">
        <f>'data on outstanding creditors'!$E3594-'data on outstanding creditors'!$F3594-'data on outstanding creditors'!$G3594</f>
        <v>315714</v>
      </c>
      <c r="I3594" s="2"/>
      <c r="J3594" s="1" t="s">
        <v>646</v>
      </c>
      <c r="K3594" s="2">
        <v>45800.0</v>
      </c>
      <c r="L3594" s="5"/>
      <c r="M3594" s="9" t="s">
        <v>58</v>
      </c>
      <c r="N3594" s="9" t="s">
        <v>49</v>
      </c>
      <c r="O3594" s="10">
        <f>'data on outstanding creditors'!$E3594*100/107</f>
        <v>295059.8131</v>
      </c>
      <c r="P3594" s="10">
        <f>'data on outstanding creditors'!$E3594-'data on outstanding creditors'!$O3594</f>
        <v>20654.18692</v>
      </c>
      <c r="Q3594" s="7">
        <f>DAY('data on outstanding creditors'!$B3594)</f>
        <v>3</v>
      </c>
      <c r="R3594" s="7">
        <f>MONTH('data on outstanding creditors'!$B3594)</f>
        <v>2</v>
      </c>
      <c r="S3594" s="7">
        <f>YEAR('data on outstanding creditors'!$B3594)</f>
        <v>2025</v>
      </c>
      <c r="T3594" s="11" t="str">
        <f>'data on outstanding creditors'!$C3594&amp;" "&amp;'data on outstanding creditors'!$D3594&amp;" "&amp;TEXT('data on outstanding creditors'!$E3594,"#,##0.00")</f>
        <v>บ.พี ซี แอล โฮลดิ้ง PCI25-02-0138 315,714.00</v>
      </c>
      <c r="U3594" s="12"/>
    </row>
    <row r="3595" ht="13.5" customHeight="1">
      <c r="A3595" s="1" t="s">
        <v>5613</v>
      </c>
      <c r="B3595" s="2">
        <v>45705.0</v>
      </c>
      <c r="C3595" s="9" t="s">
        <v>5614</v>
      </c>
      <c r="D3595" s="1" t="s">
        <v>5615</v>
      </c>
      <c r="E3595" s="4">
        <v>305304.5</v>
      </c>
      <c r="F3595" s="4"/>
      <c r="G3595" s="4"/>
      <c r="H3595" s="4">
        <f>'data on outstanding creditors'!$E3595-'data on outstanding creditors'!$F3595-'data on outstanding creditors'!$G3595</f>
        <v>305304.5</v>
      </c>
      <c r="I3595" s="2"/>
      <c r="J3595" s="1" t="s">
        <v>646</v>
      </c>
      <c r="K3595" s="2">
        <v>45800.0</v>
      </c>
      <c r="L3595" s="5"/>
      <c r="M3595" s="9" t="s">
        <v>58</v>
      </c>
      <c r="N3595" s="9" t="s">
        <v>49</v>
      </c>
      <c r="O3595" s="10">
        <f>'data on outstanding creditors'!$E3595*100/107</f>
        <v>285331.3084</v>
      </c>
      <c r="P3595" s="10">
        <f>'data on outstanding creditors'!$E3595-'data on outstanding creditors'!$O3595</f>
        <v>19973.19159</v>
      </c>
      <c r="Q3595" s="7">
        <f>DAY('data on outstanding creditors'!$B3595)</f>
        <v>17</v>
      </c>
      <c r="R3595" s="7">
        <f>MONTH('data on outstanding creditors'!$B3595)</f>
        <v>2</v>
      </c>
      <c r="S3595" s="7">
        <f>YEAR('data on outstanding creditors'!$B3595)</f>
        <v>2025</v>
      </c>
      <c r="T3595" s="11" t="str">
        <f>'data on outstanding creditors'!$C3595&amp;" "&amp;'data on outstanding creditors'!$D3595&amp;" "&amp;TEXT('data on outstanding creditors'!$E3595,"#,##0.00")</f>
        <v>บ.พี ซี ที ลาบอราตอรี่ เซอร์วิส TI25-01-1128 305,304.50</v>
      </c>
      <c r="U3595" s="12"/>
    </row>
    <row r="3596" ht="13.5" customHeight="1">
      <c r="A3596" s="1" t="s">
        <v>5616</v>
      </c>
      <c r="B3596" s="2">
        <v>45705.0</v>
      </c>
      <c r="C3596" s="9" t="s">
        <v>5614</v>
      </c>
      <c r="D3596" s="1" t="s">
        <v>5617</v>
      </c>
      <c r="E3596" s="4">
        <v>111037.5</v>
      </c>
      <c r="F3596" s="4"/>
      <c r="G3596" s="4"/>
      <c r="H3596" s="4">
        <f>'data on outstanding creditors'!$E3596-'data on outstanding creditors'!$F3596-'data on outstanding creditors'!$G3596</f>
        <v>111037.5</v>
      </c>
      <c r="I3596" s="2"/>
      <c r="J3596" s="1" t="s">
        <v>646</v>
      </c>
      <c r="K3596" s="2">
        <v>45800.0</v>
      </c>
      <c r="L3596" s="5"/>
      <c r="M3596" s="9" t="s">
        <v>58</v>
      </c>
      <c r="N3596" s="9" t="s">
        <v>49</v>
      </c>
      <c r="O3596" s="10">
        <f>'data on outstanding creditors'!$E3596*100/107</f>
        <v>103773.3645</v>
      </c>
      <c r="P3596" s="10">
        <f>'data on outstanding creditors'!$E3596-'data on outstanding creditors'!$O3596</f>
        <v>7264.135514</v>
      </c>
      <c r="Q3596" s="7">
        <f>DAY('data on outstanding creditors'!$B3596)</f>
        <v>17</v>
      </c>
      <c r="R3596" s="7">
        <f>MONTH('data on outstanding creditors'!$B3596)</f>
        <v>2</v>
      </c>
      <c r="S3596" s="7">
        <f>YEAR('data on outstanding creditors'!$B3596)</f>
        <v>2025</v>
      </c>
      <c r="T3596" s="11" t="str">
        <f>'data on outstanding creditors'!$C3596&amp;" "&amp;'data on outstanding creditors'!$D3596&amp;" "&amp;TEXT('data on outstanding creditors'!$E3596,"#,##0.00")</f>
        <v>บ.พี ซี ที ลาบอราตอรี่ เซอร์วิส TI25-01-1008 111,037.50</v>
      </c>
      <c r="U3596" s="12"/>
    </row>
    <row r="3597" ht="13.5" customHeight="1">
      <c r="A3597" s="1" t="s">
        <v>5618</v>
      </c>
      <c r="B3597" s="2">
        <v>45719.0</v>
      </c>
      <c r="C3597" s="9" t="s">
        <v>5607</v>
      </c>
      <c r="D3597" s="1" t="s">
        <v>5619</v>
      </c>
      <c r="E3597" s="4">
        <v>177041.0</v>
      </c>
      <c r="F3597" s="4"/>
      <c r="G3597" s="4"/>
      <c r="H3597" s="4">
        <f>'data on outstanding creditors'!$E3597-'data on outstanding creditors'!$F3597-'data on outstanding creditors'!$G3597</f>
        <v>177041</v>
      </c>
      <c r="I3597" s="2"/>
      <c r="J3597" s="1" t="s">
        <v>646</v>
      </c>
      <c r="K3597" s="2">
        <v>45906.0</v>
      </c>
      <c r="L3597" s="5"/>
      <c r="M3597" s="9" t="s">
        <v>58</v>
      </c>
      <c r="N3597" s="9" t="s">
        <v>49</v>
      </c>
      <c r="O3597" s="10">
        <f>'data on outstanding creditors'!$E3597*100/107</f>
        <v>165458.8785</v>
      </c>
      <c r="P3597" s="10">
        <f>'data on outstanding creditors'!$E3597-'data on outstanding creditors'!$O3597</f>
        <v>11582.1215</v>
      </c>
      <c r="Q3597" s="7">
        <f>DAY('data on outstanding creditors'!$B3597)</f>
        <v>3</v>
      </c>
      <c r="R3597" s="7">
        <f>MONTH('data on outstanding creditors'!$B3597)</f>
        <v>3</v>
      </c>
      <c r="S3597" s="7">
        <f>YEAR('data on outstanding creditors'!$B3597)</f>
        <v>2025</v>
      </c>
      <c r="T3597" s="11" t="str">
        <f>'data on outstanding creditors'!$C3597&amp;" "&amp;'data on outstanding creditors'!$D3597&amp;" "&amp;TEXT('data on outstanding creditors'!$E3597,"#,##0.00")</f>
        <v>บ.อาร์เอ็นดี ไดแอกโนสติกส์ INT-RND-680300107 177,041.00</v>
      </c>
      <c r="U3597" s="12"/>
    </row>
    <row r="3598" ht="13.5" customHeight="1">
      <c r="A3598" s="1" t="s">
        <v>5620</v>
      </c>
      <c r="B3598" s="2">
        <v>45719.0</v>
      </c>
      <c r="C3598" s="9" t="s">
        <v>3888</v>
      </c>
      <c r="D3598" s="1" t="s">
        <v>5621</v>
      </c>
      <c r="E3598" s="4">
        <v>89208.0</v>
      </c>
      <c r="F3598" s="4"/>
      <c r="G3598" s="4"/>
      <c r="H3598" s="4">
        <f>'data on outstanding creditors'!$E3598-'data on outstanding creditors'!$F3598-'data on outstanding creditors'!$G3598</f>
        <v>89208</v>
      </c>
      <c r="I3598" s="2"/>
      <c r="J3598" s="1" t="s">
        <v>646</v>
      </c>
      <c r="K3598" s="2">
        <v>45866.0</v>
      </c>
      <c r="L3598" s="5"/>
      <c r="M3598" s="9" t="s">
        <v>58</v>
      </c>
      <c r="N3598" s="9" t="s">
        <v>49</v>
      </c>
      <c r="O3598" s="10">
        <f>'data on outstanding creditors'!$E3598*100/107</f>
        <v>83371.96262</v>
      </c>
      <c r="P3598" s="10">
        <f>'data on outstanding creditors'!$E3598-'data on outstanding creditors'!$O3598</f>
        <v>5836.037383</v>
      </c>
      <c r="Q3598" s="7">
        <f>DAY('data on outstanding creditors'!$B3598)</f>
        <v>3</v>
      </c>
      <c r="R3598" s="7">
        <f>MONTH('data on outstanding creditors'!$B3598)</f>
        <v>3</v>
      </c>
      <c r="S3598" s="7">
        <f>YEAR('data on outstanding creditors'!$B3598)</f>
        <v>2025</v>
      </c>
      <c r="T3598" s="11" t="str">
        <f>'data on outstanding creditors'!$C3598&amp;" "&amp;'data on outstanding creditors'!$D3598&amp;" "&amp;TEXT('data on outstanding creditors'!$E3598,"#,##0.00")</f>
        <v>บ.พี ซี แอล โฮลดิ้ง PCI25-03-0128 89,208.00</v>
      </c>
      <c r="U3598" s="12"/>
    </row>
    <row r="3599" ht="13.5" customHeight="1">
      <c r="A3599" s="1" t="s">
        <v>5622</v>
      </c>
      <c r="B3599" s="2">
        <v>45719.0</v>
      </c>
      <c r="C3599" s="9" t="s">
        <v>3888</v>
      </c>
      <c r="D3599" s="1" t="s">
        <v>5623</v>
      </c>
      <c r="E3599" s="4">
        <v>228688.0</v>
      </c>
      <c r="F3599" s="4"/>
      <c r="G3599" s="4"/>
      <c r="H3599" s="4">
        <f>'data on outstanding creditors'!$E3599-'data on outstanding creditors'!$F3599-'data on outstanding creditors'!$G3599</f>
        <v>228688</v>
      </c>
      <c r="I3599" s="2"/>
      <c r="J3599" s="1" t="s">
        <v>646</v>
      </c>
      <c r="K3599" s="2">
        <v>45866.0</v>
      </c>
      <c r="L3599" s="5"/>
      <c r="M3599" s="9" t="s">
        <v>58</v>
      </c>
      <c r="N3599" s="9" t="s">
        <v>49</v>
      </c>
      <c r="O3599" s="10">
        <f>'data on outstanding creditors'!$E3599*100/107</f>
        <v>213727.1028</v>
      </c>
      <c r="P3599" s="10">
        <f>'data on outstanding creditors'!$E3599-'data on outstanding creditors'!$O3599</f>
        <v>14960.8972</v>
      </c>
      <c r="Q3599" s="7">
        <f>DAY('data on outstanding creditors'!$B3599)</f>
        <v>3</v>
      </c>
      <c r="R3599" s="7">
        <f>MONTH('data on outstanding creditors'!$B3599)</f>
        <v>3</v>
      </c>
      <c r="S3599" s="7">
        <f>YEAR('data on outstanding creditors'!$B3599)</f>
        <v>2025</v>
      </c>
      <c r="T3599" s="11" t="str">
        <f>'data on outstanding creditors'!$C3599&amp;" "&amp;'data on outstanding creditors'!$D3599&amp;" "&amp;TEXT('data on outstanding creditors'!$E3599,"#,##0.00")</f>
        <v>บ.พี ซี แอล โฮลดิ้ง PCI25-03-0129 228,688.00</v>
      </c>
      <c r="U3599" s="12"/>
    </row>
    <row r="3600" ht="13.5" customHeight="1">
      <c r="A3600" s="1" t="s">
        <v>5624</v>
      </c>
      <c r="B3600" s="2">
        <v>45733.0</v>
      </c>
      <c r="C3600" s="9" t="s">
        <v>5614</v>
      </c>
      <c r="D3600" s="1" t="s">
        <v>5625</v>
      </c>
      <c r="E3600" s="4">
        <v>161635.0</v>
      </c>
      <c r="F3600" s="4"/>
      <c r="G3600" s="4"/>
      <c r="H3600" s="4">
        <f>'data on outstanding creditors'!$E3600-'data on outstanding creditors'!$F3600-'data on outstanding creditors'!$G3600</f>
        <v>161635</v>
      </c>
      <c r="I3600" s="2"/>
      <c r="J3600" s="1" t="s">
        <v>646</v>
      </c>
      <c r="K3600" s="2">
        <v>45800.0</v>
      </c>
      <c r="L3600" s="5"/>
      <c r="M3600" s="9" t="s">
        <v>58</v>
      </c>
      <c r="N3600" s="9" t="s">
        <v>49</v>
      </c>
      <c r="O3600" s="10">
        <f>'data on outstanding creditors'!$E3600*100/107</f>
        <v>151060.7477</v>
      </c>
      <c r="P3600" s="10">
        <f>'data on outstanding creditors'!$E3600-'data on outstanding creditors'!$O3600</f>
        <v>10574.25234</v>
      </c>
      <c r="Q3600" s="7">
        <f>DAY('data on outstanding creditors'!$B3600)</f>
        <v>17</v>
      </c>
      <c r="R3600" s="7">
        <f>MONTH('data on outstanding creditors'!$B3600)</f>
        <v>3</v>
      </c>
      <c r="S3600" s="7">
        <f>YEAR('data on outstanding creditors'!$B3600)</f>
        <v>2025</v>
      </c>
      <c r="T3600" s="11" t="str">
        <f>'data on outstanding creditors'!$C3600&amp;" "&amp;'data on outstanding creditors'!$D3600&amp;" "&amp;TEXT('data on outstanding creditors'!$E3600,"#,##0.00")</f>
        <v>บ.พี ซี ที ลาบอราตอรี่ เซอร์วิส TI25-02-1140 161,635.00</v>
      </c>
      <c r="U3600" s="12"/>
    </row>
    <row r="3601" ht="13.5" customHeight="1">
      <c r="A3601" s="1" t="s">
        <v>5626</v>
      </c>
      <c r="B3601" s="2">
        <v>45733.0</v>
      </c>
      <c r="C3601" s="9" t="s">
        <v>5614</v>
      </c>
      <c r="D3601" s="1" t="s">
        <v>5627</v>
      </c>
      <c r="E3601" s="4">
        <v>42340.0</v>
      </c>
      <c r="F3601" s="4"/>
      <c r="G3601" s="4"/>
      <c r="H3601" s="4">
        <f>'data on outstanding creditors'!$E3601-'data on outstanding creditors'!$F3601-'data on outstanding creditors'!$G3601</f>
        <v>42340</v>
      </c>
      <c r="I3601" s="2"/>
      <c r="J3601" s="1" t="s">
        <v>646</v>
      </c>
      <c r="K3601" s="2">
        <v>45800.0</v>
      </c>
      <c r="L3601" s="5"/>
      <c r="M3601" s="9" t="s">
        <v>58</v>
      </c>
      <c r="N3601" s="9" t="s">
        <v>49</v>
      </c>
      <c r="O3601" s="10">
        <f>'data on outstanding creditors'!$E3601*100/107</f>
        <v>39570.09346</v>
      </c>
      <c r="P3601" s="10">
        <f>'data on outstanding creditors'!$E3601-'data on outstanding creditors'!$O3601</f>
        <v>2769.906542</v>
      </c>
      <c r="Q3601" s="7">
        <f>DAY('data on outstanding creditors'!$B3601)</f>
        <v>17</v>
      </c>
      <c r="R3601" s="7">
        <f>MONTH('data on outstanding creditors'!$B3601)</f>
        <v>3</v>
      </c>
      <c r="S3601" s="7">
        <f>YEAR('data on outstanding creditors'!$B3601)</f>
        <v>2025</v>
      </c>
      <c r="T3601" s="11" t="str">
        <f>'data on outstanding creditors'!$C3601&amp;" "&amp;'data on outstanding creditors'!$D3601&amp;" "&amp;TEXT('data on outstanding creditors'!$E3601,"#,##0.00")</f>
        <v>บ.พี ซี ที ลาบอราตอรี่ เซอร์วิส TI25-02-1012 42,340.00</v>
      </c>
      <c r="U3601" s="12"/>
    </row>
    <row r="3602" ht="13.5" customHeight="1">
      <c r="A3602" s="1" t="s">
        <v>5628</v>
      </c>
      <c r="B3602" s="2">
        <v>45744.0</v>
      </c>
      <c r="C3602" s="9" t="s">
        <v>5629</v>
      </c>
      <c r="D3602" s="1" t="s">
        <v>5630</v>
      </c>
      <c r="E3602" s="4">
        <v>10785.6</v>
      </c>
      <c r="F3602" s="4"/>
      <c r="G3602" s="4"/>
      <c r="H3602" s="4">
        <f>'data on outstanding creditors'!$E3602-'data on outstanding creditors'!$F3602-'data on outstanding creditors'!$G3602</f>
        <v>10785.6</v>
      </c>
      <c r="I3602" s="2"/>
      <c r="J3602" s="1" t="s">
        <v>646</v>
      </c>
      <c r="K3602" s="2">
        <v>45877.0</v>
      </c>
      <c r="L3602" s="5"/>
      <c r="M3602" s="9" t="s">
        <v>58</v>
      </c>
      <c r="N3602" s="9" t="s">
        <v>49</v>
      </c>
      <c r="O3602" s="10">
        <f>'data on outstanding creditors'!$E3602*100/107</f>
        <v>10080</v>
      </c>
      <c r="P3602" s="10">
        <f>'data on outstanding creditors'!$E3602-'data on outstanding creditors'!$O3602</f>
        <v>705.6</v>
      </c>
      <c r="Q3602" s="7">
        <f>DAY('data on outstanding creditors'!$B3602)</f>
        <v>28</v>
      </c>
      <c r="R3602" s="7">
        <f>MONTH('data on outstanding creditors'!$B3602)</f>
        <v>3</v>
      </c>
      <c r="S3602" s="7">
        <f>YEAR('data on outstanding creditors'!$B3602)</f>
        <v>2025</v>
      </c>
      <c r="T3602" s="11" t="str">
        <f>'data on outstanding creditors'!$C3602&amp;" "&amp;'data on outstanding creditors'!$D3602&amp;" "&amp;TEXT('data on outstanding creditors'!$E3602,"#,##0.00")</f>
        <v>บ.บ้านฟัน โคราช BI6802163 10,785.60</v>
      </c>
      <c r="U3602" s="12"/>
    </row>
    <row r="3603" ht="13.5" customHeight="1">
      <c r="A3603" s="1" t="s">
        <v>5631</v>
      </c>
      <c r="B3603" s="2">
        <v>45748.0</v>
      </c>
      <c r="C3603" s="9" t="s">
        <v>3888</v>
      </c>
      <c r="D3603" s="2" t="s">
        <v>5632</v>
      </c>
      <c r="E3603" s="4">
        <v>110802.0</v>
      </c>
      <c r="F3603" s="4"/>
      <c r="G3603" s="4"/>
      <c r="H3603" s="4">
        <f>'data on outstanding creditors'!$E3603-'data on outstanding creditors'!$F3603-'data on outstanding creditors'!$G3603</f>
        <v>110802</v>
      </c>
      <c r="I3603" s="2"/>
      <c r="J3603" s="1" t="s">
        <v>646</v>
      </c>
      <c r="K3603" s="2">
        <v>45866.0</v>
      </c>
      <c r="L3603" s="5"/>
      <c r="M3603" s="9" t="s">
        <v>58</v>
      </c>
      <c r="N3603" s="9" t="s">
        <v>49</v>
      </c>
      <c r="O3603" s="10">
        <f>'data on outstanding creditors'!$E3603*100/107</f>
        <v>103553.271</v>
      </c>
      <c r="P3603" s="10">
        <f>'data on outstanding creditors'!$E3603-'data on outstanding creditors'!$O3603</f>
        <v>7248.728972</v>
      </c>
      <c r="Q3603" s="7">
        <f>DAY('data on outstanding creditors'!$B3603)</f>
        <v>1</v>
      </c>
      <c r="R3603" s="7">
        <f>MONTH('data on outstanding creditors'!$B3603)</f>
        <v>4</v>
      </c>
      <c r="S3603" s="7">
        <f>YEAR('data on outstanding creditors'!$B3603)</f>
        <v>2025</v>
      </c>
      <c r="T3603" s="11" t="str">
        <f>'data on outstanding creditors'!$C3603&amp;" "&amp;'data on outstanding creditors'!$D3603&amp;" "&amp;TEXT('data on outstanding creditors'!$E3603,"#,##0.00")</f>
        <v>บ.พี ซี แอล โฮลดิ้ง PCI25-04-0110 110,802.00</v>
      </c>
      <c r="U3603" s="12"/>
    </row>
    <row r="3604" ht="13.5" customHeight="1">
      <c r="A3604" s="1" t="s">
        <v>5633</v>
      </c>
      <c r="B3604" s="2">
        <v>45748.0</v>
      </c>
      <c r="C3604" s="9" t="s">
        <v>3888</v>
      </c>
      <c r="D3604" s="1" t="s">
        <v>5634</v>
      </c>
      <c r="E3604" s="4">
        <v>276722.0</v>
      </c>
      <c r="F3604" s="4"/>
      <c r="G3604" s="4"/>
      <c r="H3604" s="4">
        <f>'data on outstanding creditors'!$E3604-'data on outstanding creditors'!$F3604-'data on outstanding creditors'!$G3604</f>
        <v>276722</v>
      </c>
      <c r="I3604" s="2"/>
      <c r="J3604" s="1" t="s">
        <v>646</v>
      </c>
      <c r="K3604" s="2">
        <v>45866.0</v>
      </c>
      <c r="L3604" s="5"/>
      <c r="M3604" s="9" t="s">
        <v>58</v>
      </c>
      <c r="N3604" s="9" t="s">
        <v>49</v>
      </c>
      <c r="O3604" s="10">
        <f>'data on outstanding creditors'!$E3604*100/107</f>
        <v>258618.6916</v>
      </c>
      <c r="P3604" s="10">
        <f>'data on outstanding creditors'!$E3604-'data on outstanding creditors'!$O3604</f>
        <v>18103.30841</v>
      </c>
      <c r="Q3604" s="7">
        <f>DAY('data on outstanding creditors'!$B3604)</f>
        <v>1</v>
      </c>
      <c r="R3604" s="7">
        <f>MONTH('data on outstanding creditors'!$B3604)</f>
        <v>4</v>
      </c>
      <c r="S3604" s="7">
        <f>YEAR('data on outstanding creditors'!$B3604)</f>
        <v>2025</v>
      </c>
      <c r="T3604" s="11" t="str">
        <f>'data on outstanding creditors'!$C3604&amp;" "&amp;'data on outstanding creditors'!$D3604&amp;" "&amp;TEXT('data on outstanding creditors'!$E3604,"#,##0.00")</f>
        <v>บ.พี ซี แอล โฮลดิ้ง PCI25-04-2005 276,722.00</v>
      </c>
      <c r="U3604" s="12"/>
    </row>
    <row r="3605" ht="13.5" customHeight="1">
      <c r="A3605" s="1" t="s">
        <v>5635</v>
      </c>
      <c r="B3605" s="2">
        <v>45748.0</v>
      </c>
      <c r="C3605" s="9" t="s">
        <v>5607</v>
      </c>
      <c r="D3605" s="1" t="s">
        <v>5636</v>
      </c>
      <c r="E3605" s="4">
        <v>196563.0</v>
      </c>
      <c r="F3605" s="4"/>
      <c r="G3605" s="4"/>
      <c r="H3605" s="4">
        <f>'data on outstanding creditors'!$E3605-'data on outstanding creditors'!$F3605-'data on outstanding creditors'!$G3605</f>
        <v>196563</v>
      </c>
      <c r="I3605" s="2"/>
      <c r="J3605" s="1" t="s">
        <v>646</v>
      </c>
      <c r="K3605" s="2">
        <v>45906.0</v>
      </c>
      <c r="L3605" s="5"/>
      <c r="M3605" s="9" t="s">
        <v>58</v>
      </c>
      <c r="N3605" s="9" t="s">
        <v>49</v>
      </c>
      <c r="O3605" s="10">
        <f>'data on outstanding creditors'!$E3605*100/107</f>
        <v>183703.7383</v>
      </c>
      <c r="P3605" s="10">
        <f>'data on outstanding creditors'!$E3605-'data on outstanding creditors'!$O3605</f>
        <v>12859.26168</v>
      </c>
      <c r="Q3605" s="7">
        <f>DAY('data on outstanding creditors'!$B3605)</f>
        <v>1</v>
      </c>
      <c r="R3605" s="7">
        <f>MONTH('data on outstanding creditors'!$B3605)</f>
        <v>4</v>
      </c>
      <c r="S3605" s="7">
        <f>YEAR('data on outstanding creditors'!$B3605)</f>
        <v>2025</v>
      </c>
      <c r="T3605" s="11" t="str">
        <f>'data on outstanding creditors'!$C3605&amp;" "&amp;'data on outstanding creditors'!$D3605&amp;" "&amp;TEXT('data on outstanding creditors'!$E3605,"#,##0.00")</f>
        <v>บ.อาร์เอ็นดี ไดแอกโนสติกส์ INT-RND-680400060 196,563.00</v>
      </c>
      <c r="U3605" s="12"/>
    </row>
    <row r="3606" ht="13.5" customHeight="1">
      <c r="A3606" s="1" t="s">
        <v>5637</v>
      </c>
      <c r="B3606" s="2">
        <v>45765.0</v>
      </c>
      <c r="C3606" s="9" t="s">
        <v>5614</v>
      </c>
      <c r="D3606" s="1" t="s">
        <v>5638</v>
      </c>
      <c r="E3606" s="4">
        <v>180945.0</v>
      </c>
      <c r="F3606" s="4"/>
      <c r="G3606" s="4"/>
      <c r="H3606" s="4">
        <f>'data on outstanding creditors'!$E3606-'data on outstanding creditors'!$F3606-'data on outstanding creditors'!$G3606</f>
        <v>180945</v>
      </c>
      <c r="I3606" s="2"/>
      <c r="J3606" s="1" t="s">
        <v>646</v>
      </c>
      <c r="K3606" s="2">
        <v>45866.0</v>
      </c>
      <c r="L3606" s="5"/>
      <c r="M3606" s="9" t="s">
        <v>58</v>
      </c>
      <c r="N3606" s="9" t="s">
        <v>49</v>
      </c>
      <c r="O3606" s="10">
        <f>'data on outstanding creditors'!$E3606*100/107</f>
        <v>169107.4766</v>
      </c>
      <c r="P3606" s="10">
        <f>'data on outstanding creditors'!$E3606-'data on outstanding creditors'!$O3606</f>
        <v>11837.52336</v>
      </c>
      <c r="Q3606" s="7">
        <f>DAY('data on outstanding creditors'!$B3606)</f>
        <v>18</v>
      </c>
      <c r="R3606" s="7">
        <f>MONTH('data on outstanding creditors'!$B3606)</f>
        <v>4</v>
      </c>
      <c r="S3606" s="7">
        <f>YEAR('data on outstanding creditors'!$B3606)</f>
        <v>2025</v>
      </c>
      <c r="T3606" s="11" t="str">
        <f>'data on outstanding creditors'!$C3606&amp;" "&amp;'data on outstanding creditors'!$D3606&amp;" "&amp;TEXT('data on outstanding creditors'!$E3606,"#,##0.00")</f>
        <v>บ.พี ซี ที ลาบอราตอรี่ เซอร์วิส TI25-03-1143 180,945.00</v>
      </c>
      <c r="U3606" s="12"/>
    </row>
    <row r="3607" ht="13.5" customHeight="1">
      <c r="A3607" s="1" t="s">
        <v>5639</v>
      </c>
      <c r="B3607" s="2">
        <v>45765.0</v>
      </c>
      <c r="C3607" s="9" t="s">
        <v>5614</v>
      </c>
      <c r="D3607" s="1" t="s">
        <v>5640</v>
      </c>
      <c r="E3607" s="4">
        <v>56750.0</v>
      </c>
      <c r="F3607" s="4"/>
      <c r="G3607" s="4"/>
      <c r="H3607" s="4">
        <f>'data on outstanding creditors'!$E3607-'data on outstanding creditors'!$F3607-'data on outstanding creditors'!$G3607</f>
        <v>56750</v>
      </c>
      <c r="I3607" s="2"/>
      <c r="J3607" s="1" t="s">
        <v>646</v>
      </c>
      <c r="K3607" s="2">
        <v>45866.0</v>
      </c>
      <c r="L3607" s="5"/>
      <c r="M3607" s="9" t="s">
        <v>58</v>
      </c>
      <c r="N3607" s="9" t="s">
        <v>49</v>
      </c>
      <c r="O3607" s="10">
        <f>'data on outstanding creditors'!$E3607*100/107</f>
        <v>53037.38318</v>
      </c>
      <c r="P3607" s="10">
        <f>'data on outstanding creditors'!$E3607-'data on outstanding creditors'!$O3607</f>
        <v>3712.616822</v>
      </c>
      <c r="Q3607" s="7">
        <f>DAY('data on outstanding creditors'!$B3607)</f>
        <v>18</v>
      </c>
      <c r="R3607" s="7">
        <f>MONTH('data on outstanding creditors'!$B3607)</f>
        <v>4</v>
      </c>
      <c r="S3607" s="7">
        <f>YEAR('data on outstanding creditors'!$B3607)</f>
        <v>2025</v>
      </c>
      <c r="T3607" s="11" t="str">
        <f>'data on outstanding creditors'!$C3607&amp;" "&amp;'data on outstanding creditors'!$D3607&amp;" "&amp;TEXT('data on outstanding creditors'!$E3607,"#,##0.00")</f>
        <v>บ.พี ซี ที ลาบอราตอรี่ เซอร์วิส TI25-03-1010 56,750.00</v>
      </c>
      <c r="U3607" s="12"/>
    </row>
    <row r="3608" ht="13.5" customHeight="1">
      <c r="A3608" s="1" t="s">
        <v>5641</v>
      </c>
      <c r="B3608" s="2">
        <v>45777.0</v>
      </c>
      <c r="C3608" s="9" t="s">
        <v>5629</v>
      </c>
      <c r="D3608" s="1" t="s">
        <v>5642</v>
      </c>
      <c r="E3608" s="4">
        <v>2065.1</v>
      </c>
      <c r="F3608" s="4"/>
      <c r="G3608" s="4"/>
      <c r="H3608" s="4">
        <f>'data on outstanding creditors'!$E3608-'data on outstanding creditors'!$F3608-'data on outstanding creditors'!$G3608</f>
        <v>2065.1</v>
      </c>
      <c r="I3608" s="2"/>
      <c r="J3608" s="1" t="s">
        <v>646</v>
      </c>
      <c r="K3608" s="2">
        <v>45846.0</v>
      </c>
      <c r="L3608" s="5"/>
      <c r="M3608" s="9" t="s">
        <v>58</v>
      </c>
      <c r="N3608" s="9" t="s">
        <v>49</v>
      </c>
      <c r="O3608" s="10">
        <f>'data on outstanding creditors'!$E3608*100/107</f>
        <v>1930</v>
      </c>
      <c r="P3608" s="10">
        <f>'data on outstanding creditors'!$E3608-'data on outstanding creditors'!$O3608</f>
        <v>135.1</v>
      </c>
      <c r="Q3608" s="7">
        <f>DAY('data on outstanding creditors'!$B3608)</f>
        <v>30</v>
      </c>
      <c r="R3608" s="7">
        <f>MONTH('data on outstanding creditors'!$B3608)</f>
        <v>4</v>
      </c>
      <c r="S3608" s="7">
        <f>YEAR('data on outstanding creditors'!$B3608)</f>
        <v>2025</v>
      </c>
      <c r="T3608" s="11" t="str">
        <f>'data on outstanding creditors'!$C3608&amp;" "&amp;'data on outstanding creditors'!$D3608&amp;" "&amp;TEXT('data on outstanding creditors'!$E3608,"#,##0.00")</f>
        <v>บ.บ้านฟัน โคราช BI6803033 2,065.10</v>
      </c>
      <c r="U3608" s="12"/>
    </row>
    <row r="3609" ht="13.5" customHeight="1">
      <c r="A3609" s="1" t="s">
        <v>5643</v>
      </c>
      <c r="B3609" s="2">
        <v>45777.0</v>
      </c>
      <c r="C3609" s="9" t="s">
        <v>5644</v>
      </c>
      <c r="D3609" s="1" t="s">
        <v>5645</v>
      </c>
      <c r="E3609" s="4">
        <v>8517.2</v>
      </c>
      <c r="F3609" s="4"/>
      <c r="G3609" s="4"/>
      <c r="H3609" s="4">
        <f>'data on outstanding creditors'!$E3609-'data on outstanding creditors'!$F3609-'data on outstanding creditors'!$G3609</f>
        <v>8517.2</v>
      </c>
      <c r="I3609" s="2"/>
      <c r="J3609" s="1" t="s">
        <v>646</v>
      </c>
      <c r="K3609" s="2">
        <v>45846.0</v>
      </c>
      <c r="L3609" s="5"/>
      <c r="M3609" s="9" t="s">
        <v>58</v>
      </c>
      <c r="N3609" s="9" t="s">
        <v>49</v>
      </c>
      <c r="O3609" s="10">
        <f>'data on outstanding creditors'!$E3609*100/107</f>
        <v>7960</v>
      </c>
      <c r="P3609" s="10">
        <f>'data on outstanding creditors'!$E3609-'data on outstanding creditors'!$O3609</f>
        <v>557.2</v>
      </c>
      <c r="Q3609" s="7">
        <f>DAY('data on outstanding creditors'!$B3609)</f>
        <v>30</v>
      </c>
      <c r="R3609" s="7">
        <f>MONTH('data on outstanding creditors'!$B3609)</f>
        <v>4</v>
      </c>
      <c r="S3609" s="7">
        <f>YEAR('data on outstanding creditors'!$B3609)</f>
        <v>2025</v>
      </c>
      <c r="T3609" s="11" t="str">
        <f>'data on outstanding creditors'!$C3609&amp;" "&amp;'data on outstanding creditors'!$D3609&amp;" "&amp;TEXT('data on outstanding creditors'!$E3609,"#,##0.00")</f>
        <v>บ.เด็นทาเนียร์ TIN-6804-0214 8,517.20</v>
      </c>
      <c r="U3609" s="12"/>
    </row>
    <row r="3610" ht="13.5" customHeight="1">
      <c r="A3610" s="1" t="s">
        <v>5646</v>
      </c>
      <c r="B3610" s="2">
        <v>45778.0</v>
      </c>
      <c r="C3610" s="9" t="s">
        <v>3888</v>
      </c>
      <c r="D3610" s="1" t="s">
        <v>5647</v>
      </c>
      <c r="E3610" s="4">
        <v>66109.5</v>
      </c>
      <c r="F3610" s="4"/>
      <c r="G3610" s="4"/>
      <c r="H3610" s="4">
        <f>'data on outstanding creditors'!$E3610-'data on outstanding creditors'!$F3610-'data on outstanding creditors'!$G3610</f>
        <v>66109.5</v>
      </c>
      <c r="I3610" s="2"/>
      <c r="J3610" s="1" t="s">
        <v>646</v>
      </c>
      <c r="K3610" s="2">
        <v>45928.0</v>
      </c>
      <c r="L3610" s="5"/>
      <c r="M3610" s="9" t="s">
        <v>58</v>
      </c>
      <c r="N3610" s="9" t="s">
        <v>49</v>
      </c>
      <c r="O3610" s="10">
        <f>'data on outstanding creditors'!$E3610*100/107</f>
        <v>61784.57944</v>
      </c>
      <c r="P3610" s="10">
        <f>'data on outstanding creditors'!$E3610-'data on outstanding creditors'!$O3610</f>
        <v>4324.920561</v>
      </c>
      <c r="Q3610" s="7">
        <f>DAY('data on outstanding creditors'!$B3610)</f>
        <v>1</v>
      </c>
      <c r="R3610" s="7">
        <f>MONTH('data on outstanding creditors'!$B3610)</f>
        <v>5</v>
      </c>
      <c r="S3610" s="7">
        <f>YEAR('data on outstanding creditors'!$B3610)</f>
        <v>2025</v>
      </c>
      <c r="T3610" s="11" t="str">
        <f>'data on outstanding creditors'!$C3610&amp;" "&amp;'data on outstanding creditors'!$D3610&amp;" "&amp;TEXT('data on outstanding creditors'!$E3610,"#,##0.00")</f>
        <v>บ.พี ซี แอล โฮลดิ้ง PCI25-05-2004 66,109.50</v>
      </c>
      <c r="U3610" s="12"/>
    </row>
    <row r="3611" ht="13.5" customHeight="1">
      <c r="A3611" s="1" t="s">
        <v>5648</v>
      </c>
      <c r="B3611" s="2">
        <v>45778.0</v>
      </c>
      <c r="C3611" s="9" t="s">
        <v>3888</v>
      </c>
      <c r="D3611" s="1" t="s">
        <v>5649</v>
      </c>
      <c r="E3611" s="4">
        <v>248178.0</v>
      </c>
      <c r="F3611" s="4"/>
      <c r="G3611" s="4"/>
      <c r="H3611" s="4">
        <f>'data on outstanding creditors'!$E3611-'data on outstanding creditors'!$F3611-'data on outstanding creditors'!$G3611</f>
        <v>248178</v>
      </c>
      <c r="I3611" s="2"/>
      <c r="J3611" s="1" t="s">
        <v>646</v>
      </c>
      <c r="K3611" s="2">
        <v>45928.0</v>
      </c>
      <c r="L3611" s="5"/>
      <c r="M3611" s="9" t="s">
        <v>58</v>
      </c>
      <c r="N3611" s="9" t="s">
        <v>49</v>
      </c>
      <c r="O3611" s="10">
        <f>'data on outstanding creditors'!$E3611*100/107</f>
        <v>231942.0561</v>
      </c>
      <c r="P3611" s="10">
        <f>'data on outstanding creditors'!$E3611-'data on outstanding creditors'!$O3611</f>
        <v>16235.94393</v>
      </c>
      <c r="Q3611" s="7">
        <f>DAY('data on outstanding creditors'!$B3611)</f>
        <v>1</v>
      </c>
      <c r="R3611" s="7">
        <f>MONTH('data on outstanding creditors'!$B3611)</f>
        <v>5</v>
      </c>
      <c r="S3611" s="7">
        <f>YEAR('data on outstanding creditors'!$B3611)</f>
        <v>2025</v>
      </c>
      <c r="T3611" s="11" t="str">
        <f>'data on outstanding creditors'!$C3611&amp;" "&amp;'data on outstanding creditors'!$D3611&amp;" "&amp;TEXT('data on outstanding creditors'!$E3611,"#,##0.00")</f>
        <v>บ.พี ซี แอล โฮลดิ้ง PCI25-05-0115 248,178.00</v>
      </c>
      <c r="U3611" s="12"/>
    </row>
    <row r="3612" ht="13.5" customHeight="1">
      <c r="A3612" s="1" t="s">
        <v>5650</v>
      </c>
      <c r="B3612" s="2">
        <v>45778.0</v>
      </c>
      <c r="C3612" s="9" t="s">
        <v>5607</v>
      </c>
      <c r="D3612" s="1" t="s">
        <v>5651</v>
      </c>
      <c r="E3612" s="4">
        <v>171100.0</v>
      </c>
      <c r="F3612" s="4"/>
      <c r="G3612" s="4"/>
      <c r="H3612" s="4">
        <f>'data on outstanding creditors'!$E3612-'data on outstanding creditors'!$F3612-'data on outstanding creditors'!$G3612</f>
        <v>171100</v>
      </c>
      <c r="I3612" s="2"/>
      <c r="J3612" s="1" t="s">
        <v>646</v>
      </c>
      <c r="K3612" s="2">
        <v>45954.0</v>
      </c>
      <c r="L3612" s="5"/>
      <c r="M3612" s="9" t="s">
        <v>58</v>
      </c>
      <c r="N3612" s="9" t="s">
        <v>49</v>
      </c>
      <c r="O3612" s="10">
        <f>'data on outstanding creditors'!$E3612*100/107</f>
        <v>159906.5421</v>
      </c>
      <c r="P3612" s="10">
        <f>'data on outstanding creditors'!$E3612-'data on outstanding creditors'!$O3612</f>
        <v>11193.45794</v>
      </c>
      <c r="Q3612" s="7">
        <f>DAY('data on outstanding creditors'!$B3612)</f>
        <v>1</v>
      </c>
      <c r="R3612" s="7">
        <f>MONTH('data on outstanding creditors'!$B3612)</f>
        <v>5</v>
      </c>
      <c r="S3612" s="7">
        <f>YEAR('data on outstanding creditors'!$B3612)</f>
        <v>2025</v>
      </c>
      <c r="T3612" s="11" t="str">
        <f>'data on outstanding creditors'!$C3612&amp;" "&amp;'data on outstanding creditors'!$D3612&amp;" "&amp;TEXT('data on outstanding creditors'!$E3612,"#,##0.00")</f>
        <v>บ.อาร์เอ็นดี ไดแอกโนสติกส์ INT-RND-680500138 171,100.00</v>
      </c>
      <c r="U3612" s="12"/>
    </row>
    <row r="3613" ht="13.5" customHeight="1">
      <c r="A3613" s="1" t="s">
        <v>5652</v>
      </c>
      <c r="B3613" s="2">
        <v>45796.0</v>
      </c>
      <c r="C3613" s="9" t="s">
        <v>387</v>
      </c>
      <c r="D3613" s="1" t="s">
        <v>5653</v>
      </c>
      <c r="E3613" s="4">
        <v>354200.0</v>
      </c>
      <c r="F3613" s="4"/>
      <c r="G3613" s="4"/>
      <c r="H3613" s="4">
        <f>'data on outstanding creditors'!$E3613-'data on outstanding creditors'!$F3613-'data on outstanding creditors'!$G3613</f>
        <v>354200</v>
      </c>
      <c r="I3613" s="2"/>
      <c r="J3613" s="1" t="s">
        <v>646</v>
      </c>
      <c r="K3613" s="2">
        <v>45887.0</v>
      </c>
      <c r="L3613" s="5"/>
      <c r="M3613" s="9" t="s">
        <v>58</v>
      </c>
      <c r="N3613" s="9" t="s">
        <v>49</v>
      </c>
      <c r="O3613" s="10">
        <f>'data on outstanding creditors'!$E3613*100/107</f>
        <v>331028.0374</v>
      </c>
      <c r="P3613" s="10">
        <f>'data on outstanding creditors'!$E3613-'data on outstanding creditors'!$O3613</f>
        <v>23171.96262</v>
      </c>
      <c r="Q3613" s="7">
        <f>DAY('data on outstanding creditors'!$B3613)</f>
        <v>19</v>
      </c>
      <c r="R3613" s="7">
        <f>MONTH('data on outstanding creditors'!$B3613)</f>
        <v>5</v>
      </c>
      <c r="S3613" s="7">
        <f>YEAR('data on outstanding creditors'!$B3613)</f>
        <v>2025</v>
      </c>
      <c r="T3613" s="11" t="str">
        <f>'data on outstanding creditors'!$C3613&amp;" "&amp;'data on outstanding creditors'!$D3613&amp;" "&amp;TEXT('data on outstanding creditors'!$E3613,"#,##0.00")</f>
        <v>บ.อินโนเทค ลาบอราทอรี่ เซอร์วิส SV001/68040177 354,200.00</v>
      </c>
      <c r="U3613" s="12"/>
    </row>
    <row r="3614" ht="13.5" customHeight="1">
      <c r="A3614" s="1" t="s">
        <v>5654</v>
      </c>
      <c r="B3614" s="2">
        <v>45796.0</v>
      </c>
      <c r="C3614" s="9" t="s">
        <v>5614</v>
      </c>
      <c r="D3614" s="1" t="s">
        <v>5655</v>
      </c>
      <c r="E3614" s="4">
        <v>137900.0</v>
      </c>
      <c r="F3614" s="4"/>
      <c r="G3614" s="4"/>
      <c r="H3614" s="4">
        <f>'data on outstanding creditors'!$E3614-'data on outstanding creditors'!$F3614-'data on outstanding creditors'!$G3614</f>
        <v>137900</v>
      </c>
      <c r="I3614" s="2"/>
      <c r="J3614" s="1" t="s">
        <v>646</v>
      </c>
      <c r="K3614" s="2">
        <v>45866.0</v>
      </c>
      <c r="L3614" s="5"/>
      <c r="M3614" s="9" t="s">
        <v>58</v>
      </c>
      <c r="N3614" s="9" t="s">
        <v>49</v>
      </c>
      <c r="O3614" s="10">
        <f>'data on outstanding creditors'!$E3614*100/107</f>
        <v>128878.5047</v>
      </c>
      <c r="P3614" s="10">
        <f>'data on outstanding creditors'!$E3614-'data on outstanding creditors'!$O3614</f>
        <v>9021.495327</v>
      </c>
      <c r="Q3614" s="7">
        <f>DAY('data on outstanding creditors'!$B3614)</f>
        <v>19</v>
      </c>
      <c r="R3614" s="7">
        <f>MONTH('data on outstanding creditors'!$B3614)</f>
        <v>5</v>
      </c>
      <c r="S3614" s="7">
        <f>YEAR('data on outstanding creditors'!$B3614)</f>
        <v>2025</v>
      </c>
      <c r="T3614" s="11" t="str">
        <f>'data on outstanding creditors'!$C3614&amp;" "&amp;'data on outstanding creditors'!$D3614&amp;" "&amp;TEXT('data on outstanding creditors'!$E3614,"#,##0.00")</f>
        <v>บ.พี ซี ที ลาบอราตอรี่ เซอร์วิส TI25-04-1145 137,900.00</v>
      </c>
      <c r="U3614" s="12"/>
    </row>
    <row r="3615" ht="13.5" customHeight="1">
      <c r="A3615" s="1" t="s">
        <v>5656</v>
      </c>
      <c r="B3615" s="2">
        <v>45796.0</v>
      </c>
      <c r="C3615" s="9" t="s">
        <v>5614</v>
      </c>
      <c r="D3615" s="1" t="s">
        <v>5657</v>
      </c>
      <c r="E3615" s="4">
        <v>53520.0</v>
      </c>
      <c r="F3615" s="4"/>
      <c r="G3615" s="4"/>
      <c r="H3615" s="4">
        <f>'data on outstanding creditors'!$E3615-'data on outstanding creditors'!$F3615-'data on outstanding creditors'!$G3615</f>
        <v>53520</v>
      </c>
      <c r="I3615" s="2"/>
      <c r="J3615" s="1" t="s">
        <v>646</v>
      </c>
      <c r="K3615" s="2">
        <v>45866.0</v>
      </c>
      <c r="L3615" s="5"/>
      <c r="M3615" s="9" t="s">
        <v>58</v>
      </c>
      <c r="N3615" s="9" t="s">
        <v>49</v>
      </c>
      <c r="O3615" s="10">
        <f>'data on outstanding creditors'!$E3615*100/107</f>
        <v>50018.69159</v>
      </c>
      <c r="P3615" s="10">
        <f>'data on outstanding creditors'!$E3615-'data on outstanding creditors'!$O3615</f>
        <v>3501.308411</v>
      </c>
      <c r="Q3615" s="7">
        <f>DAY('data on outstanding creditors'!$B3615)</f>
        <v>19</v>
      </c>
      <c r="R3615" s="7">
        <f>MONTH('data on outstanding creditors'!$B3615)</f>
        <v>5</v>
      </c>
      <c r="S3615" s="7">
        <f>YEAR('data on outstanding creditors'!$B3615)</f>
        <v>2025</v>
      </c>
      <c r="T3615" s="11" t="str">
        <f>'data on outstanding creditors'!$C3615&amp;" "&amp;'data on outstanding creditors'!$D3615&amp;" "&amp;TEXT('data on outstanding creditors'!$E3615,"#,##0.00")</f>
        <v>บ.พี ซี ที ลาบอราตอรี่ เซอร์วิส TI25-04-1020 53,520.00</v>
      </c>
      <c r="U3615" s="12"/>
    </row>
    <row r="3616" ht="13.5" customHeight="1">
      <c r="A3616" s="1" t="s">
        <v>5658</v>
      </c>
      <c r="B3616" s="2">
        <v>45803.0</v>
      </c>
      <c r="C3616" s="9" t="s">
        <v>413</v>
      </c>
      <c r="D3616" s="1" t="s">
        <v>5659</v>
      </c>
      <c r="E3616" s="4">
        <v>207570.0</v>
      </c>
      <c r="F3616" s="4"/>
      <c r="G3616" s="4"/>
      <c r="H3616" s="4">
        <f>'data on outstanding creditors'!$E3616-'data on outstanding creditors'!$F3616-'data on outstanding creditors'!$G3616</f>
        <v>207570</v>
      </c>
      <c r="I3616" s="2"/>
      <c r="J3616" s="1" t="s">
        <v>646</v>
      </c>
      <c r="K3616" s="2">
        <v>45876.0</v>
      </c>
      <c r="L3616" s="5"/>
      <c r="M3616" s="9" t="s">
        <v>58</v>
      </c>
      <c r="N3616" s="9" t="s">
        <v>49</v>
      </c>
      <c r="O3616" s="10">
        <f>'data on outstanding creditors'!$E3616*100/107</f>
        <v>193990.6542</v>
      </c>
      <c r="P3616" s="10">
        <f>'data on outstanding creditors'!$E3616-'data on outstanding creditors'!$O3616</f>
        <v>13579.34579</v>
      </c>
      <c r="Q3616" s="7">
        <f>DAY('data on outstanding creditors'!$B3616)</f>
        <v>26</v>
      </c>
      <c r="R3616" s="7">
        <f>MONTH('data on outstanding creditors'!$B3616)</f>
        <v>5</v>
      </c>
      <c r="S3616" s="7">
        <f>YEAR('data on outstanding creditors'!$B3616)</f>
        <v>2025</v>
      </c>
      <c r="T3616" s="11" t="str">
        <f>'data on outstanding creditors'!$C3616&amp;" "&amp;'data on outstanding creditors'!$D3616&amp;" "&amp;TEXT('data on outstanding creditors'!$E3616,"#,##0.00")</f>
        <v>ศูนย์บริการโลหิตแห่งชาติ สภากาชาดไทย 682028/00046 207,570.00</v>
      </c>
      <c r="U3616" s="12"/>
    </row>
    <row r="3617" ht="13.5" customHeight="1">
      <c r="A3617" s="1" t="s">
        <v>5660</v>
      </c>
      <c r="B3617" s="2">
        <v>45807.0</v>
      </c>
      <c r="C3617" s="9" t="s">
        <v>5661</v>
      </c>
      <c r="D3617" s="1" t="s">
        <v>5662</v>
      </c>
      <c r="E3617" s="4">
        <v>71365.0</v>
      </c>
      <c r="F3617" s="4"/>
      <c r="G3617" s="4"/>
      <c r="H3617" s="4">
        <f>'data on outstanding creditors'!$E3617-'data on outstanding creditors'!$F3617-'data on outstanding creditors'!$G3617</f>
        <v>71365</v>
      </c>
      <c r="I3617" s="2"/>
      <c r="J3617" s="1" t="s">
        <v>646</v>
      </c>
      <c r="K3617" s="2">
        <v>45887.0</v>
      </c>
      <c r="L3617" s="5"/>
      <c r="M3617" s="9" t="s">
        <v>58</v>
      </c>
      <c r="N3617" s="9" t="s">
        <v>49</v>
      </c>
      <c r="O3617" s="10">
        <f>'data on outstanding creditors'!$E3617*100/107</f>
        <v>66696.26168</v>
      </c>
      <c r="P3617" s="10">
        <f>'data on outstanding creditors'!$E3617-'data on outstanding creditors'!$O3617</f>
        <v>4668.738318</v>
      </c>
      <c r="Q3617" s="7">
        <f>DAY('data on outstanding creditors'!$B3617)</f>
        <v>30</v>
      </c>
      <c r="R3617" s="7">
        <f>MONTH('data on outstanding creditors'!$B3617)</f>
        <v>5</v>
      </c>
      <c r="S3617" s="7">
        <f>YEAR('data on outstanding creditors'!$B3617)</f>
        <v>2025</v>
      </c>
      <c r="T3617" s="11" t="str">
        <f>'data on outstanding creditors'!$C3617&amp;" "&amp;'data on outstanding creditors'!$D3617&amp;" "&amp;TEXT('data on outstanding creditors'!$E3617,"#,##0.00")</f>
        <v>บ.เอ็กซา ซีแลม CMBI-2505-002338 71,365.00</v>
      </c>
      <c r="U3617" s="12"/>
    </row>
    <row r="3618" ht="13.5" customHeight="1">
      <c r="A3618" s="1" t="s">
        <v>5663</v>
      </c>
      <c r="B3618" s="2">
        <v>45807.0</v>
      </c>
      <c r="C3618" s="9" t="s">
        <v>5629</v>
      </c>
      <c r="D3618" s="1" t="s">
        <v>5664</v>
      </c>
      <c r="E3618" s="4">
        <v>535.0</v>
      </c>
      <c r="F3618" s="4"/>
      <c r="G3618" s="4"/>
      <c r="H3618" s="4">
        <f>'data on outstanding creditors'!$E3618-'data on outstanding creditors'!$F3618-'data on outstanding creditors'!$G3618</f>
        <v>535</v>
      </c>
      <c r="I3618" s="2"/>
      <c r="J3618" s="1" t="s">
        <v>646</v>
      </c>
      <c r="K3618" s="2">
        <v>45866.0</v>
      </c>
      <c r="L3618" s="5"/>
      <c r="M3618" s="9" t="s">
        <v>58</v>
      </c>
      <c r="N3618" s="9" t="s">
        <v>49</v>
      </c>
      <c r="O3618" s="10">
        <f>'data on outstanding creditors'!$E3618*100/107</f>
        <v>500</v>
      </c>
      <c r="P3618" s="10">
        <f>'data on outstanding creditors'!$E3618-'data on outstanding creditors'!$O3618</f>
        <v>35</v>
      </c>
      <c r="Q3618" s="7">
        <f>DAY('data on outstanding creditors'!$B3618)</f>
        <v>30</v>
      </c>
      <c r="R3618" s="7">
        <f>MONTH('data on outstanding creditors'!$B3618)</f>
        <v>5</v>
      </c>
      <c r="S3618" s="7">
        <f>YEAR('data on outstanding creditors'!$B3618)</f>
        <v>2025</v>
      </c>
      <c r="T3618" s="11" t="str">
        <f>'data on outstanding creditors'!$C3618&amp;" "&amp;'data on outstanding creditors'!$D3618&amp;" "&amp;TEXT('data on outstanding creditors'!$E3618,"#,##0.00")</f>
        <v>บ.บ้านฟัน โคราช Bi6804165 535.00</v>
      </c>
      <c r="U3618" s="12"/>
    </row>
    <row r="3619" ht="13.5" customHeight="1">
      <c r="A3619" s="1" t="s">
        <v>5665</v>
      </c>
      <c r="B3619" s="2">
        <v>45807.0</v>
      </c>
      <c r="C3619" s="9" t="s">
        <v>5644</v>
      </c>
      <c r="D3619" s="1" t="s">
        <v>5666</v>
      </c>
      <c r="E3619" s="4">
        <v>12615.3</v>
      </c>
      <c r="F3619" s="4"/>
      <c r="G3619" s="4"/>
      <c r="H3619" s="4">
        <f>'data on outstanding creditors'!$E3619-'data on outstanding creditors'!$F3619-'data on outstanding creditors'!$G3619</f>
        <v>12615.3</v>
      </c>
      <c r="I3619" s="2"/>
      <c r="J3619" s="1" t="s">
        <v>646</v>
      </c>
      <c r="K3619" s="2">
        <v>45866.0</v>
      </c>
      <c r="L3619" s="5"/>
      <c r="M3619" s="9" t="s">
        <v>58</v>
      </c>
      <c r="N3619" s="9" t="s">
        <v>49</v>
      </c>
      <c r="O3619" s="10">
        <f>'data on outstanding creditors'!$E3619*100/107</f>
        <v>11790</v>
      </c>
      <c r="P3619" s="10">
        <f>'data on outstanding creditors'!$E3619-'data on outstanding creditors'!$O3619</f>
        <v>825.3</v>
      </c>
      <c r="Q3619" s="7">
        <f>DAY('data on outstanding creditors'!$B3619)</f>
        <v>30</v>
      </c>
      <c r="R3619" s="7">
        <f>MONTH('data on outstanding creditors'!$B3619)</f>
        <v>5</v>
      </c>
      <c r="S3619" s="7">
        <f>YEAR('data on outstanding creditors'!$B3619)</f>
        <v>2025</v>
      </c>
      <c r="T3619" s="11" t="str">
        <f>'data on outstanding creditors'!$C3619&amp;" "&amp;'data on outstanding creditors'!$D3619&amp;" "&amp;TEXT('data on outstanding creditors'!$E3619,"#,##0.00")</f>
        <v>บ.เด็นทาเนียร์ TIN-6805-0194 12,615.30</v>
      </c>
      <c r="U3619" s="12"/>
    </row>
    <row r="3620" ht="13.5" customHeight="1">
      <c r="A3620" s="1" t="s">
        <v>5667</v>
      </c>
      <c r="B3620" s="2">
        <v>45812.0</v>
      </c>
      <c r="C3620" s="9" t="s">
        <v>3888</v>
      </c>
      <c r="D3620" s="1" t="s">
        <v>5668</v>
      </c>
      <c r="E3620" s="4">
        <v>72599.5</v>
      </c>
      <c r="F3620" s="4"/>
      <c r="G3620" s="4"/>
      <c r="H3620" s="4">
        <f>'data on outstanding creditors'!$E3620-'data on outstanding creditors'!$F3620-'data on outstanding creditors'!$G3620</f>
        <v>72599.5</v>
      </c>
      <c r="I3620" s="2"/>
      <c r="J3620" s="1" t="s">
        <v>646</v>
      </c>
      <c r="K3620" s="2">
        <v>45928.0</v>
      </c>
      <c r="L3620" s="5"/>
      <c r="M3620" s="9" t="s">
        <v>58</v>
      </c>
      <c r="N3620" s="9" t="s">
        <v>49</v>
      </c>
      <c r="O3620" s="10">
        <f>'data on outstanding creditors'!$E3620*100/107</f>
        <v>67850</v>
      </c>
      <c r="P3620" s="10">
        <f>'data on outstanding creditors'!$E3620-'data on outstanding creditors'!$O3620</f>
        <v>4749.5</v>
      </c>
      <c r="Q3620" s="7">
        <f>DAY('data on outstanding creditors'!$B3620)</f>
        <v>4</v>
      </c>
      <c r="R3620" s="7">
        <f>MONTH('data on outstanding creditors'!$B3620)</f>
        <v>6</v>
      </c>
      <c r="S3620" s="7">
        <f>YEAR('data on outstanding creditors'!$B3620)</f>
        <v>2025</v>
      </c>
      <c r="T3620" s="11" t="str">
        <f>'data on outstanding creditors'!$C3620&amp;" "&amp;'data on outstanding creditors'!$D3620&amp;" "&amp;TEXT('data on outstanding creditors'!$E3620,"#,##0.00")</f>
        <v>บ.พี ซี แอล โฮลดิ้ง PCI25-06-0110 72,599.50</v>
      </c>
      <c r="U3620" s="12"/>
    </row>
    <row r="3621" ht="13.5" customHeight="1">
      <c r="A3621" s="1" t="s">
        <v>5669</v>
      </c>
      <c r="B3621" s="2">
        <v>45812.0</v>
      </c>
      <c r="C3621" s="9" t="s">
        <v>3888</v>
      </c>
      <c r="D3621" s="1" t="s">
        <v>5670</v>
      </c>
      <c r="E3621" s="4">
        <v>305054.0</v>
      </c>
      <c r="F3621" s="4"/>
      <c r="G3621" s="4"/>
      <c r="H3621" s="4">
        <f>'data on outstanding creditors'!$E3621-'data on outstanding creditors'!$F3621-'data on outstanding creditors'!$G3621</f>
        <v>305054</v>
      </c>
      <c r="I3621" s="2"/>
      <c r="J3621" s="1" t="s">
        <v>646</v>
      </c>
      <c r="K3621" s="2">
        <v>45928.0</v>
      </c>
      <c r="L3621" s="5"/>
      <c r="M3621" s="9" t="s">
        <v>58</v>
      </c>
      <c r="N3621" s="9" t="s">
        <v>49</v>
      </c>
      <c r="O3621" s="10">
        <f>'data on outstanding creditors'!$E3621*100/107</f>
        <v>285097.1963</v>
      </c>
      <c r="P3621" s="10">
        <f>'data on outstanding creditors'!$E3621-'data on outstanding creditors'!$O3621</f>
        <v>19956.80374</v>
      </c>
      <c r="Q3621" s="7">
        <f>DAY('data on outstanding creditors'!$B3621)</f>
        <v>4</v>
      </c>
      <c r="R3621" s="7">
        <f>MONTH('data on outstanding creditors'!$B3621)</f>
        <v>6</v>
      </c>
      <c r="S3621" s="7">
        <f>YEAR('data on outstanding creditors'!$B3621)</f>
        <v>2025</v>
      </c>
      <c r="T3621" s="11" t="str">
        <f>'data on outstanding creditors'!$C3621&amp;" "&amp;'data on outstanding creditors'!$D3621&amp;" "&amp;TEXT('data on outstanding creditors'!$E3621,"#,##0.00")</f>
        <v>บ.พี ซี แอล โฮลดิ้ง PCI25-06-0114 305,054.00</v>
      </c>
      <c r="U3621" s="12"/>
    </row>
    <row r="3622" ht="13.5" customHeight="1">
      <c r="A3622" s="1" t="s">
        <v>5671</v>
      </c>
      <c r="B3622" s="2">
        <v>45812.0</v>
      </c>
      <c r="C3622" s="9" t="s">
        <v>5607</v>
      </c>
      <c r="D3622" s="1" t="s">
        <v>5672</v>
      </c>
      <c r="E3622" s="4">
        <v>207868.0</v>
      </c>
      <c r="F3622" s="4"/>
      <c r="G3622" s="4"/>
      <c r="H3622" s="4">
        <f>'data on outstanding creditors'!$E3622-'data on outstanding creditors'!$F3622-'data on outstanding creditors'!$G3622</f>
        <v>207868</v>
      </c>
      <c r="I3622" s="2"/>
      <c r="J3622" s="1" t="s">
        <v>646</v>
      </c>
      <c r="K3622" s="2">
        <v>45954.0</v>
      </c>
      <c r="L3622" s="5"/>
      <c r="M3622" s="9" t="s">
        <v>58</v>
      </c>
      <c r="N3622" s="9" t="s">
        <v>49</v>
      </c>
      <c r="O3622" s="10">
        <f>'data on outstanding creditors'!$E3622*100/107</f>
        <v>194269.1589</v>
      </c>
      <c r="P3622" s="10">
        <f>'data on outstanding creditors'!$E3622-'data on outstanding creditors'!$O3622</f>
        <v>13598.84112</v>
      </c>
      <c r="Q3622" s="7">
        <f>DAY('data on outstanding creditors'!$B3622)</f>
        <v>4</v>
      </c>
      <c r="R3622" s="7">
        <f>MONTH('data on outstanding creditors'!$B3622)</f>
        <v>6</v>
      </c>
      <c r="S3622" s="7">
        <f>YEAR('data on outstanding creditors'!$B3622)</f>
        <v>2025</v>
      </c>
      <c r="T3622" s="11" t="str">
        <f>'data on outstanding creditors'!$C3622&amp;" "&amp;'data on outstanding creditors'!$D3622&amp;" "&amp;TEXT('data on outstanding creditors'!$E3622,"#,##0.00")</f>
        <v>บ.อาร์เอ็นดี ไดแอกโนสติกส์ INT-RND-680600098 207,868.00</v>
      </c>
      <c r="U3622" s="12"/>
    </row>
    <row r="3623" ht="13.5" customHeight="1">
      <c r="A3623" s="1" t="s">
        <v>5673</v>
      </c>
      <c r="B3623" s="2">
        <v>45817.0</v>
      </c>
      <c r="C3623" s="9" t="s">
        <v>413</v>
      </c>
      <c r="D3623" s="1" t="s">
        <v>5674</v>
      </c>
      <c r="E3623" s="4">
        <v>2120.0</v>
      </c>
      <c r="F3623" s="4"/>
      <c r="G3623" s="4"/>
      <c r="H3623" s="4">
        <f>'data on outstanding creditors'!$E3623-'data on outstanding creditors'!$F3623-'data on outstanding creditors'!$G3623</f>
        <v>2120</v>
      </c>
      <c r="I3623" s="2"/>
      <c r="J3623" s="1" t="s">
        <v>646</v>
      </c>
      <c r="K3623" s="2">
        <v>45876.0</v>
      </c>
      <c r="L3623" s="5"/>
      <c r="M3623" s="9" t="s">
        <v>58</v>
      </c>
      <c r="N3623" s="9" t="s">
        <v>49</v>
      </c>
      <c r="O3623" s="10">
        <f>'data on outstanding creditors'!$E3623*100/107</f>
        <v>1981.308411</v>
      </c>
      <c r="P3623" s="10">
        <f>'data on outstanding creditors'!$E3623-'data on outstanding creditors'!$O3623</f>
        <v>138.6915888</v>
      </c>
      <c r="Q3623" s="7">
        <f>DAY('data on outstanding creditors'!$B3623)</f>
        <v>9</v>
      </c>
      <c r="R3623" s="7">
        <f>MONTH('data on outstanding creditors'!$B3623)</f>
        <v>6</v>
      </c>
      <c r="S3623" s="7">
        <f>YEAR('data on outstanding creditors'!$B3623)</f>
        <v>2025</v>
      </c>
      <c r="T3623" s="11" t="str">
        <f>'data on outstanding creditors'!$C3623&amp;" "&amp;'data on outstanding creditors'!$D3623&amp;" "&amp;TEXT('data on outstanding creditors'!$E3623,"#,##0.00")</f>
        <v>ศูนย์บริการโลหิตแห่งชาติ สภากาชาดไทย 682031/00009 2,120.00</v>
      </c>
      <c r="U3623" s="12"/>
    </row>
    <row r="3624" ht="13.5" customHeight="1">
      <c r="A3624" s="1" t="s">
        <v>5675</v>
      </c>
      <c r="B3624" s="2">
        <v>45820.0</v>
      </c>
      <c r="C3624" s="9" t="s">
        <v>5614</v>
      </c>
      <c r="D3624" s="1" t="s">
        <v>5676</v>
      </c>
      <c r="E3624" s="4">
        <v>93805.0</v>
      </c>
      <c r="F3624" s="4"/>
      <c r="G3624" s="4"/>
      <c r="H3624" s="4">
        <f>'data on outstanding creditors'!$E3624-'data on outstanding creditors'!$F3624-'data on outstanding creditors'!$G3624</f>
        <v>93805</v>
      </c>
      <c r="I3624" s="2"/>
      <c r="J3624" s="1" t="s">
        <v>646</v>
      </c>
      <c r="K3624" s="2">
        <v>45928.0</v>
      </c>
      <c r="L3624" s="5"/>
      <c r="M3624" s="9" t="s">
        <v>58</v>
      </c>
      <c r="N3624" s="9" t="s">
        <v>49</v>
      </c>
      <c r="O3624" s="10">
        <f>'data on outstanding creditors'!$E3624*100/107</f>
        <v>87668.2243</v>
      </c>
      <c r="P3624" s="10">
        <f>'data on outstanding creditors'!$E3624-'data on outstanding creditors'!$O3624</f>
        <v>6136.775701</v>
      </c>
      <c r="Q3624" s="7">
        <f>DAY('data on outstanding creditors'!$B3624)</f>
        <v>12</v>
      </c>
      <c r="R3624" s="7">
        <f>MONTH('data on outstanding creditors'!$B3624)</f>
        <v>6</v>
      </c>
      <c r="S3624" s="7">
        <f>YEAR('data on outstanding creditors'!$B3624)</f>
        <v>2025</v>
      </c>
      <c r="T3624" s="11" t="str">
        <f>'data on outstanding creditors'!$C3624&amp;" "&amp;'data on outstanding creditors'!$D3624&amp;" "&amp;TEXT('data on outstanding creditors'!$E3624,"#,##0.00")</f>
        <v>บ.พี ซี ที ลาบอราตอรี่ เซอร์วิส TI25-05-1028 93,805.00</v>
      </c>
      <c r="U3624" s="12"/>
    </row>
    <row r="3625" ht="13.5" customHeight="1">
      <c r="A3625" s="1" t="s">
        <v>5677</v>
      </c>
      <c r="B3625" s="2">
        <v>45820.0</v>
      </c>
      <c r="C3625" s="9" t="s">
        <v>5614</v>
      </c>
      <c r="D3625" s="1" t="s">
        <v>5678</v>
      </c>
      <c r="E3625" s="4">
        <v>110365.0</v>
      </c>
      <c r="F3625" s="4"/>
      <c r="G3625" s="4"/>
      <c r="H3625" s="4">
        <f>'data on outstanding creditors'!$E3625-'data on outstanding creditors'!$F3625-'data on outstanding creditors'!$G3625</f>
        <v>110365</v>
      </c>
      <c r="I3625" s="2"/>
      <c r="J3625" s="1" t="s">
        <v>646</v>
      </c>
      <c r="K3625" s="2">
        <v>45928.0</v>
      </c>
      <c r="L3625" s="5"/>
      <c r="M3625" s="9" t="s">
        <v>58</v>
      </c>
      <c r="N3625" s="9" t="s">
        <v>49</v>
      </c>
      <c r="O3625" s="10">
        <f>'data on outstanding creditors'!$E3625*100/107</f>
        <v>103144.8598</v>
      </c>
      <c r="P3625" s="10">
        <f>'data on outstanding creditors'!$E3625-'data on outstanding creditors'!$O3625</f>
        <v>7220.140187</v>
      </c>
      <c r="Q3625" s="7">
        <f>DAY('data on outstanding creditors'!$B3625)</f>
        <v>12</v>
      </c>
      <c r="R3625" s="7">
        <f>MONTH('data on outstanding creditors'!$B3625)</f>
        <v>6</v>
      </c>
      <c r="S3625" s="7">
        <f>YEAR('data on outstanding creditors'!$B3625)</f>
        <v>2025</v>
      </c>
      <c r="T3625" s="11" t="str">
        <f>'data on outstanding creditors'!$C3625&amp;" "&amp;'data on outstanding creditors'!$D3625&amp;" "&amp;TEXT('data on outstanding creditors'!$E3625,"#,##0.00")</f>
        <v>บ.พี ซี ที ลาบอราตอรี่ เซอร์วิส TI25-05-1155 110,365.00</v>
      </c>
      <c r="U3625" s="12"/>
    </row>
    <row r="3626" ht="13.5" customHeight="1">
      <c r="A3626" s="1" t="s">
        <v>5679</v>
      </c>
      <c r="B3626" s="2">
        <v>45825.0</v>
      </c>
      <c r="C3626" s="9" t="s">
        <v>387</v>
      </c>
      <c r="D3626" s="1" t="s">
        <v>5680</v>
      </c>
      <c r="E3626" s="4">
        <v>332000.0</v>
      </c>
      <c r="F3626" s="4"/>
      <c r="G3626" s="4"/>
      <c r="H3626" s="4">
        <f>'data on outstanding creditors'!$E3626-'data on outstanding creditors'!$F3626-'data on outstanding creditors'!$G3626</f>
        <v>332000</v>
      </c>
      <c r="I3626" s="2"/>
      <c r="J3626" s="1" t="s">
        <v>646</v>
      </c>
      <c r="K3626" s="2">
        <v>45887.0</v>
      </c>
      <c r="L3626" s="5"/>
      <c r="M3626" s="9" t="s">
        <v>58</v>
      </c>
      <c r="N3626" s="9" t="s">
        <v>49</v>
      </c>
      <c r="O3626" s="10">
        <f>'data on outstanding creditors'!$E3626*100/107</f>
        <v>310280.3738</v>
      </c>
      <c r="P3626" s="10">
        <f>'data on outstanding creditors'!$E3626-'data on outstanding creditors'!$O3626</f>
        <v>21719.62617</v>
      </c>
      <c r="Q3626" s="7">
        <f>DAY('data on outstanding creditors'!$B3626)</f>
        <v>17</v>
      </c>
      <c r="R3626" s="7">
        <f>MONTH('data on outstanding creditors'!$B3626)</f>
        <v>6</v>
      </c>
      <c r="S3626" s="7">
        <f>YEAR('data on outstanding creditors'!$B3626)</f>
        <v>2025</v>
      </c>
      <c r="T3626" s="11" t="str">
        <f>'data on outstanding creditors'!$C3626&amp;" "&amp;'data on outstanding creditors'!$D3626&amp;" "&amp;TEXT('data on outstanding creditors'!$E3626,"#,##0.00")</f>
        <v>บ.อินโนเทค ลาบอราทอรี่ เซอร์วิส SV001/68050160 332,000.00</v>
      </c>
      <c r="U3626" s="12"/>
    </row>
    <row r="3627" ht="13.5" customHeight="1">
      <c r="A3627" s="1" t="s">
        <v>5681</v>
      </c>
      <c r="B3627" s="2">
        <v>45827.0</v>
      </c>
      <c r="C3627" s="9" t="s">
        <v>5682</v>
      </c>
      <c r="D3627" s="1" t="s">
        <v>5683</v>
      </c>
      <c r="E3627" s="4">
        <v>10200.0</v>
      </c>
      <c r="F3627" s="4"/>
      <c r="G3627" s="4"/>
      <c r="H3627" s="4">
        <f>'data on outstanding creditors'!$E3627-'data on outstanding creditors'!$F3627-'data on outstanding creditors'!$G3627</f>
        <v>10200</v>
      </c>
      <c r="I3627" s="2"/>
      <c r="J3627" s="1" t="s">
        <v>646</v>
      </c>
      <c r="K3627" s="2">
        <v>45894.0</v>
      </c>
      <c r="L3627" s="5"/>
      <c r="M3627" s="9" t="s">
        <v>58</v>
      </c>
      <c r="N3627" s="9" t="s">
        <v>49</v>
      </c>
      <c r="O3627" s="10">
        <f>'data on outstanding creditors'!$E3627*100/107</f>
        <v>9532.71028</v>
      </c>
      <c r="P3627" s="10">
        <f>'data on outstanding creditors'!$E3627-'data on outstanding creditors'!$O3627</f>
        <v>667.2897196</v>
      </c>
      <c r="Q3627" s="7">
        <f>DAY('data on outstanding creditors'!$B3627)</f>
        <v>19</v>
      </c>
      <c r="R3627" s="7">
        <f>MONTH('data on outstanding creditors'!$B3627)</f>
        <v>6</v>
      </c>
      <c r="S3627" s="7">
        <f>YEAR('data on outstanding creditors'!$B3627)</f>
        <v>2025</v>
      </c>
      <c r="T3627" s="11" t="str">
        <f>'data on outstanding creditors'!$C3627&amp;" "&amp;'data on outstanding creditors'!$D3627&amp;" "&amp;TEXT('data on outstanding creditors'!$E3627,"#,##0.00")</f>
        <v>สถาบันพยาธิวิทยา กรมการแพทย์ สธ0314/กง.1261 10,200.00</v>
      </c>
      <c r="U3627" s="12"/>
    </row>
    <row r="3628" ht="13.5" customHeight="1">
      <c r="A3628" s="1" t="s">
        <v>5684</v>
      </c>
      <c r="B3628" s="2">
        <v>45833.0</v>
      </c>
      <c r="C3628" s="9" t="s">
        <v>413</v>
      </c>
      <c r="D3628" s="1" t="s">
        <v>5685</v>
      </c>
      <c r="E3628" s="4">
        <v>167000.0</v>
      </c>
      <c r="F3628" s="4"/>
      <c r="G3628" s="4"/>
      <c r="H3628" s="4">
        <f>'data on outstanding creditors'!$E3628-'data on outstanding creditors'!$F3628-'data on outstanding creditors'!$G3628</f>
        <v>167000</v>
      </c>
      <c r="I3628" s="2"/>
      <c r="J3628" s="1" t="s">
        <v>646</v>
      </c>
      <c r="K3628" s="2">
        <v>45894.0</v>
      </c>
      <c r="L3628" s="5"/>
      <c r="M3628" s="9" t="s">
        <v>58</v>
      </c>
      <c r="N3628" s="9" t="s">
        <v>49</v>
      </c>
      <c r="O3628" s="10">
        <f>'data on outstanding creditors'!$E3628*100/107</f>
        <v>156074.7664</v>
      </c>
      <c r="P3628" s="10">
        <f>'data on outstanding creditors'!$E3628-'data on outstanding creditors'!$O3628</f>
        <v>10925.23364</v>
      </c>
      <c r="Q3628" s="7">
        <f>DAY('data on outstanding creditors'!$B3628)</f>
        <v>25</v>
      </c>
      <c r="R3628" s="7">
        <f>MONTH('data on outstanding creditors'!$B3628)</f>
        <v>6</v>
      </c>
      <c r="S3628" s="7">
        <f>YEAR('data on outstanding creditors'!$B3628)</f>
        <v>2025</v>
      </c>
      <c r="T3628" s="11" t="str">
        <f>'data on outstanding creditors'!$C3628&amp;" "&amp;'data on outstanding creditors'!$D3628&amp;" "&amp;TEXT('data on outstanding creditors'!$E3628,"#,##0.00")</f>
        <v>ศูนย์บริการโลหิตแห่งชาติ สภากาชาดไทย 682053/00088 167,000.00</v>
      </c>
      <c r="U3628" s="12"/>
    </row>
    <row r="3629" ht="13.5" customHeight="1">
      <c r="A3629" s="1" t="s">
        <v>5686</v>
      </c>
      <c r="B3629" s="2">
        <v>45838.0</v>
      </c>
      <c r="C3629" s="9" t="s">
        <v>5661</v>
      </c>
      <c r="D3629" s="1" t="s">
        <v>5687</v>
      </c>
      <c r="E3629" s="4">
        <v>136620.0</v>
      </c>
      <c r="F3629" s="4"/>
      <c r="G3629" s="4"/>
      <c r="H3629" s="4">
        <f>'data on outstanding creditors'!$E3629-'data on outstanding creditors'!$F3629-'data on outstanding creditors'!$G3629</f>
        <v>136620</v>
      </c>
      <c r="I3629" s="2"/>
      <c r="J3629" s="1" t="s">
        <v>646</v>
      </c>
      <c r="K3629" s="2">
        <v>45944.0</v>
      </c>
      <c r="L3629" s="5"/>
      <c r="M3629" s="9" t="s">
        <v>58</v>
      </c>
      <c r="N3629" s="9" t="s">
        <v>49</v>
      </c>
      <c r="O3629" s="10">
        <f>'data on outstanding creditors'!$E3629*100/107</f>
        <v>127682.243</v>
      </c>
      <c r="P3629" s="10">
        <f>'data on outstanding creditors'!$E3629-'data on outstanding creditors'!$O3629</f>
        <v>8937.757009</v>
      </c>
      <c r="Q3629" s="7">
        <f>DAY('data on outstanding creditors'!$B3629)</f>
        <v>30</v>
      </c>
      <c r="R3629" s="7">
        <f>MONTH('data on outstanding creditors'!$B3629)</f>
        <v>6</v>
      </c>
      <c r="S3629" s="7">
        <f>YEAR('data on outstanding creditors'!$B3629)</f>
        <v>2025</v>
      </c>
      <c r="T3629" s="11" t="str">
        <f>'data on outstanding creditors'!$C3629&amp;" "&amp;'data on outstanding creditors'!$D3629&amp;" "&amp;TEXT('data on outstanding creditors'!$E3629,"#,##0.00")</f>
        <v>บ.เอ็กซา ซีแลม CMBI-2506-000740 136,620.00</v>
      </c>
      <c r="U3629" s="12"/>
    </row>
    <row r="3630" ht="13.5" customHeight="1">
      <c r="A3630" s="1" t="s">
        <v>5688</v>
      </c>
      <c r="B3630" s="2">
        <v>45838.0</v>
      </c>
      <c r="C3630" s="9" t="s">
        <v>5644</v>
      </c>
      <c r="D3630" s="1" t="s">
        <v>5689</v>
      </c>
      <c r="E3630" s="4">
        <v>26610.9</v>
      </c>
      <c r="F3630" s="4"/>
      <c r="G3630" s="4"/>
      <c r="H3630" s="4">
        <f>'data on outstanding creditors'!$E3630-'data on outstanding creditors'!$F3630-'data on outstanding creditors'!$G3630</f>
        <v>26610.9</v>
      </c>
      <c r="I3630" s="2"/>
      <c r="J3630" s="1" t="s">
        <v>646</v>
      </c>
      <c r="K3630" s="2">
        <v>45928.0</v>
      </c>
      <c r="L3630" s="5"/>
      <c r="M3630" s="9" t="s">
        <v>58</v>
      </c>
      <c r="N3630" s="9" t="s">
        <v>49</v>
      </c>
      <c r="O3630" s="10">
        <f>'data on outstanding creditors'!$E3630*100/107</f>
        <v>24870</v>
      </c>
      <c r="P3630" s="10">
        <f>'data on outstanding creditors'!$E3630-'data on outstanding creditors'!$O3630</f>
        <v>1740.9</v>
      </c>
      <c r="Q3630" s="7">
        <f>DAY('data on outstanding creditors'!$B3630)</f>
        <v>30</v>
      </c>
      <c r="R3630" s="7">
        <f>MONTH('data on outstanding creditors'!$B3630)</f>
        <v>6</v>
      </c>
      <c r="S3630" s="7">
        <f>YEAR('data on outstanding creditors'!$B3630)</f>
        <v>2025</v>
      </c>
      <c r="T3630" s="11" t="str">
        <f>'data on outstanding creditors'!$C3630&amp;" "&amp;'data on outstanding creditors'!$D3630&amp;" "&amp;TEXT('data on outstanding creditors'!$E3630,"#,##0.00")</f>
        <v>บ.เด็นทาเนียร์ TIN-6806-0169 26,610.90</v>
      </c>
      <c r="U3630" s="12"/>
    </row>
    <row r="3631" ht="13.5" customHeight="1">
      <c r="A3631" s="1" t="s">
        <v>5690</v>
      </c>
      <c r="B3631" s="2">
        <v>45838.0</v>
      </c>
      <c r="C3631" s="9" t="s">
        <v>5629</v>
      </c>
      <c r="D3631" s="1" t="s">
        <v>5691</v>
      </c>
      <c r="E3631" s="4">
        <v>877.4</v>
      </c>
      <c r="F3631" s="4"/>
      <c r="G3631" s="4"/>
      <c r="H3631" s="4">
        <f>'data on outstanding creditors'!$E3631-'data on outstanding creditors'!$F3631-'data on outstanding creditors'!$G3631</f>
        <v>877.4</v>
      </c>
      <c r="I3631" s="2"/>
      <c r="J3631" s="1" t="s">
        <v>646</v>
      </c>
      <c r="K3631" s="2">
        <v>45928.0</v>
      </c>
      <c r="L3631" s="5"/>
      <c r="M3631" s="9" t="s">
        <v>58</v>
      </c>
      <c r="N3631" s="9" t="s">
        <v>49</v>
      </c>
      <c r="O3631" s="10">
        <f>'data on outstanding creditors'!$E3631*100/107</f>
        <v>820</v>
      </c>
      <c r="P3631" s="10">
        <f>'data on outstanding creditors'!$E3631-'data on outstanding creditors'!$O3631</f>
        <v>57.4</v>
      </c>
      <c r="Q3631" s="7">
        <f>DAY('data on outstanding creditors'!$B3631)</f>
        <v>30</v>
      </c>
      <c r="R3631" s="7">
        <f>MONTH('data on outstanding creditors'!$B3631)</f>
        <v>6</v>
      </c>
      <c r="S3631" s="7">
        <f>YEAR('data on outstanding creditors'!$B3631)</f>
        <v>2025</v>
      </c>
      <c r="T3631" s="11" t="str">
        <f>'data on outstanding creditors'!$C3631&amp;" "&amp;'data on outstanding creditors'!$D3631&amp;" "&amp;TEXT('data on outstanding creditors'!$E3631,"#,##0.00")</f>
        <v>บ.บ้านฟัน โคราช BI6805086 877.40</v>
      </c>
      <c r="U3631" s="12"/>
    </row>
    <row r="3632" ht="13.5" customHeight="1">
      <c r="A3632" s="1" t="s">
        <v>5692</v>
      </c>
      <c r="B3632" s="2">
        <v>45839.0</v>
      </c>
      <c r="C3632" s="9" t="s">
        <v>5607</v>
      </c>
      <c r="D3632" s="1" t="s">
        <v>5693</v>
      </c>
      <c r="E3632" s="4">
        <v>136012.0</v>
      </c>
      <c r="F3632" s="4"/>
      <c r="G3632" s="4"/>
      <c r="H3632" s="4">
        <f>'data on outstanding creditors'!$E3632-'data on outstanding creditors'!$F3632-'data on outstanding creditors'!$G3632</f>
        <v>136012</v>
      </c>
      <c r="I3632" s="2"/>
      <c r="J3632" s="1" t="s">
        <v>646</v>
      </c>
      <c r="K3632" s="2">
        <v>45954.0</v>
      </c>
      <c r="L3632" s="5"/>
      <c r="M3632" s="9" t="s">
        <v>58</v>
      </c>
      <c r="N3632" s="9" t="s">
        <v>49</v>
      </c>
      <c r="O3632" s="10">
        <f>'data on outstanding creditors'!$E3632*100/107</f>
        <v>127114.0187</v>
      </c>
      <c r="P3632" s="10">
        <f>'data on outstanding creditors'!$E3632-'data on outstanding creditors'!$O3632</f>
        <v>8897.981308</v>
      </c>
      <c r="Q3632" s="7">
        <f>DAY('data on outstanding creditors'!$B3632)</f>
        <v>1</v>
      </c>
      <c r="R3632" s="7">
        <f>MONTH('data on outstanding creditors'!$B3632)</f>
        <v>7</v>
      </c>
      <c r="S3632" s="7">
        <f>YEAR('data on outstanding creditors'!$B3632)</f>
        <v>2025</v>
      </c>
      <c r="T3632" s="11" t="str">
        <f>'data on outstanding creditors'!$C3632&amp;" "&amp;'data on outstanding creditors'!$D3632&amp;" "&amp;TEXT('data on outstanding creditors'!$E3632,"#,##0.00")</f>
        <v>บ.อาร์เอ็นดี ไดแอกโนสติกส์ INT-RND-680600164 136,012.00</v>
      </c>
      <c r="U3632" s="12"/>
    </row>
    <row r="3633" ht="13.5" customHeight="1">
      <c r="A3633" s="1" t="s">
        <v>5694</v>
      </c>
      <c r="B3633" s="2">
        <v>45839.0</v>
      </c>
      <c r="C3633" s="9" t="s">
        <v>3888</v>
      </c>
      <c r="D3633" s="1" t="s">
        <v>5695</v>
      </c>
      <c r="E3633" s="4">
        <v>68233.5</v>
      </c>
      <c r="F3633" s="4"/>
      <c r="G3633" s="4"/>
      <c r="H3633" s="4">
        <f>'data on outstanding creditors'!$E3633-'data on outstanding creditors'!$F3633-'data on outstanding creditors'!$G3633</f>
        <v>68233.5</v>
      </c>
      <c r="I3633" s="2"/>
      <c r="J3633" s="1" t="s">
        <v>757</v>
      </c>
      <c r="K3633" s="2">
        <v>45935.0</v>
      </c>
      <c r="L3633" s="5"/>
      <c r="M3633" s="9" t="s">
        <v>58</v>
      </c>
      <c r="N3633" s="9" t="s">
        <v>49</v>
      </c>
      <c r="O3633" s="10">
        <f>'data on outstanding creditors'!$E3633*100/107</f>
        <v>63769.62617</v>
      </c>
      <c r="P3633" s="10">
        <f>'data on outstanding creditors'!$E3633-'data on outstanding creditors'!$O3633</f>
        <v>4463.873832</v>
      </c>
      <c r="Q3633" s="7">
        <f>DAY('data on outstanding creditors'!$B3633)</f>
        <v>1</v>
      </c>
      <c r="R3633" s="7">
        <f>MONTH('data on outstanding creditors'!$B3633)</f>
        <v>7</v>
      </c>
      <c r="S3633" s="7">
        <f>YEAR('data on outstanding creditors'!$B3633)</f>
        <v>2025</v>
      </c>
      <c r="T3633" s="11" t="str">
        <f>'data on outstanding creditors'!$C3633&amp;" "&amp;'data on outstanding creditors'!$D3633&amp;" "&amp;TEXT('data on outstanding creditors'!$E3633,"#,##0.00")</f>
        <v>บ.พี ซี แอล โฮลดิ้ง PCI25-06-0268 68,233.50</v>
      </c>
      <c r="U3633" s="12"/>
    </row>
    <row r="3634" ht="13.5" customHeight="1">
      <c r="A3634" s="1" t="s">
        <v>5696</v>
      </c>
      <c r="B3634" s="2">
        <v>45839.0</v>
      </c>
      <c r="C3634" s="9" t="s">
        <v>3888</v>
      </c>
      <c r="D3634" s="1" t="s">
        <v>5697</v>
      </c>
      <c r="E3634" s="4">
        <v>210817.0</v>
      </c>
      <c r="F3634" s="4"/>
      <c r="G3634" s="4"/>
      <c r="H3634" s="4">
        <f>'data on outstanding creditors'!$E3634-'data on outstanding creditors'!$F3634-'data on outstanding creditors'!$G3634</f>
        <v>210817</v>
      </c>
      <c r="I3634" s="2"/>
      <c r="J3634" s="1" t="s">
        <v>757</v>
      </c>
      <c r="K3634" s="2">
        <v>45935.0</v>
      </c>
      <c r="L3634" s="5"/>
      <c r="M3634" s="9" t="s">
        <v>58</v>
      </c>
      <c r="N3634" s="9" t="s">
        <v>49</v>
      </c>
      <c r="O3634" s="10">
        <f>'data on outstanding creditors'!$E3634*100/107</f>
        <v>197025.2336</v>
      </c>
      <c r="P3634" s="10">
        <f>'data on outstanding creditors'!$E3634-'data on outstanding creditors'!$O3634</f>
        <v>13791.76636</v>
      </c>
      <c r="Q3634" s="7">
        <f>DAY('data on outstanding creditors'!$B3634)</f>
        <v>1</v>
      </c>
      <c r="R3634" s="7">
        <f>MONTH('data on outstanding creditors'!$B3634)</f>
        <v>7</v>
      </c>
      <c r="S3634" s="7">
        <f>YEAR('data on outstanding creditors'!$B3634)</f>
        <v>2025</v>
      </c>
      <c r="T3634" s="11" t="str">
        <f>'data on outstanding creditors'!$C3634&amp;" "&amp;'data on outstanding creditors'!$D3634&amp;" "&amp;TEXT('data on outstanding creditors'!$E3634,"#,##0.00")</f>
        <v>บ.พี ซี แอล โฮลดิ้ง PCI25-06-0267 210,817.00</v>
      </c>
      <c r="U3634" s="12"/>
    </row>
    <row r="3635" ht="13.5" customHeight="1">
      <c r="A3635" s="1" t="s">
        <v>5698</v>
      </c>
      <c r="B3635" s="2">
        <v>45840.0</v>
      </c>
      <c r="C3635" s="9" t="s">
        <v>413</v>
      </c>
      <c r="D3635" s="1" t="s">
        <v>5699</v>
      </c>
      <c r="E3635" s="4">
        <v>1060.0</v>
      </c>
      <c r="F3635" s="4"/>
      <c r="G3635" s="4"/>
      <c r="H3635" s="4">
        <f>'data on outstanding creditors'!$E3635-'data on outstanding creditors'!$F3635-'data on outstanding creditors'!$G3635</f>
        <v>1060</v>
      </c>
      <c r="I3635" s="2"/>
      <c r="J3635" s="1" t="s">
        <v>646</v>
      </c>
      <c r="K3635" s="2">
        <v>45906.0</v>
      </c>
      <c r="L3635" s="5"/>
      <c r="M3635" s="9" t="s">
        <v>58</v>
      </c>
      <c r="N3635" s="9" t="s">
        <v>49</v>
      </c>
      <c r="O3635" s="10">
        <f>'data on outstanding creditors'!$E3635*100/107</f>
        <v>990.6542056</v>
      </c>
      <c r="P3635" s="10">
        <f>'data on outstanding creditors'!$E3635-'data on outstanding creditors'!$O3635</f>
        <v>69.34579439</v>
      </c>
      <c r="Q3635" s="7">
        <f>DAY('data on outstanding creditors'!$B3635)</f>
        <v>2</v>
      </c>
      <c r="R3635" s="7">
        <f>MONTH('data on outstanding creditors'!$B3635)</f>
        <v>7</v>
      </c>
      <c r="S3635" s="7">
        <f>YEAR('data on outstanding creditors'!$B3635)</f>
        <v>2025</v>
      </c>
      <c r="T3635" s="11" t="str">
        <f>'data on outstanding creditors'!$C3635&amp;" "&amp;'data on outstanding creditors'!$D3635&amp;" "&amp;TEXT('data on outstanding creditors'!$E3635,"#,##0.00")</f>
        <v>ศูนย์บริการโลหิตแห่งชาติ สภากาชาดไทย 682055/00095 1,060.00</v>
      </c>
      <c r="U3635" s="12"/>
    </row>
    <row r="3636" ht="13.5" customHeight="1">
      <c r="A3636" s="1" t="s">
        <v>5700</v>
      </c>
      <c r="B3636" s="2">
        <v>45854.0</v>
      </c>
      <c r="C3636" s="9" t="s">
        <v>5614</v>
      </c>
      <c r="D3636" s="1" t="s">
        <v>5701</v>
      </c>
      <c r="E3636" s="4">
        <v>81025.0</v>
      </c>
      <c r="F3636" s="4"/>
      <c r="G3636" s="4"/>
      <c r="H3636" s="4">
        <f>'data on outstanding creditors'!$E3636-'data on outstanding creditors'!$F3636-'data on outstanding creditors'!$G3636</f>
        <v>81025</v>
      </c>
      <c r="I3636" s="2"/>
      <c r="J3636" s="1" t="s">
        <v>646</v>
      </c>
      <c r="K3636" s="2">
        <v>45928.0</v>
      </c>
      <c r="L3636" s="5"/>
      <c r="M3636" s="9" t="s">
        <v>58</v>
      </c>
      <c r="N3636" s="9" t="s">
        <v>49</v>
      </c>
      <c r="O3636" s="10">
        <f>'data on outstanding creditors'!$E3636*100/107</f>
        <v>75724.29907</v>
      </c>
      <c r="P3636" s="10">
        <f>'data on outstanding creditors'!$E3636-'data on outstanding creditors'!$O3636</f>
        <v>5300.700935</v>
      </c>
      <c r="Q3636" s="7">
        <f>DAY('data on outstanding creditors'!$B3636)</f>
        <v>16</v>
      </c>
      <c r="R3636" s="7">
        <f>MONTH('data on outstanding creditors'!$B3636)</f>
        <v>7</v>
      </c>
      <c r="S3636" s="7">
        <f>YEAR('data on outstanding creditors'!$B3636)</f>
        <v>2025</v>
      </c>
      <c r="T3636" s="11" t="str">
        <f>'data on outstanding creditors'!$C3636&amp;" "&amp;'data on outstanding creditors'!$D3636&amp;" "&amp;TEXT('data on outstanding creditors'!$E3636,"#,##0.00")</f>
        <v>บ.พี ซี ที ลาบอราตอรี่ เซอร์วิส TI25-06-1153 81,025.00</v>
      </c>
      <c r="U3636" s="12"/>
    </row>
    <row r="3637" ht="13.5" customHeight="1">
      <c r="A3637" s="1" t="s">
        <v>5702</v>
      </c>
      <c r="B3637" s="2">
        <v>45854.0</v>
      </c>
      <c r="C3637" s="9" t="s">
        <v>5614</v>
      </c>
      <c r="D3637" s="1" t="s">
        <v>5703</v>
      </c>
      <c r="E3637" s="4">
        <v>126880.0</v>
      </c>
      <c r="F3637" s="4"/>
      <c r="G3637" s="4"/>
      <c r="H3637" s="4">
        <f>'data on outstanding creditors'!$E3637-'data on outstanding creditors'!$F3637-'data on outstanding creditors'!$G3637</f>
        <v>126880</v>
      </c>
      <c r="I3637" s="2"/>
      <c r="J3637" s="1" t="s">
        <v>646</v>
      </c>
      <c r="K3637" s="2">
        <v>45928.0</v>
      </c>
      <c r="L3637" s="5"/>
      <c r="M3637" s="9" t="s">
        <v>58</v>
      </c>
      <c r="N3637" s="9" t="s">
        <v>49</v>
      </c>
      <c r="O3637" s="10">
        <f>'data on outstanding creditors'!$E3637*100/107</f>
        <v>118579.4393</v>
      </c>
      <c r="P3637" s="10">
        <f>'data on outstanding creditors'!$E3637-'data on outstanding creditors'!$O3637</f>
        <v>8300.560748</v>
      </c>
      <c r="Q3637" s="7">
        <f>DAY('data on outstanding creditors'!$B3637)</f>
        <v>16</v>
      </c>
      <c r="R3637" s="7">
        <f>MONTH('data on outstanding creditors'!$B3637)</f>
        <v>7</v>
      </c>
      <c r="S3637" s="7">
        <f>YEAR('data on outstanding creditors'!$B3637)</f>
        <v>2025</v>
      </c>
      <c r="T3637" s="11" t="str">
        <f>'data on outstanding creditors'!$C3637&amp;" "&amp;'data on outstanding creditors'!$D3637&amp;" "&amp;TEXT('data on outstanding creditors'!$E3637,"#,##0.00")</f>
        <v>บ.พี ซี ที ลาบอราตอรี่ เซอร์วิส TI25-06-1021 126,880.00</v>
      </c>
      <c r="U3637" s="12"/>
    </row>
    <row r="3638" ht="13.5" customHeight="1">
      <c r="A3638" s="1" t="s">
        <v>5704</v>
      </c>
      <c r="B3638" s="2">
        <v>45854.0</v>
      </c>
      <c r="C3638" s="9" t="s">
        <v>5705</v>
      </c>
      <c r="D3638" s="1" t="s">
        <v>5706</v>
      </c>
      <c r="E3638" s="4">
        <v>4995.0</v>
      </c>
      <c r="F3638" s="4"/>
      <c r="G3638" s="4"/>
      <c r="H3638" s="4">
        <f>'data on outstanding creditors'!$E3638-'data on outstanding creditors'!$F3638-'data on outstanding creditors'!$G3638</f>
        <v>4995</v>
      </c>
      <c r="I3638" s="2"/>
      <c r="J3638" s="1" t="s">
        <v>646</v>
      </c>
      <c r="K3638" s="2">
        <v>45928.0</v>
      </c>
      <c r="L3638" s="5"/>
      <c r="M3638" s="9" t="s">
        <v>58</v>
      </c>
      <c r="N3638" s="9" t="s">
        <v>49</v>
      </c>
      <c r="O3638" s="10">
        <f>'data on outstanding creditors'!$E3638*100/107</f>
        <v>4668.224299</v>
      </c>
      <c r="P3638" s="10">
        <f>'data on outstanding creditors'!$E3638-'data on outstanding creditors'!$O3638</f>
        <v>326.7757009</v>
      </c>
      <c r="Q3638" s="7">
        <f>DAY('data on outstanding creditors'!$B3638)</f>
        <v>16</v>
      </c>
      <c r="R3638" s="7">
        <f>MONTH('data on outstanding creditors'!$B3638)</f>
        <v>7</v>
      </c>
      <c r="S3638" s="7">
        <f>YEAR('data on outstanding creditors'!$B3638)</f>
        <v>2025</v>
      </c>
      <c r="T3638" s="11" t="str">
        <f>'data on outstanding creditors'!$C3638&amp;" "&amp;'data on outstanding creditors'!$D3638&amp;" "&amp;TEXT('data on outstanding creditors'!$E3638,"#,##0.00")</f>
        <v>บ.เอซีซี เมดิคอล IVA6807-006 4,995.00</v>
      </c>
      <c r="U3638" s="12"/>
    </row>
    <row r="3639" ht="13.5" customHeight="1">
      <c r="A3639" s="1" t="s">
        <v>5707</v>
      </c>
      <c r="B3639" s="2">
        <v>45854.0</v>
      </c>
      <c r="C3639" s="9" t="s">
        <v>387</v>
      </c>
      <c r="D3639" s="1" t="s">
        <v>5708</v>
      </c>
      <c r="E3639" s="4">
        <v>274850.0</v>
      </c>
      <c r="F3639" s="4"/>
      <c r="G3639" s="4"/>
      <c r="H3639" s="4">
        <f>'data on outstanding creditors'!$E3639-'data on outstanding creditors'!$F3639-'data on outstanding creditors'!$G3639</f>
        <v>274850</v>
      </c>
      <c r="I3639" s="2"/>
      <c r="J3639" s="1" t="s">
        <v>646</v>
      </c>
      <c r="K3639" s="2">
        <v>45928.0</v>
      </c>
      <c r="L3639" s="5"/>
      <c r="M3639" s="9" t="s">
        <v>58</v>
      </c>
      <c r="N3639" s="9" t="s">
        <v>49</v>
      </c>
      <c r="O3639" s="10">
        <f>'data on outstanding creditors'!$E3639*100/107</f>
        <v>256869.1589</v>
      </c>
      <c r="P3639" s="10">
        <f>'data on outstanding creditors'!$E3639-'data on outstanding creditors'!$O3639</f>
        <v>17980.84112</v>
      </c>
      <c r="Q3639" s="7">
        <f>DAY('data on outstanding creditors'!$B3639)</f>
        <v>16</v>
      </c>
      <c r="R3639" s="7">
        <f>MONTH('data on outstanding creditors'!$B3639)</f>
        <v>7</v>
      </c>
      <c r="S3639" s="7">
        <f>YEAR('data on outstanding creditors'!$B3639)</f>
        <v>2025</v>
      </c>
      <c r="T3639" s="11" t="str">
        <f>'data on outstanding creditors'!$C3639&amp;" "&amp;'data on outstanding creditors'!$D3639&amp;" "&amp;TEXT('data on outstanding creditors'!$E3639,"#,##0.00")</f>
        <v>บ.อินโนเทค ลาบอราทอรี่ เซอร์วิส SV001/68060173 274,850.00</v>
      </c>
      <c r="U3639" s="12"/>
    </row>
    <row r="3640" ht="13.5" customHeight="1">
      <c r="A3640" s="1" t="s">
        <v>5709</v>
      </c>
      <c r="B3640" s="2">
        <v>45858.0</v>
      </c>
      <c r="C3640" s="9" t="s">
        <v>413</v>
      </c>
      <c r="D3640" s="1" t="s">
        <v>5710</v>
      </c>
      <c r="E3640" s="4">
        <v>2120.0</v>
      </c>
      <c r="F3640" s="4"/>
      <c r="G3640" s="4"/>
      <c r="H3640" s="4">
        <f>'data on outstanding creditors'!$E3640-'data on outstanding creditors'!$F3640-'data on outstanding creditors'!$G3640</f>
        <v>2120</v>
      </c>
      <c r="I3640" s="2"/>
      <c r="J3640" s="1" t="s">
        <v>646</v>
      </c>
      <c r="K3640" s="2">
        <v>45906.0</v>
      </c>
      <c r="L3640" s="5"/>
      <c r="M3640" s="9" t="s">
        <v>58</v>
      </c>
      <c r="N3640" s="9" t="s">
        <v>49</v>
      </c>
      <c r="O3640" s="10">
        <f>'data on outstanding creditors'!$E3640*100/107</f>
        <v>1981.308411</v>
      </c>
      <c r="P3640" s="10">
        <f>'data on outstanding creditors'!$E3640-'data on outstanding creditors'!$O3640</f>
        <v>138.6915888</v>
      </c>
      <c r="Q3640" s="7">
        <f>DAY('data on outstanding creditors'!$B3640)</f>
        <v>20</v>
      </c>
      <c r="R3640" s="7">
        <f>MONTH('data on outstanding creditors'!$B3640)</f>
        <v>7</v>
      </c>
      <c r="S3640" s="7">
        <f>YEAR('data on outstanding creditors'!$B3640)</f>
        <v>2025</v>
      </c>
      <c r="T3640" s="11" t="str">
        <f>'data on outstanding creditors'!$C3640&amp;" "&amp;'data on outstanding creditors'!$D3640&amp;" "&amp;TEXT('data on outstanding creditors'!$E3640,"#,##0.00")</f>
        <v>ศูนย์บริการโลหิตแห่งชาติ สภากาชาดไทย 682080/00011 2,120.00</v>
      </c>
      <c r="U3640" s="12"/>
    </row>
    <row r="3641" ht="13.5" customHeight="1">
      <c r="A3641" s="1" t="s">
        <v>5711</v>
      </c>
      <c r="B3641" s="2">
        <v>45859.0</v>
      </c>
      <c r="C3641" s="9" t="s">
        <v>5682</v>
      </c>
      <c r="D3641" s="1" t="s">
        <v>5712</v>
      </c>
      <c r="E3641" s="4">
        <v>12750.0</v>
      </c>
      <c r="F3641" s="4"/>
      <c r="G3641" s="4"/>
      <c r="H3641" s="4">
        <f>'data on outstanding creditors'!$E3641-'data on outstanding creditors'!$F3641-'data on outstanding creditors'!$G3641</f>
        <v>12750</v>
      </c>
      <c r="I3641" s="2"/>
      <c r="J3641" s="1" t="s">
        <v>646</v>
      </c>
      <c r="K3641" s="2">
        <v>45906.0</v>
      </c>
      <c r="L3641" s="5"/>
      <c r="M3641" s="9" t="s">
        <v>58</v>
      </c>
      <c r="N3641" s="9" t="s">
        <v>49</v>
      </c>
      <c r="O3641" s="10">
        <f>'data on outstanding creditors'!$E3641*100/107</f>
        <v>11915.88785</v>
      </c>
      <c r="P3641" s="10">
        <f>'data on outstanding creditors'!$E3641-'data on outstanding creditors'!$O3641</f>
        <v>834.1121495</v>
      </c>
      <c r="Q3641" s="7">
        <f>DAY('data on outstanding creditors'!$B3641)</f>
        <v>21</v>
      </c>
      <c r="R3641" s="7">
        <f>MONTH('data on outstanding creditors'!$B3641)</f>
        <v>7</v>
      </c>
      <c r="S3641" s="7">
        <f>YEAR('data on outstanding creditors'!$B3641)</f>
        <v>2025</v>
      </c>
      <c r="T3641" s="11" t="str">
        <f>'data on outstanding creditors'!$C3641&amp;" "&amp;'data on outstanding creditors'!$D3641&amp;" "&amp;TEXT('data on outstanding creditors'!$E3641,"#,##0.00")</f>
        <v>สถาบันพยาธิวิทยา กรมการแพทย์ สธ0314/กง.1382 12,750.00</v>
      </c>
      <c r="U3641" s="12"/>
    </row>
    <row r="3642" ht="13.5" customHeight="1">
      <c r="A3642" s="1" t="s">
        <v>5713</v>
      </c>
      <c r="B3642" s="2">
        <v>45859.0</v>
      </c>
      <c r="C3642" s="9" t="s">
        <v>413</v>
      </c>
      <c r="D3642" s="1" t="s">
        <v>5714</v>
      </c>
      <c r="E3642" s="4">
        <v>261020.0</v>
      </c>
      <c r="F3642" s="4"/>
      <c r="G3642" s="4"/>
      <c r="H3642" s="4">
        <f>'data on outstanding creditors'!$E3642-'data on outstanding creditors'!$F3642-'data on outstanding creditors'!$G3642</f>
        <v>261020</v>
      </c>
      <c r="I3642" s="2"/>
      <c r="J3642" s="1" t="s">
        <v>646</v>
      </c>
      <c r="K3642" s="2">
        <v>45906.0</v>
      </c>
      <c r="L3642" s="5"/>
      <c r="M3642" s="9" t="s">
        <v>58</v>
      </c>
      <c r="N3642" s="9" t="s">
        <v>49</v>
      </c>
      <c r="O3642" s="10">
        <f>'data on outstanding creditors'!$E3642*100/107</f>
        <v>243943.9252</v>
      </c>
      <c r="P3642" s="10">
        <f>'data on outstanding creditors'!$E3642-'data on outstanding creditors'!$O3642</f>
        <v>17076.07477</v>
      </c>
      <c r="Q3642" s="7">
        <f>DAY('data on outstanding creditors'!$B3642)</f>
        <v>21</v>
      </c>
      <c r="R3642" s="7">
        <f>MONTH('data on outstanding creditors'!$B3642)</f>
        <v>7</v>
      </c>
      <c r="S3642" s="7">
        <f>YEAR('data on outstanding creditors'!$B3642)</f>
        <v>2025</v>
      </c>
      <c r="T3642" s="11" t="str">
        <f>'data on outstanding creditors'!$C3642&amp;" "&amp;'data on outstanding creditors'!$D3642&amp;" "&amp;TEXT('data on outstanding creditors'!$E3642,"#,##0.00")</f>
        <v>ศูนย์บริการโลหิตแห่งชาติ สภากาชาดไทย 682077/00018 261,020.00</v>
      </c>
      <c r="U3642" s="12"/>
    </row>
    <row r="3643" ht="13.5" customHeight="1">
      <c r="A3643" s="1" t="s">
        <v>5715</v>
      </c>
      <c r="B3643" s="2">
        <v>45868.0</v>
      </c>
      <c r="C3643" s="9" t="s">
        <v>5705</v>
      </c>
      <c r="D3643" s="1" t="s">
        <v>5716</v>
      </c>
      <c r="E3643" s="4">
        <v>9065.0</v>
      </c>
      <c r="F3643" s="4"/>
      <c r="G3643" s="4"/>
      <c r="H3643" s="4">
        <f>'data on outstanding creditors'!$E3643-'data on outstanding creditors'!$F3643-'data on outstanding creditors'!$G3643</f>
        <v>9065</v>
      </c>
      <c r="I3643" s="2"/>
      <c r="J3643" s="1" t="s">
        <v>646</v>
      </c>
      <c r="K3643" s="2">
        <v>45928.0</v>
      </c>
      <c r="L3643" s="5"/>
      <c r="M3643" s="9" t="s">
        <v>58</v>
      </c>
      <c r="N3643" s="9" t="s">
        <v>49</v>
      </c>
      <c r="O3643" s="10">
        <f>'data on outstanding creditors'!$E3643*100/107</f>
        <v>8471.962617</v>
      </c>
      <c r="P3643" s="10">
        <f>'data on outstanding creditors'!$E3643-'data on outstanding creditors'!$O3643</f>
        <v>593.0373832</v>
      </c>
      <c r="Q3643" s="7">
        <f>DAY('data on outstanding creditors'!$B3643)</f>
        <v>30</v>
      </c>
      <c r="R3643" s="7">
        <f>MONTH('data on outstanding creditors'!$B3643)</f>
        <v>7</v>
      </c>
      <c r="S3643" s="7">
        <f>YEAR('data on outstanding creditors'!$B3643)</f>
        <v>2025</v>
      </c>
      <c r="T3643" s="11" t="str">
        <f>'data on outstanding creditors'!$C3643&amp;" "&amp;'data on outstanding creditors'!$D3643&amp;" "&amp;TEXT('data on outstanding creditors'!$E3643,"#,##0.00")</f>
        <v>บ.เอซีซี เมดิคอล IVA6807-284 9,065.00</v>
      </c>
      <c r="U3643" s="12"/>
    </row>
    <row r="3644" ht="13.5" customHeight="1">
      <c r="A3644" s="1" t="s">
        <v>5717</v>
      </c>
      <c r="B3644" s="2">
        <v>45868.0</v>
      </c>
      <c r="C3644" s="9" t="s">
        <v>5718</v>
      </c>
      <c r="D3644" s="1" t="s">
        <v>5719</v>
      </c>
      <c r="E3644" s="4">
        <v>6000.0</v>
      </c>
      <c r="F3644" s="4"/>
      <c r="G3644" s="4"/>
      <c r="H3644" s="4">
        <f>'data on outstanding creditors'!$E3644-'data on outstanding creditors'!$F3644-'data on outstanding creditors'!$G3644</f>
        <v>6000</v>
      </c>
      <c r="I3644" s="2"/>
      <c r="J3644" s="1" t="s">
        <v>646</v>
      </c>
      <c r="K3644" s="2">
        <v>45906.0</v>
      </c>
      <c r="L3644" s="5"/>
      <c r="M3644" s="9" t="s">
        <v>58</v>
      </c>
      <c r="N3644" s="9" t="s">
        <v>49</v>
      </c>
      <c r="O3644" s="10">
        <f>'data on outstanding creditors'!$E3644*100/107</f>
        <v>5607.476636</v>
      </c>
      <c r="P3644" s="10">
        <f>'data on outstanding creditors'!$E3644-'data on outstanding creditors'!$O3644</f>
        <v>392.5233645</v>
      </c>
      <c r="Q3644" s="7">
        <f>DAY('data on outstanding creditors'!$B3644)</f>
        <v>30</v>
      </c>
      <c r="R3644" s="7">
        <f>MONTH('data on outstanding creditors'!$B3644)</f>
        <v>7</v>
      </c>
      <c r="S3644" s="7">
        <f>YEAR('data on outstanding creditors'!$B3644)</f>
        <v>2025</v>
      </c>
      <c r="T3644" s="11" t="str">
        <f>'data on outstanding creditors'!$C3644&amp;" "&amp;'data on outstanding creditors'!$D3644&amp;" "&amp;TEXT('data on outstanding creditors'!$E3644,"#,##0.00")</f>
        <v>ศูนย์บริการพยาธิวิทยา โรงพยาบาลรามาธิบดี บพ.1272/68 6,000.00</v>
      </c>
      <c r="U3644" s="12"/>
    </row>
    <row r="3645" ht="13.5" customHeight="1">
      <c r="A3645" s="1" t="s">
        <v>5720</v>
      </c>
      <c r="B3645" s="2">
        <v>45869.0</v>
      </c>
      <c r="C3645" s="9" t="s">
        <v>5629</v>
      </c>
      <c r="D3645" s="1" t="s">
        <v>5721</v>
      </c>
      <c r="E3645" s="4">
        <v>877.4</v>
      </c>
      <c r="F3645" s="4"/>
      <c r="G3645" s="4"/>
      <c r="H3645" s="4">
        <f>'data on outstanding creditors'!$E3645-'data on outstanding creditors'!$F3645-'data on outstanding creditors'!$G3645</f>
        <v>877.4</v>
      </c>
      <c r="I3645" s="2"/>
      <c r="J3645" s="1" t="s">
        <v>646</v>
      </c>
      <c r="K3645" s="2">
        <v>45928.0</v>
      </c>
      <c r="L3645" s="5"/>
      <c r="M3645" s="9" t="s">
        <v>58</v>
      </c>
      <c r="N3645" s="9" t="s">
        <v>49</v>
      </c>
      <c r="O3645" s="10">
        <f>'data on outstanding creditors'!$E3645*100/107</f>
        <v>820</v>
      </c>
      <c r="P3645" s="10">
        <f>'data on outstanding creditors'!$E3645-'data on outstanding creditors'!$O3645</f>
        <v>57.4</v>
      </c>
      <c r="Q3645" s="7">
        <f>DAY('data on outstanding creditors'!$B3645)</f>
        <v>31</v>
      </c>
      <c r="R3645" s="7">
        <f>MONTH('data on outstanding creditors'!$B3645)</f>
        <v>7</v>
      </c>
      <c r="S3645" s="7">
        <f>YEAR('data on outstanding creditors'!$B3645)</f>
        <v>2025</v>
      </c>
      <c r="T3645" s="11" t="str">
        <f>'data on outstanding creditors'!$C3645&amp;" "&amp;'data on outstanding creditors'!$D3645&amp;" "&amp;TEXT('data on outstanding creditors'!$E3645,"#,##0.00")</f>
        <v>บ.บ้านฟัน โคราช BI6806055 877.40</v>
      </c>
      <c r="U3645" s="12"/>
    </row>
    <row r="3646" ht="13.5" customHeight="1">
      <c r="A3646" s="1" t="s">
        <v>5722</v>
      </c>
      <c r="B3646" s="2">
        <v>45869.0</v>
      </c>
      <c r="C3646" s="9" t="s">
        <v>5661</v>
      </c>
      <c r="D3646" s="1" t="s">
        <v>5723</v>
      </c>
      <c r="E3646" s="4">
        <v>59435.0</v>
      </c>
      <c r="F3646" s="4"/>
      <c r="G3646" s="4"/>
      <c r="H3646" s="4">
        <f>'data on outstanding creditors'!$E3646-'data on outstanding creditors'!$F3646-'data on outstanding creditors'!$G3646</f>
        <v>59435</v>
      </c>
      <c r="I3646" s="2"/>
      <c r="J3646" s="1" t="s">
        <v>646</v>
      </c>
      <c r="K3646" s="2">
        <v>45944.0</v>
      </c>
      <c r="L3646" s="5"/>
      <c r="M3646" s="9" t="s">
        <v>58</v>
      </c>
      <c r="N3646" s="9" t="s">
        <v>49</v>
      </c>
      <c r="O3646" s="10">
        <f>'data on outstanding creditors'!$E3646*100/107</f>
        <v>55546.72897</v>
      </c>
      <c r="P3646" s="10">
        <f>'data on outstanding creditors'!$E3646-'data on outstanding creditors'!$O3646</f>
        <v>3888.271028</v>
      </c>
      <c r="Q3646" s="7">
        <f>DAY('data on outstanding creditors'!$B3646)</f>
        <v>31</v>
      </c>
      <c r="R3646" s="7">
        <f>MONTH('data on outstanding creditors'!$B3646)</f>
        <v>7</v>
      </c>
      <c r="S3646" s="7">
        <f>YEAR('data on outstanding creditors'!$B3646)</f>
        <v>2025</v>
      </c>
      <c r="T3646" s="11" t="str">
        <f>'data on outstanding creditors'!$C3646&amp;" "&amp;'data on outstanding creditors'!$D3646&amp;" "&amp;TEXT('data on outstanding creditors'!$E3646,"#,##0.00")</f>
        <v>บ.เอ็กซา ซีแลม CMBI-2507-002963 59,435.00</v>
      </c>
      <c r="U3646" s="12"/>
    </row>
    <row r="3647" ht="13.5" customHeight="1">
      <c r="A3647" s="1" t="s">
        <v>5724</v>
      </c>
      <c r="B3647" s="2">
        <v>45870.0</v>
      </c>
      <c r="C3647" s="9" t="s">
        <v>5607</v>
      </c>
      <c r="D3647" s="1" t="s">
        <v>5725</v>
      </c>
      <c r="E3647" s="4">
        <v>254049.0</v>
      </c>
      <c r="F3647" s="4"/>
      <c r="G3647" s="4"/>
      <c r="H3647" s="4">
        <f>'data on outstanding creditors'!$E3647-'data on outstanding creditors'!$F3647-'data on outstanding creditors'!$G3647</f>
        <v>254049</v>
      </c>
      <c r="I3647" s="2"/>
      <c r="J3647" s="1"/>
      <c r="K3647" s="2"/>
      <c r="L3647" s="5"/>
      <c r="M3647" s="9" t="s">
        <v>58</v>
      </c>
      <c r="N3647" s="9" t="s">
        <v>49</v>
      </c>
      <c r="O3647" s="10">
        <f>'data on outstanding creditors'!$E3647*100/107</f>
        <v>237428.972</v>
      </c>
      <c r="P3647" s="10">
        <f>'data on outstanding creditors'!$E3647-'data on outstanding creditors'!$O3647</f>
        <v>16620.02804</v>
      </c>
      <c r="Q3647" s="7">
        <f>DAY('data on outstanding creditors'!$B3647)</f>
        <v>1</v>
      </c>
      <c r="R3647" s="7">
        <f>MONTH('data on outstanding creditors'!$B3647)</f>
        <v>8</v>
      </c>
      <c r="S3647" s="7">
        <f>YEAR('data on outstanding creditors'!$B3647)</f>
        <v>2025</v>
      </c>
      <c r="T3647" s="11" t="str">
        <f>'data on outstanding creditors'!$C3647&amp;" "&amp;'data on outstanding creditors'!$D3647&amp;" "&amp;TEXT('data on outstanding creditors'!$E3647,"#,##0.00")</f>
        <v>บ.อาร์เอ็นดี ไดแอกโนสติกส์ INT-RND-680800073 254,049.00</v>
      </c>
      <c r="U3647" s="12"/>
    </row>
    <row r="3648" ht="13.5" customHeight="1">
      <c r="A3648" s="1" t="s">
        <v>5726</v>
      </c>
      <c r="B3648" s="2">
        <v>45870.0</v>
      </c>
      <c r="C3648" s="9" t="s">
        <v>3888</v>
      </c>
      <c r="D3648" s="1" t="s">
        <v>5727</v>
      </c>
      <c r="E3648" s="4">
        <v>260918.0</v>
      </c>
      <c r="F3648" s="4"/>
      <c r="G3648" s="4"/>
      <c r="H3648" s="4">
        <f>'data on outstanding creditors'!$E3648-'data on outstanding creditors'!$F3648-'data on outstanding creditors'!$G3648</f>
        <v>260918</v>
      </c>
      <c r="I3648" s="2"/>
      <c r="J3648" s="1"/>
      <c r="K3648" s="2"/>
      <c r="L3648" s="5"/>
      <c r="M3648" s="9" t="s">
        <v>58</v>
      </c>
      <c r="N3648" s="9" t="s">
        <v>49</v>
      </c>
      <c r="O3648" s="10">
        <f>'data on outstanding creditors'!$E3648*100/107</f>
        <v>243848.5981</v>
      </c>
      <c r="P3648" s="10">
        <f>'data on outstanding creditors'!$E3648-'data on outstanding creditors'!$O3648</f>
        <v>17069.40187</v>
      </c>
      <c r="Q3648" s="7">
        <f>DAY('data on outstanding creditors'!$B3648)</f>
        <v>1</v>
      </c>
      <c r="R3648" s="7">
        <f>MONTH('data on outstanding creditors'!$B3648)</f>
        <v>8</v>
      </c>
      <c r="S3648" s="7">
        <f>YEAR('data on outstanding creditors'!$B3648)</f>
        <v>2025</v>
      </c>
      <c r="T3648" s="11" t="str">
        <f>'data on outstanding creditors'!$C3648&amp;" "&amp;'data on outstanding creditors'!$D3648&amp;" "&amp;TEXT('data on outstanding creditors'!$E3648,"#,##0.00")</f>
        <v>บ.พี ซี แอล โฮลดิ้ง PCI25-08-0131 260,918.00</v>
      </c>
      <c r="U3648" s="12"/>
    </row>
    <row r="3649" ht="13.5" customHeight="1">
      <c r="A3649" s="1" t="s">
        <v>5728</v>
      </c>
      <c r="B3649" s="2">
        <v>45870.0</v>
      </c>
      <c r="C3649" s="9" t="s">
        <v>3888</v>
      </c>
      <c r="D3649" s="1" t="s">
        <v>5729</v>
      </c>
      <c r="E3649" s="4">
        <v>90152.0</v>
      </c>
      <c r="F3649" s="4"/>
      <c r="G3649" s="4"/>
      <c r="H3649" s="4">
        <f>'data on outstanding creditors'!$E3649-'data on outstanding creditors'!$F3649-'data on outstanding creditors'!$G3649</f>
        <v>90152</v>
      </c>
      <c r="I3649" s="2"/>
      <c r="J3649" s="1"/>
      <c r="K3649" s="2"/>
      <c r="L3649" s="5"/>
      <c r="M3649" s="9" t="s">
        <v>58</v>
      </c>
      <c r="N3649" s="9" t="s">
        <v>49</v>
      </c>
      <c r="O3649" s="10">
        <f>'data on outstanding creditors'!$E3649*100/107</f>
        <v>84254.20561</v>
      </c>
      <c r="P3649" s="10">
        <f>'data on outstanding creditors'!$E3649-'data on outstanding creditors'!$O3649</f>
        <v>5897.794393</v>
      </c>
      <c r="Q3649" s="7">
        <f>DAY('data on outstanding creditors'!$B3649)</f>
        <v>1</v>
      </c>
      <c r="R3649" s="7">
        <f>MONTH('data on outstanding creditors'!$B3649)</f>
        <v>8</v>
      </c>
      <c r="S3649" s="7">
        <f>YEAR('data on outstanding creditors'!$B3649)</f>
        <v>2025</v>
      </c>
      <c r="T3649" s="11" t="str">
        <f>'data on outstanding creditors'!$C3649&amp;" "&amp;'data on outstanding creditors'!$D3649&amp;" "&amp;TEXT('data on outstanding creditors'!$E3649,"#,##0.00")</f>
        <v>บ.พี ซี แอล โฮลดิ้ง PCI25-08-0128 90,152.00</v>
      </c>
      <c r="U3649" s="12"/>
    </row>
    <row r="3650" ht="13.5" customHeight="1">
      <c r="A3650" s="1" t="s">
        <v>5730</v>
      </c>
      <c r="B3650" s="2">
        <v>45873.0</v>
      </c>
      <c r="C3650" s="9" t="s">
        <v>520</v>
      </c>
      <c r="D3650" s="1" t="s">
        <v>5731</v>
      </c>
      <c r="E3650" s="4">
        <v>147200.0</v>
      </c>
      <c r="F3650" s="4"/>
      <c r="G3650" s="4"/>
      <c r="H3650" s="4">
        <f>'data on outstanding creditors'!$E3650-'data on outstanding creditors'!$F3650-'data on outstanding creditors'!$G3650</f>
        <v>147200</v>
      </c>
      <c r="I3650" s="2"/>
      <c r="J3650" s="1"/>
      <c r="K3650" s="2"/>
      <c r="L3650" s="5"/>
      <c r="M3650" s="9" t="s">
        <v>58</v>
      </c>
      <c r="N3650" s="9" t="s">
        <v>49</v>
      </c>
      <c r="O3650" s="10">
        <f>'data on outstanding creditors'!$E3650*100/107</f>
        <v>137570.0935</v>
      </c>
      <c r="P3650" s="10">
        <f>'data on outstanding creditors'!$E3650-'data on outstanding creditors'!$O3650</f>
        <v>9629.906542</v>
      </c>
      <c r="Q3650" s="7">
        <f>DAY('data on outstanding creditors'!$B3650)</f>
        <v>4</v>
      </c>
      <c r="R3650" s="7">
        <f>MONTH('data on outstanding creditors'!$B3650)</f>
        <v>8</v>
      </c>
      <c r="S3650" s="7">
        <f>YEAR('data on outstanding creditors'!$B3650)</f>
        <v>2025</v>
      </c>
      <c r="T3650" s="11" t="str">
        <f>'data on outstanding creditors'!$C3650&amp;" "&amp;'data on outstanding creditors'!$D3650&amp;" "&amp;TEXT('data on outstanding creditors'!$E3650,"#,##0.00")</f>
        <v>บ.ซิลลิคฟาร์มา 1317763389 147,200.00</v>
      </c>
      <c r="U3650" s="12"/>
    </row>
    <row r="3651" ht="13.5" customHeight="1">
      <c r="A3651" s="1" t="s">
        <v>5732</v>
      </c>
      <c r="B3651" s="2">
        <v>45877.0</v>
      </c>
      <c r="C3651" s="9" t="s">
        <v>520</v>
      </c>
      <c r="D3651" s="1" t="s">
        <v>5733</v>
      </c>
      <c r="E3651" s="4">
        <v>118000.0</v>
      </c>
      <c r="F3651" s="4"/>
      <c r="G3651" s="4"/>
      <c r="H3651" s="4">
        <f>'data on outstanding creditors'!$E3651-'data on outstanding creditors'!$F3651-'data on outstanding creditors'!$G3651</f>
        <v>118000</v>
      </c>
      <c r="I3651" s="2"/>
      <c r="J3651" s="1"/>
      <c r="K3651" s="2"/>
      <c r="L3651" s="5"/>
      <c r="M3651" s="9" t="s">
        <v>58</v>
      </c>
      <c r="N3651" s="9" t="s">
        <v>49</v>
      </c>
      <c r="O3651" s="10">
        <f>'data on outstanding creditors'!$E3651*100/107</f>
        <v>110280.3738</v>
      </c>
      <c r="P3651" s="10">
        <f>'data on outstanding creditors'!$E3651-'data on outstanding creditors'!$O3651</f>
        <v>7719.626168</v>
      </c>
      <c r="Q3651" s="7">
        <f>DAY('data on outstanding creditors'!$B3651)</f>
        <v>8</v>
      </c>
      <c r="R3651" s="7">
        <f>MONTH('data on outstanding creditors'!$B3651)</f>
        <v>8</v>
      </c>
      <c r="S3651" s="7">
        <f>YEAR('data on outstanding creditors'!$B3651)</f>
        <v>2025</v>
      </c>
      <c r="T3651" s="11" t="str">
        <f>'data on outstanding creditors'!$C3651&amp;" "&amp;'data on outstanding creditors'!$D3651&amp;" "&amp;TEXT('data on outstanding creditors'!$E3651,"#,##0.00")</f>
        <v>บ.ซิลลิคฟาร์มา 1317849303 118,000.00</v>
      </c>
      <c r="U3651" s="12"/>
    </row>
    <row r="3652" ht="13.5" customHeight="1">
      <c r="A3652" s="1" t="s">
        <v>5734</v>
      </c>
      <c r="B3652" s="2">
        <v>45882.0</v>
      </c>
      <c r="C3652" s="9" t="s">
        <v>5614</v>
      </c>
      <c r="D3652" s="1" t="s">
        <v>5735</v>
      </c>
      <c r="E3652" s="4">
        <v>87740.0</v>
      </c>
      <c r="F3652" s="4"/>
      <c r="G3652" s="4"/>
      <c r="H3652" s="4">
        <f>'data on outstanding creditors'!$E3652-'data on outstanding creditors'!$F3652-'data on outstanding creditors'!$G3652</f>
        <v>87740</v>
      </c>
      <c r="I3652" s="2"/>
      <c r="J3652" s="1"/>
      <c r="K3652" s="2"/>
      <c r="L3652" s="5"/>
      <c r="M3652" s="9" t="s">
        <v>58</v>
      </c>
      <c r="N3652" s="9" t="s">
        <v>49</v>
      </c>
      <c r="O3652" s="10">
        <f>'data on outstanding creditors'!$E3652*100/107</f>
        <v>82000</v>
      </c>
      <c r="P3652" s="10">
        <f>'data on outstanding creditors'!$E3652-'data on outstanding creditors'!$O3652</f>
        <v>5740</v>
      </c>
      <c r="Q3652" s="7">
        <f>DAY('data on outstanding creditors'!$B3652)</f>
        <v>13</v>
      </c>
      <c r="R3652" s="7">
        <f>MONTH('data on outstanding creditors'!$B3652)</f>
        <v>8</v>
      </c>
      <c r="S3652" s="7">
        <f>YEAR('data on outstanding creditors'!$B3652)</f>
        <v>2025</v>
      </c>
      <c r="T3652" s="11" t="str">
        <f>'data on outstanding creditors'!$C3652&amp;" "&amp;'data on outstanding creditors'!$D3652&amp;" "&amp;TEXT('data on outstanding creditors'!$E3652,"#,##0.00")</f>
        <v>บ.พี ซี ที ลาบอราตอรี่ เซอร์วิส TI25-07-1548 87,740.00</v>
      </c>
      <c r="U3652" s="12"/>
    </row>
    <row r="3653" ht="13.5" customHeight="1">
      <c r="A3653" s="1" t="s">
        <v>5736</v>
      </c>
      <c r="B3653" s="2">
        <v>45882.0</v>
      </c>
      <c r="C3653" s="9" t="s">
        <v>5614</v>
      </c>
      <c r="D3653" s="1" t="s">
        <v>5737</v>
      </c>
      <c r="E3653" s="4">
        <v>147825.0</v>
      </c>
      <c r="F3653" s="4"/>
      <c r="G3653" s="4"/>
      <c r="H3653" s="4">
        <f>'data on outstanding creditors'!$E3653-'data on outstanding creditors'!$F3653-'data on outstanding creditors'!$G3653</f>
        <v>147825</v>
      </c>
      <c r="I3653" s="2"/>
      <c r="J3653" s="1"/>
      <c r="K3653" s="2"/>
      <c r="L3653" s="5"/>
      <c r="M3653" s="9" t="s">
        <v>58</v>
      </c>
      <c r="N3653" s="9" t="s">
        <v>49</v>
      </c>
      <c r="O3653" s="10">
        <f>'data on outstanding creditors'!$E3653*100/107</f>
        <v>138154.2056</v>
      </c>
      <c r="P3653" s="10">
        <f>'data on outstanding creditors'!$E3653-'data on outstanding creditors'!$O3653</f>
        <v>9670.794393</v>
      </c>
      <c r="Q3653" s="7">
        <f>DAY('data on outstanding creditors'!$B3653)</f>
        <v>13</v>
      </c>
      <c r="R3653" s="7">
        <f>MONTH('data on outstanding creditors'!$B3653)</f>
        <v>8</v>
      </c>
      <c r="S3653" s="7">
        <f>YEAR('data on outstanding creditors'!$B3653)</f>
        <v>2025</v>
      </c>
      <c r="T3653" s="11" t="str">
        <f>'data on outstanding creditors'!$C3653&amp;" "&amp;'data on outstanding creditors'!$D3653&amp;" "&amp;TEXT('data on outstanding creditors'!$E3653,"#,##0.00")</f>
        <v>บ.พี ซี ที ลาบอราตอรี่ เซอร์วิส TI25-07-1456 147,825.00</v>
      </c>
      <c r="U3653" s="12"/>
    </row>
    <row r="3654" ht="13.5" customHeight="1">
      <c r="A3654" s="1" t="s">
        <v>5738</v>
      </c>
      <c r="B3654" s="2">
        <v>45887.0</v>
      </c>
      <c r="C3654" s="9" t="s">
        <v>5682</v>
      </c>
      <c r="D3654" s="1" t="s">
        <v>5739</v>
      </c>
      <c r="E3654" s="4">
        <v>11250.0</v>
      </c>
      <c r="F3654" s="4"/>
      <c r="G3654" s="4"/>
      <c r="H3654" s="4">
        <f>'data on outstanding creditors'!$E3654-'data on outstanding creditors'!$F3654-'data on outstanding creditors'!$G3654</f>
        <v>11250</v>
      </c>
      <c r="I3654" s="2"/>
      <c r="J3654" s="1"/>
      <c r="K3654" s="2"/>
      <c r="L3654" s="5"/>
      <c r="M3654" s="9" t="s">
        <v>58</v>
      </c>
      <c r="N3654" s="9" t="s">
        <v>49</v>
      </c>
      <c r="O3654" s="10">
        <f>'data on outstanding creditors'!$E3654*100/107</f>
        <v>10514.01869</v>
      </c>
      <c r="P3654" s="10">
        <f>'data on outstanding creditors'!$E3654-'data on outstanding creditors'!$O3654</f>
        <v>735.9813084</v>
      </c>
      <c r="Q3654" s="7">
        <f>DAY('data on outstanding creditors'!$B3654)</f>
        <v>18</v>
      </c>
      <c r="R3654" s="7">
        <f>MONTH('data on outstanding creditors'!$B3654)</f>
        <v>8</v>
      </c>
      <c r="S3654" s="7">
        <f>YEAR('data on outstanding creditors'!$B3654)</f>
        <v>2025</v>
      </c>
      <c r="T3654" s="11" t="str">
        <f>'data on outstanding creditors'!$C3654&amp;" "&amp;'data on outstanding creditors'!$D3654&amp;" "&amp;TEXT('data on outstanding creditors'!$E3654,"#,##0.00")</f>
        <v>สถาบันพยาธิวิทยา กรมการแพทย์ สธ0314/กง1520 11,250.00</v>
      </c>
      <c r="U3654" s="12"/>
    </row>
    <row r="3655" ht="13.5" customHeight="1">
      <c r="A3655" s="1" t="s">
        <v>5740</v>
      </c>
      <c r="B3655" s="2">
        <v>45887.0</v>
      </c>
      <c r="C3655" s="9" t="s">
        <v>387</v>
      </c>
      <c r="D3655" s="1" t="s">
        <v>5741</v>
      </c>
      <c r="E3655" s="4">
        <v>342500.0</v>
      </c>
      <c r="F3655" s="4"/>
      <c r="G3655" s="4"/>
      <c r="H3655" s="4">
        <f>'data on outstanding creditors'!$E3655-'data on outstanding creditors'!$F3655-'data on outstanding creditors'!$G3655</f>
        <v>342500</v>
      </c>
      <c r="I3655" s="2"/>
      <c r="J3655" s="1"/>
      <c r="K3655" s="2"/>
      <c r="L3655" s="5"/>
      <c r="M3655" s="9" t="s">
        <v>58</v>
      </c>
      <c r="N3655" s="9" t="s">
        <v>49</v>
      </c>
      <c r="O3655" s="10">
        <f>'data on outstanding creditors'!$E3655*100/107</f>
        <v>320093.4579</v>
      </c>
      <c r="P3655" s="10">
        <f>'data on outstanding creditors'!$E3655-'data on outstanding creditors'!$O3655</f>
        <v>22406.54206</v>
      </c>
      <c r="Q3655" s="7">
        <f>DAY('data on outstanding creditors'!$B3655)</f>
        <v>18</v>
      </c>
      <c r="R3655" s="7">
        <f>MONTH('data on outstanding creditors'!$B3655)</f>
        <v>8</v>
      </c>
      <c r="S3655" s="7">
        <f>YEAR('data on outstanding creditors'!$B3655)</f>
        <v>2025</v>
      </c>
      <c r="T3655" s="11" t="str">
        <f>'data on outstanding creditors'!$C3655&amp;" "&amp;'data on outstanding creditors'!$D3655&amp;" "&amp;TEXT('data on outstanding creditors'!$E3655,"#,##0.00")</f>
        <v>บ.อินโนเทค ลาบอราทอรี่ เซอร์วิส SV001/68070184 342,500.00</v>
      </c>
      <c r="U3655" s="12"/>
    </row>
    <row r="3656" ht="13.5" customHeight="1">
      <c r="A3656" s="1" t="s">
        <v>5742</v>
      </c>
      <c r="B3656" s="2">
        <v>45889.0</v>
      </c>
      <c r="C3656" s="9" t="s">
        <v>413</v>
      </c>
      <c r="D3656" s="1" t="s">
        <v>5743</v>
      </c>
      <c r="E3656" s="4">
        <v>468460.0</v>
      </c>
      <c r="F3656" s="4"/>
      <c r="G3656" s="4"/>
      <c r="H3656" s="4">
        <f>'data on outstanding creditors'!$E3656-'data on outstanding creditors'!$F3656-'data on outstanding creditors'!$G3656</f>
        <v>468460</v>
      </c>
      <c r="I3656" s="2"/>
      <c r="J3656" s="1"/>
      <c r="K3656" s="2"/>
      <c r="L3656" s="5"/>
      <c r="M3656" s="9" t="s">
        <v>58</v>
      </c>
      <c r="N3656" s="9" t="s">
        <v>49</v>
      </c>
      <c r="O3656" s="10">
        <f>'data on outstanding creditors'!$E3656*100/107</f>
        <v>437813.0841</v>
      </c>
      <c r="P3656" s="10">
        <f>'data on outstanding creditors'!$E3656-'data on outstanding creditors'!$O3656</f>
        <v>30646.91589</v>
      </c>
      <c r="Q3656" s="7">
        <f>DAY('data on outstanding creditors'!$B3656)</f>
        <v>20</v>
      </c>
      <c r="R3656" s="7">
        <f>MONTH('data on outstanding creditors'!$B3656)</f>
        <v>8</v>
      </c>
      <c r="S3656" s="7">
        <f>YEAR('data on outstanding creditors'!$B3656)</f>
        <v>2025</v>
      </c>
      <c r="T3656" s="11" t="str">
        <f>'data on outstanding creditors'!$C3656&amp;" "&amp;'data on outstanding creditors'!$D3656&amp;" "&amp;TEXT('data on outstanding creditors'!$E3656,"#,##0.00")</f>
        <v>ศูนย์บริการโลหิตแห่งชาติ สภากาชาดไทย 682101/00071 468,460.00</v>
      </c>
      <c r="U3656" s="12"/>
    </row>
    <row r="3657" ht="13.5" customHeight="1">
      <c r="A3657" s="1" t="s">
        <v>5744</v>
      </c>
      <c r="B3657" s="2">
        <v>45889.0</v>
      </c>
      <c r="C3657" s="9" t="s">
        <v>5705</v>
      </c>
      <c r="D3657" s="1" t="s">
        <v>5745</v>
      </c>
      <c r="E3657" s="4">
        <v>11840.0</v>
      </c>
      <c r="F3657" s="4"/>
      <c r="G3657" s="4"/>
      <c r="H3657" s="4">
        <f>'data on outstanding creditors'!$E3657-'data on outstanding creditors'!$F3657-'data on outstanding creditors'!$G3657</f>
        <v>11840</v>
      </c>
      <c r="I3657" s="2"/>
      <c r="J3657" s="1"/>
      <c r="K3657" s="2"/>
      <c r="L3657" s="5"/>
      <c r="M3657" s="9" t="s">
        <v>58</v>
      </c>
      <c r="N3657" s="9" t="s">
        <v>49</v>
      </c>
      <c r="O3657" s="10">
        <f>'data on outstanding creditors'!$E3657*100/107</f>
        <v>11065.42056</v>
      </c>
      <c r="P3657" s="10">
        <f>'data on outstanding creditors'!$E3657-'data on outstanding creditors'!$O3657</f>
        <v>774.5794393</v>
      </c>
      <c r="Q3657" s="7">
        <f>DAY('data on outstanding creditors'!$B3657)</f>
        <v>20</v>
      </c>
      <c r="R3657" s="7">
        <f>MONTH('data on outstanding creditors'!$B3657)</f>
        <v>8</v>
      </c>
      <c r="S3657" s="7">
        <f>YEAR('data on outstanding creditors'!$B3657)</f>
        <v>2025</v>
      </c>
      <c r="T3657" s="11" t="str">
        <f>'data on outstanding creditors'!$C3657&amp;" "&amp;'data on outstanding creditors'!$D3657&amp;" "&amp;TEXT('data on outstanding creditors'!$E3657,"#,##0.00")</f>
        <v>บ.เอซีซี เมดิคอล IVA6808-262 11,840.00</v>
      </c>
      <c r="U3657" s="12"/>
    </row>
    <row r="3658" ht="13.5" customHeight="1">
      <c r="A3658" s="1" t="s">
        <v>5746</v>
      </c>
      <c r="B3658" s="2">
        <v>45898.0</v>
      </c>
      <c r="C3658" s="9" t="s">
        <v>5629</v>
      </c>
      <c r="D3658" s="1" t="s">
        <v>5747</v>
      </c>
      <c r="E3658" s="4">
        <v>1594.3</v>
      </c>
      <c r="F3658" s="4"/>
      <c r="G3658" s="4"/>
      <c r="H3658" s="4">
        <f>'data on outstanding creditors'!$E3658-'data on outstanding creditors'!$F3658-'data on outstanding creditors'!$G3658</f>
        <v>1594.3</v>
      </c>
      <c r="I3658" s="2"/>
      <c r="J3658" s="1"/>
      <c r="K3658" s="2"/>
      <c r="L3658" s="5"/>
      <c r="M3658" s="9" t="s">
        <v>58</v>
      </c>
      <c r="N3658" s="9" t="s">
        <v>49</v>
      </c>
      <c r="O3658" s="10">
        <f>'data on outstanding creditors'!$E3658*100/107</f>
        <v>1490</v>
      </c>
      <c r="P3658" s="10">
        <f>'data on outstanding creditors'!$E3658-'data on outstanding creditors'!$O3658</f>
        <v>104.3</v>
      </c>
      <c r="Q3658" s="7">
        <f>DAY('data on outstanding creditors'!$B3658)</f>
        <v>29</v>
      </c>
      <c r="R3658" s="7">
        <f>MONTH('data on outstanding creditors'!$B3658)</f>
        <v>8</v>
      </c>
      <c r="S3658" s="7">
        <f>YEAR('data on outstanding creditors'!$B3658)</f>
        <v>2025</v>
      </c>
      <c r="T3658" s="11" t="str">
        <f>'data on outstanding creditors'!$C3658&amp;" "&amp;'data on outstanding creditors'!$D3658&amp;" "&amp;TEXT('data on outstanding creditors'!$E3658,"#,##0.00")</f>
        <v>บ.บ้านฟัน โคราช BI6807077 1,594.30</v>
      </c>
      <c r="U3658" s="12"/>
    </row>
    <row r="3659" ht="13.5" customHeight="1">
      <c r="A3659" s="1" t="s">
        <v>5748</v>
      </c>
      <c r="B3659" s="2">
        <v>45898.0</v>
      </c>
      <c r="C3659" s="9" t="s">
        <v>5661</v>
      </c>
      <c r="D3659" s="1" t="s">
        <v>5749</v>
      </c>
      <c r="E3659" s="4">
        <v>90975.0</v>
      </c>
      <c r="F3659" s="4"/>
      <c r="G3659" s="4"/>
      <c r="H3659" s="4">
        <f>'data on outstanding creditors'!$E3659-'data on outstanding creditors'!$F3659-'data on outstanding creditors'!$G3659</f>
        <v>90975</v>
      </c>
      <c r="I3659" s="2"/>
      <c r="J3659" s="1"/>
      <c r="K3659" s="2"/>
      <c r="L3659" s="5"/>
      <c r="M3659" s="9" t="s">
        <v>58</v>
      </c>
      <c r="N3659" s="9" t="s">
        <v>49</v>
      </c>
      <c r="O3659" s="10">
        <f>'data on outstanding creditors'!$E3659*100/107</f>
        <v>85023.36449</v>
      </c>
      <c r="P3659" s="10">
        <f>'data on outstanding creditors'!$E3659-'data on outstanding creditors'!$O3659</f>
        <v>5951.635514</v>
      </c>
      <c r="Q3659" s="7">
        <f>DAY('data on outstanding creditors'!$B3659)</f>
        <v>29</v>
      </c>
      <c r="R3659" s="7">
        <f>MONTH('data on outstanding creditors'!$B3659)</f>
        <v>8</v>
      </c>
      <c r="S3659" s="7">
        <f>YEAR('data on outstanding creditors'!$B3659)</f>
        <v>2025</v>
      </c>
      <c r="T3659" s="11" t="str">
        <f>'data on outstanding creditors'!$C3659&amp;" "&amp;'data on outstanding creditors'!$D3659&amp;" "&amp;TEXT('data on outstanding creditors'!$E3659,"#,##0.00")</f>
        <v>บ.เอ็กซา ซีแลม BIDM25005023 90,975.00</v>
      </c>
      <c r="U3659" s="12"/>
    </row>
    <row r="3660" ht="13.5" customHeight="1">
      <c r="A3660" s="1" t="s">
        <v>5750</v>
      </c>
      <c r="B3660" s="2">
        <v>45898.0</v>
      </c>
      <c r="C3660" s="9" t="s">
        <v>5644</v>
      </c>
      <c r="D3660" s="1" t="s">
        <v>5751</v>
      </c>
      <c r="E3660" s="4">
        <v>11973.3</v>
      </c>
      <c r="F3660" s="4"/>
      <c r="G3660" s="4"/>
      <c r="H3660" s="4">
        <f>'data on outstanding creditors'!$E3660-'data on outstanding creditors'!$F3660-'data on outstanding creditors'!$G3660</f>
        <v>11973.3</v>
      </c>
      <c r="I3660" s="2"/>
      <c r="J3660" s="1"/>
      <c r="K3660" s="2"/>
      <c r="L3660" s="5"/>
      <c r="M3660" s="9" t="s">
        <v>58</v>
      </c>
      <c r="N3660" s="9" t="s">
        <v>49</v>
      </c>
      <c r="O3660" s="10">
        <f>'data on outstanding creditors'!$E3660*100/107</f>
        <v>11190</v>
      </c>
      <c r="P3660" s="10">
        <f>'data on outstanding creditors'!$E3660-'data on outstanding creditors'!$O3660</f>
        <v>783.3</v>
      </c>
      <c r="Q3660" s="7">
        <f>DAY('data on outstanding creditors'!$B3660)</f>
        <v>29</v>
      </c>
      <c r="R3660" s="7">
        <f>MONTH('data on outstanding creditors'!$B3660)</f>
        <v>8</v>
      </c>
      <c r="S3660" s="7">
        <f>YEAR('data on outstanding creditors'!$B3660)</f>
        <v>2025</v>
      </c>
      <c r="T3660" s="11" t="str">
        <f>'data on outstanding creditors'!$C3660&amp;" "&amp;'data on outstanding creditors'!$D3660&amp;" "&amp;TEXT('data on outstanding creditors'!$E3660,"#,##0.00")</f>
        <v>บ.เด็นทาเนียร์ TIN-6808-0220 11,973.30</v>
      </c>
      <c r="U3660" s="12"/>
    </row>
    <row r="3661" ht="13.5" customHeight="1">
      <c r="A3661" s="1" t="s">
        <v>5752</v>
      </c>
      <c r="B3661" s="2">
        <v>45898.0</v>
      </c>
      <c r="C3661" s="9" t="s">
        <v>5644</v>
      </c>
      <c r="D3661" s="1" t="s">
        <v>5753</v>
      </c>
      <c r="E3661" s="4">
        <v>11063.8</v>
      </c>
      <c r="F3661" s="4"/>
      <c r="G3661" s="4"/>
      <c r="H3661" s="4">
        <f>'data on outstanding creditors'!$E3661-'data on outstanding creditors'!$F3661-'data on outstanding creditors'!$G3661</f>
        <v>11063.8</v>
      </c>
      <c r="I3661" s="2"/>
      <c r="J3661" s="1"/>
      <c r="K3661" s="2"/>
      <c r="L3661" s="5"/>
      <c r="M3661" s="9" t="s">
        <v>58</v>
      </c>
      <c r="N3661" s="9" t="s">
        <v>49</v>
      </c>
      <c r="O3661" s="10">
        <f>'data on outstanding creditors'!$E3661*100/107</f>
        <v>10340</v>
      </c>
      <c r="P3661" s="10">
        <f>'data on outstanding creditors'!$E3661-'data on outstanding creditors'!$O3661</f>
        <v>723.8</v>
      </c>
      <c r="Q3661" s="7">
        <f>DAY('data on outstanding creditors'!$B3661)</f>
        <v>29</v>
      </c>
      <c r="R3661" s="7">
        <f>MONTH('data on outstanding creditors'!$B3661)</f>
        <v>8</v>
      </c>
      <c r="S3661" s="7">
        <f>YEAR('data on outstanding creditors'!$B3661)</f>
        <v>2025</v>
      </c>
      <c r="T3661" s="11" t="str">
        <f>'data on outstanding creditors'!$C3661&amp;" "&amp;'data on outstanding creditors'!$D3661&amp;" "&amp;TEXT('data on outstanding creditors'!$E3661,"#,##0.00")</f>
        <v>บ.เด็นทาเนียร์ TIN-6807-0293 11,063.80</v>
      </c>
      <c r="U3661" s="12"/>
    </row>
    <row r="3662" ht="13.5" customHeight="1">
      <c r="A3662" s="1" t="s">
        <v>5754</v>
      </c>
      <c r="B3662" s="2">
        <v>45901.0</v>
      </c>
      <c r="C3662" s="9" t="s">
        <v>3888</v>
      </c>
      <c r="D3662" s="1" t="s">
        <v>5755</v>
      </c>
      <c r="E3662" s="4">
        <v>256851.0</v>
      </c>
      <c r="F3662" s="4"/>
      <c r="G3662" s="4"/>
      <c r="H3662" s="4">
        <f>'data on outstanding creditors'!$E3662-'data on outstanding creditors'!$F3662-'data on outstanding creditors'!$G3662</f>
        <v>256851</v>
      </c>
      <c r="I3662" s="2"/>
      <c r="J3662" s="1"/>
      <c r="K3662" s="2"/>
      <c r="L3662" s="5"/>
      <c r="M3662" s="9" t="s">
        <v>58</v>
      </c>
      <c r="N3662" s="9" t="s">
        <v>49</v>
      </c>
      <c r="O3662" s="10">
        <f>'data on outstanding creditors'!$E3662*100/107</f>
        <v>240047.6636</v>
      </c>
      <c r="P3662" s="10">
        <f>'data on outstanding creditors'!$E3662-'data on outstanding creditors'!$O3662</f>
        <v>16803.33645</v>
      </c>
      <c r="Q3662" s="7">
        <f>DAY('data on outstanding creditors'!$B3662)</f>
        <v>1</v>
      </c>
      <c r="R3662" s="7">
        <f>MONTH('data on outstanding creditors'!$B3662)</f>
        <v>9</v>
      </c>
      <c r="S3662" s="7">
        <f>YEAR('data on outstanding creditors'!$B3662)</f>
        <v>2025</v>
      </c>
      <c r="T3662" s="11" t="str">
        <f>'data on outstanding creditors'!$C3662&amp;" "&amp;'data on outstanding creditors'!$D3662&amp;" "&amp;TEXT('data on outstanding creditors'!$E3662,"#,##0.00")</f>
        <v>บ.พี ซี แอล โฮลดิ้ง PCI25-09-018 256,851.00</v>
      </c>
      <c r="U3662" s="12"/>
    </row>
    <row r="3663" ht="13.5" customHeight="1">
      <c r="A3663" s="1" t="s">
        <v>5756</v>
      </c>
      <c r="B3663" s="2">
        <v>45901.0</v>
      </c>
      <c r="C3663" s="9" t="s">
        <v>5607</v>
      </c>
      <c r="D3663" s="1" t="s">
        <v>5757</v>
      </c>
      <c r="E3663" s="4">
        <v>211159.0</v>
      </c>
      <c r="F3663" s="4"/>
      <c r="G3663" s="4"/>
      <c r="H3663" s="4">
        <f>'data on outstanding creditors'!$E3663-'data on outstanding creditors'!$F3663-'data on outstanding creditors'!$G3663</f>
        <v>211159</v>
      </c>
      <c r="I3663" s="2"/>
      <c r="J3663" s="1"/>
      <c r="K3663" s="2"/>
      <c r="L3663" s="5"/>
      <c r="M3663" s="9" t="s">
        <v>58</v>
      </c>
      <c r="N3663" s="9" t="s">
        <v>49</v>
      </c>
      <c r="O3663" s="10">
        <f>'data on outstanding creditors'!$E3663*100/107</f>
        <v>197344.8598</v>
      </c>
      <c r="P3663" s="10">
        <f>'data on outstanding creditors'!$E3663-'data on outstanding creditors'!$O3663</f>
        <v>13814.14019</v>
      </c>
      <c r="Q3663" s="7">
        <f>DAY('data on outstanding creditors'!$B3663)</f>
        <v>1</v>
      </c>
      <c r="R3663" s="7">
        <f>MONTH('data on outstanding creditors'!$B3663)</f>
        <v>9</v>
      </c>
      <c r="S3663" s="7">
        <f>YEAR('data on outstanding creditors'!$B3663)</f>
        <v>2025</v>
      </c>
      <c r="T3663" s="11" t="str">
        <f>'data on outstanding creditors'!$C3663&amp;" "&amp;'data on outstanding creditors'!$D3663&amp;" "&amp;TEXT('data on outstanding creditors'!$E3663,"#,##0.00")</f>
        <v>บ.อาร์เอ็นดี ไดแอกโนสติกส์ INT-RND-680900114 211,159.00</v>
      </c>
      <c r="U3663" s="12"/>
    </row>
    <row r="3664" ht="13.5" customHeight="1">
      <c r="A3664" s="1" t="s">
        <v>5758</v>
      </c>
      <c r="B3664" s="2">
        <v>45909.0</v>
      </c>
      <c r="C3664" s="9" t="s">
        <v>3888</v>
      </c>
      <c r="D3664" s="1" t="s">
        <v>5759</v>
      </c>
      <c r="E3664" s="4">
        <v>89562.0</v>
      </c>
      <c r="F3664" s="4"/>
      <c r="G3664" s="4"/>
      <c r="H3664" s="4">
        <f>'data on outstanding creditors'!$E3664-'data on outstanding creditors'!$F3664-'data on outstanding creditors'!$G3664</f>
        <v>89562</v>
      </c>
      <c r="I3664" s="2"/>
      <c r="J3664" s="1"/>
      <c r="K3664" s="2"/>
      <c r="L3664" s="5"/>
      <c r="M3664" s="9" t="s">
        <v>58</v>
      </c>
      <c r="N3664" s="9" t="s">
        <v>49</v>
      </c>
      <c r="O3664" s="10">
        <f>'data on outstanding creditors'!$E3664*100/107</f>
        <v>83702.80374</v>
      </c>
      <c r="P3664" s="10">
        <f>'data on outstanding creditors'!$E3664-'data on outstanding creditors'!$O3664</f>
        <v>5859.196262</v>
      </c>
      <c r="Q3664" s="7">
        <f>DAY('data on outstanding creditors'!$B3664)</f>
        <v>9</v>
      </c>
      <c r="R3664" s="7">
        <f>MONTH('data on outstanding creditors'!$B3664)</f>
        <v>9</v>
      </c>
      <c r="S3664" s="7">
        <f>YEAR('data on outstanding creditors'!$B3664)</f>
        <v>2025</v>
      </c>
      <c r="T3664" s="11" t="str">
        <f>'data on outstanding creditors'!$C3664&amp;" "&amp;'data on outstanding creditors'!$D3664&amp;" "&amp;TEXT('data on outstanding creditors'!$E3664,"#,##0.00")</f>
        <v>บ.พี ซี แอล โฮลดิ้ง PCI25-09-0179 89,562.00</v>
      </c>
      <c r="U3664" s="12"/>
    </row>
    <row r="3665" ht="13.5" customHeight="1">
      <c r="A3665" s="1" t="s">
        <v>5760</v>
      </c>
      <c r="B3665" s="2">
        <v>45910.0</v>
      </c>
      <c r="C3665" s="9" t="s">
        <v>520</v>
      </c>
      <c r="D3665" s="1" t="s">
        <v>5761</v>
      </c>
      <c r="E3665" s="4">
        <v>202400.0</v>
      </c>
      <c r="F3665" s="4"/>
      <c r="G3665" s="4"/>
      <c r="H3665" s="4">
        <f>'data on outstanding creditors'!$E3665-'data on outstanding creditors'!$F3665-'data on outstanding creditors'!$G3665</f>
        <v>202400</v>
      </c>
      <c r="I3665" s="2"/>
      <c r="J3665" s="1"/>
      <c r="K3665" s="2"/>
      <c r="L3665" s="5"/>
      <c r="M3665" s="9" t="s">
        <v>58</v>
      </c>
      <c r="N3665" s="9" t="s">
        <v>49</v>
      </c>
      <c r="O3665" s="10">
        <f>'data on outstanding creditors'!$E3665*100/107</f>
        <v>189158.8785</v>
      </c>
      <c r="P3665" s="10">
        <f>'data on outstanding creditors'!$E3665-'data on outstanding creditors'!$O3665</f>
        <v>13241.1215</v>
      </c>
      <c r="Q3665" s="7">
        <f>DAY('data on outstanding creditors'!$B3665)</f>
        <v>10</v>
      </c>
      <c r="R3665" s="7">
        <f>MONTH('data on outstanding creditors'!$B3665)</f>
        <v>9</v>
      </c>
      <c r="S3665" s="7">
        <f>YEAR('data on outstanding creditors'!$B3665)</f>
        <v>2025</v>
      </c>
      <c r="T3665" s="11" t="str">
        <f>'data on outstanding creditors'!$C3665&amp;" "&amp;'data on outstanding creditors'!$D3665&amp;" "&amp;TEXT('data on outstanding creditors'!$E3665,"#,##0.00")</f>
        <v>บ.ซิลลิคฟาร์มา 1318023393 202,400.00</v>
      </c>
      <c r="U3665" s="12"/>
    </row>
    <row r="3666" ht="13.5" customHeight="1">
      <c r="A3666" s="1" t="s">
        <v>5762</v>
      </c>
      <c r="B3666" s="2">
        <v>45911.0</v>
      </c>
      <c r="C3666" s="9" t="s">
        <v>5614</v>
      </c>
      <c r="D3666" s="1" t="s">
        <v>5763</v>
      </c>
      <c r="E3666" s="4">
        <v>108930.0</v>
      </c>
      <c r="F3666" s="4"/>
      <c r="G3666" s="4"/>
      <c r="H3666" s="4">
        <f>'data on outstanding creditors'!$E3666-'data on outstanding creditors'!$F3666-'data on outstanding creditors'!$G3666</f>
        <v>108930</v>
      </c>
      <c r="I3666" s="2"/>
      <c r="J3666" s="1"/>
      <c r="K3666" s="2"/>
      <c r="L3666" s="5"/>
      <c r="M3666" s="9" t="s">
        <v>58</v>
      </c>
      <c r="N3666" s="9" t="s">
        <v>49</v>
      </c>
      <c r="O3666" s="10">
        <f>'data on outstanding creditors'!$E3666*100/107</f>
        <v>101803.7383</v>
      </c>
      <c r="P3666" s="10">
        <f>'data on outstanding creditors'!$E3666-'data on outstanding creditors'!$O3666</f>
        <v>7126.261682</v>
      </c>
      <c r="Q3666" s="7">
        <f>DAY('data on outstanding creditors'!$B3666)</f>
        <v>11</v>
      </c>
      <c r="R3666" s="7">
        <f>MONTH('data on outstanding creditors'!$B3666)</f>
        <v>9</v>
      </c>
      <c r="S3666" s="7">
        <f>YEAR('data on outstanding creditors'!$B3666)</f>
        <v>2025</v>
      </c>
      <c r="T3666" s="11" t="str">
        <f>'data on outstanding creditors'!$C3666&amp;" "&amp;'data on outstanding creditors'!$D3666&amp;" "&amp;TEXT('data on outstanding creditors'!$E3666,"#,##0.00")</f>
        <v>บ.พี ซี ที ลาบอราตอรี่ เซอร์วิส TI25-08-1125 108,930.00</v>
      </c>
      <c r="U3666" s="12"/>
    </row>
    <row r="3667" ht="13.5" customHeight="1">
      <c r="A3667" s="1" t="s">
        <v>5764</v>
      </c>
      <c r="B3667" s="2">
        <v>45911.0</v>
      </c>
      <c r="C3667" s="9" t="s">
        <v>5614</v>
      </c>
      <c r="D3667" s="1" t="s">
        <v>5765</v>
      </c>
      <c r="E3667" s="4">
        <v>166345.0</v>
      </c>
      <c r="F3667" s="4"/>
      <c r="G3667" s="4"/>
      <c r="H3667" s="4">
        <f>'data on outstanding creditors'!$E3667-'data on outstanding creditors'!$F3667-'data on outstanding creditors'!$G3667</f>
        <v>166345</v>
      </c>
      <c r="I3667" s="2"/>
      <c r="J3667" s="1"/>
      <c r="K3667" s="2"/>
      <c r="L3667" s="5"/>
      <c r="M3667" s="9" t="s">
        <v>58</v>
      </c>
      <c r="N3667" s="9" t="s">
        <v>49</v>
      </c>
      <c r="O3667" s="10">
        <f>'data on outstanding creditors'!$E3667*100/107</f>
        <v>155462.6168</v>
      </c>
      <c r="P3667" s="10">
        <f>'data on outstanding creditors'!$E3667-'data on outstanding creditors'!$O3667</f>
        <v>10882.38318</v>
      </c>
      <c r="Q3667" s="7">
        <f>DAY('data on outstanding creditors'!$B3667)</f>
        <v>11</v>
      </c>
      <c r="R3667" s="7">
        <f>MONTH('data on outstanding creditors'!$B3667)</f>
        <v>9</v>
      </c>
      <c r="S3667" s="7">
        <f>YEAR('data on outstanding creditors'!$B3667)</f>
        <v>2025</v>
      </c>
      <c r="T3667" s="11" t="str">
        <f>'data on outstanding creditors'!$C3667&amp;" "&amp;'data on outstanding creditors'!$D3667&amp;" "&amp;TEXT('data on outstanding creditors'!$E3667,"#,##0.00")</f>
        <v>บ.พี ซี ที ลาบอราตอรี่ เซอร์วิส TI25-08-1019 166,345.00</v>
      </c>
      <c r="U3667" s="12"/>
    </row>
    <row r="3668" ht="13.5" customHeight="1">
      <c r="A3668" s="1" t="s">
        <v>5766</v>
      </c>
      <c r="B3668" s="2">
        <v>45916.0</v>
      </c>
      <c r="C3668" s="9" t="s">
        <v>387</v>
      </c>
      <c r="D3668" s="1" t="s">
        <v>5767</v>
      </c>
      <c r="E3668" s="4">
        <v>394300.0</v>
      </c>
      <c r="F3668" s="4"/>
      <c r="G3668" s="4"/>
      <c r="H3668" s="4">
        <f>'data on outstanding creditors'!$E3668-'data on outstanding creditors'!$F3668-'data on outstanding creditors'!$G3668</f>
        <v>394300</v>
      </c>
      <c r="I3668" s="2"/>
      <c r="J3668" s="1"/>
      <c r="K3668" s="2"/>
      <c r="L3668" s="5"/>
      <c r="M3668" s="9" t="s">
        <v>58</v>
      </c>
      <c r="N3668" s="9" t="s">
        <v>49</v>
      </c>
      <c r="O3668" s="10">
        <f>'data on outstanding creditors'!$E3668*100/107</f>
        <v>368504.6729</v>
      </c>
      <c r="P3668" s="10">
        <f>'data on outstanding creditors'!$E3668-'data on outstanding creditors'!$O3668</f>
        <v>25795.3271</v>
      </c>
      <c r="Q3668" s="7">
        <f>DAY('data on outstanding creditors'!$B3668)</f>
        <v>16</v>
      </c>
      <c r="R3668" s="7">
        <f>MONTH('data on outstanding creditors'!$B3668)</f>
        <v>9</v>
      </c>
      <c r="S3668" s="7">
        <f>YEAR('data on outstanding creditors'!$B3668)</f>
        <v>2025</v>
      </c>
      <c r="T3668" s="11" t="str">
        <f>'data on outstanding creditors'!$C3668&amp;" "&amp;'data on outstanding creditors'!$D3668&amp;" "&amp;TEXT('data on outstanding creditors'!$E3668,"#,##0.00")</f>
        <v>บ.อินโนเทค ลาบอราทอรี่ เซอร์วิส SV001/68080190 394,300.00</v>
      </c>
      <c r="U3668" s="12"/>
    </row>
    <row r="3669" ht="13.5" customHeight="1">
      <c r="A3669" s="1" t="s">
        <v>5768</v>
      </c>
      <c r="B3669" s="2">
        <v>45916.0</v>
      </c>
      <c r="C3669" s="9" t="s">
        <v>5705</v>
      </c>
      <c r="D3669" s="1" t="s">
        <v>5769</v>
      </c>
      <c r="E3669" s="4">
        <v>925.0</v>
      </c>
      <c r="F3669" s="4"/>
      <c r="G3669" s="4"/>
      <c r="H3669" s="4">
        <f>'data on outstanding creditors'!$E3669-'data on outstanding creditors'!$F3669-'data on outstanding creditors'!$G3669</f>
        <v>925</v>
      </c>
      <c r="I3669" s="2"/>
      <c r="J3669" s="1"/>
      <c r="K3669" s="2"/>
      <c r="L3669" s="5"/>
      <c r="M3669" s="9" t="s">
        <v>58</v>
      </c>
      <c r="N3669" s="9" t="s">
        <v>49</v>
      </c>
      <c r="O3669" s="10">
        <f>'data on outstanding creditors'!$E3669*100/107</f>
        <v>864.4859813</v>
      </c>
      <c r="P3669" s="10">
        <f>'data on outstanding creditors'!$E3669-'data on outstanding creditors'!$O3669</f>
        <v>60.51401869</v>
      </c>
      <c r="Q3669" s="7">
        <f>DAY('data on outstanding creditors'!$B3669)</f>
        <v>16</v>
      </c>
      <c r="R3669" s="7">
        <f>MONTH('data on outstanding creditors'!$B3669)</f>
        <v>9</v>
      </c>
      <c r="S3669" s="7">
        <f>YEAR('data on outstanding creditors'!$B3669)</f>
        <v>2025</v>
      </c>
      <c r="T3669" s="11" t="str">
        <f>'data on outstanding creditors'!$C3669&amp;" "&amp;'data on outstanding creditors'!$D3669&amp;" "&amp;TEXT('data on outstanding creditors'!$E3669,"#,##0.00")</f>
        <v>บ.เอซีซี เมดิคอล IVA6809-227 925.00</v>
      </c>
      <c r="U3669" s="12"/>
    </row>
    <row r="3670" ht="13.5" customHeight="1">
      <c r="A3670" s="1" t="s">
        <v>5770</v>
      </c>
      <c r="B3670" s="2">
        <v>45917.0</v>
      </c>
      <c r="C3670" s="9" t="s">
        <v>413</v>
      </c>
      <c r="D3670" s="1" t="s">
        <v>5771</v>
      </c>
      <c r="E3670" s="4">
        <v>80140.0</v>
      </c>
      <c r="F3670" s="4"/>
      <c r="G3670" s="4"/>
      <c r="H3670" s="4">
        <f>'data on outstanding creditors'!$E3670-'data on outstanding creditors'!$F3670-'data on outstanding creditors'!$G3670</f>
        <v>80140</v>
      </c>
      <c r="I3670" s="2"/>
      <c r="J3670" s="1"/>
      <c r="K3670" s="2"/>
      <c r="L3670" s="5"/>
      <c r="M3670" s="9" t="s">
        <v>58</v>
      </c>
      <c r="N3670" s="9" t="s">
        <v>49</v>
      </c>
      <c r="O3670" s="10">
        <f>'data on outstanding creditors'!$E3670*100/107</f>
        <v>74897.19626</v>
      </c>
      <c r="P3670" s="10">
        <f>'data on outstanding creditors'!$E3670-'data on outstanding creditors'!$O3670</f>
        <v>5242.803738</v>
      </c>
      <c r="Q3670" s="7">
        <f>DAY('data on outstanding creditors'!$B3670)</f>
        <v>17</v>
      </c>
      <c r="R3670" s="7">
        <f>MONTH('data on outstanding creditors'!$B3670)</f>
        <v>9</v>
      </c>
      <c r="S3670" s="7">
        <f>YEAR('data on outstanding creditors'!$B3670)</f>
        <v>2025</v>
      </c>
      <c r="T3670" s="11" t="str">
        <f>'data on outstanding creditors'!$C3670&amp;" "&amp;'data on outstanding creditors'!$D3670&amp;" "&amp;TEXT('data on outstanding creditors'!$E3670,"#,##0.00")</f>
        <v>ศูนย์บริการโลหิตแห่งชาติ สภากาชาดไทย 682130/00079 80,140.00</v>
      </c>
      <c r="U3670" s="12"/>
    </row>
    <row r="3671" ht="13.5" customHeight="1">
      <c r="A3671" s="1" t="s">
        <v>5772</v>
      </c>
      <c r="B3671" s="2">
        <v>45918.0</v>
      </c>
      <c r="C3671" s="9" t="s">
        <v>5682</v>
      </c>
      <c r="D3671" s="1" t="s">
        <v>5773</v>
      </c>
      <c r="E3671" s="4">
        <v>9150.0</v>
      </c>
      <c r="F3671" s="4"/>
      <c r="G3671" s="4"/>
      <c r="H3671" s="4">
        <f>'data on outstanding creditors'!$E3671-'data on outstanding creditors'!$F3671-'data on outstanding creditors'!$G3671</f>
        <v>9150</v>
      </c>
      <c r="I3671" s="2"/>
      <c r="J3671" s="1"/>
      <c r="K3671" s="2"/>
      <c r="L3671" s="5"/>
      <c r="M3671" s="9" t="s">
        <v>58</v>
      </c>
      <c r="N3671" s="9" t="s">
        <v>49</v>
      </c>
      <c r="O3671" s="10">
        <f>'data on outstanding creditors'!$E3671*100/107</f>
        <v>8551.401869</v>
      </c>
      <c r="P3671" s="10">
        <f>'data on outstanding creditors'!$E3671-'data on outstanding creditors'!$O3671</f>
        <v>598.5981308</v>
      </c>
      <c r="Q3671" s="7">
        <f>DAY('data on outstanding creditors'!$B3671)</f>
        <v>18</v>
      </c>
      <c r="R3671" s="7">
        <f>MONTH('data on outstanding creditors'!$B3671)</f>
        <v>9</v>
      </c>
      <c r="S3671" s="7">
        <f>YEAR('data on outstanding creditors'!$B3671)</f>
        <v>2025</v>
      </c>
      <c r="T3671" s="11" t="str">
        <f>'data on outstanding creditors'!$C3671&amp;" "&amp;'data on outstanding creditors'!$D3671&amp;" "&amp;TEXT('data on outstanding creditors'!$E3671,"#,##0.00")</f>
        <v>สถาบันพยาธิวิทยา กรมการแพทย์ สธ0314/กง.1650 9,150.00</v>
      </c>
      <c r="U3671" s="12"/>
    </row>
    <row r="3672" ht="13.5" customHeight="1">
      <c r="A3672" s="1" t="s">
        <v>5774</v>
      </c>
      <c r="B3672" s="2">
        <v>45919.0</v>
      </c>
      <c r="C3672" s="9" t="s">
        <v>413</v>
      </c>
      <c r="D3672" s="1" t="s">
        <v>5775</v>
      </c>
      <c r="E3672" s="4">
        <v>2120.0</v>
      </c>
      <c r="F3672" s="4"/>
      <c r="G3672" s="4"/>
      <c r="H3672" s="4">
        <f>'data on outstanding creditors'!$E3672-'data on outstanding creditors'!$F3672-'data on outstanding creditors'!$G3672</f>
        <v>2120</v>
      </c>
      <c r="I3672" s="2"/>
      <c r="J3672" s="1"/>
      <c r="K3672" s="2"/>
      <c r="L3672" s="5"/>
      <c r="M3672" s="9" t="s">
        <v>58</v>
      </c>
      <c r="N3672" s="9" t="s">
        <v>49</v>
      </c>
      <c r="O3672" s="10">
        <f>'data on outstanding creditors'!$E3672*100/107</f>
        <v>1981.308411</v>
      </c>
      <c r="P3672" s="10">
        <f>'data on outstanding creditors'!$E3672-'data on outstanding creditors'!$O3672</f>
        <v>138.6915888</v>
      </c>
      <c r="Q3672" s="7">
        <f>DAY('data on outstanding creditors'!$B3672)</f>
        <v>19</v>
      </c>
      <c r="R3672" s="7">
        <f>MONTH('data on outstanding creditors'!$B3672)</f>
        <v>9</v>
      </c>
      <c r="S3672" s="7">
        <f>YEAR('data on outstanding creditors'!$B3672)</f>
        <v>2025</v>
      </c>
      <c r="T3672" s="11" t="str">
        <f>'data on outstanding creditors'!$C3672&amp;" "&amp;'data on outstanding creditors'!$D3672&amp;" "&amp;TEXT('data on outstanding creditors'!$E3672,"#,##0.00")</f>
        <v>ศูนย์บริการโลหิตแห่งชาติ สภากาชาดไทย 682113/00030 2,120.00</v>
      </c>
      <c r="U3672" s="12"/>
    </row>
    <row r="3673" ht="13.5" customHeight="1">
      <c r="A3673" s="1" t="s">
        <v>5776</v>
      </c>
      <c r="B3673" s="2">
        <v>45923.0</v>
      </c>
      <c r="C3673" s="9" t="s">
        <v>520</v>
      </c>
      <c r="D3673" s="1" t="s">
        <v>5777</v>
      </c>
      <c r="E3673" s="4">
        <v>206500.0</v>
      </c>
      <c r="F3673" s="4"/>
      <c r="G3673" s="4"/>
      <c r="H3673" s="4">
        <f>'data on outstanding creditors'!$E3673-'data on outstanding creditors'!$F3673-'data on outstanding creditors'!$G3673</f>
        <v>206500</v>
      </c>
      <c r="I3673" s="2"/>
      <c r="J3673" s="1"/>
      <c r="K3673" s="2"/>
      <c r="L3673" s="5"/>
      <c r="M3673" s="9" t="s">
        <v>58</v>
      </c>
      <c r="N3673" s="9" t="s">
        <v>49</v>
      </c>
      <c r="O3673" s="10">
        <f>'data on outstanding creditors'!$E3673*100/107</f>
        <v>192990.6542</v>
      </c>
      <c r="P3673" s="10">
        <f>'data on outstanding creditors'!$E3673-'data on outstanding creditors'!$O3673</f>
        <v>13509.34579</v>
      </c>
      <c r="Q3673" s="7">
        <f>DAY('data on outstanding creditors'!$B3673)</f>
        <v>23</v>
      </c>
      <c r="R3673" s="7">
        <f>MONTH('data on outstanding creditors'!$B3673)</f>
        <v>9</v>
      </c>
      <c r="S3673" s="7">
        <f>YEAR('data on outstanding creditors'!$B3673)</f>
        <v>2025</v>
      </c>
      <c r="T3673" s="11" t="str">
        <f>'data on outstanding creditors'!$C3673&amp;" "&amp;'data on outstanding creditors'!$D3673&amp;" "&amp;TEXT('data on outstanding creditors'!$E3673,"#,##0.00")</f>
        <v>บ.ซิลลิคฟาร์มา 1318214038 206,500.00</v>
      </c>
      <c r="U3673" s="12"/>
    </row>
    <row r="3674" ht="13.5" customHeight="1">
      <c r="A3674" s="1" t="s">
        <v>5778</v>
      </c>
      <c r="B3674" s="2">
        <v>45931.0</v>
      </c>
      <c r="C3674" s="9" t="s">
        <v>3888</v>
      </c>
      <c r="D3674" s="1" t="s">
        <v>5779</v>
      </c>
      <c r="E3674" s="4">
        <v>259292.0</v>
      </c>
      <c r="F3674" s="4"/>
      <c r="G3674" s="4"/>
      <c r="H3674" s="4">
        <f>'data on outstanding creditors'!$E3674-'data on outstanding creditors'!$F3674-'data on outstanding creditors'!$G3674</f>
        <v>259292</v>
      </c>
      <c r="I3674" s="2"/>
      <c r="J3674" s="1"/>
      <c r="K3674" s="2"/>
      <c r="L3674" s="5"/>
      <c r="M3674" s="9" t="s">
        <v>58</v>
      </c>
      <c r="N3674" s="9" t="s">
        <v>49</v>
      </c>
      <c r="O3674" s="10">
        <f>'data on outstanding creditors'!$E3674*100/107</f>
        <v>242328.972</v>
      </c>
      <c r="P3674" s="10">
        <f>'data on outstanding creditors'!$E3674-'data on outstanding creditors'!$O3674</f>
        <v>16963.02804</v>
      </c>
      <c r="Q3674" s="7">
        <f>DAY('data on outstanding creditors'!$B3674)</f>
        <v>1</v>
      </c>
      <c r="R3674" s="7">
        <f>MONTH('data on outstanding creditors'!$B3674)</f>
        <v>10</v>
      </c>
      <c r="S3674" s="7">
        <f>YEAR('data on outstanding creditors'!$B3674)</f>
        <v>2025</v>
      </c>
      <c r="T3674" s="11" t="str">
        <f>'data on outstanding creditors'!$C3674&amp;" "&amp;'data on outstanding creditors'!$D3674&amp;" "&amp;TEXT('data on outstanding creditors'!$E3674,"#,##0.00")</f>
        <v>บ.พี ซี แอล โฮลดิ้ง PCI25-09-0374 259,292.00</v>
      </c>
      <c r="U3674" s="12"/>
    </row>
    <row r="3675" ht="13.5" customHeight="1">
      <c r="A3675" s="1" t="s">
        <v>5780</v>
      </c>
      <c r="B3675" s="2">
        <v>45931.0</v>
      </c>
      <c r="C3675" s="9" t="s">
        <v>3888</v>
      </c>
      <c r="D3675" s="1" t="s">
        <v>5781</v>
      </c>
      <c r="E3675" s="4">
        <v>81272.5</v>
      </c>
      <c r="F3675" s="4"/>
      <c r="G3675" s="4"/>
      <c r="H3675" s="4">
        <f>'data on outstanding creditors'!$E3675-'data on outstanding creditors'!$F3675-'data on outstanding creditors'!$G3675</f>
        <v>81272.5</v>
      </c>
      <c r="I3675" s="2"/>
      <c r="J3675" s="1"/>
      <c r="K3675" s="2"/>
      <c r="L3675" s="5"/>
      <c r="M3675" s="9" t="s">
        <v>58</v>
      </c>
      <c r="N3675" s="9" t="s">
        <v>49</v>
      </c>
      <c r="O3675" s="10">
        <f>'data on outstanding creditors'!$E3675*100/107</f>
        <v>75955.60748</v>
      </c>
      <c r="P3675" s="10">
        <f>'data on outstanding creditors'!$E3675-'data on outstanding creditors'!$O3675</f>
        <v>5316.892523</v>
      </c>
      <c r="Q3675" s="7">
        <f>DAY('data on outstanding creditors'!$B3675)</f>
        <v>1</v>
      </c>
      <c r="R3675" s="7">
        <f>MONTH('data on outstanding creditors'!$B3675)</f>
        <v>10</v>
      </c>
      <c r="S3675" s="7">
        <f>YEAR('data on outstanding creditors'!$B3675)</f>
        <v>2025</v>
      </c>
      <c r="T3675" s="11" t="str">
        <f>'data on outstanding creditors'!$C3675&amp;" "&amp;'data on outstanding creditors'!$D3675&amp;" "&amp;TEXT('data on outstanding creditors'!$E3675,"#,##0.00")</f>
        <v>บ.พี ซี แอล โฮลดิ้ง PCI25-09-0371 81,272.50</v>
      </c>
      <c r="U3675" s="12"/>
    </row>
    <row r="3676" ht="13.5" customHeight="1">
      <c r="A3676" s="1" t="s">
        <v>5782</v>
      </c>
      <c r="B3676" s="2">
        <v>45931.0</v>
      </c>
      <c r="C3676" s="9" t="s">
        <v>5607</v>
      </c>
      <c r="D3676" s="1" t="s">
        <v>5783</v>
      </c>
      <c r="E3676" s="4">
        <v>189245.0</v>
      </c>
      <c r="F3676" s="4"/>
      <c r="G3676" s="4"/>
      <c r="H3676" s="4">
        <f>'data on outstanding creditors'!$E3676-'data on outstanding creditors'!$F3676-'data on outstanding creditors'!$G3676</f>
        <v>189245</v>
      </c>
      <c r="I3676" s="2"/>
      <c r="J3676" s="1"/>
      <c r="K3676" s="2"/>
      <c r="L3676" s="5"/>
      <c r="M3676" s="9" t="s">
        <v>58</v>
      </c>
      <c r="N3676" s="9" t="s">
        <v>49</v>
      </c>
      <c r="O3676" s="10">
        <f>'data on outstanding creditors'!$E3676*100/107</f>
        <v>176864.486</v>
      </c>
      <c r="P3676" s="10">
        <f>'data on outstanding creditors'!$E3676-'data on outstanding creditors'!$O3676</f>
        <v>12380.51402</v>
      </c>
      <c r="Q3676" s="7">
        <f>DAY('data on outstanding creditors'!$B3676)</f>
        <v>1</v>
      </c>
      <c r="R3676" s="7">
        <f>MONTH('data on outstanding creditors'!$B3676)</f>
        <v>10</v>
      </c>
      <c r="S3676" s="7">
        <f>YEAR('data on outstanding creditors'!$B3676)</f>
        <v>2025</v>
      </c>
      <c r="T3676" s="11" t="str">
        <f>'data on outstanding creditors'!$C3676&amp;" "&amp;'data on outstanding creditors'!$D3676&amp;" "&amp;TEXT('data on outstanding creditors'!$E3676,"#,##0.00")</f>
        <v>บ.อาร์เอ็นดี ไดแอกโนสติกส์ INT-RND-681000114 189,245.00</v>
      </c>
      <c r="U3676" s="12"/>
    </row>
    <row r="3677" ht="13.5" customHeight="1">
      <c r="A3677" s="1" t="s">
        <v>5784</v>
      </c>
      <c r="B3677" s="2">
        <v>45944.0</v>
      </c>
      <c r="C3677" s="9" t="s">
        <v>5614</v>
      </c>
      <c r="D3677" s="1" t="s">
        <v>5785</v>
      </c>
      <c r="E3677" s="4">
        <v>90325.0</v>
      </c>
      <c r="F3677" s="4"/>
      <c r="G3677" s="4"/>
      <c r="H3677" s="4">
        <f>'data on outstanding creditors'!$E3677-'data on outstanding creditors'!$F3677-'data on outstanding creditors'!$G3677</f>
        <v>90325</v>
      </c>
      <c r="I3677" s="2"/>
      <c r="J3677" s="1"/>
      <c r="K3677" s="2"/>
      <c r="L3677" s="5"/>
      <c r="M3677" s="9" t="s">
        <v>58</v>
      </c>
      <c r="N3677" s="9" t="s">
        <v>49</v>
      </c>
      <c r="O3677" s="10">
        <f>'data on outstanding creditors'!$E3677*100/107</f>
        <v>84415.88785</v>
      </c>
      <c r="P3677" s="10">
        <f>'data on outstanding creditors'!$E3677-'data on outstanding creditors'!$O3677</f>
        <v>5909.11215</v>
      </c>
      <c r="Q3677" s="7">
        <f>DAY('data on outstanding creditors'!$B3677)</f>
        <v>14</v>
      </c>
      <c r="R3677" s="7">
        <f>MONTH('data on outstanding creditors'!$B3677)</f>
        <v>10</v>
      </c>
      <c r="S3677" s="7">
        <f>YEAR('data on outstanding creditors'!$B3677)</f>
        <v>2025</v>
      </c>
      <c r="T3677" s="11" t="str">
        <f>'data on outstanding creditors'!$C3677&amp;" "&amp;'data on outstanding creditors'!$D3677&amp;" "&amp;TEXT('data on outstanding creditors'!$E3677,"#,##0.00")</f>
        <v>บ.พี ซี ที ลาบอราตอรี่ เซอร์วิส TI25-09-1117 90,325.00</v>
      </c>
      <c r="U3677" s="12"/>
    </row>
    <row r="3678" ht="13.5" customHeight="1">
      <c r="A3678" s="1" t="s">
        <v>5786</v>
      </c>
      <c r="B3678" s="2">
        <v>45944.0</v>
      </c>
      <c r="C3678" s="9" t="s">
        <v>5614</v>
      </c>
      <c r="D3678" s="1" t="s">
        <v>5787</v>
      </c>
      <c r="E3678" s="4">
        <v>136560.0</v>
      </c>
      <c r="F3678" s="4"/>
      <c r="G3678" s="4"/>
      <c r="H3678" s="4">
        <f>'data on outstanding creditors'!$E3678-'data on outstanding creditors'!$F3678-'data on outstanding creditors'!$G3678</f>
        <v>136560</v>
      </c>
      <c r="I3678" s="2"/>
      <c r="J3678" s="1"/>
      <c r="K3678" s="2"/>
      <c r="L3678" s="5"/>
      <c r="M3678" s="9" t="s">
        <v>58</v>
      </c>
      <c r="N3678" s="9" t="s">
        <v>49</v>
      </c>
      <c r="O3678" s="10">
        <f>'data on outstanding creditors'!$E3678*100/107</f>
        <v>127626.1682</v>
      </c>
      <c r="P3678" s="10">
        <f>'data on outstanding creditors'!$E3678-'data on outstanding creditors'!$O3678</f>
        <v>8933.831776</v>
      </c>
      <c r="Q3678" s="7">
        <f>DAY('data on outstanding creditors'!$B3678)</f>
        <v>14</v>
      </c>
      <c r="R3678" s="7">
        <f>MONTH('data on outstanding creditors'!$B3678)</f>
        <v>10</v>
      </c>
      <c r="S3678" s="7">
        <f>YEAR('data on outstanding creditors'!$B3678)</f>
        <v>2025</v>
      </c>
      <c r="T3678" s="11" t="str">
        <f>'data on outstanding creditors'!$C3678&amp;" "&amp;'data on outstanding creditors'!$D3678&amp;" "&amp;TEXT('data on outstanding creditors'!$E3678,"#,##0.00")</f>
        <v>บ.พี ซี ที ลาบอราตอรี่ เซอร์วิส TI25-09-1019 136,560.00</v>
      </c>
      <c r="U3678" s="12"/>
    </row>
    <row r="3679" ht="13.5" customHeight="1">
      <c r="A3679" s="1" t="s">
        <v>5788</v>
      </c>
      <c r="B3679" s="2">
        <v>45945.0</v>
      </c>
      <c r="C3679" s="9" t="s">
        <v>387</v>
      </c>
      <c r="D3679" s="1" t="s">
        <v>5789</v>
      </c>
      <c r="E3679" s="4">
        <v>358250.0</v>
      </c>
      <c r="F3679" s="4"/>
      <c r="G3679" s="4"/>
      <c r="H3679" s="4">
        <f>'data on outstanding creditors'!$E3679-'data on outstanding creditors'!$F3679-'data on outstanding creditors'!$G3679</f>
        <v>358250</v>
      </c>
      <c r="I3679" s="2"/>
      <c r="J3679" s="1"/>
      <c r="K3679" s="2"/>
      <c r="L3679" s="5"/>
      <c r="M3679" s="9" t="s">
        <v>58</v>
      </c>
      <c r="N3679" s="9" t="s">
        <v>49</v>
      </c>
      <c r="O3679" s="10">
        <f>'data on outstanding creditors'!$E3679*100/107</f>
        <v>334813.0841</v>
      </c>
      <c r="P3679" s="10">
        <f>'data on outstanding creditors'!$E3679-'data on outstanding creditors'!$O3679</f>
        <v>23436.91589</v>
      </c>
      <c r="Q3679" s="7">
        <f>DAY('data on outstanding creditors'!$B3679)</f>
        <v>15</v>
      </c>
      <c r="R3679" s="7">
        <f>MONTH('data on outstanding creditors'!$B3679)</f>
        <v>10</v>
      </c>
      <c r="S3679" s="7">
        <f>YEAR('data on outstanding creditors'!$B3679)</f>
        <v>2025</v>
      </c>
      <c r="T3679" s="11" t="str">
        <f>'data on outstanding creditors'!$C3679&amp;" "&amp;'data on outstanding creditors'!$D3679&amp;" "&amp;TEXT('data on outstanding creditors'!$E3679,"#,##0.00")</f>
        <v>บ.อินโนเทค ลาบอราทอรี่ เซอร์วิส SV001/68090170 358,250.00</v>
      </c>
      <c r="U3679" s="12"/>
    </row>
    <row r="3680" ht="13.5" customHeight="1">
      <c r="A3680" s="1" t="s">
        <v>5790</v>
      </c>
      <c r="B3680" s="2">
        <v>45947.0</v>
      </c>
      <c r="C3680" s="9" t="s">
        <v>5718</v>
      </c>
      <c r="D3680" s="1" t="s">
        <v>5791</v>
      </c>
      <c r="E3680" s="4">
        <v>6000.0</v>
      </c>
      <c r="F3680" s="4"/>
      <c r="G3680" s="4"/>
      <c r="H3680" s="4">
        <f>'data on outstanding creditors'!$E3680-'data on outstanding creditors'!$F3680-'data on outstanding creditors'!$G3680</f>
        <v>6000</v>
      </c>
      <c r="I3680" s="2"/>
      <c r="J3680" s="1"/>
      <c r="K3680" s="2"/>
      <c r="L3680" s="5"/>
      <c r="M3680" s="9" t="s">
        <v>58</v>
      </c>
      <c r="N3680" s="9" t="s">
        <v>49</v>
      </c>
      <c r="O3680" s="10">
        <f>'data on outstanding creditors'!$E3680*100/107</f>
        <v>5607.476636</v>
      </c>
      <c r="P3680" s="10">
        <f>'data on outstanding creditors'!$E3680-'data on outstanding creditors'!$O3680</f>
        <v>392.5233645</v>
      </c>
      <c r="Q3680" s="7">
        <f>DAY('data on outstanding creditors'!$B3680)</f>
        <v>17</v>
      </c>
      <c r="R3680" s="7">
        <f>MONTH('data on outstanding creditors'!$B3680)</f>
        <v>10</v>
      </c>
      <c r="S3680" s="7">
        <f>YEAR('data on outstanding creditors'!$B3680)</f>
        <v>2025</v>
      </c>
      <c r="T3680" s="11" t="str">
        <f>'data on outstanding creditors'!$C3680&amp;" "&amp;'data on outstanding creditors'!$D3680&amp;" "&amp;TEXT('data on outstanding creditors'!$E3680,"#,##0.00")</f>
        <v>ศูนย์บริการพยาธิวิทยา โรงพยาบาลรามาธิบดี บพ.2134-68 6,000.00</v>
      </c>
      <c r="U3680" s="12"/>
    </row>
    <row r="3681" ht="13.5" customHeight="1">
      <c r="A3681" s="1" t="s">
        <v>5792</v>
      </c>
      <c r="B3681" s="2">
        <v>45947.0</v>
      </c>
      <c r="C3681" s="9" t="s">
        <v>413</v>
      </c>
      <c r="D3681" s="1" t="s">
        <v>5793</v>
      </c>
      <c r="E3681" s="4">
        <v>108450.0</v>
      </c>
      <c r="F3681" s="4"/>
      <c r="G3681" s="4"/>
      <c r="H3681" s="4">
        <f>'data on outstanding creditors'!$E3681-'data on outstanding creditors'!$F3681-'data on outstanding creditors'!$G3681</f>
        <v>108450</v>
      </c>
      <c r="I3681" s="2"/>
      <c r="J3681" s="1"/>
      <c r="K3681" s="2"/>
      <c r="L3681" s="5"/>
      <c r="M3681" s="9" t="s">
        <v>58</v>
      </c>
      <c r="N3681" s="9" t="s">
        <v>49</v>
      </c>
      <c r="O3681" s="10">
        <f>'data on outstanding creditors'!$E3681*100/107</f>
        <v>101355.1402</v>
      </c>
      <c r="P3681" s="10">
        <f>'data on outstanding creditors'!$E3681-'data on outstanding creditors'!$O3681</f>
        <v>7094.859813</v>
      </c>
      <c r="Q3681" s="7">
        <f>DAY('data on outstanding creditors'!$B3681)</f>
        <v>17</v>
      </c>
      <c r="R3681" s="7">
        <f>MONTH('data on outstanding creditors'!$B3681)</f>
        <v>10</v>
      </c>
      <c r="S3681" s="7">
        <f>YEAR('data on outstanding creditors'!$B3681)</f>
        <v>2025</v>
      </c>
      <c r="T3681" s="11" t="str">
        <f>'data on outstanding creditors'!$C3681&amp;" "&amp;'data on outstanding creditors'!$D3681&amp;" "&amp;TEXT('data on outstanding creditors'!$E3681,"#,##0.00")</f>
        <v>ศูนย์บริการโลหิตแห่งชาติ สภากาชาดไทย 682153/00093 108,450.00</v>
      </c>
      <c r="U3681" s="12"/>
    </row>
    <row r="3682" ht="13.5" customHeight="1">
      <c r="A3682" s="1" t="s">
        <v>5794</v>
      </c>
      <c r="B3682" s="2">
        <v>45947.0</v>
      </c>
      <c r="C3682" s="9" t="s">
        <v>413</v>
      </c>
      <c r="D3682" s="1" t="s">
        <v>5795</v>
      </c>
      <c r="E3682" s="4">
        <v>5300.0</v>
      </c>
      <c r="F3682" s="4"/>
      <c r="G3682" s="4"/>
      <c r="H3682" s="4">
        <f>'data on outstanding creditors'!$E3682-'data on outstanding creditors'!$F3682-'data on outstanding creditors'!$G3682</f>
        <v>5300</v>
      </c>
      <c r="I3682" s="2"/>
      <c r="J3682" s="1"/>
      <c r="K3682" s="2"/>
      <c r="L3682" s="5"/>
      <c r="M3682" s="9" t="s">
        <v>58</v>
      </c>
      <c r="N3682" s="9" t="s">
        <v>49</v>
      </c>
      <c r="O3682" s="10">
        <f>'data on outstanding creditors'!$E3682*100/107</f>
        <v>4953.271028</v>
      </c>
      <c r="P3682" s="10">
        <f>'data on outstanding creditors'!$E3682-'data on outstanding creditors'!$O3682</f>
        <v>346.728972</v>
      </c>
      <c r="Q3682" s="7">
        <f>DAY('data on outstanding creditors'!$B3682)</f>
        <v>17</v>
      </c>
      <c r="R3682" s="7">
        <f>MONTH('data on outstanding creditors'!$B3682)</f>
        <v>10</v>
      </c>
      <c r="S3682" s="7">
        <f>YEAR('data on outstanding creditors'!$B3682)</f>
        <v>2025</v>
      </c>
      <c r="T3682" s="11" t="str">
        <f>'data on outstanding creditors'!$C3682&amp;" "&amp;'data on outstanding creditors'!$D3682&amp;" "&amp;TEXT('data on outstanding creditors'!$E3682,"#,##0.00")</f>
        <v>ศูนย์บริการโลหิตแห่งชาติ สภากาชาดไทย 682136/00045 5,300.00</v>
      </c>
      <c r="U3682" s="12"/>
    </row>
    <row r="3683" ht="13.5" customHeight="1">
      <c r="A3683" s="1" t="s">
        <v>5796</v>
      </c>
      <c r="B3683" s="2">
        <v>45950.0</v>
      </c>
      <c r="C3683" s="9" t="s">
        <v>413</v>
      </c>
      <c r="D3683" s="1" t="s">
        <v>5797</v>
      </c>
      <c r="E3683" s="4">
        <v>560.0</v>
      </c>
      <c r="F3683" s="4"/>
      <c r="G3683" s="4"/>
      <c r="H3683" s="4">
        <f>'data on outstanding creditors'!$E3683-'data on outstanding creditors'!$F3683-'data on outstanding creditors'!$G3683</f>
        <v>560</v>
      </c>
      <c r="I3683" s="2"/>
      <c r="J3683" s="1"/>
      <c r="K3683" s="2"/>
      <c r="L3683" s="5"/>
      <c r="M3683" s="9" t="s">
        <v>58</v>
      </c>
      <c r="N3683" s="9" t="s">
        <v>49</v>
      </c>
      <c r="O3683" s="10">
        <f>'data on outstanding creditors'!$E3683*100/107</f>
        <v>523.364486</v>
      </c>
      <c r="P3683" s="10">
        <f>'data on outstanding creditors'!$E3683-'data on outstanding creditors'!$O3683</f>
        <v>36.63551402</v>
      </c>
      <c r="Q3683" s="7">
        <f>DAY('data on outstanding creditors'!$B3683)</f>
        <v>20</v>
      </c>
      <c r="R3683" s="7">
        <f>MONTH('data on outstanding creditors'!$B3683)</f>
        <v>10</v>
      </c>
      <c r="S3683" s="7">
        <f>YEAR('data on outstanding creditors'!$B3683)</f>
        <v>2025</v>
      </c>
      <c r="T3683" s="11" t="str">
        <f>'data on outstanding creditors'!$C3683&amp;" "&amp;'data on outstanding creditors'!$D3683&amp;" "&amp;TEXT('data on outstanding creditors'!$E3683,"#,##0.00")</f>
        <v>ศูนย์บริการโลหิตแห่งชาติ สภากาชาดไทย I6809-0502-00031 560.00</v>
      </c>
      <c r="U3683" s="12"/>
    </row>
    <row r="3684" ht="13.5" customHeight="1">
      <c r="A3684" s="1" t="s">
        <v>5798</v>
      </c>
      <c r="B3684" s="2">
        <v>45950.0</v>
      </c>
      <c r="C3684" s="9" t="s">
        <v>413</v>
      </c>
      <c r="D3684" s="1" t="s">
        <v>5799</v>
      </c>
      <c r="E3684" s="4">
        <v>80640.0</v>
      </c>
      <c r="F3684" s="4"/>
      <c r="G3684" s="4"/>
      <c r="H3684" s="4">
        <f>'data on outstanding creditors'!$E3684-'data on outstanding creditors'!$F3684-'data on outstanding creditors'!$G3684</f>
        <v>80640</v>
      </c>
      <c r="I3684" s="2"/>
      <c r="J3684" s="1"/>
      <c r="K3684" s="2"/>
      <c r="L3684" s="5"/>
      <c r="M3684" s="9" t="s">
        <v>58</v>
      </c>
      <c r="N3684" s="9" t="s">
        <v>49</v>
      </c>
      <c r="O3684" s="10">
        <f>'data on outstanding creditors'!$E3684*100/107</f>
        <v>75364.48598</v>
      </c>
      <c r="P3684" s="10">
        <f>'data on outstanding creditors'!$E3684-'data on outstanding creditors'!$O3684</f>
        <v>5275.514019</v>
      </c>
      <c r="Q3684" s="7">
        <f>DAY('data on outstanding creditors'!$B3684)</f>
        <v>20</v>
      </c>
      <c r="R3684" s="7">
        <f>MONTH('data on outstanding creditors'!$B3684)</f>
        <v>10</v>
      </c>
      <c r="S3684" s="7">
        <f>YEAR('data on outstanding creditors'!$B3684)</f>
        <v>2025</v>
      </c>
      <c r="T3684" s="11" t="str">
        <f>'data on outstanding creditors'!$C3684&amp;" "&amp;'data on outstanding creditors'!$D3684&amp;" "&amp;TEXT('data on outstanding creditors'!$E3684,"#,##0.00")</f>
        <v>ศูนย์บริการโลหิตแห่งชาติ สภากาชาดไทย I6809-0502-00030 80,640.00</v>
      </c>
      <c r="U3684" s="12"/>
    </row>
    <row r="3685" ht="13.5" customHeight="1">
      <c r="A3685" s="1" t="s">
        <v>5800</v>
      </c>
      <c r="B3685" s="2">
        <v>45950.0</v>
      </c>
      <c r="C3685" s="9" t="s">
        <v>413</v>
      </c>
      <c r="D3685" s="1" t="s">
        <v>5801</v>
      </c>
      <c r="E3685" s="4">
        <v>15680.0</v>
      </c>
      <c r="F3685" s="4"/>
      <c r="G3685" s="4"/>
      <c r="H3685" s="4">
        <f>'data on outstanding creditors'!$E3685-'data on outstanding creditors'!$F3685-'data on outstanding creditors'!$G3685</f>
        <v>15680</v>
      </c>
      <c r="I3685" s="2"/>
      <c r="J3685" s="1"/>
      <c r="K3685" s="2"/>
      <c r="L3685" s="5"/>
      <c r="M3685" s="9" t="s">
        <v>58</v>
      </c>
      <c r="N3685" s="9" t="s">
        <v>49</v>
      </c>
      <c r="O3685" s="10">
        <f>'data on outstanding creditors'!$E3685*100/107</f>
        <v>14654.20561</v>
      </c>
      <c r="P3685" s="10">
        <f>'data on outstanding creditors'!$E3685-'data on outstanding creditors'!$O3685</f>
        <v>1025.794393</v>
      </c>
      <c r="Q3685" s="7">
        <f>DAY('data on outstanding creditors'!$B3685)</f>
        <v>20</v>
      </c>
      <c r="R3685" s="7">
        <f>MONTH('data on outstanding creditors'!$B3685)</f>
        <v>10</v>
      </c>
      <c r="S3685" s="7">
        <f>YEAR('data on outstanding creditors'!$B3685)</f>
        <v>2025</v>
      </c>
      <c r="T3685" s="11" t="str">
        <f>'data on outstanding creditors'!$C3685&amp;" "&amp;'data on outstanding creditors'!$D3685&amp;" "&amp;TEXT('data on outstanding creditors'!$E3685,"#,##0.00")</f>
        <v>ศูนย์บริการโลหิตแห่งชาติ สภากาชาดไทย I6809-0502-00061 15,680.00</v>
      </c>
      <c r="U3685" s="12"/>
    </row>
    <row r="3686" ht="13.5" customHeight="1">
      <c r="A3686" s="1" t="s">
        <v>5802</v>
      </c>
      <c r="B3686" s="2">
        <v>45950.0</v>
      </c>
      <c r="C3686" s="9" t="s">
        <v>413</v>
      </c>
      <c r="D3686" s="1" t="s">
        <v>5803</v>
      </c>
      <c r="E3686" s="4">
        <v>37580.0</v>
      </c>
      <c r="F3686" s="4"/>
      <c r="G3686" s="4"/>
      <c r="H3686" s="4">
        <f>'data on outstanding creditors'!$E3686-'data on outstanding creditors'!$F3686-'data on outstanding creditors'!$G3686</f>
        <v>37580</v>
      </c>
      <c r="I3686" s="2"/>
      <c r="J3686" s="1" t="s">
        <v>646</v>
      </c>
      <c r="K3686" s="2">
        <v>45964.0</v>
      </c>
      <c r="L3686" s="5"/>
      <c r="M3686" s="9" t="s">
        <v>58</v>
      </c>
      <c r="N3686" s="9" t="s">
        <v>49</v>
      </c>
      <c r="O3686" s="10">
        <f>'data on outstanding creditors'!$E3686*100/107</f>
        <v>35121.49533</v>
      </c>
      <c r="P3686" s="10">
        <f>'data on outstanding creditors'!$E3686-'data on outstanding creditors'!$O3686</f>
        <v>2458.504673</v>
      </c>
      <c r="Q3686" s="7">
        <f>DAY('data on outstanding creditors'!$B3686)</f>
        <v>20</v>
      </c>
      <c r="R3686" s="7">
        <f>MONTH('data on outstanding creditors'!$B3686)</f>
        <v>10</v>
      </c>
      <c r="S3686" s="7">
        <f>YEAR('data on outstanding creditors'!$B3686)</f>
        <v>2025</v>
      </c>
      <c r="T3686" s="11" t="str">
        <f>'data on outstanding creditors'!$C3686&amp;" "&amp;'data on outstanding creditors'!$D3686&amp;" "&amp;TEXT('data on outstanding creditors'!$E3686,"#,##0.00")</f>
        <v>ศูนย์บริการโลหิตแห่งชาติ สภากาชาดไทย I6810-0502-00074 37,580.00</v>
      </c>
      <c r="U3686" s="12"/>
    </row>
    <row r="3687" ht="13.5" customHeight="1">
      <c r="A3687" s="1" t="s">
        <v>5804</v>
      </c>
      <c r="B3687" s="2">
        <v>45950.0</v>
      </c>
      <c r="C3687" s="9" t="s">
        <v>413</v>
      </c>
      <c r="D3687" s="1" t="s">
        <v>5805</v>
      </c>
      <c r="E3687" s="4">
        <v>14560.0</v>
      </c>
      <c r="F3687" s="4"/>
      <c r="G3687" s="4"/>
      <c r="H3687" s="4">
        <f>'data on outstanding creditors'!$E3687-'data on outstanding creditors'!$F3687-'data on outstanding creditors'!$G3687</f>
        <v>14560</v>
      </c>
      <c r="I3687" s="2"/>
      <c r="J3687" s="1"/>
      <c r="K3687" s="2"/>
      <c r="L3687" s="5"/>
      <c r="M3687" s="9" t="s">
        <v>58</v>
      </c>
      <c r="N3687" s="9" t="s">
        <v>49</v>
      </c>
      <c r="O3687" s="10">
        <f>'data on outstanding creditors'!$E3687*100/107</f>
        <v>13607.47664</v>
      </c>
      <c r="P3687" s="10">
        <f>'data on outstanding creditors'!$E3687-'data on outstanding creditors'!$O3687</f>
        <v>952.5233645</v>
      </c>
      <c r="Q3687" s="7">
        <f>DAY('data on outstanding creditors'!$B3687)</f>
        <v>20</v>
      </c>
      <c r="R3687" s="7">
        <f>MONTH('data on outstanding creditors'!$B3687)</f>
        <v>10</v>
      </c>
      <c r="S3687" s="7">
        <f>YEAR('data on outstanding creditors'!$B3687)</f>
        <v>2025</v>
      </c>
      <c r="T3687" s="11" t="str">
        <f>'data on outstanding creditors'!$C3687&amp;" "&amp;'data on outstanding creditors'!$D3687&amp;" "&amp;TEXT('data on outstanding creditors'!$E3687,"#,##0.00")</f>
        <v>ศูนย์บริการโลหิตแห่งชาติ สภากาชาดไทย I6810-0502-00098 14,560.00</v>
      </c>
      <c r="U3687" s="12"/>
    </row>
    <row r="3688" ht="13.5" customHeight="1">
      <c r="A3688" s="1" t="s">
        <v>5806</v>
      </c>
      <c r="B3688" s="2">
        <v>45952.0</v>
      </c>
      <c r="C3688" s="9" t="s">
        <v>5682</v>
      </c>
      <c r="D3688" s="1" t="s">
        <v>5807</v>
      </c>
      <c r="E3688" s="4">
        <v>16800.0</v>
      </c>
      <c r="F3688" s="4"/>
      <c r="G3688" s="4"/>
      <c r="H3688" s="4">
        <f>'data on outstanding creditors'!$E3688-'data on outstanding creditors'!$F3688-'data on outstanding creditors'!$G3688</f>
        <v>16800</v>
      </c>
      <c r="I3688" s="2"/>
      <c r="J3688" s="1"/>
      <c r="K3688" s="2"/>
      <c r="L3688" s="5"/>
      <c r="M3688" s="9" t="s">
        <v>58</v>
      </c>
      <c r="N3688" s="9" t="s">
        <v>49</v>
      </c>
      <c r="O3688" s="10">
        <f>'data on outstanding creditors'!$E3688*100/107</f>
        <v>15700.93458</v>
      </c>
      <c r="P3688" s="10">
        <f>'data on outstanding creditors'!$E3688-'data on outstanding creditors'!$O3688</f>
        <v>1099.065421</v>
      </c>
      <c r="Q3688" s="7">
        <f>DAY('data on outstanding creditors'!$B3688)</f>
        <v>22</v>
      </c>
      <c r="R3688" s="7">
        <f>MONTH('data on outstanding creditors'!$B3688)</f>
        <v>10</v>
      </c>
      <c r="S3688" s="7">
        <f>YEAR('data on outstanding creditors'!$B3688)</f>
        <v>2025</v>
      </c>
      <c r="T3688" s="11" t="str">
        <f>'data on outstanding creditors'!$C3688&amp;" "&amp;'data on outstanding creditors'!$D3688&amp;" "&amp;TEXT('data on outstanding creditors'!$E3688,"#,##0.00")</f>
        <v>สถาบันพยาธิวิทยา กรมการแพทย์ สธ0314/กง.1834 16,800.00</v>
      </c>
      <c r="U3688" s="12"/>
    </row>
    <row r="3689" ht="13.5" customHeight="1">
      <c r="A3689" s="1" t="s">
        <v>5808</v>
      </c>
      <c r="B3689" s="2">
        <v>45954.0</v>
      </c>
      <c r="C3689" s="9" t="s">
        <v>520</v>
      </c>
      <c r="D3689" s="1" t="s">
        <v>5809</v>
      </c>
      <c r="E3689" s="4">
        <v>177000.0</v>
      </c>
      <c r="F3689" s="4"/>
      <c r="G3689" s="4"/>
      <c r="H3689" s="4">
        <f>'data on outstanding creditors'!$E3689-'data on outstanding creditors'!$F3689-'data on outstanding creditors'!$G3689</f>
        <v>177000</v>
      </c>
      <c r="I3689" s="2"/>
      <c r="J3689" s="1"/>
      <c r="K3689" s="2"/>
      <c r="L3689" s="5"/>
      <c r="M3689" s="9" t="s">
        <v>58</v>
      </c>
      <c r="N3689" s="9" t="s">
        <v>49</v>
      </c>
      <c r="O3689" s="10">
        <f>'data on outstanding creditors'!$E3689*100/107</f>
        <v>165420.5607</v>
      </c>
      <c r="P3689" s="10">
        <f>'data on outstanding creditors'!$E3689-'data on outstanding creditors'!$O3689</f>
        <v>11579.43925</v>
      </c>
      <c r="Q3689" s="7">
        <f>DAY('data on outstanding creditors'!$B3689)</f>
        <v>24</v>
      </c>
      <c r="R3689" s="7">
        <f>MONTH('data on outstanding creditors'!$B3689)</f>
        <v>10</v>
      </c>
      <c r="S3689" s="7">
        <f>YEAR('data on outstanding creditors'!$B3689)</f>
        <v>2025</v>
      </c>
      <c r="T3689" s="11" t="str">
        <f>'data on outstanding creditors'!$C3689&amp;" "&amp;'data on outstanding creditors'!$D3689&amp;" "&amp;TEXT('data on outstanding creditors'!$E3689,"#,##0.00")</f>
        <v>บ.ซิลลิคฟาร์มา 1318288485 177,000.00</v>
      </c>
      <c r="U3689" s="12"/>
    </row>
    <row r="3690" ht="13.5" customHeight="1">
      <c r="A3690" s="1"/>
      <c r="B3690" s="2">
        <v>45693.0</v>
      </c>
      <c r="C3690" s="9" t="s">
        <v>5810</v>
      </c>
      <c r="D3690" s="1" t="s">
        <v>5811</v>
      </c>
      <c r="E3690" s="4">
        <v>127210.0</v>
      </c>
      <c r="F3690" s="4"/>
      <c r="G3690" s="4"/>
      <c r="H3690" s="4">
        <f>'data on outstanding creditors'!$E3690-'data on outstanding creditors'!$F3690-'data on outstanding creditors'!$G3690</f>
        <v>127210</v>
      </c>
      <c r="I3690" s="2"/>
      <c r="J3690" s="1" t="s">
        <v>646</v>
      </c>
      <c r="K3690" s="2">
        <v>45860.0</v>
      </c>
      <c r="L3690" s="5"/>
      <c r="M3690" s="9" t="s">
        <v>61</v>
      </c>
      <c r="N3690" s="9" t="s">
        <v>49</v>
      </c>
      <c r="O3690" s="10">
        <f>'data on outstanding creditors'!$E3690*100/107</f>
        <v>118887.8505</v>
      </c>
      <c r="P3690" s="10">
        <f>'data on outstanding creditors'!$E3690-'data on outstanding creditors'!$O3690</f>
        <v>8322.149533</v>
      </c>
      <c r="Q3690" s="7">
        <f>DAY('data on outstanding creditors'!$B3690)</f>
        <v>5</v>
      </c>
      <c r="R3690" s="7">
        <f>MONTH('data on outstanding creditors'!$B3690)</f>
        <v>2</v>
      </c>
      <c r="S3690" s="7">
        <f>YEAR('data on outstanding creditors'!$B3690)</f>
        <v>2025</v>
      </c>
      <c r="T3690" s="11" t="str">
        <f>'data on outstanding creditors'!$C3690&amp;" "&amp;'data on outstanding creditors'!$D3690&amp;" "&amp;TEXT('data on outstanding creditors'!$E3690,"#,##0.00")</f>
        <v>บ.ไทย เฮลท์ อิมเมจจิ้ง CT SCAN  สิทธิ จ่ายตรง 015/744 11/67 127,210.00</v>
      </c>
      <c r="U3690" s="12"/>
    </row>
    <row r="3691" ht="13.5" customHeight="1">
      <c r="A3691" s="1"/>
      <c r="B3691" s="2">
        <v>45693.0</v>
      </c>
      <c r="C3691" s="9" t="s">
        <v>5810</v>
      </c>
      <c r="D3691" s="1" t="s">
        <v>5812</v>
      </c>
      <c r="E3691" s="4">
        <v>195410.0</v>
      </c>
      <c r="F3691" s="4"/>
      <c r="G3691" s="4"/>
      <c r="H3691" s="4">
        <f>'data on outstanding creditors'!$E3691-'data on outstanding creditors'!$F3691-'data on outstanding creditors'!$G3691</f>
        <v>195410</v>
      </c>
      <c r="I3691" s="2"/>
      <c r="J3691" s="1" t="s">
        <v>646</v>
      </c>
      <c r="K3691" s="2">
        <v>45860.0</v>
      </c>
      <c r="L3691" s="5"/>
      <c r="M3691" s="9" t="s">
        <v>61</v>
      </c>
      <c r="N3691" s="9" t="s">
        <v>49</v>
      </c>
      <c r="O3691" s="10">
        <f>'data on outstanding creditors'!$E3691*100/107</f>
        <v>182626.1682</v>
      </c>
      <c r="P3691" s="10">
        <f>'data on outstanding creditors'!$E3691-'data on outstanding creditors'!$O3691</f>
        <v>12783.83178</v>
      </c>
      <c r="Q3691" s="7">
        <f>DAY('data on outstanding creditors'!$B3691)</f>
        <v>5</v>
      </c>
      <c r="R3691" s="7">
        <f>MONTH('data on outstanding creditors'!$B3691)</f>
        <v>2</v>
      </c>
      <c r="S3691" s="7">
        <f>YEAR('data on outstanding creditors'!$B3691)</f>
        <v>2025</v>
      </c>
      <c r="T3691" s="11" t="str">
        <f>'data on outstanding creditors'!$C3691&amp;" "&amp;'data on outstanding creditors'!$D3691&amp;" "&amp;TEXT('data on outstanding creditors'!$E3691,"#,##0.00")</f>
        <v>บ.ไทย เฮลท์ อิมเมจจิ้ง CT SCAN  สิทธิ จ่ายตรง 015/745 11/67 195,410.00</v>
      </c>
      <c r="U3691" s="12"/>
    </row>
    <row r="3692" ht="13.5" customHeight="1">
      <c r="A3692" s="1"/>
      <c r="B3692" s="2">
        <v>45693.0</v>
      </c>
      <c r="C3692" s="9" t="s">
        <v>5813</v>
      </c>
      <c r="D3692" s="1" t="s">
        <v>5814</v>
      </c>
      <c r="E3692" s="4">
        <v>43170.0</v>
      </c>
      <c r="F3692" s="4"/>
      <c r="G3692" s="4"/>
      <c r="H3692" s="4">
        <f>'data on outstanding creditors'!$E3692-'data on outstanding creditors'!$F3692-'data on outstanding creditors'!$G3692</f>
        <v>43170</v>
      </c>
      <c r="I3692" s="2"/>
      <c r="J3692" s="1" t="s">
        <v>646</v>
      </c>
      <c r="K3692" s="2">
        <v>45860.0</v>
      </c>
      <c r="L3692" s="5"/>
      <c r="M3692" s="9" t="s">
        <v>61</v>
      </c>
      <c r="N3692" s="9" t="s">
        <v>49</v>
      </c>
      <c r="O3692" s="10">
        <f>'data on outstanding creditors'!$E3692*100/107</f>
        <v>40345.79439</v>
      </c>
      <c r="P3692" s="10">
        <f>'data on outstanding creditors'!$E3692-'data on outstanding creditors'!$O3692</f>
        <v>2824.205607</v>
      </c>
      <c r="Q3692" s="7">
        <f>DAY('data on outstanding creditors'!$B3692)</f>
        <v>5</v>
      </c>
      <c r="R3692" s="7">
        <f>MONTH('data on outstanding creditors'!$B3692)</f>
        <v>2</v>
      </c>
      <c r="S3692" s="7">
        <f>YEAR('data on outstanding creditors'!$B3692)</f>
        <v>2025</v>
      </c>
      <c r="T3692" s="11" t="str">
        <f>'data on outstanding creditors'!$C3692&amp;" "&amp;'data on outstanding creditors'!$D3692&amp;" "&amp;TEXT('data on outstanding creditors'!$E3692,"#,##0.00")</f>
        <v>บ.ไทย เฮลท์ อิมเมจจิ้ง CT SCAN  สิทธิ ชำระเงิน 015/746 11/67 43,170.00</v>
      </c>
      <c r="U3692" s="12"/>
    </row>
    <row r="3693" ht="13.5" customHeight="1">
      <c r="A3693" s="1"/>
      <c r="B3693" s="2">
        <v>45693.0</v>
      </c>
      <c r="C3693" s="9" t="s">
        <v>5813</v>
      </c>
      <c r="D3693" s="1" t="s">
        <v>5815</v>
      </c>
      <c r="E3693" s="4">
        <v>94350.0</v>
      </c>
      <c r="F3693" s="4"/>
      <c r="G3693" s="4"/>
      <c r="H3693" s="4">
        <f>'data on outstanding creditors'!$E3693-'data on outstanding creditors'!$F3693-'data on outstanding creditors'!$G3693</f>
        <v>94350</v>
      </c>
      <c r="I3693" s="2"/>
      <c r="J3693" s="1" t="s">
        <v>646</v>
      </c>
      <c r="K3693" s="2">
        <v>45860.0</v>
      </c>
      <c r="L3693" s="5"/>
      <c r="M3693" s="9" t="s">
        <v>61</v>
      </c>
      <c r="N3693" s="9" t="s">
        <v>49</v>
      </c>
      <c r="O3693" s="10">
        <f>'data on outstanding creditors'!$E3693*100/107</f>
        <v>88177.57009</v>
      </c>
      <c r="P3693" s="10">
        <f>'data on outstanding creditors'!$E3693-'data on outstanding creditors'!$O3693</f>
        <v>6172.429907</v>
      </c>
      <c r="Q3693" s="7">
        <f>DAY('data on outstanding creditors'!$B3693)</f>
        <v>5</v>
      </c>
      <c r="R3693" s="7">
        <f>MONTH('data on outstanding creditors'!$B3693)</f>
        <v>2</v>
      </c>
      <c r="S3693" s="7">
        <f>YEAR('data on outstanding creditors'!$B3693)</f>
        <v>2025</v>
      </c>
      <c r="T3693" s="11" t="str">
        <f>'data on outstanding creditors'!$C3693&amp;" "&amp;'data on outstanding creditors'!$D3693&amp;" "&amp;TEXT('data on outstanding creditors'!$E3693,"#,##0.00")</f>
        <v>บ.ไทย เฮลท์ อิมเมจจิ้ง CT SCAN  สิทธิ ชำระเงิน 015/747 11/67 94,350.00</v>
      </c>
      <c r="U3693" s="12"/>
    </row>
    <row r="3694" ht="13.5" customHeight="1">
      <c r="A3694" s="1"/>
      <c r="B3694" s="2">
        <v>45693.0</v>
      </c>
      <c r="C3694" s="9" t="s">
        <v>5816</v>
      </c>
      <c r="D3694" s="1" t="s">
        <v>5817</v>
      </c>
      <c r="E3694" s="4">
        <v>10140.0</v>
      </c>
      <c r="F3694" s="4"/>
      <c r="G3694" s="4"/>
      <c r="H3694" s="4">
        <f>'data on outstanding creditors'!$E3694-'data on outstanding creditors'!$F3694-'data on outstanding creditors'!$G3694</f>
        <v>10140</v>
      </c>
      <c r="I3694" s="2"/>
      <c r="J3694" s="1" t="s">
        <v>646</v>
      </c>
      <c r="K3694" s="2">
        <v>45860.0</v>
      </c>
      <c r="L3694" s="5"/>
      <c r="M3694" s="9" t="s">
        <v>61</v>
      </c>
      <c r="N3694" s="9" t="s">
        <v>49</v>
      </c>
      <c r="O3694" s="10">
        <f>'data on outstanding creditors'!$E3694*100/107</f>
        <v>9476.635514</v>
      </c>
      <c r="P3694" s="10">
        <f>'data on outstanding creditors'!$E3694-'data on outstanding creditors'!$O3694</f>
        <v>663.364486</v>
      </c>
      <c r="Q3694" s="7">
        <f>DAY('data on outstanding creditors'!$B3694)</f>
        <v>5</v>
      </c>
      <c r="R3694" s="7">
        <f>MONTH('data on outstanding creditors'!$B3694)</f>
        <v>2</v>
      </c>
      <c r="S3694" s="7">
        <f>YEAR('data on outstanding creditors'!$B3694)</f>
        <v>2025</v>
      </c>
      <c r="T3694" s="11" t="str">
        <f>'data on outstanding creditors'!$C3694&amp;" "&amp;'data on outstanding creditors'!$D3694&amp;" "&amp;TEXT('data on outstanding creditors'!$E3694,"#,##0.00")</f>
        <v>บ.ไทย เฮลท์ อิมเมจจิ้ง CT SCAN  สิทธิ พรบ. 015/750 09/67 10,140.00</v>
      </c>
      <c r="U3694" s="12"/>
    </row>
    <row r="3695" ht="13.5" customHeight="1">
      <c r="A3695" s="1"/>
      <c r="B3695" s="2">
        <v>45693.0</v>
      </c>
      <c r="C3695" s="9" t="s">
        <v>5818</v>
      </c>
      <c r="D3695" s="1" t="s">
        <v>5819</v>
      </c>
      <c r="E3695" s="4">
        <v>152600.0</v>
      </c>
      <c r="F3695" s="4"/>
      <c r="G3695" s="4"/>
      <c r="H3695" s="4">
        <f>'data on outstanding creditors'!$E3695-'data on outstanding creditors'!$F3695-'data on outstanding creditors'!$G3695</f>
        <v>152600</v>
      </c>
      <c r="I3695" s="2"/>
      <c r="J3695" s="1" t="s">
        <v>646</v>
      </c>
      <c r="K3695" s="2">
        <v>45860.0</v>
      </c>
      <c r="L3695" s="5"/>
      <c r="M3695" s="9" t="s">
        <v>61</v>
      </c>
      <c r="N3695" s="9" t="s">
        <v>49</v>
      </c>
      <c r="O3695" s="10">
        <f>'data on outstanding creditors'!$E3695*100/107</f>
        <v>142616.8224</v>
      </c>
      <c r="P3695" s="10">
        <f>'data on outstanding creditors'!$E3695-'data on outstanding creditors'!$O3695</f>
        <v>9983.17757</v>
      </c>
      <c r="Q3695" s="7">
        <f>DAY('data on outstanding creditors'!$B3695)</f>
        <v>5</v>
      </c>
      <c r="R3695" s="7">
        <f>MONTH('data on outstanding creditors'!$B3695)</f>
        <v>2</v>
      </c>
      <c r="S3695" s="7">
        <f>YEAR('data on outstanding creditors'!$B3695)</f>
        <v>2025</v>
      </c>
      <c r="T3695" s="11" t="str">
        <f>'data on outstanding creditors'!$C3695&amp;" "&amp;'data on outstanding creditors'!$D3695&amp;" "&amp;TEXT('data on outstanding creditors'!$E3695,"#,##0.00")</f>
        <v>บ.ไทย เฮลท์ อิมเมจจิ้ง CT SCAN  สิทธิ สปสช 015/735 11/67 152,600.00</v>
      </c>
      <c r="U3695" s="12"/>
    </row>
    <row r="3696" ht="13.5" customHeight="1">
      <c r="A3696" s="1"/>
      <c r="B3696" s="2">
        <v>45693.0</v>
      </c>
      <c r="C3696" s="9" t="s">
        <v>5818</v>
      </c>
      <c r="D3696" s="1" t="s">
        <v>5820</v>
      </c>
      <c r="E3696" s="4">
        <v>162110.0</v>
      </c>
      <c r="F3696" s="4"/>
      <c r="G3696" s="4"/>
      <c r="H3696" s="4">
        <f>'data on outstanding creditors'!$E3696-'data on outstanding creditors'!$F3696-'data on outstanding creditors'!$G3696</f>
        <v>162110</v>
      </c>
      <c r="I3696" s="2"/>
      <c r="J3696" s="1" t="s">
        <v>646</v>
      </c>
      <c r="K3696" s="2">
        <v>45860.0</v>
      </c>
      <c r="L3696" s="5"/>
      <c r="M3696" s="9" t="s">
        <v>61</v>
      </c>
      <c r="N3696" s="9" t="s">
        <v>49</v>
      </c>
      <c r="O3696" s="10">
        <f>'data on outstanding creditors'!$E3696*100/107</f>
        <v>151504.6729</v>
      </c>
      <c r="P3696" s="10">
        <f>'data on outstanding creditors'!$E3696-'data on outstanding creditors'!$O3696</f>
        <v>10605.3271</v>
      </c>
      <c r="Q3696" s="7">
        <f>DAY('data on outstanding creditors'!$B3696)</f>
        <v>5</v>
      </c>
      <c r="R3696" s="7">
        <f>MONTH('data on outstanding creditors'!$B3696)</f>
        <v>2</v>
      </c>
      <c r="S3696" s="7">
        <f>YEAR('data on outstanding creditors'!$B3696)</f>
        <v>2025</v>
      </c>
      <c r="T3696" s="11" t="str">
        <f>'data on outstanding creditors'!$C3696&amp;" "&amp;'data on outstanding creditors'!$D3696&amp;" "&amp;TEXT('data on outstanding creditors'!$E3696,"#,##0.00")</f>
        <v>บ.ไทย เฮลท์ อิมเมจจิ้ง CT SCAN  สิทธิ สปสช 015/736 11/67 162,110.00</v>
      </c>
      <c r="U3696" s="12"/>
    </row>
    <row r="3697" ht="13.5" customHeight="1">
      <c r="A3697" s="1"/>
      <c r="B3697" s="2">
        <v>45693.0</v>
      </c>
      <c r="C3697" s="9" t="s">
        <v>5818</v>
      </c>
      <c r="D3697" s="1" t="s">
        <v>5821</v>
      </c>
      <c r="E3697" s="4">
        <v>136430.0</v>
      </c>
      <c r="F3697" s="4"/>
      <c r="G3697" s="4"/>
      <c r="H3697" s="4">
        <f>'data on outstanding creditors'!$E3697-'data on outstanding creditors'!$F3697-'data on outstanding creditors'!$G3697</f>
        <v>136430</v>
      </c>
      <c r="I3697" s="2"/>
      <c r="J3697" s="1" t="s">
        <v>646</v>
      </c>
      <c r="K3697" s="2">
        <v>45860.0</v>
      </c>
      <c r="L3697" s="5"/>
      <c r="M3697" s="9" t="s">
        <v>61</v>
      </c>
      <c r="N3697" s="9" t="s">
        <v>49</v>
      </c>
      <c r="O3697" s="10">
        <f>'data on outstanding creditors'!$E3697*100/107</f>
        <v>127504.6729</v>
      </c>
      <c r="P3697" s="10">
        <f>'data on outstanding creditors'!$E3697-'data on outstanding creditors'!$O3697</f>
        <v>8925.327103</v>
      </c>
      <c r="Q3697" s="7">
        <f>DAY('data on outstanding creditors'!$B3697)</f>
        <v>5</v>
      </c>
      <c r="R3697" s="7">
        <f>MONTH('data on outstanding creditors'!$B3697)</f>
        <v>2</v>
      </c>
      <c r="S3697" s="7">
        <f>YEAR('data on outstanding creditors'!$B3697)</f>
        <v>2025</v>
      </c>
      <c r="T3697" s="11" t="str">
        <f>'data on outstanding creditors'!$C3697&amp;" "&amp;'data on outstanding creditors'!$D3697&amp;" "&amp;TEXT('data on outstanding creditors'!$E3697,"#,##0.00")</f>
        <v>บ.ไทย เฮลท์ อิมเมจจิ้ง CT SCAN  สิทธิ สปสช 015/737 11/67 136,430.00</v>
      </c>
      <c r="U3697" s="12"/>
    </row>
    <row r="3698" ht="13.5" customHeight="1">
      <c r="A3698" s="1"/>
      <c r="B3698" s="2">
        <v>45693.0</v>
      </c>
      <c r="C3698" s="9" t="s">
        <v>5818</v>
      </c>
      <c r="D3698" s="1" t="s">
        <v>5822</v>
      </c>
      <c r="E3698" s="4">
        <v>144610.0</v>
      </c>
      <c r="F3698" s="4"/>
      <c r="G3698" s="4"/>
      <c r="H3698" s="4">
        <f>'data on outstanding creditors'!$E3698-'data on outstanding creditors'!$F3698-'data on outstanding creditors'!$G3698</f>
        <v>144610</v>
      </c>
      <c r="I3698" s="2"/>
      <c r="J3698" s="1" t="s">
        <v>646</v>
      </c>
      <c r="K3698" s="2">
        <v>45860.0</v>
      </c>
      <c r="L3698" s="5"/>
      <c r="M3698" s="9" t="s">
        <v>61</v>
      </c>
      <c r="N3698" s="9" t="s">
        <v>49</v>
      </c>
      <c r="O3698" s="10">
        <f>'data on outstanding creditors'!$E3698*100/107</f>
        <v>135149.5327</v>
      </c>
      <c r="P3698" s="10">
        <f>'data on outstanding creditors'!$E3698-'data on outstanding creditors'!$O3698</f>
        <v>9460.46729</v>
      </c>
      <c r="Q3698" s="7">
        <f>DAY('data on outstanding creditors'!$B3698)</f>
        <v>5</v>
      </c>
      <c r="R3698" s="7">
        <f>MONTH('data on outstanding creditors'!$B3698)</f>
        <v>2</v>
      </c>
      <c r="S3698" s="7">
        <f>YEAR('data on outstanding creditors'!$B3698)</f>
        <v>2025</v>
      </c>
      <c r="T3698" s="11" t="str">
        <f>'data on outstanding creditors'!$C3698&amp;" "&amp;'data on outstanding creditors'!$D3698&amp;" "&amp;TEXT('data on outstanding creditors'!$E3698,"#,##0.00")</f>
        <v>บ.ไทย เฮลท์ อิมเมจจิ้ง CT SCAN  สิทธิ สปสช 015/738 11/67 144,610.00</v>
      </c>
      <c r="U3698" s="12"/>
    </row>
    <row r="3699" ht="13.5" customHeight="1">
      <c r="A3699" s="1"/>
      <c r="B3699" s="2">
        <v>45693.0</v>
      </c>
      <c r="C3699" s="9" t="s">
        <v>5818</v>
      </c>
      <c r="D3699" s="1" t="s">
        <v>5823</v>
      </c>
      <c r="E3699" s="4">
        <v>140210.0</v>
      </c>
      <c r="F3699" s="4"/>
      <c r="G3699" s="4"/>
      <c r="H3699" s="4">
        <f>'data on outstanding creditors'!$E3699-'data on outstanding creditors'!$F3699-'data on outstanding creditors'!$G3699</f>
        <v>140210</v>
      </c>
      <c r="I3699" s="2"/>
      <c r="J3699" s="1" t="s">
        <v>646</v>
      </c>
      <c r="K3699" s="2">
        <v>45860.0</v>
      </c>
      <c r="L3699" s="5"/>
      <c r="M3699" s="9" t="s">
        <v>61</v>
      </c>
      <c r="N3699" s="9" t="s">
        <v>49</v>
      </c>
      <c r="O3699" s="10">
        <f>'data on outstanding creditors'!$E3699*100/107</f>
        <v>131037.3832</v>
      </c>
      <c r="P3699" s="10">
        <f>'data on outstanding creditors'!$E3699-'data on outstanding creditors'!$O3699</f>
        <v>9172.616822</v>
      </c>
      <c r="Q3699" s="7">
        <f>DAY('data on outstanding creditors'!$B3699)</f>
        <v>5</v>
      </c>
      <c r="R3699" s="7">
        <f>MONTH('data on outstanding creditors'!$B3699)</f>
        <v>2</v>
      </c>
      <c r="S3699" s="7">
        <f>YEAR('data on outstanding creditors'!$B3699)</f>
        <v>2025</v>
      </c>
      <c r="T3699" s="11" t="str">
        <f>'data on outstanding creditors'!$C3699&amp;" "&amp;'data on outstanding creditors'!$D3699&amp;" "&amp;TEXT('data on outstanding creditors'!$E3699,"#,##0.00")</f>
        <v>บ.ไทย เฮลท์ อิมเมจจิ้ง CT SCAN  สิทธิ สปสช 015/739 11/67 140,210.00</v>
      </c>
      <c r="U3699" s="12"/>
    </row>
    <row r="3700" ht="13.5" customHeight="1">
      <c r="A3700" s="1"/>
      <c r="B3700" s="2">
        <v>45693.0</v>
      </c>
      <c r="C3700" s="9" t="s">
        <v>5818</v>
      </c>
      <c r="D3700" s="1" t="s">
        <v>5824</v>
      </c>
      <c r="E3700" s="4">
        <v>170630.0</v>
      </c>
      <c r="F3700" s="4"/>
      <c r="G3700" s="4"/>
      <c r="H3700" s="4">
        <f>'data on outstanding creditors'!$E3700-'data on outstanding creditors'!$F3700-'data on outstanding creditors'!$G3700</f>
        <v>170630</v>
      </c>
      <c r="I3700" s="2"/>
      <c r="J3700" s="1" t="s">
        <v>646</v>
      </c>
      <c r="K3700" s="2">
        <v>45860.0</v>
      </c>
      <c r="L3700" s="5"/>
      <c r="M3700" s="9" t="s">
        <v>61</v>
      </c>
      <c r="N3700" s="9" t="s">
        <v>49</v>
      </c>
      <c r="O3700" s="10">
        <f>'data on outstanding creditors'!$E3700*100/107</f>
        <v>159467.2897</v>
      </c>
      <c r="P3700" s="10">
        <f>'data on outstanding creditors'!$E3700-'data on outstanding creditors'!$O3700</f>
        <v>11162.71028</v>
      </c>
      <c r="Q3700" s="7">
        <f>DAY('data on outstanding creditors'!$B3700)</f>
        <v>5</v>
      </c>
      <c r="R3700" s="7">
        <f>MONTH('data on outstanding creditors'!$B3700)</f>
        <v>2</v>
      </c>
      <c r="S3700" s="7">
        <f>YEAR('data on outstanding creditors'!$B3700)</f>
        <v>2025</v>
      </c>
      <c r="T3700" s="11" t="str">
        <f>'data on outstanding creditors'!$C3700&amp;" "&amp;'data on outstanding creditors'!$D3700&amp;" "&amp;TEXT('data on outstanding creditors'!$E3700,"#,##0.00")</f>
        <v>บ.ไทย เฮลท์ อิมเมจจิ้ง CT SCAN  สิทธิ สปสช 015/740 11/67 170,630.00</v>
      </c>
      <c r="U3700" s="12"/>
    </row>
    <row r="3701" ht="13.5" customHeight="1">
      <c r="A3701" s="1"/>
      <c r="B3701" s="2">
        <v>45693.0</v>
      </c>
      <c r="C3701" s="9" t="s">
        <v>5818</v>
      </c>
      <c r="D3701" s="1" t="s">
        <v>5825</v>
      </c>
      <c r="E3701" s="4">
        <v>183910.0</v>
      </c>
      <c r="F3701" s="4"/>
      <c r="G3701" s="4"/>
      <c r="H3701" s="4">
        <f>'data on outstanding creditors'!$E3701-'data on outstanding creditors'!$F3701-'data on outstanding creditors'!$G3701</f>
        <v>183910</v>
      </c>
      <c r="I3701" s="2"/>
      <c r="J3701" s="1" t="s">
        <v>646</v>
      </c>
      <c r="K3701" s="2">
        <v>45860.0</v>
      </c>
      <c r="L3701" s="5"/>
      <c r="M3701" s="9" t="s">
        <v>61</v>
      </c>
      <c r="N3701" s="9" t="s">
        <v>49</v>
      </c>
      <c r="O3701" s="10">
        <f>'data on outstanding creditors'!$E3701*100/107</f>
        <v>171878.5047</v>
      </c>
      <c r="P3701" s="10">
        <f>'data on outstanding creditors'!$E3701-'data on outstanding creditors'!$O3701</f>
        <v>12031.49533</v>
      </c>
      <c r="Q3701" s="7">
        <f>DAY('data on outstanding creditors'!$B3701)</f>
        <v>5</v>
      </c>
      <c r="R3701" s="7">
        <f>MONTH('data on outstanding creditors'!$B3701)</f>
        <v>2</v>
      </c>
      <c r="S3701" s="7">
        <f>YEAR('data on outstanding creditors'!$B3701)</f>
        <v>2025</v>
      </c>
      <c r="T3701" s="11" t="str">
        <f>'data on outstanding creditors'!$C3701&amp;" "&amp;'data on outstanding creditors'!$D3701&amp;" "&amp;TEXT('data on outstanding creditors'!$E3701,"#,##0.00")</f>
        <v>บ.ไทย เฮลท์ อิมเมจจิ้ง CT SCAN  สิทธิ สปสช 015/741 11/67 183,910.00</v>
      </c>
      <c r="U3701" s="12"/>
    </row>
    <row r="3702" ht="13.5" customHeight="1">
      <c r="A3702" s="1"/>
      <c r="B3702" s="2">
        <v>45693.0</v>
      </c>
      <c r="C3702" s="9" t="s">
        <v>5818</v>
      </c>
      <c r="D3702" s="1" t="s">
        <v>5826</v>
      </c>
      <c r="E3702" s="4">
        <v>170270.0</v>
      </c>
      <c r="F3702" s="4"/>
      <c r="G3702" s="4"/>
      <c r="H3702" s="4">
        <f>'data on outstanding creditors'!$E3702-'data on outstanding creditors'!$F3702-'data on outstanding creditors'!$G3702</f>
        <v>170270</v>
      </c>
      <c r="I3702" s="2"/>
      <c r="J3702" s="1" t="s">
        <v>646</v>
      </c>
      <c r="K3702" s="2">
        <v>45860.0</v>
      </c>
      <c r="L3702" s="5"/>
      <c r="M3702" s="9" t="s">
        <v>61</v>
      </c>
      <c r="N3702" s="9" t="s">
        <v>49</v>
      </c>
      <c r="O3702" s="10">
        <f>'data on outstanding creditors'!$E3702*100/107</f>
        <v>159130.8411</v>
      </c>
      <c r="P3702" s="10">
        <f>'data on outstanding creditors'!$E3702-'data on outstanding creditors'!$O3702</f>
        <v>11139.15888</v>
      </c>
      <c r="Q3702" s="7">
        <f>DAY('data on outstanding creditors'!$B3702)</f>
        <v>5</v>
      </c>
      <c r="R3702" s="7">
        <f>MONTH('data on outstanding creditors'!$B3702)</f>
        <v>2</v>
      </c>
      <c r="S3702" s="7">
        <f>YEAR('data on outstanding creditors'!$B3702)</f>
        <v>2025</v>
      </c>
      <c r="T3702" s="11" t="str">
        <f>'data on outstanding creditors'!$C3702&amp;" "&amp;'data on outstanding creditors'!$D3702&amp;" "&amp;TEXT('data on outstanding creditors'!$E3702,"#,##0.00")</f>
        <v>บ.ไทย เฮลท์ อิมเมจจิ้ง CT SCAN  สิทธิ สปสช 015/742 11/67 170,270.00</v>
      </c>
      <c r="U3702" s="12"/>
    </row>
    <row r="3703" ht="13.5" customHeight="1">
      <c r="A3703" s="1"/>
      <c r="B3703" s="2">
        <v>45693.0</v>
      </c>
      <c r="C3703" s="9" t="s">
        <v>5818</v>
      </c>
      <c r="D3703" s="1" t="s">
        <v>5827</v>
      </c>
      <c r="E3703" s="4">
        <v>176690.0</v>
      </c>
      <c r="F3703" s="4"/>
      <c r="G3703" s="4"/>
      <c r="H3703" s="4">
        <f>'data on outstanding creditors'!$E3703-'data on outstanding creditors'!$F3703-'data on outstanding creditors'!$G3703</f>
        <v>176690</v>
      </c>
      <c r="I3703" s="2"/>
      <c r="J3703" s="1" t="s">
        <v>646</v>
      </c>
      <c r="K3703" s="2">
        <v>45860.0</v>
      </c>
      <c r="L3703" s="5"/>
      <c r="M3703" s="9" t="s">
        <v>61</v>
      </c>
      <c r="N3703" s="9" t="s">
        <v>49</v>
      </c>
      <c r="O3703" s="10">
        <f>'data on outstanding creditors'!$E3703*100/107</f>
        <v>165130.8411</v>
      </c>
      <c r="P3703" s="10">
        <f>'data on outstanding creditors'!$E3703-'data on outstanding creditors'!$O3703</f>
        <v>11559.15888</v>
      </c>
      <c r="Q3703" s="7">
        <f>DAY('data on outstanding creditors'!$B3703)</f>
        <v>5</v>
      </c>
      <c r="R3703" s="7">
        <f>MONTH('data on outstanding creditors'!$B3703)</f>
        <v>2</v>
      </c>
      <c r="S3703" s="7">
        <f>YEAR('data on outstanding creditors'!$B3703)</f>
        <v>2025</v>
      </c>
      <c r="T3703" s="11" t="str">
        <f>'data on outstanding creditors'!$C3703&amp;" "&amp;'data on outstanding creditors'!$D3703&amp;" "&amp;TEXT('data on outstanding creditors'!$E3703,"#,##0.00")</f>
        <v>บ.ไทย เฮลท์ อิมเมจจิ้ง CT SCAN  สิทธิ สปสช 015/743 11/67 176,690.00</v>
      </c>
      <c r="U3703" s="12"/>
    </row>
    <row r="3704" ht="13.5" customHeight="1">
      <c r="A3704" s="1" t="s">
        <v>5828</v>
      </c>
      <c r="B3704" s="2">
        <v>45715.0</v>
      </c>
      <c r="C3704" s="9" t="s">
        <v>5818</v>
      </c>
      <c r="D3704" s="1" t="s">
        <v>5829</v>
      </c>
      <c r="E3704" s="4">
        <v>159080.0</v>
      </c>
      <c r="F3704" s="4"/>
      <c r="G3704" s="4"/>
      <c r="H3704" s="4">
        <f>'data on outstanding creditors'!$E3704-'data on outstanding creditors'!$F3704-'data on outstanding creditors'!$G3704</f>
        <v>159080</v>
      </c>
      <c r="I3704" s="2"/>
      <c r="J3704" s="1" t="s">
        <v>646</v>
      </c>
      <c r="K3704" s="2">
        <v>45843.0</v>
      </c>
      <c r="L3704" s="5"/>
      <c r="M3704" s="9" t="s">
        <v>61</v>
      </c>
      <c r="N3704" s="9" t="s">
        <v>49</v>
      </c>
      <c r="O3704" s="10">
        <f>'data on outstanding creditors'!$E3704*100/107</f>
        <v>148672.8972</v>
      </c>
      <c r="P3704" s="10">
        <f>'data on outstanding creditors'!$E3704-'data on outstanding creditors'!$O3704</f>
        <v>10407.1028</v>
      </c>
      <c r="Q3704" s="7">
        <f>DAY('data on outstanding creditors'!$B3704)</f>
        <v>27</v>
      </c>
      <c r="R3704" s="7">
        <f>MONTH('data on outstanding creditors'!$B3704)</f>
        <v>2</v>
      </c>
      <c r="S3704" s="7">
        <f>YEAR('data on outstanding creditors'!$B3704)</f>
        <v>2025</v>
      </c>
      <c r="T3704" s="11" t="str">
        <f>'data on outstanding creditors'!$C3704&amp;" "&amp;'data on outstanding creditors'!$D3704&amp;" "&amp;TEXT('data on outstanding creditors'!$E3704,"#,##0.00")</f>
        <v>บ.ไทย เฮลท์ อิมเมจจิ้ง CT SCAN  สิทธิ สปสช 016/758 12/67 159,080.00</v>
      </c>
      <c r="U3704" s="12"/>
    </row>
    <row r="3705" ht="13.5" customHeight="1">
      <c r="A3705" s="1" t="s">
        <v>5830</v>
      </c>
      <c r="B3705" s="2">
        <v>45715.0</v>
      </c>
      <c r="C3705" s="9" t="s">
        <v>5818</v>
      </c>
      <c r="D3705" s="1" t="s">
        <v>5831</v>
      </c>
      <c r="E3705" s="4">
        <v>174140.0</v>
      </c>
      <c r="F3705" s="4"/>
      <c r="G3705" s="4"/>
      <c r="H3705" s="4">
        <f>'data on outstanding creditors'!$E3705-'data on outstanding creditors'!$F3705-'data on outstanding creditors'!$G3705</f>
        <v>174140</v>
      </c>
      <c r="I3705" s="2"/>
      <c r="J3705" s="1" t="s">
        <v>646</v>
      </c>
      <c r="K3705" s="2">
        <v>45843.0</v>
      </c>
      <c r="L3705" s="5"/>
      <c r="M3705" s="9" t="s">
        <v>61</v>
      </c>
      <c r="N3705" s="9" t="s">
        <v>49</v>
      </c>
      <c r="O3705" s="10">
        <f>'data on outstanding creditors'!$E3705*100/107</f>
        <v>162747.6636</v>
      </c>
      <c r="P3705" s="10">
        <f>'data on outstanding creditors'!$E3705-'data on outstanding creditors'!$O3705</f>
        <v>11392.33645</v>
      </c>
      <c r="Q3705" s="7">
        <f>DAY('data on outstanding creditors'!$B3705)</f>
        <v>27</v>
      </c>
      <c r="R3705" s="7">
        <f>MONTH('data on outstanding creditors'!$B3705)</f>
        <v>2</v>
      </c>
      <c r="S3705" s="7">
        <f>YEAR('data on outstanding creditors'!$B3705)</f>
        <v>2025</v>
      </c>
      <c r="T3705" s="11" t="str">
        <f>'data on outstanding creditors'!$C3705&amp;" "&amp;'data on outstanding creditors'!$D3705&amp;" "&amp;TEXT('data on outstanding creditors'!$E3705,"#,##0.00")</f>
        <v>บ.ไทย เฮลท์ อิมเมจจิ้ง CT SCAN  สิทธิ สปสช 016/759 12/67 174,140.00</v>
      </c>
      <c r="U3705" s="12"/>
    </row>
    <row r="3706" ht="13.5" customHeight="1">
      <c r="A3706" s="1" t="s">
        <v>5832</v>
      </c>
      <c r="B3706" s="2">
        <v>45715.0</v>
      </c>
      <c r="C3706" s="9" t="s">
        <v>5818</v>
      </c>
      <c r="D3706" s="1" t="s">
        <v>5833</v>
      </c>
      <c r="E3706" s="4">
        <v>145380.0</v>
      </c>
      <c r="F3706" s="4"/>
      <c r="G3706" s="4"/>
      <c r="H3706" s="4">
        <f>'data on outstanding creditors'!$E3706-'data on outstanding creditors'!$F3706-'data on outstanding creditors'!$G3706</f>
        <v>145380</v>
      </c>
      <c r="I3706" s="2"/>
      <c r="J3706" s="1" t="s">
        <v>646</v>
      </c>
      <c r="K3706" s="2">
        <v>45843.0</v>
      </c>
      <c r="L3706" s="5"/>
      <c r="M3706" s="9" t="s">
        <v>61</v>
      </c>
      <c r="N3706" s="9" t="s">
        <v>49</v>
      </c>
      <c r="O3706" s="10">
        <f>'data on outstanding creditors'!$E3706*100/107</f>
        <v>135869.1589</v>
      </c>
      <c r="P3706" s="10">
        <f>'data on outstanding creditors'!$E3706-'data on outstanding creditors'!$O3706</f>
        <v>9510.841121</v>
      </c>
      <c r="Q3706" s="7">
        <f>DAY('data on outstanding creditors'!$B3706)</f>
        <v>27</v>
      </c>
      <c r="R3706" s="7">
        <f>MONTH('data on outstanding creditors'!$B3706)</f>
        <v>2</v>
      </c>
      <c r="S3706" s="7">
        <f>YEAR('data on outstanding creditors'!$B3706)</f>
        <v>2025</v>
      </c>
      <c r="T3706" s="11" t="str">
        <f>'data on outstanding creditors'!$C3706&amp;" "&amp;'data on outstanding creditors'!$D3706&amp;" "&amp;TEXT('data on outstanding creditors'!$E3706,"#,##0.00")</f>
        <v>บ.ไทย เฮลท์ อิมเมจจิ้ง CT SCAN  สิทธิ สปสช 016/760 12/67 145,380.00</v>
      </c>
      <c r="U3706" s="12"/>
    </row>
    <row r="3707" ht="13.5" customHeight="1">
      <c r="A3707" s="1" t="s">
        <v>5834</v>
      </c>
      <c r="B3707" s="2">
        <v>45715.0</v>
      </c>
      <c r="C3707" s="9" t="s">
        <v>5818</v>
      </c>
      <c r="D3707" s="1" t="s">
        <v>5835</v>
      </c>
      <c r="E3707" s="4">
        <v>160060.0</v>
      </c>
      <c r="F3707" s="4"/>
      <c r="G3707" s="4"/>
      <c r="H3707" s="4">
        <f>'data on outstanding creditors'!$E3707-'data on outstanding creditors'!$F3707-'data on outstanding creditors'!$G3707</f>
        <v>160060</v>
      </c>
      <c r="I3707" s="2"/>
      <c r="J3707" s="1" t="s">
        <v>646</v>
      </c>
      <c r="K3707" s="2">
        <v>45843.0</v>
      </c>
      <c r="L3707" s="5"/>
      <c r="M3707" s="9" t="s">
        <v>61</v>
      </c>
      <c r="N3707" s="9" t="s">
        <v>49</v>
      </c>
      <c r="O3707" s="10">
        <f>'data on outstanding creditors'!$E3707*100/107</f>
        <v>149588.785</v>
      </c>
      <c r="P3707" s="10">
        <f>'data on outstanding creditors'!$E3707-'data on outstanding creditors'!$O3707</f>
        <v>10471.21495</v>
      </c>
      <c r="Q3707" s="7">
        <f>DAY('data on outstanding creditors'!$B3707)</f>
        <v>27</v>
      </c>
      <c r="R3707" s="7">
        <f>MONTH('data on outstanding creditors'!$B3707)</f>
        <v>2</v>
      </c>
      <c r="S3707" s="7">
        <f>YEAR('data on outstanding creditors'!$B3707)</f>
        <v>2025</v>
      </c>
      <c r="T3707" s="11" t="str">
        <f>'data on outstanding creditors'!$C3707&amp;" "&amp;'data on outstanding creditors'!$D3707&amp;" "&amp;TEXT('data on outstanding creditors'!$E3707,"#,##0.00")</f>
        <v>บ.ไทย เฮลท์ อิมเมจจิ้ง CT SCAN  สิทธิ สปสช 016/761 12/67 160,060.00</v>
      </c>
      <c r="U3707" s="12"/>
    </row>
    <row r="3708" ht="13.5" customHeight="1">
      <c r="A3708" s="1" t="s">
        <v>5836</v>
      </c>
      <c r="B3708" s="2">
        <v>45715.0</v>
      </c>
      <c r="C3708" s="9" t="s">
        <v>5818</v>
      </c>
      <c r="D3708" s="1" t="s">
        <v>5837</v>
      </c>
      <c r="E3708" s="4">
        <v>146280.0</v>
      </c>
      <c r="F3708" s="4"/>
      <c r="G3708" s="4"/>
      <c r="H3708" s="4">
        <f>'data on outstanding creditors'!$E3708-'data on outstanding creditors'!$F3708-'data on outstanding creditors'!$G3708</f>
        <v>146280</v>
      </c>
      <c r="I3708" s="2"/>
      <c r="J3708" s="1" t="s">
        <v>646</v>
      </c>
      <c r="K3708" s="2">
        <v>45843.0</v>
      </c>
      <c r="L3708" s="5"/>
      <c r="M3708" s="9" t="s">
        <v>61</v>
      </c>
      <c r="N3708" s="9" t="s">
        <v>49</v>
      </c>
      <c r="O3708" s="10">
        <f>'data on outstanding creditors'!$E3708*100/107</f>
        <v>136710.2804</v>
      </c>
      <c r="P3708" s="10">
        <f>'data on outstanding creditors'!$E3708-'data on outstanding creditors'!$O3708</f>
        <v>9569.719626</v>
      </c>
      <c r="Q3708" s="7">
        <f>DAY('data on outstanding creditors'!$B3708)</f>
        <v>27</v>
      </c>
      <c r="R3708" s="7">
        <f>MONTH('data on outstanding creditors'!$B3708)</f>
        <v>2</v>
      </c>
      <c r="S3708" s="7">
        <f>YEAR('data on outstanding creditors'!$B3708)</f>
        <v>2025</v>
      </c>
      <c r="T3708" s="11" t="str">
        <f>'data on outstanding creditors'!$C3708&amp;" "&amp;'data on outstanding creditors'!$D3708&amp;" "&amp;TEXT('data on outstanding creditors'!$E3708,"#,##0.00")</f>
        <v>บ.ไทย เฮลท์ อิมเมจจิ้ง CT SCAN  สิทธิ สปสช 016/762 12/67 146,280.00</v>
      </c>
      <c r="U3708" s="12"/>
    </row>
    <row r="3709" ht="13.5" customHeight="1">
      <c r="A3709" s="1" t="s">
        <v>5838</v>
      </c>
      <c r="B3709" s="2">
        <v>45715.0</v>
      </c>
      <c r="C3709" s="9" t="s">
        <v>5818</v>
      </c>
      <c r="D3709" s="1" t="s">
        <v>5839</v>
      </c>
      <c r="E3709" s="4">
        <v>160410.0</v>
      </c>
      <c r="F3709" s="4"/>
      <c r="G3709" s="4"/>
      <c r="H3709" s="4">
        <f>'data on outstanding creditors'!$E3709-'data on outstanding creditors'!$F3709-'data on outstanding creditors'!$G3709</f>
        <v>160410</v>
      </c>
      <c r="I3709" s="2"/>
      <c r="J3709" s="1" t="s">
        <v>646</v>
      </c>
      <c r="K3709" s="2">
        <v>45843.0</v>
      </c>
      <c r="L3709" s="5"/>
      <c r="M3709" s="9" t="s">
        <v>61</v>
      </c>
      <c r="N3709" s="9" t="s">
        <v>49</v>
      </c>
      <c r="O3709" s="10">
        <f>'data on outstanding creditors'!$E3709*100/107</f>
        <v>149915.8879</v>
      </c>
      <c r="P3709" s="10">
        <f>'data on outstanding creditors'!$E3709-'data on outstanding creditors'!$O3709</f>
        <v>10494.11215</v>
      </c>
      <c r="Q3709" s="7">
        <f>DAY('data on outstanding creditors'!$B3709)</f>
        <v>27</v>
      </c>
      <c r="R3709" s="7">
        <f>MONTH('data on outstanding creditors'!$B3709)</f>
        <v>2</v>
      </c>
      <c r="S3709" s="7">
        <f>YEAR('data on outstanding creditors'!$B3709)</f>
        <v>2025</v>
      </c>
      <c r="T3709" s="11" t="str">
        <f>'data on outstanding creditors'!$C3709&amp;" "&amp;'data on outstanding creditors'!$D3709&amp;" "&amp;TEXT('data on outstanding creditors'!$E3709,"#,##0.00")</f>
        <v>บ.ไทย เฮลท์ อิมเมจจิ้ง CT SCAN  สิทธิ สปสช 016/763 12/67 160,410.00</v>
      </c>
      <c r="U3709" s="12"/>
    </row>
    <row r="3710" ht="13.5" customHeight="1">
      <c r="A3710" s="1" t="s">
        <v>5840</v>
      </c>
      <c r="B3710" s="2">
        <v>45715.0</v>
      </c>
      <c r="C3710" s="9" t="s">
        <v>5818</v>
      </c>
      <c r="D3710" s="1" t="s">
        <v>5841</v>
      </c>
      <c r="E3710" s="4">
        <v>170970.0</v>
      </c>
      <c r="F3710" s="4"/>
      <c r="G3710" s="4"/>
      <c r="H3710" s="4">
        <f>'data on outstanding creditors'!$E3710-'data on outstanding creditors'!$F3710-'data on outstanding creditors'!$G3710</f>
        <v>170970</v>
      </c>
      <c r="I3710" s="2"/>
      <c r="J3710" s="1" t="s">
        <v>646</v>
      </c>
      <c r="K3710" s="2">
        <v>45843.0</v>
      </c>
      <c r="L3710" s="5"/>
      <c r="M3710" s="9" t="s">
        <v>61</v>
      </c>
      <c r="N3710" s="9" t="s">
        <v>49</v>
      </c>
      <c r="O3710" s="10">
        <f>'data on outstanding creditors'!$E3710*100/107</f>
        <v>159785.0467</v>
      </c>
      <c r="P3710" s="10">
        <f>'data on outstanding creditors'!$E3710-'data on outstanding creditors'!$O3710</f>
        <v>11184.95327</v>
      </c>
      <c r="Q3710" s="7">
        <f>DAY('data on outstanding creditors'!$B3710)</f>
        <v>27</v>
      </c>
      <c r="R3710" s="7">
        <f>MONTH('data on outstanding creditors'!$B3710)</f>
        <v>2</v>
      </c>
      <c r="S3710" s="7">
        <f>YEAR('data on outstanding creditors'!$B3710)</f>
        <v>2025</v>
      </c>
      <c r="T3710" s="11" t="str">
        <f>'data on outstanding creditors'!$C3710&amp;" "&amp;'data on outstanding creditors'!$D3710&amp;" "&amp;TEXT('data on outstanding creditors'!$E3710,"#,##0.00")</f>
        <v>บ.ไทย เฮลท์ อิมเมจจิ้ง CT SCAN  สิทธิ สปสช 016/764 12/67 170,970.00</v>
      </c>
      <c r="U3710" s="12"/>
    </row>
    <row r="3711" ht="13.5" customHeight="1">
      <c r="A3711" s="1" t="s">
        <v>5842</v>
      </c>
      <c r="B3711" s="2">
        <v>45715.0</v>
      </c>
      <c r="C3711" s="9" t="s">
        <v>5818</v>
      </c>
      <c r="D3711" s="1" t="s">
        <v>5843</v>
      </c>
      <c r="E3711" s="4">
        <v>158720.0</v>
      </c>
      <c r="F3711" s="4"/>
      <c r="G3711" s="4"/>
      <c r="H3711" s="4">
        <f>'data on outstanding creditors'!$E3711-'data on outstanding creditors'!$F3711-'data on outstanding creditors'!$G3711</f>
        <v>158720</v>
      </c>
      <c r="I3711" s="2"/>
      <c r="J3711" s="1" t="s">
        <v>646</v>
      </c>
      <c r="K3711" s="2">
        <v>45843.0</v>
      </c>
      <c r="L3711" s="5"/>
      <c r="M3711" s="9" t="s">
        <v>61</v>
      </c>
      <c r="N3711" s="9" t="s">
        <v>49</v>
      </c>
      <c r="O3711" s="10">
        <f>'data on outstanding creditors'!$E3711*100/107</f>
        <v>148336.4486</v>
      </c>
      <c r="P3711" s="10">
        <f>'data on outstanding creditors'!$E3711-'data on outstanding creditors'!$O3711</f>
        <v>10383.5514</v>
      </c>
      <c r="Q3711" s="7">
        <f>DAY('data on outstanding creditors'!$B3711)</f>
        <v>27</v>
      </c>
      <c r="R3711" s="7">
        <f>MONTH('data on outstanding creditors'!$B3711)</f>
        <v>2</v>
      </c>
      <c r="S3711" s="7">
        <f>YEAR('data on outstanding creditors'!$B3711)</f>
        <v>2025</v>
      </c>
      <c r="T3711" s="11" t="str">
        <f>'data on outstanding creditors'!$C3711&amp;" "&amp;'data on outstanding creditors'!$D3711&amp;" "&amp;TEXT('data on outstanding creditors'!$E3711,"#,##0.00")</f>
        <v>บ.ไทย เฮลท์ อิมเมจจิ้ง CT SCAN  สิทธิ สปสช 016/765 12/67 158,720.00</v>
      </c>
      <c r="U3711" s="12"/>
    </row>
    <row r="3712" ht="13.5" customHeight="1">
      <c r="A3712" s="1" t="s">
        <v>5844</v>
      </c>
      <c r="B3712" s="2">
        <v>45715.0</v>
      </c>
      <c r="C3712" s="9" t="s">
        <v>5810</v>
      </c>
      <c r="D3712" s="1" t="s">
        <v>5845</v>
      </c>
      <c r="E3712" s="4">
        <v>62390.0</v>
      </c>
      <c r="F3712" s="4"/>
      <c r="G3712" s="4"/>
      <c r="H3712" s="4">
        <f>'data on outstanding creditors'!$E3712-'data on outstanding creditors'!$F3712-'data on outstanding creditors'!$G3712</f>
        <v>62390</v>
      </c>
      <c r="I3712" s="2"/>
      <c r="J3712" s="1" t="s">
        <v>646</v>
      </c>
      <c r="K3712" s="2">
        <v>45843.0</v>
      </c>
      <c r="L3712" s="5"/>
      <c r="M3712" s="9" t="s">
        <v>61</v>
      </c>
      <c r="N3712" s="9" t="s">
        <v>49</v>
      </c>
      <c r="O3712" s="10">
        <f>'data on outstanding creditors'!$E3712*100/107</f>
        <v>58308.41121</v>
      </c>
      <c r="P3712" s="10">
        <f>'data on outstanding creditors'!$E3712-'data on outstanding creditors'!$O3712</f>
        <v>4081.588785</v>
      </c>
      <c r="Q3712" s="7">
        <f>DAY('data on outstanding creditors'!$B3712)</f>
        <v>27</v>
      </c>
      <c r="R3712" s="7">
        <f>MONTH('data on outstanding creditors'!$B3712)</f>
        <v>2</v>
      </c>
      <c r="S3712" s="7">
        <f>YEAR('data on outstanding creditors'!$B3712)</f>
        <v>2025</v>
      </c>
      <c r="T3712" s="11" t="str">
        <f>'data on outstanding creditors'!$C3712&amp;" "&amp;'data on outstanding creditors'!$D3712&amp;" "&amp;TEXT('data on outstanding creditors'!$E3712,"#,##0.00")</f>
        <v>บ.ไทย เฮลท์ อิมเมจจิ้ง CT SCAN  สิทธิ จ่ายตรง 016/766 12/67 62,390.00</v>
      </c>
      <c r="U3712" s="12"/>
    </row>
    <row r="3713" ht="13.5" customHeight="1">
      <c r="A3713" s="1" t="s">
        <v>5846</v>
      </c>
      <c r="B3713" s="2">
        <v>45715.0</v>
      </c>
      <c r="C3713" s="9" t="s">
        <v>5810</v>
      </c>
      <c r="D3713" s="1" t="s">
        <v>5847</v>
      </c>
      <c r="E3713" s="4">
        <v>85460.0</v>
      </c>
      <c r="F3713" s="4"/>
      <c r="G3713" s="4"/>
      <c r="H3713" s="4">
        <f>'data on outstanding creditors'!$E3713-'data on outstanding creditors'!$F3713-'data on outstanding creditors'!$G3713</f>
        <v>85460</v>
      </c>
      <c r="I3713" s="2"/>
      <c r="J3713" s="1" t="s">
        <v>646</v>
      </c>
      <c r="K3713" s="2">
        <v>45843.0</v>
      </c>
      <c r="L3713" s="5"/>
      <c r="M3713" s="9" t="s">
        <v>61</v>
      </c>
      <c r="N3713" s="9" t="s">
        <v>49</v>
      </c>
      <c r="O3713" s="10">
        <f>'data on outstanding creditors'!$E3713*100/107</f>
        <v>79869.15888</v>
      </c>
      <c r="P3713" s="10">
        <f>'data on outstanding creditors'!$E3713-'data on outstanding creditors'!$O3713</f>
        <v>5590.841121</v>
      </c>
      <c r="Q3713" s="7">
        <f>DAY('data on outstanding creditors'!$B3713)</f>
        <v>27</v>
      </c>
      <c r="R3713" s="7">
        <f>MONTH('data on outstanding creditors'!$B3713)</f>
        <v>2</v>
      </c>
      <c r="S3713" s="7">
        <f>YEAR('data on outstanding creditors'!$B3713)</f>
        <v>2025</v>
      </c>
      <c r="T3713" s="11" t="str">
        <f>'data on outstanding creditors'!$C3713&amp;" "&amp;'data on outstanding creditors'!$D3713&amp;" "&amp;TEXT('data on outstanding creditors'!$E3713,"#,##0.00")</f>
        <v>บ.ไทย เฮลท์ อิมเมจจิ้ง CT SCAN  สิทธิ จ่ายตรง 016/767 12/67 85,460.00</v>
      </c>
      <c r="U3713" s="12"/>
    </row>
    <row r="3714" ht="13.5" customHeight="1">
      <c r="A3714" s="1" t="s">
        <v>5848</v>
      </c>
      <c r="B3714" s="2">
        <v>45715.0</v>
      </c>
      <c r="C3714" s="9" t="s">
        <v>5813</v>
      </c>
      <c r="D3714" s="1" t="s">
        <v>5849</v>
      </c>
      <c r="E3714" s="4">
        <v>44180.0</v>
      </c>
      <c r="F3714" s="4"/>
      <c r="G3714" s="4"/>
      <c r="H3714" s="4">
        <f>'data on outstanding creditors'!$E3714-'data on outstanding creditors'!$F3714-'data on outstanding creditors'!$G3714</f>
        <v>44180</v>
      </c>
      <c r="I3714" s="2"/>
      <c r="J3714" s="1" t="s">
        <v>646</v>
      </c>
      <c r="K3714" s="2">
        <v>45843.0</v>
      </c>
      <c r="L3714" s="5"/>
      <c r="M3714" s="9" t="s">
        <v>61</v>
      </c>
      <c r="N3714" s="9" t="s">
        <v>49</v>
      </c>
      <c r="O3714" s="10">
        <f>'data on outstanding creditors'!$E3714*100/107</f>
        <v>41289.71963</v>
      </c>
      <c r="P3714" s="10">
        <f>'data on outstanding creditors'!$E3714-'data on outstanding creditors'!$O3714</f>
        <v>2890.280374</v>
      </c>
      <c r="Q3714" s="7">
        <f>DAY('data on outstanding creditors'!$B3714)</f>
        <v>27</v>
      </c>
      <c r="R3714" s="7">
        <f>MONTH('data on outstanding creditors'!$B3714)</f>
        <v>2</v>
      </c>
      <c r="S3714" s="7">
        <f>YEAR('data on outstanding creditors'!$B3714)</f>
        <v>2025</v>
      </c>
      <c r="T3714" s="11" t="str">
        <f>'data on outstanding creditors'!$C3714&amp;" "&amp;'data on outstanding creditors'!$D3714&amp;" "&amp;TEXT('data on outstanding creditors'!$E3714,"#,##0.00")</f>
        <v>บ.ไทย เฮลท์ อิมเมจจิ้ง CT SCAN  สิทธิ ชำระเงิน 016/768 12/67 44,180.00</v>
      </c>
      <c r="U3714" s="12"/>
    </row>
    <row r="3715" ht="13.5" customHeight="1">
      <c r="A3715" s="1" t="s">
        <v>5850</v>
      </c>
      <c r="B3715" s="2">
        <v>45715.0</v>
      </c>
      <c r="C3715" s="9" t="s">
        <v>5813</v>
      </c>
      <c r="D3715" s="1" t="s">
        <v>5851</v>
      </c>
      <c r="E3715" s="4">
        <v>106250.0</v>
      </c>
      <c r="F3715" s="4"/>
      <c r="G3715" s="4"/>
      <c r="H3715" s="4">
        <f>'data on outstanding creditors'!$E3715-'data on outstanding creditors'!$F3715-'data on outstanding creditors'!$G3715</f>
        <v>106250</v>
      </c>
      <c r="I3715" s="2"/>
      <c r="J3715" s="1" t="s">
        <v>646</v>
      </c>
      <c r="K3715" s="2">
        <v>45843.0</v>
      </c>
      <c r="L3715" s="5"/>
      <c r="M3715" s="9" t="s">
        <v>61</v>
      </c>
      <c r="N3715" s="9" t="s">
        <v>49</v>
      </c>
      <c r="O3715" s="10">
        <f>'data on outstanding creditors'!$E3715*100/107</f>
        <v>99299.06542</v>
      </c>
      <c r="P3715" s="10">
        <f>'data on outstanding creditors'!$E3715-'data on outstanding creditors'!$O3715</f>
        <v>6950.934579</v>
      </c>
      <c r="Q3715" s="7">
        <f>DAY('data on outstanding creditors'!$B3715)</f>
        <v>27</v>
      </c>
      <c r="R3715" s="7">
        <f>MONTH('data on outstanding creditors'!$B3715)</f>
        <v>2</v>
      </c>
      <c r="S3715" s="7">
        <f>YEAR('data on outstanding creditors'!$B3715)</f>
        <v>2025</v>
      </c>
      <c r="T3715" s="11" t="str">
        <f>'data on outstanding creditors'!$C3715&amp;" "&amp;'data on outstanding creditors'!$D3715&amp;" "&amp;TEXT('data on outstanding creditors'!$E3715,"#,##0.00")</f>
        <v>บ.ไทย เฮลท์ อิมเมจจิ้ง CT SCAN  สิทธิ ชำระเงิน 016/769 12/67 106,250.00</v>
      </c>
      <c r="U3715" s="12"/>
    </row>
    <row r="3716" ht="13.5" customHeight="1">
      <c r="A3716" s="1" t="s">
        <v>5852</v>
      </c>
      <c r="B3716" s="2">
        <v>45715.0</v>
      </c>
      <c r="C3716" s="9" t="s">
        <v>5816</v>
      </c>
      <c r="D3716" s="1" t="s">
        <v>5853</v>
      </c>
      <c r="E3716" s="4">
        <v>800.0</v>
      </c>
      <c r="F3716" s="4"/>
      <c r="G3716" s="4"/>
      <c r="H3716" s="4">
        <f>'data on outstanding creditors'!$E3716-'data on outstanding creditors'!$F3716-'data on outstanding creditors'!$G3716</f>
        <v>800</v>
      </c>
      <c r="I3716" s="2"/>
      <c r="J3716" s="1" t="s">
        <v>646</v>
      </c>
      <c r="K3716" s="2">
        <v>45843.0</v>
      </c>
      <c r="L3716" s="5"/>
      <c r="M3716" s="9" t="s">
        <v>61</v>
      </c>
      <c r="N3716" s="9" t="s">
        <v>49</v>
      </c>
      <c r="O3716" s="10">
        <f>'data on outstanding creditors'!$E3716*100/107</f>
        <v>747.6635514</v>
      </c>
      <c r="P3716" s="10">
        <f>'data on outstanding creditors'!$E3716-'data on outstanding creditors'!$O3716</f>
        <v>52.3364486</v>
      </c>
      <c r="Q3716" s="7">
        <f>DAY('data on outstanding creditors'!$B3716)</f>
        <v>27</v>
      </c>
      <c r="R3716" s="7">
        <f>MONTH('data on outstanding creditors'!$B3716)</f>
        <v>2</v>
      </c>
      <c r="S3716" s="7">
        <f>YEAR('data on outstanding creditors'!$B3716)</f>
        <v>2025</v>
      </c>
      <c r="T3716" s="11" t="str">
        <f>'data on outstanding creditors'!$C3716&amp;" "&amp;'data on outstanding creditors'!$D3716&amp;" "&amp;TEXT('data on outstanding creditors'!$E3716,"#,##0.00")</f>
        <v>บ.ไทย เฮลท์ อิมเมจจิ้ง CT SCAN  สิทธิ พรบ. 016/772 12/67 800.00</v>
      </c>
      <c r="U3716" s="12"/>
    </row>
    <row r="3717" ht="13.5" customHeight="1">
      <c r="A3717" s="1" t="s">
        <v>5854</v>
      </c>
      <c r="B3717" s="2">
        <v>45715.0</v>
      </c>
      <c r="C3717" s="9" t="s">
        <v>79</v>
      </c>
      <c r="D3717" s="1" t="s">
        <v>5855</v>
      </c>
      <c r="E3717" s="4">
        <v>36480.0</v>
      </c>
      <c r="F3717" s="4"/>
      <c r="G3717" s="4"/>
      <c r="H3717" s="4">
        <f>'data on outstanding creditors'!$E3717-'data on outstanding creditors'!$F3717-'data on outstanding creditors'!$G3717</f>
        <v>36480</v>
      </c>
      <c r="I3717" s="2"/>
      <c r="J3717" s="1" t="s">
        <v>646</v>
      </c>
      <c r="K3717" s="2">
        <v>45906.0</v>
      </c>
      <c r="L3717" s="5"/>
      <c r="M3717" s="9" t="s">
        <v>61</v>
      </c>
      <c r="N3717" s="9" t="s">
        <v>49</v>
      </c>
      <c r="O3717" s="10">
        <f>'data on outstanding creditors'!$E3717*100/107</f>
        <v>34093.45794</v>
      </c>
      <c r="P3717" s="10">
        <f>'data on outstanding creditors'!$E3717-'data on outstanding creditors'!$O3717</f>
        <v>2386.542056</v>
      </c>
      <c r="Q3717" s="7">
        <f>DAY('data on outstanding creditors'!$B3717)</f>
        <v>27</v>
      </c>
      <c r="R3717" s="7">
        <f>MONTH('data on outstanding creditors'!$B3717)</f>
        <v>2</v>
      </c>
      <c r="S3717" s="7">
        <f>YEAR('data on outstanding creditors'!$B3717)</f>
        <v>2025</v>
      </c>
      <c r="T3717" s="11" t="str">
        <f>'data on outstanding creditors'!$C3717&amp;" "&amp;'data on outstanding creditors'!$D3717&amp;" "&amp;TEXT('data on outstanding creditors'!$E3717,"#,##0.00")</f>
        <v>บ.ไทย เฮลท์ อิมเมจจิ้ง MMG  สิทธิ สปสช 016/773 12/67 36,480.00</v>
      </c>
      <c r="U3717" s="12"/>
    </row>
    <row r="3718" ht="13.5" customHeight="1">
      <c r="A3718" s="1" t="s">
        <v>5856</v>
      </c>
      <c r="B3718" s="2">
        <v>45715.0</v>
      </c>
      <c r="C3718" s="9" t="s">
        <v>81</v>
      </c>
      <c r="D3718" s="1" t="s">
        <v>5857</v>
      </c>
      <c r="E3718" s="4">
        <v>13440.0</v>
      </c>
      <c r="F3718" s="4"/>
      <c r="G3718" s="4"/>
      <c r="H3718" s="4">
        <f>'data on outstanding creditors'!$E3718-'data on outstanding creditors'!$F3718-'data on outstanding creditors'!$G3718</f>
        <v>13440</v>
      </c>
      <c r="I3718" s="2"/>
      <c r="J3718" s="1" t="s">
        <v>646</v>
      </c>
      <c r="K3718" s="2">
        <v>45906.0</v>
      </c>
      <c r="L3718" s="5"/>
      <c r="M3718" s="9" t="s">
        <v>61</v>
      </c>
      <c r="N3718" s="9" t="s">
        <v>49</v>
      </c>
      <c r="O3718" s="10">
        <f>'data on outstanding creditors'!$E3718*100/107</f>
        <v>12560.74766</v>
      </c>
      <c r="P3718" s="10">
        <f>'data on outstanding creditors'!$E3718-'data on outstanding creditors'!$O3718</f>
        <v>879.2523364</v>
      </c>
      <c r="Q3718" s="7">
        <f>DAY('data on outstanding creditors'!$B3718)</f>
        <v>27</v>
      </c>
      <c r="R3718" s="7">
        <f>MONTH('data on outstanding creditors'!$B3718)</f>
        <v>2</v>
      </c>
      <c r="S3718" s="7">
        <f>YEAR('data on outstanding creditors'!$B3718)</f>
        <v>2025</v>
      </c>
      <c r="T3718" s="11" t="str">
        <f>'data on outstanding creditors'!$C3718&amp;" "&amp;'data on outstanding creditors'!$D3718&amp;" "&amp;TEXT('data on outstanding creditors'!$E3718,"#,##0.00")</f>
        <v>บ.ไทย เฮลท์ อิมเมจจิ้ง MMG  สิทธิ จ่ายตรง 016/774 12/67 13,440.00</v>
      </c>
      <c r="U3718" s="12"/>
    </row>
    <row r="3719" ht="13.5" customHeight="1">
      <c r="A3719" s="1" t="s">
        <v>5858</v>
      </c>
      <c r="B3719" s="2">
        <v>45747.0</v>
      </c>
      <c r="C3719" s="9" t="s">
        <v>79</v>
      </c>
      <c r="D3719" s="1" t="s">
        <v>5859</v>
      </c>
      <c r="E3719" s="4">
        <v>34560.0</v>
      </c>
      <c r="F3719" s="4"/>
      <c r="G3719" s="4"/>
      <c r="H3719" s="4">
        <f>'data on outstanding creditors'!$E3719-'data on outstanding creditors'!$F3719-'data on outstanding creditors'!$G3719</f>
        <v>34560</v>
      </c>
      <c r="I3719" s="2"/>
      <c r="J3719" s="1" t="s">
        <v>646</v>
      </c>
      <c r="K3719" s="2">
        <v>45843.0</v>
      </c>
      <c r="L3719" s="5"/>
      <c r="M3719" s="9" t="s">
        <v>61</v>
      </c>
      <c r="N3719" s="9" t="s">
        <v>49</v>
      </c>
      <c r="O3719" s="10">
        <f>'data on outstanding creditors'!$E3719*100/107</f>
        <v>32299.06542</v>
      </c>
      <c r="P3719" s="10">
        <f>'data on outstanding creditors'!$E3719-'data on outstanding creditors'!$O3719</f>
        <v>2260.934579</v>
      </c>
      <c r="Q3719" s="7">
        <f>DAY('data on outstanding creditors'!$B3719)</f>
        <v>31</v>
      </c>
      <c r="R3719" s="7">
        <f>MONTH('data on outstanding creditors'!$B3719)</f>
        <v>3</v>
      </c>
      <c r="S3719" s="7">
        <f>YEAR('data on outstanding creditors'!$B3719)</f>
        <v>2025</v>
      </c>
      <c r="T3719" s="11" t="str">
        <f>'data on outstanding creditors'!$C3719&amp;" "&amp;'data on outstanding creditors'!$D3719&amp;" "&amp;TEXT('data on outstanding creditors'!$E3719,"#,##0.00")</f>
        <v>บ.ไทย เฮลท์ อิมเมจจิ้ง MMG  สิทธิ สปสช 016/792 01/68 34,560.00</v>
      </c>
      <c r="U3719" s="12"/>
    </row>
    <row r="3720" ht="13.5" customHeight="1">
      <c r="A3720" s="1" t="s">
        <v>5860</v>
      </c>
      <c r="B3720" s="2">
        <v>45747.0</v>
      </c>
      <c r="C3720" s="9" t="s">
        <v>81</v>
      </c>
      <c r="D3720" s="1" t="s">
        <v>5861</v>
      </c>
      <c r="E3720" s="4">
        <v>7680.0</v>
      </c>
      <c r="F3720" s="4"/>
      <c r="G3720" s="4"/>
      <c r="H3720" s="4">
        <f>'data on outstanding creditors'!$E3720-'data on outstanding creditors'!$F3720-'data on outstanding creditors'!$G3720</f>
        <v>7680</v>
      </c>
      <c r="I3720" s="2"/>
      <c r="J3720" s="1" t="s">
        <v>646</v>
      </c>
      <c r="K3720" s="2">
        <v>45843.0</v>
      </c>
      <c r="L3720" s="5"/>
      <c r="M3720" s="9" t="s">
        <v>61</v>
      </c>
      <c r="N3720" s="9" t="s">
        <v>49</v>
      </c>
      <c r="O3720" s="10">
        <f>'data on outstanding creditors'!$E3720*100/107</f>
        <v>7177.570093</v>
      </c>
      <c r="P3720" s="10">
        <f>'data on outstanding creditors'!$E3720-'data on outstanding creditors'!$O3720</f>
        <v>502.4299065</v>
      </c>
      <c r="Q3720" s="7">
        <f>DAY('data on outstanding creditors'!$B3720)</f>
        <v>31</v>
      </c>
      <c r="R3720" s="7">
        <f>MONTH('data on outstanding creditors'!$B3720)</f>
        <v>3</v>
      </c>
      <c r="S3720" s="7">
        <f>YEAR('data on outstanding creditors'!$B3720)</f>
        <v>2025</v>
      </c>
      <c r="T3720" s="11" t="str">
        <f>'data on outstanding creditors'!$C3720&amp;" "&amp;'data on outstanding creditors'!$D3720&amp;" "&amp;TEXT('data on outstanding creditors'!$E3720,"#,##0.00")</f>
        <v>บ.ไทย เฮลท์ อิมเมจจิ้ง MMG  สิทธิ จ่ายตรง 016/793 01/68 7,680.00</v>
      </c>
      <c r="U3720" s="12"/>
    </row>
    <row r="3721" ht="13.5" customHeight="1">
      <c r="A3721" s="1" t="s">
        <v>5862</v>
      </c>
      <c r="B3721" s="2">
        <v>45747.0</v>
      </c>
      <c r="C3721" s="9" t="s">
        <v>5818</v>
      </c>
      <c r="D3721" s="1" t="s">
        <v>5863</v>
      </c>
      <c r="E3721" s="4">
        <v>159460.0</v>
      </c>
      <c r="F3721" s="4"/>
      <c r="G3721" s="4"/>
      <c r="H3721" s="4">
        <f>'data on outstanding creditors'!$E3721-'data on outstanding creditors'!$F3721-'data on outstanding creditors'!$G3721</f>
        <v>159460</v>
      </c>
      <c r="I3721" s="2"/>
      <c r="J3721" s="1" t="s">
        <v>646</v>
      </c>
      <c r="K3721" s="2">
        <v>45860.0</v>
      </c>
      <c r="L3721" s="5"/>
      <c r="M3721" s="9" t="s">
        <v>61</v>
      </c>
      <c r="N3721" s="9" t="s">
        <v>49</v>
      </c>
      <c r="O3721" s="10">
        <f>'data on outstanding creditors'!$E3721*100/107</f>
        <v>149028.0374</v>
      </c>
      <c r="P3721" s="10">
        <f>'data on outstanding creditors'!$E3721-'data on outstanding creditors'!$O3721</f>
        <v>10431.96262</v>
      </c>
      <c r="Q3721" s="7">
        <f>DAY('data on outstanding creditors'!$B3721)</f>
        <v>31</v>
      </c>
      <c r="R3721" s="7">
        <f>MONTH('data on outstanding creditors'!$B3721)</f>
        <v>3</v>
      </c>
      <c r="S3721" s="7">
        <f>YEAR('data on outstanding creditors'!$B3721)</f>
        <v>2025</v>
      </c>
      <c r="T3721" s="11" t="str">
        <f>'data on outstanding creditors'!$C3721&amp;" "&amp;'data on outstanding creditors'!$D3721&amp;" "&amp;TEXT('data on outstanding creditors'!$E3721,"#,##0.00")</f>
        <v>บ.ไทย เฮลท์ อิมเมจจิ้ง CT SCAN  สิทธิ สปสช 016/776 01/68 159,460.00</v>
      </c>
      <c r="U3721" s="12"/>
    </row>
    <row r="3722" ht="13.5" customHeight="1">
      <c r="A3722" s="1" t="s">
        <v>5864</v>
      </c>
      <c r="B3722" s="2">
        <v>45747.0</v>
      </c>
      <c r="C3722" s="9" t="s">
        <v>5818</v>
      </c>
      <c r="D3722" s="1" t="s">
        <v>5865</v>
      </c>
      <c r="E3722" s="4">
        <v>143640.0</v>
      </c>
      <c r="F3722" s="4"/>
      <c r="G3722" s="4"/>
      <c r="H3722" s="4">
        <f>'data on outstanding creditors'!$E3722-'data on outstanding creditors'!$F3722-'data on outstanding creditors'!$G3722</f>
        <v>143640</v>
      </c>
      <c r="I3722" s="2"/>
      <c r="J3722" s="1" t="s">
        <v>646</v>
      </c>
      <c r="K3722" s="2">
        <v>45860.0</v>
      </c>
      <c r="L3722" s="5"/>
      <c r="M3722" s="9" t="s">
        <v>61</v>
      </c>
      <c r="N3722" s="9" t="s">
        <v>49</v>
      </c>
      <c r="O3722" s="10">
        <f>'data on outstanding creditors'!$E3722*100/107</f>
        <v>134242.9907</v>
      </c>
      <c r="P3722" s="10">
        <f>'data on outstanding creditors'!$E3722-'data on outstanding creditors'!$O3722</f>
        <v>9397.009346</v>
      </c>
      <c r="Q3722" s="7">
        <f>DAY('data on outstanding creditors'!$B3722)</f>
        <v>31</v>
      </c>
      <c r="R3722" s="7">
        <f>MONTH('data on outstanding creditors'!$B3722)</f>
        <v>3</v>
      </c>
      <c r="S3722" s="7">
        <f>YEAR('data on outstanding creditors'!$B3722)</f>
        <v>2025</v>
      </c>
      <c r="T3722" s="11" t="str">
        <f>'data on outstanding creditors'!$C3722&amp;" "&amp;'data on outstanding creditors'!$D3722&amp;" "&amp;TEXT('data on outstanding creditors'!$E3722,"#,##0.00")</f>
        <v>บ.ไทย เฮลท์ อิมเมจจิ้ง CT SCAN  สิทธิ สปสช 016/777 01/68 143,640.00</v>
      </c>
      <c r="U3722" s="12"/>
    </row>
    <row r="3723" ht="13.5" customHeight="1">
      <c r="A3723" s="1" t="s">
        <v>5866</v>
      </c>
      <c r="B3723" s="2">
        <v>45747.0</v>
      </c>
      <c r="C3723" s="9" t="s">
        <v>5818</v>
      </c>
      <c r="D3723" s="1" t="s">
        <v>5867</v>
      </c>
      <c r="E3723" s="4">
        <v>157380.0</v>
      </c>
      <c r="F3723" s="4"/>
      <c r="G3723" s="4"/>
      <c r="H3723" s="4">
        <f>'data on outstanding creditors'!$E3723-'data on outstanding creditors'!$F3723-'data on outstanding creditors'!$G3723</f>
        <v>157380</v>
      </c>
      <c r="I3723" s="2"/>
      <c r="J3723" s="1" t="s">
        <v>646</v>
      </c>
      <c r="K3723" s="2">
        <v>45860.0</v>
      </c>
      <c r="L3723" s="5"/>
      <c r="M3723" s="9" t="s">
        <v>61</v>
      </c>
      <c r="N3723" s="9" t="s">
        <v>49</v>
      </c>
      <c r="O3723" s="10">
        <f>'data on outstanding creditors'!$E3723*100/107</f>
        <v>147084.1121</v>
      </c>
      <c r="P3723" s="10">
        <f>'data on outstanding creditors'!$E3723-'data on outstanding creditors'!$O3723</f>
        <v>10295.88785</v>
      </c>
      <c r="Q3723" s="7">
        <f>DAY('data on outstanding creditors'!$B3723)</f>
        <v>31</v>
      </c>
      <c r="R3723" s="7">
        <f>MONTH('data on outstanding creditors'!$B3723)</f>
        <v>3</v>
      </c>
      <c r="S3723" s="7">
        <f>YEAR('data on outstanding creditors'!$B3723)</f>
        <v>2025</v>
      </c>
      <c r="T3723" s="11" t="str">
        <f>'data on outstanding creditors'!$C3723&amp;" "&amp;'data on outstanding creditors'!$D3723&amp;" "&amp;TEXT('data on outstanding creditors'!$E3723,"#,##0.00")</f>
        <v>บ.ไทย เฮลท์ อิมเมจจิ้ง CT SCAN  สิทธิ สปสช 016/778 01/68 157,380.00</v>
      </c>
      <c r="U3723" s="12"/>
    </row>
    <row r="3724" ht="13.5" customHeight="1">
      <c r="A3724" s="1" t="s">
        <v>5868</v>
      </c>
      <c r="B3724" s="2">
        <v>45747.0</v>
      </c>
      <c r="C3724" s="9" t="s">
        <v>5818</v>
      </c>
      <c r="D3724" s="1" t="s">
        <v>5869</v>
      </c>
      <c r="E3724" s="4">
        <v>134740.0</v>
      </c>
      <c r="F3724" s="4"/>
      <c r="G3724" s="4"/>
      <c r="H3724" s="4">
        <f>'data on outstanding creditors'!$E3724-'data on outstanding creditors'!$F3724-'data on outstanding creditors'!$G3724</f>
        <v>134740</v>
      </c>
      <c r="I3724" s="2"/>
      <c r="J3724" s="1" t="s">
        <v>646</v>
      </c>
      <c r="K3724" s="2">
        <v>45860.0</v>
      </c>
      <c r="L3724" s="5"/>
      <c r="M3724" s="9" t="s">
        <v>61</v>
      </c>
      <c r="N3724" s="9" t="s">
        <v>49</v>
      </c>
      <c r="O3724" s="10">
        <f>'data on outstanding creditors'!$E3724*100/107</f>
        <v>125925.2336</v>
      </c>
      <c r="P3724" s="10">
        <f>'data on outstanding creditors'!$E3724-'data on outstanding creditors'!$O3724</f>
        <v>8814.766355</v>
      </c>
      <c r="Q3724" s="7">
        <f>DAY('data on outstanding creditors'!$B3724)</f>
        <v>31</v>
      </c>
      <c r="R3724" s="7">
        <f>MONTH('data on outstanding creditors'!$B3724)</f>
        <v>3</v>
      </c>
      <c r="S3724" s="7">
        <f>YEAR('data on outstanding creditors'!$B3724)</f>
        <v>2025</v>
      </c>
      <c r="T3724" s="11" t="str">
        <f>'data on outstanding creditors'!$C3724&amp;" "&amp;'data on outstanding creditors'!$D3724&amp;" "&amp;TEXT('data on outstanding creditors'!$E3724,"#,##0.00")</f>
        <v>บ.ไทย เฮลท์ อิมเมจจิ้ง CT SCAN  สิทธิ สปสช 016/779 01/68 134,740.00</v>
      </c>
      <c r="U3724" s="12"/>
    </row>
    <row r="3725" ht="13.5" customHeight="1">
      <c r="A3725" s="1" t="s">
        <v>5870</v>
      </c>
      <c r="B3725" s="2">
        <v>45747.0</v>
      </c>
      <c r="C3725" s="9" t="s">
        <v>5818</v>
      </c>
      <c r="D3725" s="1" t="s">
        <v>5871</v>
      </c>
      <c r="E3725" s="4">
        <v>157720.0</v>
      </c>
      <c r="F3725" s="4"/>
      <c r="G3725" s="4"/>
      <c r="H3725" s="4">
        <f>'data on outstanding creditors'!$E3725-'data on outstanding creditors'!$F3725-'data on outstanding creditors'!$G3725</f>
        <v>157720</v>
      </c>
      <c r="I3725" s="2"/>
      <c r="J3725" s="1" t="s">
        <v>646</v>
      </c>
      <c r="K3725" s="2">
        <v>45860.0</v>
      </c>
      <c r="L3725" s="5"/>
      <c r="M3725" s="9" t="s">
        <v>61</v>
      </c>
      <c r="N3725" s="9" t="s">
        <v>49</v>
      </c>
      <c r="O3725" s="10">
        <f>'data on outstanding creditors'!$E3725*100/107</f>
        <v>147401.8692</v>
      </c>
      <c r="P3725" s="10">
        <f>'data on outstanding creditors'!$E3725-'data on outstanding creditors'!$O3725</f>
        <v>10318.13084</v>
      </c>
      <c r="Q3725" s="7">
        <f>DAY('data on outstanding creditors'!$B3725)</f>
        <v>31</v>
      </c>
      <c r="R3725" s="7">
        <f>MONTH('data on outstanding creditors'!$B3725)</f>
        <v>3</v>
      </c>
      <c r="S3725" s="7">
        <f>YEAR('data on outstanding creditors'!$B3725)</f>
        <v>2025</v>
      </c>
      <c r="T3725" s="11" t="str">
        <f>'data on outstanding creditors'!$C3725&amp;" "&amp;'data on outstanding creditors'!$D3725&amp;" "&amp;TEXT('data on outstanding creditors'!$E3725,"#,##0.00")</f>
        <v>บ.ไทย เฮลท์ อิมเมจจิ้ง CT SCAN  สิทธิ สปสช 016/780 01/68 157,720.00</v>
      </c>
      <c r="U3725" s="12"/>
    </row>
    <row r="3726" ht="13.5" customHeight="1">
      <c r="A3726" s="1" t="s">
        <v>5872</v>
      </c>
      <c r="B3726" s="2">
        <v>45747.0</v>
      </c>
      <c r="C3726" s="9" t="s">
        <v>5818</v>
      </c>
      <c r="D3726" s="1" t="s">
        <v>5873</v>
      </c>
      <c r="E3726" s="4">
        <v>152330.0</v>
      </c>
      <c r="F3726" s="4"/>
      <c r="G3726" s="4"/>
      <c r="H3726" s="4">
        <f>'data on outstanding creditors'!$E3726-'data on outstanding creditors'!$F3726-'data on outstanding creditors'!$G3726</f>
        <v>152330</v>
      </c>
      <c r="I3726" s="2"/>
      <c r="J3726" s="1" t="s">
        <v>646</v>
      </c>
      <c r="K3726" s="2">
        <v>45860.0</v>
      </c>
      <c r="L3726" s="5"/>
      <c r="M3726" s="9" t="s">
        <v>61</v>
      </c>
      <c r="N3726" s="9" t="s">
        <v>49</v>
      </c>
      <c r="O3726" s="10">
        <f>'data on outstanding creditors'!$E3726*100/107</f>
        <v>142364.486</v>
      </c>
      <c r="P3726" s="10">
        <f>'data on outstanding creditors'!$E3726-'data on outstanding creditors'!$O3726</f>
        <v>9965.514019</v>
      </c>
      <c r="Q3726" s="7">
        <f>DAY('data on outstanding creditors'!$B3726)</f>
        <v>31</v>
      </c>
      <c r="R3726" s="7">
        <f>MONTH('data on outstanding creditors'!$B3726)</f>
        <v>3</v>
      </c>
      <c r="S3726" s="7">
        <f>YEAR('data on outstanding creditors'!$B3726)</f>
        <v>2025</v>
      </c>
      <c r="T3726" s="11" t="str">
        <f>'data on outstanding creditors'!$C3726&amp;" "&amp;'data on outstanding creditors'!$D3726&amp;" "&amp;TEXT('data on outstanding creditors'!$E3726,"#,##0.00")</f>
        <v>บ.ไทย เฮลท์ อิมเมจจิ้ง CT SCAN  สิทธิ สปสช 016/781 01/68 152,330.00</v>
      </c>
      <c r="U3726" s="12"/>
    </row>
    <row r="3727" ht="13.5" customHeight="1">
      <c r="A3727" s="1" t="s">
        <v>5874</v>
      </c>
      <c r="B3727" s="2">
        <v>45747.0</v>
      </c>
      <c r="C3727" s="9" t="s">
        <v>5818</v>
      </c>
      <c r="D3727" s="1" t="s">
        <v>5875</v>
      </c>
      <c r="E3727" s="4">
        <v>170260.0</v>
      </c>
      <c r="F3727" s="4"/>
      <c r="G3727" s="4"/>
      <c r="H3727" s="4">
        <f>'data on outstanding creditors'!$E3727-'data on outstanding creditors'!$F3727-'data on outstanding creditors'!$G3727</f>
        <v>170260</v>
      </c>
      <c r="I3727" s="2"/>
      <c r="J3727" s="1" t="s">
        <v>646</v>
      </c>
      <c r="K3727" s="2">
        <v>45860.0</v>
      </c>
      <c r="L3727" s="5"/>
      <c r="M3727" s="9" t="s">
        <v>61</v>
      </c>
      <c r="N3727" s="9" t="s">
        <v>49</v>
      </c>
      <c r="O3727" s="10">
        <f>'data on outstanding creditors'!$E3727*100/107</f>
        <v>159121.4953</v>
      </c>
      <c r="P3727" s="10">
        <f>'data on outstanding creditors'!$E3727-'data on outstanding creditors'!$O3727</f>
        <v>11138.50467</v>
      </c>
      <c r="Q3727" s="7">
        <f>DAY('data on outstanding creditors'!$B3727)</f>
        <v>31</v>
      </c>
      <c r="R3727" s="7">
        <f>MONTH('data on outstanding creditors'!$B3727)</f>
        <v>3</v>
      </c>
      <c r="S3727" s="7">
        <f>YEAR('data on outstanding creditors'!$B3727)</f>
        <v>2025</v>
      </c>
      <c r="T3727" s="11" t="str">
        <f>'data on outstanding creditors'!$C3727&amp;" "&amp;'data on outstanding creditors'!$D3727&amp;" "&amp;TEXT('data on outstanding creditors'!$E3727,"#,##0.00")</f>
        <v>บ.ไทย เฮลท์ อิมเมจจิ้ง CT SCAN  สิทธิ สปสช 016/782 01/68 170,260.00</v>
      </c>
      <c r="U3727" s="12"/>
    </row>
    <row r="3728" ht="13.5" customHeight="1">
      <c r="A3728" s="1" t="s">
        <v>5876</v>
      </c>
      <c r="B3728" s="2">
        <v>45747.0</v>
      </c>
      <c r="C3728" s="9" t="s">
        <v>5818</v>
      </c>
      <c r="D3728" s="1" t="s">
        <v>5877</v>
      </c>
      <c r="E3728" s="4">
        <v>156060.0</v>
      </c>
      <c r="F3728" s="4"/>
      <c r="G3728" s="4"/>
      <c r="H3728" s="4">
        <f>'data on outstanding creditors'!$E3728-'data on outstanding creditors'!$F3728-'data on outstanding creditors'!$G3728</f>
        <v>156060</v>
      </c>
      <c r="I3728" s="2"/>
      <c r="J3728" s="1" t="s">
        <v>646</v>
      </c>
      <c r="K3728" s="2">
        <v>45860.0</v>
      </c>
      <c r="L3728" s="5"/>
      <c r="M3728" s="9" t="s">
        <v>61</v>
      </c>
      <c r="N3728" s="9" t="s">
        <v>49</v>
      </c>
      <c r="O3728" s="10">
        <f>'data on outstanding creditors'!$E3728*100/107</f>
        <v>145850.4673</v>
      </c>
      <c r="P3728" s="10">
        <f>'data on outstanding creditors'!$E3728-'data on outstanding creditors'!$O3728</f>
        <v>10209.53271</v>
      </c>
      <c r="Q3728" s="7">
        <f>DAY('data on outstanding creditors'!$B3728)</f>
        <v>31</v>
      </c>
      <c r="R3728" s="7">
        <f>MONTH('data on outstanding creditors'!$B3728)</f>
        <v>3</v>
      </c>
      <c r="S3728" s="7">
        <f>YEAR('data on outstanding creditors'!$B3728)</f>
        <v>2025</v>
      </c>
      <c r="T3728" s="11" t="str">
        <f>'data on outstanding creditors'!$C3728&amp;" "&amp;'data on outstanding creditors'!$D3728&amp;" "&amp;TEXT('data on outstanding creditors'!$E3728,"#,##0.00")</f>
        <v>บ.ไทย เฮลท์ อิมเมจจิ้ง CT SCAN  สิทธิ สปสช 016/783 01/68 156,060.00</v>
      </c>
      <c r="U3728" s="12"/>
    </row>
    <row r="3729" ht="13.5" customHeight="1">
      <c r="A3729" s="1" t="s">
        <v>5878</v>
      </c>
      <c r="B3729" s="2">
        <v>45747.0</v>
      </c>
      <c r="C3729" s="9" t="s">
        <v>5818</v>
      </c>
      <c r="D3729" s="1" t="s">
        <v>5879</v>
      </c>
      <c r="E3729" s="4">
        <v>176860.0</v>
      </c>
      <c r="F3729" s="4"/>
      <c r="G3729" s="4"/>
      <c r="H3729" s="4">
        <f>'data on outstanding creditors'!$E3729-'data on outstanding creditors'!$F3729-'data on outstanding creditors'!$G3729</f>
        <v>176860</v>
      </c>
      <c r="I3729" s="2"/>
      <c r="J3729" s="1" t="s">
        <v>646</v>
      </c>
      <c r="K3729" s="2">
        <v>45860.0</v>
      </c>
      <c r="L3729" s="5"/>
      <c r="M3729" s="9" t="s">
        <v>61</v>
      </c>
      <c r="N3729" s="9" t="s">
        <v>49</v>
      </c>
      <c r="O3729" s="10">
        <f>'data on outstanding creditors'!$E3729*100/107</f>
        <v>165289.7196</v>
      </c>
      <c r="P3729" s="10">
        <f>'data on outstanding creditors'!$E3729-'data on outstanding creditors'!$O3729</f>
        <v>11570.28037</v>
      </c>
      <c r="Q3729" s="7">
        <f>DAY('data on outstanding creditors'!$B3729)</f>
        <v>31</v>
      </c>
      <c r="R3729" s="7">
        <f>MONTH('data on outstanding creditors'!$B3729)</f>
        <v>3</v>
      </c>
      <c r="S3729" s="7">
        <f>YEAR('data on outstanding creditors'!$B3729)</f>
        <v>2025</v>
      </c>
      <c r="T3729" s="11" t="str">
        <f>'data on outstanding creditors'!$C3729&amp;" "&amp;'data on outstanding creditors'!$D3729&amp;" "&amp;TEXT('data on outstanding creditors'!$E3729,"#,##0.00")</f>
        <v>บ.ไทย เฮลท์ อิมเมจจิ้ง CT SCAN  สิทธิ สปสช 016/784 01/68 176,860.00</v>
      </c>
      <c r="U3729" s="12"/>
    </row>
    <row r="3730" ht="13.5" customHeight="1">
      <c r="A3730" s="1" t="s">
        <v>5880</v>
      </c>
      <c r="B3730" s="2">
        <v>45747.0</v>
      </c>
      <c r="C3730" s="9" t="s">
        <v>5818</v>
      </c>
      <c r="D3730" s="1" t="s">
        <v>5881</v>
      </c>
      <c r="E3730" s="4">
        <v>197010.0</v>
      </c>
      <c r="F3730" s="4"/>
      <c r="G3730" s="4"/>
      <c r="H3730" s="4">
        <f>'data on outstanding creditors'!$E3730-'data on outstanding creditors'!$F3730-'data on outstanding creditors'!$G3730</f>
        <v>197010</v>
      </c>
      <c r="I3730" s="2"/>
      <c r="J3730" s="1" t="s">
        <v>646</v>
      </c>
      <c r="K3730" s="2">
        <v>45860.0</v>
      </c>
      <c r="L3730" s="5"/>
      <c r="M3730" s="9" t="s">
        <v>61</v>
      </c>
      <c r="N3730" s="9" t="s">
        <v>49</v>
      </c>
      <c r="O3730" s="10">
        <f>'data on outstanding creditors'!$E3730*100/107</f>
        <v>184121.4953</v>
      </c>
      <c r="P3730" s="10">
        <f>'data on outstanding creditors'!$E3730-'data on outstanding creditors'!$O3730</f>
        <v>12888.50467</v>
      </c>
      <c r="Q3730" s="7">
        <f>DAY('data on outstanding creditors'!$B3730)</f>
        <v>31</v>
      </c>
      <c r="R3730" s="7">
        <f>MONTH('data on outstanding creditors'!$B3730)</f>
        <v>3</v>
      </c>
      <c r="S3730" s="7">
        <f>YEAR('data on outstanding creditors'!$B3730)</f>
        <v>2025</v>
      </c>
      <c r="T3730" s="11" t="str">
        <f>'data on outstanding creditors'!$C3730&amp;" "&amp;'data on outstanding creditors'!$D3730&amp;" "&amp;TEXT('data on outstanding creditors'!$E3730,"#,##0.00")</f>
        <v>บ.ไทย เฮลท์ อิมเมจจิ้ง CT SCAN  สิทธิ สปสช 016/785 01/68 197,010.00</v>
      </c>
      <c r="U3730" s="12"/>
    </row>
    <row r="3731" ht="13.5" customHeight="1">
      <c r="A3731" s="1" t="s">
        <v>5882</v>
      </c>
      <c r="B3731" s="2">
        <v>45747.0</v>
      </c>
      <c r="C3731" s="9" t="s">
        <v>5810</v>
      </c>
      <c r="D3731" s="1" t="s">
        <v>5883</v>
      </c>
      <c r="E3731" s="4">
        <v>130210.0</v>
      </c>
      <c r="F3731" s="4"/>
      <c r="G3731" s="4"/>
      <c r="H3731" s="4">
        <f>'data on outstanding creditors'!$E3731-'data on outstanding creditors'!$F3731-'data on outstanding creditors'!$G3731</f>
        <v>130210</v>
      </c>
      <c r="I3731" s="2"/>
      <c r="J3731" s="1" t="s">
        <v>646</v>
      </c>
      <c r="K3731" s="2">
        <v>45860.0</v>
      </c>
      <c r="L3731" s="5"/>
      <c r="M3731" s="9" t="s">
        <v>61</v>
      </c>
      <c r="N3731" s="9" t="s">
        <v>49</v>
      </c>
      <c r="O3731" s="10">
        <f>'data on outstanding creditors'!$E3731*100/107</f>
        <v>121691.5888</v>
      </c>
      <c r="P3731" s="10">
        <f>'data on outstanding creditors'!$E3731-'data on outstanding creditors'!$O3731</f>
        <v>8518.411215</v>
      </c>
      <c r="Q3731" s="7">
        <f>DAY('data on outstanding creditors'!$B3731)</f>
        <v>31</v>
      </c>
      <c r="R3731" s="7">
        <f>MONTH('data on outstanding creditors'!$B3731)</f>
        <v>3</v>
      </c>
      <c r="S3731" s="7">
        <f>YEAR('data on outstanding creditors'!$B3731)</f>
        <v>2025</v>
      </c>
      <c r="T3731" s="11" t="str">
        <f>'data on outstanding creditors'!$C3731&amp;" "&amp;'data on outstanding creditors'!$D3731&amp;" "&amp;TEXT('data on outstanding creditors'!$E3731,"#,##0.00")</f>
        <v>บ.ไทย เฮลท์ อิมเมจจิ้ง CT SCAN  สิทธิ จ่ายตรง 016/786 01/68 130,210.00</v>
      </c>
      <c r="U3731" s="12"/>
    </row>
    <row r="3732" ht="13.5" customHeight="1">
      <c r="A3732" s="1" t="s">
        <v>5884</v>
      </c>
      <c r="B3732" s="2">
        <v>45747.0</v>
      </c>
      <c r="C3732" s="9" t="s">
        <v>5810</v>
      </c>
      <c r="D3732" s="1" t="s">
        <v>5885</v>
      </c>
      <c r="E3732" s="4">
        <v>176430.0</v>
      </c>
      <c r="F3732" s="4"/>
      <c r="G3732" s="4"/>
      <c r="H3732" s="4">
        <f>'data on outstanding creditors'!$E3732-'data on outstanding creditors'!$F3732-'data on outstanding creditors'!$G3732</f>
        <v>176430</v>
      </c>
      <c r="I3732" s="2"/>
      <c r="J3732" s="1" t="s">
        <v>646</v>
      </c>
      <c r="K3732" s="2">
        <v>45860.0</v>
      </c>
      <c r="L3732" s="5"/>
      <c r="M3732" s="9" t="s">
        <v>61</v>
      </c>
      <c r="N3732" s="9" t="s">
        <v>49</v>
      </c>
      <c r="O3732" s="10">
        <f>'data on outstanding creditors'!$E3732*100/107</f>
        <v>164887.8505</v>
      </c>
      <c r="P3732" s="10">
        <f>'data on outstanding creditors'!$E3732-'data on outstanding creditors'!$O3732</f>
        <v>11542.14953</v>
      </c>
      <c r="Q3732" s="7">
        <f>DAY('data on outstanding creditors'!$B3732)</f>
        <v>31</v>
      </c>
      <c r="R3732" s="7">
        <f>MONTH('data on outstanding creditors'!$B3732)</f>
        <v>3</v>
      </c>
      <c r="S3732" s="7">
        <f>YEAR('data on outstanding creditors'!$B3732)</f>
        <v>2025</v>
      </c>
      <c r="T3732" s="11" t="str">
        <f>'data on outstanding creditors'!$C3732&amp;" "&amp;'data on outstanding creditors'!$D3732&amp;" "&amp;TEXT('data on outstanding creditors'!$E3732,"#,##0.00")</f>
        <v>บ.ไทย เฮลท์ อิมเมจจิ้ง CT SCAN  สิทธิ จ่ายตรง 016/787 01/68 176,430.00</v>
      </c>
      <c r="U3732" s="12"/>
    </row>
    <row r="3733" ht="13.5" customHeight="1">
      <c r="A3733" s="1" t="s">
        <v>5886</v>
      </c>
      <c r="B3733" s="2">
        <v>45747.0</v>
      </c>
      <c r="C3733" s="9" t="s">
        <v>5810</v>
      </c>
      <c r="D3733" s="1" t="s">
        <v>5887</v>
      </c>
      <c r="E3733" s="4">
        <v>40480.0</v>
      </c>
      <c r="F3733" s="4"/>
      <c r="G3733" s="4"/>
      <c r="H3733" s="4">
        <f>'data on outstanding creditors'!$E3733-'data on outstanding creditors'!$F3733-'data on outstanding creditors'!$G3733</f>
        <v>40480</v>
      </c>
      <c r="I3733" s="2"/>
      <c r="J3733" s="1" t="s">
        <v>646</v>
      </c>
      <c r="K3733" s="2">
        <v>45860.0</v>
      </c>
      <c r="L3733" s="5"/>
      <c r="M3733" s="9" t="s">
        <v>61</v>
      </c>
      <c r="N3733" s="9" t="s">
        <v>49</v>
      </c>
      <c r="O3733" s="10">
        <f>'data on outstanding creditors'!$E3733*100/107</f>
        <v>37831.7757</v>
      </c>
      <c r="P3733" s="10">
        <f>'data on outstanding creditors'!$E3733-'data on outstanding creditors'!$O3733</f>
        <v>2648.224299</v>
      </c>
      <c r="Q3733" s="7">
        <f>DAY('data on outstanding creditors'!$B3733)</f>
        <v>31</v>
      </c>
      <c r="R3733" s="7">
        <f>MONTH('data on outstanding creditors'!$B3733)</f>
        <v>3</v>
      </c>
      <c r="S3733" s="7">
        <f>YEAR('data on outstanding creditors'!$B3733)</f>
        <v>2025</v>
      </c>
      <c r="T3733" s="11" t="str">
        <f>'data on outstanding creditors'!$C3733&amp;" "&amp;'data on outstanding creditors'!$D3733&amp;" "&amp;TEXT('data on outstanding creditors'!$E3733,"#,##0.00")</f>
        <v>บ.ไทย เฮลท์ อิมเมจจิ้ง CT SCAN  สิทธิ จ่ายตรง 016/788 01/68 40,480.00</v>
      </c>
      <c r="U3733" s="12"/>
    </row>
    <row r="3734" ht="13.5" customHeight="1">
      <c r="A3734" s="1" t="s">
        <v>5888</v>
      </c>
      <c r="B3734" s="2">
        <v>45747.0</v>
      </c>
      <c r="C3734" s="9" t="s">
        <v>5813</v>
      </c>
      <c r="D3734" s="1" t="s">
        <v>5889</v>
      </c>
      <c r="E3734" s="4">
        <v>123070.0</v>
      </c>
      <c r="F3734" s="4"/>
      <c r="G3734" s="4"/>
      <c r="H3734" s="4">
        <f>'data on outstanding creditors'!$E3734-'data on outstanding creditors'!$F3734-'data on outstanding creditors'!$G3734</f>
        <v>123070</v>
      </c>
      <c r="I3734" s="2"/>
      <c r="J3734" s="1" t="s">
        <v>646</v>
      </c>
      <c r="K3734" s="2">
        <v>45860.0</v>
      </c>
      <c r="L3734" s="5"/>
      <c r="M3734" s="9" t="s">
        <v>61</v>
      </c>
      <c r="N3734" s="9" t="s">
        <v>49</v>
      </c>
      <c r="O3734" s="10">
        <f>'data on outstanding creditors'!$E3734*100/107</f>
        <v>115018.6916</v>
      </c>
      <c r="P3734" s="10">
        <f>'data on outstanding creditors'!$E3734-'data on outstanding creditors'!$O3734</f>
        <v>8051.308411</v>
      </c>
      <c r="Q3734" s="7">
        <f>DAY('data on outstanding creditors'!$B3734)</f>
        <v>31</v>
      </c>
      <c r="R3734" s="7">
        <f>MONTH('data on outstanding creditors'!$B3734)</f>
        <v>3</v>
      </c>
      <c r="S3734" s="7">
        <f>YEAR('data on outstanding creditors'!$B3734)</f>
        <v>2025</v>
      </c>
      <c r="T3734" s="11" t="str">
        <f>'data on outstanding creditors'!$C3734&amp;" "&amp;'data on outstanding creditors'!$D3734&amp;" "&amp;TEXT('data on outstanding creditors'!$E3734,"#,##0.00")</f>
        <v>บ.ไทย เฮลท์ อิมเมจจิ้ง CT SCAN  สิทธิ ชำระเงิน 016/789 01/68 123,070.00</v>
      </c>
      <c r="U3734" s="12"/>
    </row>
    <row r="3735" ht="13.5" customHeight="1">
      <c r="A3735" s="1" t="s">
        <v>5890</v>
      </c>
      <c r="B3735" s="2">
        <v>45756.0</v>
      </c>
      <c r="C3735" s="9" t="s">
        <v>59</v>
      </c>
      <c r="D3735" s="1" t="s">
        <v>5891</v>
      </c>
      <c r="E3735" s="4">
        <v>41650.0</v>
      </c>
      <c r="F3735" s="4"/>
      <c r="G3735" s="4"/>
      <c r="H3735" s="4">
        <f>'data on outstanding creditors'!$E3735-'data on outstanding creditors'!$F3735-'data on outstanding creditors'!$G3735</f>
        <v>41650</v>
      </c>
      <c r="I3735" s="2"/>
      <c r="J3735" s="1" t="s">
        <v>646</v>
      </c>
      <c r="K3735" s="2">
        <v>45843.0</v>
      </c>
      <c r="L3735" s="5"/>
      <c r="M3735" s="9" t="s">
        <v>61</v>
      </c>
      <c r="N3735" s="9" t="s">
        <v>49</v>
      </c>
      <c r="O3735" s="10">
        <f>'data on outstanding creditors'!$E3735*100/107</f>
        <v>38925.23364</v>
      </c>
      <c r="P3735" s="10">
        <f>'data on outstanding creditors'!$E3735-'data on outstanding creditors'!$O3735</f>
        <v>2724.766355</v>
      </c>
      <c r="Q3735" s="7">
        <f>DAY('data on outstanding creditors'!$B3735)</f>
        <v>9</v>
      </c>
      <c r="R3735" s="7">
        <f>MONTH('data on outstanding creditors'!$B3735)</f>
        <v>4</v>
      </c>
      <c r="S3735" s="7">
        <f>YEAR('data on outstanding creditors'!$B3735)</f>
        <v>2025</v>
      </c>
      <c r="T3735" s="11" t="str">
        <f>'data on outstanding creditors'!$C3735&amp;" "&amp;'data on outstanding creditors'!$D3735&amp;" "&amp;TEXT('data on outstanding creditors'!$E3735,"#,##0.00")</f>
        <v>บ.ไทย เฮลท์ อิมเมจจิ้ง MRI  สิทธิ จ่ายตรง 001/047 01/68 41,650.00</v>
      </c>
      <c r="U3735" s="12"/>
    </row>
    <row r="3736" ht="13.5" customHeight="1">
      <c r="A3736" s="1" t="s">
        <v>5892</v>
      </c>
      <c r="B3736" s="2">
        <v>45756.0</v>
      </c>
      <c r="C3736" s="9" t="s">
        <v>68</v>
      </c>
      <c r="D3736" s="1" t="s">
        <v>5893</v>
      </c>
      <c r="E3736" s="4">
        <v>162450.0</v>
      </c>
      <c r="F3736" s="4"/>
      <c r="G3736" s="4"/>
      <c r="H3736" s="4">
        <f>'data on outstanding creditors'!$E3736-'data on outstanding creditors'!$F3736-'data on outstanding creditors'!$G3736</f>
        <v>162450</v>
      </c>
      <c r="I3736" s="2"/>
      <c r="J3736" s="1" t="s">
        <v>646</v>
      </c>
      <c r="K3736" s="2">
        <v>45843.0</v>
      </c>
      <c r="L3736" s="5"/>
      <c r="M3736" s="9" t="s">
        <v>61</v>
      </c>
      <c r="N3736" s="9" t="s">
        <v>49</v>
      </c>
      <c r="O3736" s="10">
        <f>'data on outstanding creditors'!$E3736*100/107</f>
        <v>151822.4299</v>
      </c>
      <c r="P3736" s="10">
        <f>'data on outstanding creditors'!$E3736-'data on outstanding creditors'!$O3736</f>
        <v>10627.57009</v>
      </c>
      <c r="Q3736" s="7">
        <f>DAY('data on outstanding creditors'!$B3736)</f>
        <v>9</v>
      </c>
      <c r="R3736" s="7">
        <f>MONTH('data on outstanding creditors'!$B3736)</f>
        <v>4</v>
      </c>
      <c r="S3736" s="7">
        <f>YEAR('data on outstanding creditors'!$B3736)</f>
        <v>2025</v>
      </c>
      <c r="T3736" s="11" t="str">
        <f>'data on outstanding creditors'!$C3736&amp;" "&amp;'data on outstanding creditors'!$D3736&amp;" "&amp;TEXT('data on outstanding creditors'!$E3736,"#,##0.00")</f>
        <v>บ.ไทย เฮลท์ อิมเมจจิ้ง MRI  สิทธิ สปสช 001/048 01/68 162,450.00</v>
      </c>
      <c r="U3736" s="12"/>
    </row>
    <row r="3737" ht="13.5" customHeight="1">
      <c r="A3737" s="1" t="s">
        <v>5894</v>
      </c>
      <c r="B3737" s="2">
        <v>45756.0</v>
      </c>
      <c r="C3737" s="9" t="s">
        <v>66</v>
      </c>
      <c r="D3737" s="1" t="s">
        <v>5895</v>
      </c>
      <c r="E3737" s="4">
        <v>22900.0</v>
      </c>
      <c r="F3737" s="4"/>
      <c r="G3737" s="4"/>
      <c r="H3737" s="4">
        <f>'data on outstanding creditors'!$E3737-'data on outstanding creditors'!$F3737-'data on outstanding creditors'!$G3737</f>
        <v>22900</v>
      </c>
      <c r="I3737" s="2"/>
      <c r="J3737" s="1" t="s">
        <v>646</v>
      </c>
      <c r="K3737" s="2">
        <v>45843.0</v>
      </c>
      <c r="L3737" s="5"/>
      <c r="M3737" s="9" t="s">
        <v>61</v>
      </c>
      <c r="N3737" s="9" t="s">
        <v>49</v>
      </c>
      <c r="O3737" s="10">
        <f>'data on outstanding creditors'!$E3737*100/107</f>
        <v>21401.86916</v>
      </c>
      <c r="P3737" s="10">
        <f>'data on outstanding creditors'!$E3737-'data on outstanding creditors'!$O3737</f>
        <v>1498.130841</v>
      </c>
      <c r="Q3737" s="7">
        <f>DAY('data on outstanding creditors'!$B3737)</f>
        <v>9</v>
      </c>
      <c r="R3737" s="7">
        <f>MONTH('data on outstanding creditors'!$B3737)</f>
        <v>4</v>
      </c>
      <c r="S3737" s="7">
        <f>YEAR('data on outstanding creditors'!$B3737)</f>
        <v>2025</v>
      </c>
      <c r="T3737" s="11" t="str">
        <f>'data on outstanding creditors'!$C3737&amp;" "&amp;'data on outstanding creditors'!$D3737&amp;" "&amp;TEXT('data on outstanding creditors'!$E3737,"#,##0.00")</f>
        <v>บ.ไทย เฮลท์ อิมเมจจิ้ง MRI  สิทธิ พรบ. 001/050 01/68 22,900.00</v>
      </c>
      <c r="U3737" s="12"/>
    </row>
    <row r="3738" ht="13.5" customHeight="1">
      <c r="A3738" s="1" t="s">
        <v>5896</v>
      </c>
      <c r="B3738" s="2">
        <v>45756.0</v>
      </c>
      <c r="C3738" s="9" t="s">
        <v>64</v>
      </c>
      <c r="D3738" s="1" t="s">
        <v>5897</v>
      </c>
      <c r="E3738" s="4">
        <v>13600.0</v>
      </c>
      <c r="F3738" s="4"/>
      <c r="G3738" s="4"/>
      <c r="H3738" s="4">
        <f>'data on outstanding creditors'!$E3738-'data on outstanding creditors'!$F3738-'data on outstanding creditors'!$G3738</f>
        <v>13600</v>
      </c>
      <c r="I3738" s="2"/>
      <c r="J3738" s="1" t="s">
        <v>646</v>
      </c>
      <c r="K3738" s="2">
        <v>45843.0</v>
      </c>
      <c r="L3738" s="5"/>
      <c r="M3738" s="9" t="s">
        <v>61</v>
      </c>
      <c r="N3738" s="9" t="s">
        <v>49</v>
      </c>
      <c r="O3738" s="10">
        <f>'data on outstanding creditors'!$E3738*100/107</f>
        <v>12710.28037</v>
      </c>
      <c r="P3738" s="10">
        <f>'data on outstanding creditors'!$E3738-'data on outstanding creditors'!$O3738</f>
        <v>889.7196262</v>
      </c>
      <c r="Q3738" s="7">
        <f>DAY('data on outstanding creditors'!$B3738)</f>
        <v>9</v>
      </c>
      <c r="R3738" s="7">
        <f>MONTH('data on outstanding creditors'!$B3738)</f>
        <v>4</v>
      </c>
      <c r="S3738" s="7">
        <f>YEAR('data on outstanding creditors'!$B3738)</f>
        <v>2025</v>
      </c>
      <c r="T3738" s="11" t="str">
        <f>'data on outstanding creditors'!$C3738&amp;" "&amp;'data on outstanding creditors'!$D3738&amp;" "&amp;TEXT('data on outstanding creditors'!$E3738,"#,##0.00")</f>
        <v>บ.ไทย เฮลท์ อิมเมจจิ้ง MRI  สิทธิ ชำระเงิน 002/051 01/68 13,600.00</v>
      </c>
      <c r="U3738" s="12"/>
    </row>
    <row r="3739" ht="13.5" customHeight="1">
      <c r="A3739" s="1" t="s">
        <v>5898</v>
      </c>
      <c r="B3739" s="2">
        <v>45756.0</v>
      </c>
      <c r="C3739" s="9" t="s">
        <v>59</v>
      </c>
      <c r="D3739" s="1" t="s">
        <v>5899</v>
      </c>
      <c r="E3739" s="4">
        <v>147700.0</v>
      </c>
      <c r="F3739" s="4"/>
      <c r="G3739" s="4"/>
      <c r="H3739" s="4">
        <f>'data on outstanding creditors'!$E3739-'data on outstanding creditors'!$F3739-'data on outstanding creditors'!$G3739</f>
        <v>147700</v>
      </c>
      <c r="I3739" s="2"/>
      <c r="J3739" s="1" t="s">
        <v>646</v>
      </c>
      <c r="K3739" s="2">
        <v>45843.0</v>
      </c>
      <c r="L3739" s="5"/>
      <c r="M3739" s="9" t="s">
        <v>61</v>
      </c>
      <c r="N3739" s="9" t="s">
        <v>49</v>
      </c>
      <c r="O3739" s="10">
        <f>'data on outstanding creditors'!$E3739*100/107</f>
        <v>138037.3832</v>
      </c>
      <c r="P3739" s="10">
        <f>'data on outstanding creditors'!$E3739-'data on outstanding creditors'!$O3739</f>
        <v>9662.616822</v>
      </c>
      <c r="Q3739" s="7">
        <f>DAY('data on outstanding creditors'!$B3739)</f>
        <v>9</v>
      </c>
      <c r="R3739" s="7">
        <f>MONTH('data on outstanding creditors'!$B3739)</f>
        <v>4</v>
      </c>
      <c r="S3739" s="7">
        <f>YEAR('data on outstanding creditors'!$B3739)</f>
        <v>2025</v>
      </c>
      <c r="T3739" s="11" t="str">
        <f>'data on outstanding creditors'!$C3739&amp;" "&amp;'data on outstanding creditors'!$D3739&amp;" "&amp;TEXT('data on outstanding creditors'!$E3739,"#,##0.00")</f>
        <v>บ.ไทย เฮลท์ อิมเมจจิ้ง MRI  สิทธิ จ่ายตรง 002/052 01/68 147,700.00</v>
      </c>
      <c r="U3739" s="12"/>
    </row>
    <row r="3740" ht="13.5" customHeight="1">
      <c r="A3740" s="1" t="s">
        <v>5900</v>
      </c>
      <c r="B3740" s="2">
        <v>45756.0</v>
      </c>
      <c r="C3740" s="9" t="s">
        <v>59</v>
      </c>
      <c r="D3740" s="1" t="s">
        <v>5901</v>
      </c>
      <c r="E3740" s="4">
        <v>81550.0</v>
      </c>
      <c r="F3740" s="4"/>
      <c r="G3740" s="4"/>
      <c r="H3740" s="4">
        <f>'data on outstanding creditors'!$E3740-'data on outstanding creditors'!$F3740-'data on outstanding creditors'!$G3740</f>
        <v>81550</v>
      </c>
      <c r="I3740" s="2"/>
      <c r="J3740" s="1" t="s">
        <v>646</v>
      </c>
      <c r="K3740" s="2">
        <v>45843.0</v>
      </c>
      <c r="L3740" s="5"/>
      <c r="M3740" s="9" t="s">
        <v>61</v>
      </c>
      <c r="N3740" s="9" t="s">
        <v>49</v>
      </c>
      <c r="O3740" s="10">
        <f>'data on outstanding creditors'!$E3740*100/107</f>
        <v>76214.95327</v>
      </c>
      <c r="P3740" s="10">
        <f>'data on outstanding creditors'!$E3740-'data on outstanding creditors'!$O3740</f>
        <v>5335.046729</v>
      </c>
      <c r="Q3740" s="7">
        <f>DAY('data on outstanding creditors'!$B3740)</f>
        <v>9</v>
      </c>
      <c r="R3740" s="7">
        <f>MONTH('data on outstanding creditors'!$B3740)</f>
        <v>4</v>
      </c>
      <c r="S3740" s="7">
        <f>YEAR('data on outstanding creditors'!$B3740)</f>
        <v>2025</v>
      </c>
      <c r="T3740" s="11" t="str">
        <f>'data on outstanding creditors'!$C3740&amp;" "&amp;'data on outstanding creditors'!$D3740&amp;" "&amp;TEXT('data on outstanding creditors'!$E3740,"#,##0.00")</f>
        <v>บ.ไทย เฮลท์ อิมเมจจิ้ง MRI  สิทธิ จ่ายตรง 002/053 01/68 81,550.00</v>
      </c>
      <c r="U3740" s="12"/>
    </row>
    <row r="3741" ht="13.5" customHeight="1">
      <c r="A3741" s="1" t="s">
        <v>5902</v>
      </c>
      <c r="B3741" s="2">
        <v>45756.0</v>
      </c>
      <c r="C3741" s="9" t="s">
        <v>68</v>
      </c>
      <c r="D3741" s="1" t="s">
        <v>5903</v>
      </c>
      <c r="E3741" s="4">
        <v>166550.0</v>
      </c>
      <c r="F3741" s="4"/>
      <c r="G3741" s="4"/>
      <c r="H3741" s="4">
        <f>'data on outstanding creditors'!$E3741-'data on outstanding creditors'!$F3741-'data on outstanding creditors'!$G3741</f>
        <v>166550</v>
      </c>
      <c r="I3741" s="2"/>
      <c r="J3741" s="1" t="s">
        <v>646</v>
      </c>
      <c r="K3741" s="2">
        <v>45843.0</v>
      </c>
      <c r="L3741" s="5"/>
      <c r="M3741" s="9" t="s">
        <v>61</v>
      </c>
      <c r="N3741" s="9" t="s">
        <v>49</v>
      </c>
      <c r="O3741" s="10">
        <f>'data on outstanding creditors'!$E3741*100/107</f>
        <v>155654.2056</v>
      </c>
      <c r="P3741" s="10">
        <f>'data on outstanding creditors'!$E3741-'data on outstanding creditors'!$O3741</f>
        <v>10895.79439</v>
      </c>
      <c r="Q3741" s="7">
        <f>DAY('data on outstanding creditors'!$B3741)</f>
        <v>9</v>
      </c>
      <c r="R3741" s="7">
        <f>MONTH('data on outstanding creditors'!$B3741)</f>
        <v>4</v>
      </c>
      <c r="S3741" s="7">
        <f>YEAR('data on outstanding creditors'!$B3741)</f>
        <v>2025</v>
      </c>
      <c r="T3741" s="11" t="str">
        <f>'data on outstanding creditors'!$C3741&amp;" "&amp;'data on outstanding creditors'!$D3741&amp;" "&amp;TEXT('data on outstanding creditors'!$E3741,"#,##0.00")</f>
        <v>บ.ไทย เฮลท์ อิมเมจจิ้ง MRI  สิทธิ สปสช 002/054 01/68 166,550.00</v>
      </c>
      <c r="U3741" s="12"/>
    </row>
    <row r="3742" ht="13.5" customHeight="1">
      <c r="A3742" s="1" t="s">
        <v>5904</v>
      </c>
      <c r="B3742" s="2">
        <v>45756.0</v>
      </c>
      <c r="C3742" s="9" t="s">
        <v>68</v>
      </c>
      <c r="D3742" s="1" t="s">
        <v>5905</v>
      </c>
      <c r="E3742" s="4">
        <v>123100.0</v>
      </c>
      <c r="F3742" s="4"/>
      <c r="G3742" s="4"/>
      <c r="H3742" s="4">
        <f>'data on outstanding creditors'!$E3742-'data on outstanding creditors'!$F3742-'data on outstanding creditors'!$G3742</f>
        <v>123100</v>
      </c>
      <c r="I3742" s="2"/>
      <c r="J3742" s="1" t="s">
        <v>646</v>
      </c>
      <c r="K3742" s="2">
        <v>45843.0</v>
      </c>
      <c r="L3742" s="5"/>
      <c r="M3742" s="9" t="s">
        <v>61</v>
      </c>
      <c r="N3742" s="9" t="s">
        <v>49</v>
      </c>
      <c r="O3742" s="10">
        <f>'data on outstanding creditors'!$E3742*100/107</f>
        <v>115046.729</v>
      </c>
      <c r="P3742" s="10">
        <f>'data on outstanding creditors'!$E3742-'data on outstanding creditors'!$O3742</f>
        <v>8053.271028</v>
      </c>
      <c r="Q3742" s="7">
        <f>DAY('data on outstanding creditors'!$B3742)</f>
        <v>9</v>
      </c>
      <c r="R3742" s="7">
        <f>MONTH('data on outstanding creditors'!$B3742)</f>
        <v>4</v>
      </c>
      <c r="S3742" s="7">
        <f>YEAR('data on outstanding creditors'!$B3742)</f>
        <v>2025</v>
      </c>
      <c r="T3742" s="11" t="str">
        <f>'data on outstanding creditors'!$C3742&amp;" "&amp;'data on outstanding creditors'!$D3742&amp;" "&amp;TEXT('data on outstanding creditors'!$E3742,"#,##0.00")</f>
        <v>บ.ไทย เฮลท์ อิมเมจจิ้ง MRI  สิทธิ สปสช 002/055 01/68 123,100.00</v>
      </c>
      <c r="U3742" s="12"/>
    </row>
    <row r="3743" ht="13.5" customHeight="1">
      <c r="A3743" s="1" t="s">
        <v>5906</v>
      </c>
      <c r="B3743" s="2">
        <v>45776.0</v>
      </c>
      <c r="C3743" s="9" t="s">
        <v>5818</v>
      </c>
      <c r="D3743" s="1" t="s">
        <v>5907</v>
      </c>
      <c r="E3743" s="4">
        <v>148880.0</v>
      </c>
      <c r="F3743" s="4"/>
      <c r="G3743" s="4"/>
      <c r="H3743" s="4">
        <f>'data on outstanding creditors'!$E3743-'data on outstanding creditors'!$F3743-'data on outstanding creditors'!$G3743</f>
        <v>148880</v>
      </c>
      <c r="I3743" s="2"/>
      <c r="J3743" s="1" t="s">
        <v>646</v>
      </c>
      <c r="K3743" s="2">
        <v>45906.0</v>
      </c>
      <c r="L3743" s="5"/>
      <c r="M3743" s="9" t="s">
        <v>61</v>
      </c>
      <c r="N3743" s="9" t="s">
        <v>49</v>
      </c>
      <c r="O3743" s="10">
        <f>'data on outstanding creditors'!$E3743*100/107</f>
        <v>139140.1869</v>
      </c>
      <c r="P3743" s="10">
        <f>'data on outstanding creditors'!$E3743-'data on outstanding creditors'!$O3743</f>
        <v>9739.813084</v>
      </c>
      <c r="Q3743" s="7">
        <f>DAY('data on outstanding creditors'!$B3743)</f>
        <v>29</v>
      </c>
      <c r="R3743" s="7">
        <f>MONTH('data on outstanding creditors'!$B3743)</f>
        <v>4</v>
      </c>
      <c r="S3743" s="7">
        <f>YEAR('data on outstanding creditors'!$B3743)</f>
        <v>2025</v>
      </c>
      <c r="T3743" s="11" t="str">
        <f>'data on outstanding creditors'!$C3743&amp;" "&amp;'data on outstanding creditors'!$D3743&amp;" "&amp;TEXT('data on outstanding creditors'!$E3743,"#,##0.00")</f>
        <v>บ.ไทย เฮลท์ อิมเมจจิ้ง CT SCAN  สิทธิ สปสช 016/795 02/68 148,880.00</v>
      </c>
      <c r="U3743" s="12"/>
    </row>
    <row r="3744" ht="13.5" customHeight="1">
      <c r="A3744" s="1" t="s">
        <v>5908</v>
      </c>
      <c r="B3744" s="2">
        <v>45776.0</v>
      </c>
      <c r="C3744" s="9" t="s">
        <v>5818</v>
      </c>
      <c r="D3744" s="1" t="s">
        <v>5909</v>
      </c>
      <c r="E3744" s="4">
        <v>148130.0</v>
      </c>
      <c r="F3744" s="4"/>
      <c r="G3744" s="4"/>
      <c r="H3744" s="4">
        <f>'data on outstanding creditors'!$E3744-'data on outstanding creditors'!$F3744-'data on outstanding creditors'!$G3744</f>
        <v>148130</v>
      </c>
      <c r="I3744" s="2"/>
      <c r="J3744" s="1" t="s">
        <v>646</v>
      </c>
      <c r="K3744" s="2">
        <v>45906.0</v>
      </c>
      <c r="L3744" s="5"/>
      <c r="M3744" s="9" t="s">
        <v>61</v>
      </c>
      <c r="N3744" s="9" t="s">
        <v>49</v>
      </c>
      <c r="O3744" s="10">
        <f>'data on outstanding creditors'!$E3744*100/107</f>
        <v>138439.2523</v>
      </c>
      <c r="P3744" s="10">
        <f>'data on outstanding creditors'!$E3744-'data on outstanding creditors'!$O3744</f>
        <v>9690.747664</v>
      </c>
      <c r="Q3744" s="7">
        <f>DAY('data on outstanding creditors'!$B3744)</f>
        <v>29</v>
      </c>
      <c r="R3744" s="7">
        <f>MONTH('data on outstanding creditors'!$B3744)</f>
        <v>4</v>
      </c>
      <c r="S3744" s="7">
        <f>YEAR('data on outstanding creditors'!$B3744)</f>
        <v>2025</v>
      </c>
      <c r="T3744" s="11" t="str">
        <f>'data on outstanding creditors'!$C3744&amp;" "&amp;'data on outstanding creditors'!$D3744&amp;" "&amp;TEXT('data on outstanding creditors'!$E3744,"#,##0.00")</f>
        <v>บ.ไทย เฮลท์ อิมเมจจิ้ง CT SCAN  สิทธิ สปสช 016/796 02/68 148,130.00</v>
      </c>
      <c r="U3744" s="12"/>
    </row>
    <row r="3745" ht="13.5" customHeight="1">
      <c r="A3745" s="1" t="s">
        <v>5910</v>
      </c>
      <c r="B3745" s="2">
        <v>45776.0</v>
      </c>
      <c r="C3745" s="9" t="s">
        <v>5818</v>
      </c>
      <c r="D3745" s="1" t="s">
        <v>5911</v>
      </c>
      <c r="E3745" s="4">
        <v>178930.0</v>
      </c>
      <c r="F3745" s="4"/>
      <c r="G3745" s="4"/>
      <c r="H3745" s="4">
        <f>'data on outstanding creditors'!$E3745-'data on outstanding creditors'!$F3745-'data on outstanding creditors'!$G3745</f>
        <v>178930</v>
      </c>
      <c r="I3745" s="2"/>
      <c r="J3745" s="1" t="s">
        <v>646</v>
      </c>
      <c r="K3745" s="2">
        <v>45906.0</v>
      </c>
      <c r="L3745" s="5"/>
      <c r="M3745" s="9" t="s">
        <v>61</v>
      </c>
      <c r="N3745" s="9" t="s">
        <v>49</v>
      </c>
      <c r="O3745" s="10">
        <f>'data on outstanding creditors'!$E3745*100/107</f>
        <v>167224.2991</v>
      </c>
      <c r="P3745" s="10">
        <f>'data on outstanding creditors'!$E3745-'data on outstanding creditors'!$O3745</f>
        <v>11705.70093</v>
      </c>
      <c r="Q3745" s="7">
        <f>DAY('data on outstanding creditors'!$B3745)</f>
        <v>29</v>
      </c>
      <c r="R3745" s="7">
        <f>MONTH('data on outstanding creditors'!$B3745)</f>
        <v>4</v>
      </c>
      <c r="S3745" s="7">
        <f>YEAR('data on outstanding creditors'!$B3745)</f>
        <v>2025</v>
      </c>
      <c r="T3745" s="11" t="str">
        <f>'data on outstanding creditors'!$C3745&amp;" "&amp;'data on outstanding creditors'!$D3745&amp;" "&amp;TEXT('data on outstanding creditors'!$E3745,"#,##0.00")</f>
        <v>บ.ไทย เฮลท์ อิมเมจจิ้ง CT SCAN  สิทธิ สปสช 016/797 02/68 178,930.00</v>
      </c>
      <c r="U3745" s="12"/>
    </row>
    <row r="3746" ht="13.5" customHeight="1">
      <c r="A3746" s="1" t="s">
        <v>5912</v>
      </c>
      <c r="B3746" s="2">
        <v>45776.0</v>
      </c>
      <c r="C3746" s="9" t="s">
        <v>5818</v>
      </c>
      <c r="D3746" s="1" t="s">
        <v>5913</v>
      </c>
      <c r="E3746" s="4">
        <v>146480.0</v>
      </c>
      <c r="F3746" s="4"/>
      <c r="G3746" s="4"/>
      <c r="H3746" s="4">
        <f>'data on outstanding creditors'!$E3746-'data on outstanding creditors'!$F3746-'data on outstanding creditors'!$G3746</f>
        <v>146480</v>
      </c>
      <c r="I3746" s="2"/>
      <c r="J3746" s="1" t="s">
        <v>646</v>
      </c>
      <c r="K3746" s="2">
        <v>45906.0</v>
      </c>
      <c r="L3746" s="5"/>
      <c r="M3746" s="9" t="s">
        <v>61</v>
      </c>
      <c r="N3746" s="9" t="s">
        <v>49</v>
      </c>
      <c r="O3746" s="10">
        <f>'data on outstanding creditors'!$E3746*100/107</f>
        <v>136897.1963</v>
      </c>
      <c r="P3746" s="10">
        <f>'data on outstanding creditors'!$E3746-'data on outstanding creditors'!$O3746</f>
        <v>9582.803738</v>
      </c>
      <c r="Q3746" s="7">
        <f>DAY('data on outstanding creditors'!$B3746)</f>
        <v>29</v>
      </c>
      <c r="R3746" s="7">
        <f>MONTH('data on outstanding creditors'!$B3746)</f>
        <v>4</v>
      </c>
      <c r="S3746" s="7">
        <f>YEAR('data on outstanding creditors'!$B3746)</f>
        <v>2025</v>
      </c>
      <c r="T3746" s="11" t="str">
        <f>'data on outstanding creditors'!$C3746&amp;" "&amp;'data on outstanding creditors'!$D3746&amp;" "&amp;TEXT('data on outstanding creditors'!$E3746,"#,##0.00")</f>
        <v>บ.ไทย เฮลท์ อิมเมจจิ้ง CT SCAN  สิทธิ สปสช 016/798 02/68 146,480.00</v>
      </c>
      <c r="U3746" s="12"/>
    </row>
    <row r="3747" ht="13.5" customHeight="1">
      <c r="A3747" s="1" t="s">
        <v>5914</v>
      </c>
      <c r="B3747" s="2">
        <v>45776.0</v>
      </c>
      <c r="C3747" s="9" t="s">
        <v>5818</v>
      </c>
      <c r="D3747" s="1" t="s">
        <v>5915</v>
      </c>
      <c r="E3747" s="4">
        <v>164390.0</v>
      </c>
      <c r="F3747" s="4"/>
      <c r="G3747" s="4"/>
      <c r="H3747" s="4">
        <f>'data on outstanding creditors'!$E3747-'data on outstanding creditors'!$F3747-'data on outstanding creditors'!$G3747</f>
        <v>164390</v>
      </c>
      <c r="I3747" s="2"/>
      <c r="J3747" s="1" t="s">
        <v>646</v>
      </c>
      <c r="K3747" s="2">
        <v>45906.0</v>
      </c>
      <c r="L3747" s="5"/>
      <c r="M3747" s="9" t="s">
        <v>61</v>
      </c>
      <c r="N3747" s="9" t="s">
        <v>49</v>
      </c>
      <c r="O3747" s="10">
        <f>'data on outstanding creditors'!$E3747*100/107</f>
        <v>153635.514</v>
      </c>
      <c r="P3747" s="10">
        <f>'data on outstanding creditors'!$E3747-'data on outstanding creditors'!$O3747</f>
        <v>10754.48598</v>
      </c>
      <c r="Q3747" s="7">
        <f>DAY('data on outstanding creditors'!$B3747)</f>
        <v>29</v>
      </c>
      <c r="R3747" s="7">
        <f>MONTH('data on outstanding creditors'!$B3747)</f>
        <v>4</v>
      </c>
      <c r="S3747" s="7">
        <f>YEAR('data on outstanding creditors'!$B3747)</f>
        <v>2025</v>
      </c>
      <c r="T3747" s="11" t="str">
        <f>'data on outstanding creditors'!$C3747&amp;" "&amp;'data on outstanding creditors'!$D3747&amp;" "&amp;TEXT('data on outstanding creditors'!$E3747,"#,##0.00")</f>
        <v>บ.ไทย เฮลท์ อิมเมจจิ้ง CT SCAN  สิทธิ สปสช 016/799 02/68 164,390.00</v>
      </c>
      <c r="U3747" s="12"/>
    </row>
    <row r="3748" ht="13.5" customHeight="1">
      <c r="A3748" s="1" t="s">
        <v>5916</v>
      </c>
      <c r="B3748" s="2">
        <v>45776.0</v>
      </c>
      <c r="C3748" s="9" t="s">
        <v>5818</v>
      </c>
      <c r="D3748" s="1" t="s">
        <v>5917</v>
      </c>
      <c r="E3748" s="4">
        <v>169690.0</v>
      </c>
      <c r="F3748" s="4"/>
      <c r="G3748" s="4"/>
      <c r="H3748" s="4">
        <f>'data on outstanding creditors'!$E3748-'data on outstanding creditors'!$F3748-'data on outstanding creditors'!$G3748</f>
        <v>169690</v>
      </c>
      <c r="I3748" s="2"/>
      <c r="J3748" s="1" t="s">
        <v>646</v>
      </c>
      <c r="K3748" s="2">
        <v>45906.0</v>
      </c>
      <c r="L3748" s="5"/>
      <c r="M3748" s="9" t="s">
        <v>61</v>
      </c>
      <c r="N3748" s="9" t="s">
        <v>49</v>
      </c>
      <c r="O3748" s="10">
        <f>'data on outstanding creditors'!$E3748*100/107</f>
        <v>158588.785</v>
      </c>
      <c r="P3748" s="10">
        <f>'data on outstanding creditors'!$E3748-'data on outstanding creditors'!$O3748</f>
        <v>11101.21495</v>
      </c>
      <c r="Q3748" s="7">
        <f>DAY('data on outstanding creditors'!$B3748)</f>
        <v>29</v>
      </c>
      <c r="R3748" s="7">
        <f>MONTH('data on outstanding creditors'!$B3748)</f>
        <v>4</v>
      </c>
      <c r="S3748" s="7">
        <f>YEAR('data on outstanding creditors'!$B3748)</f>
        <v>2025</v>
      </c>
      <c r="T3748" s="11" t="str">
        <f>'data on outstanding creditors'!$C3748&amp;" "&amp;'data on outstanding creditors'!$D3748&amp;" "&amp;TEXT('data on outstanding creditors'!$E3748,"#,##0.00")</f>
        <v>บ.ไทย เฮลท์ อิมเมจจิ้ง CT SCAN  สิทธิ สปสช 016/800 02/68 169,690.00</v>
      </c>
      <c r="U3748" s="12"/>
    </row>
    <row r="3749" ht="13.5" customHeight="1">
      <c r="A3749" s="1" t="s">
        <v>5918</v>
      </c>
      <c r="B3749" s="2">
        <v>45776.0</v>
      </c>
      <c r="C3749" s="9" t="s">
        <v>5818</v>
      </c>
      <c r="D3749" s="1" t="s">
        <v>5919</v>
      </c>
      <c r="E3749" s="4">
        <v>144460.0</v>
      </c>
      <c r="F3749" s="4"/>
      <c r="G3749" s="4"/>
      <c r="H3749" s="4">
        <f>'data on outstanding creditors'!$E3749-'data on outstanding creditors'!$F3749-'data on outstanding creditors'!$G3749</f>
        <v>144460</v>
      </c>
      <c r="I3749" s="2"/>
      <c r="J3749" s="1" t="s">
        <v>646</v>
      </c>
      <c r="K3749" s="2">
        <v>45906.0</v>
      </c>
      <c r="L3749" s="5"/>
      <c r="M3749" s="9" t="s">
        <v>61</v>
      </c>
      <c r="N3749" s="9" t="s">
        <v>49</v>
      </c>
      <c r="O3749" s="10">
        <f>'data on outstanding creditors'!$E3749*100/107</f>
        <v>135009.3458</v>
      </c>
      <c r="P3749" s="10">
        <f>'data on outstanding creditors'!$E3749-'data on outstanding creditors'!$O3749</f>
        <v>9450.654206</v>
      </c>
      <c r="Q3749" s="7">
        <f>DAY('data on outstanding creditors'!$B3749)</f>
        <v>29</v>
      </c>
      <c r="R3749" s="7">
        <f>MONTH('data on outstanding creditors'!$B3749)</f>
        <v>4</v>
      </c>
      <c r="S3749" s="7">
        <f>YEAR('data on outstanding creditors'!$B3749)</f>
        <v>2025</v>
      </c>
      <c r="T3749" s="11" t="str">
        <f>'data on outstanding creditors'!$C3749&amp;" "&amp;'data on outstanding creditors'!$D3749&amp;" "&amp;TEXT('data on outstanding creditors'!$E3749,"#,##0.00")</f>
        <v>บ.ไทย เฮลท์ อิมเมจจิ้ง CT SCAN  สิทธิ สปสช 017/801 02/68 144,460.00</v>
      </c>
      <c r="U3749" s="12"/>
    </row>
    <row r="3750" ht="13.5" customHeight="1">
      <c r="A3750" s="1" t="s">
        <v>5920</v>
      </c>
      <c r="B3750" s="2">
        <v>45776.0</v>
      </c>
      <c r="C3750" s="9" t="s">
        <v>5818</v>
      </c>
      <c r="D3750" s="1" t="s">
        <v>5921</v>
      </c>
      <c r="E3750" s="4">
        <v>149110.0</v>
      </c>
      <c r="F3750" s="4"/>
      <c r="G3750" s="4"/>
      <c r="H3750" s="4">
        <f>'data on outstanding creditors'!$E3750-'data on outstanding creditors'!$F3750-'data on outstanding creditors'!$G3750</f>
        <v>149110</v>
      </c>
      <c r="I3750" s="2"/>
      <c r="J3750" s="1" t="s">
        <v>646</v>
      </c>
      <c r="K3750" s="2">
        <v>45906.0</v>
      </c>
      <c r="L3750" s="5"/>
      <c r="M3750" s="9" t="s">
        <v>61</v>
      </c>
      <c r="N3750" s="9" t="s">
        <v>49</v>
      </c>
      <c r="O3750" s="10">
        <f>'data on outstanding creditors'!$E3750*100/107</f>
        <v>139355.1402</v>
      </c>
      <c r="P3750" s="10">
        <f>'data on outstanding creditors'!$E3750-'data on outstanding creditors'!$O3750</f>
        <v>9754.859813</v>
      </c>
      <c r="Q3750" s="7">
        <f>DAY('data on outstanding creditors'!$B3750)</f>
        <v>29</v>
      </c>
      <c r="R3750" s="7">
        <f>MONTH('data on outstanding creditors'!$B3750)</f>
        <v>4</v>
      </c>
      <c r="S3750" s="7">
        <f>YEAR('data on outstanding creditors'!$B3750)</f>
        <v>2025</v>
      </c>
      <c r="T3750" s="11" t="str">
        <f>'data on outstanding creditors'!$C3750&amp;" "&amp;'data on outstanding creditors'!$D3750&amp;" "&amp;TEXT('data on outstanding creditors'!$E3750,"#,##0.00")</f>
        <v>บ.ไทย เฮลท์ อิมเมจจิ้ง CT SCAN  สิทธิ สปสช 017/802 02/68 149,110.00</v>
      </c>
      <c r="U3750" s="12"/>
    </row>
    <row r="3751" ht="13.5" customHeight="1">
      <c r="A3751" s="1" t="s">
        <v>5922</v>
      </c>
      <c r="B3751" s="2">
        <v>45776.0</v>
      </c>
      <c r="C3751" s="9" t="s">
        <v>5818</v>
      </c>
      <c r="D3751" s="1" t="s">
        <v>5923</v>
      </c>
      <c r="E3751" s="4">
        <v>159420.0</v>
      </c>
      <c r="F3751" s="4"/>
      <c r="G3751" s="4"/>
      <c r="H3751" s="4">
        <f>'data on outstanding creditors'!$E3751-'data on outstanding creditors'!$F3751-'data on outstanding creditors'!$G3751</f>
        <v>159420</v>
      </c>
      <c r="I3751" s="2"/>
      <c r="J3751" s="1" t="s">
        <v>646</v>
      </c>
      <c r="K3751" s="2">
        <v>45906.0</v>
      </c>
      <c r="L3751" s="5"/>
      <c r="M3751" s="9" t="s">
        <v>61</v>
      </c>
      <c r="N3751" s="9" t="s">
        <v>49</v>
      </c>
      <c r="O3751" s="10">
        <f>'data on outstanding creditors'!$E3751*100/107</f>
        <v>148990.6542</v>
      </c>
      <c r="P3751" s="10">
        <f>'data on outstanding creditors'!$E3751-'data on outstanding creditors'!$O3751</f>
        <v>10429.34579</v>
      </c>
      <c r="Q3751" s="7">
        <f>DAY('data on outstanding creditors'!$B3751)</f>
        <v>29</v>
      </c>
      <c r="R3751" s="7">
        <f>MONTH('data on outstanding creditors'!$B3751)</f>
        <v>4</v>
      </c>
      <c r="S3751" s="7">
        <f>YEAR('data on outstanding creditors'!$B3751)</f>
        <v>2025</v>
      </c>
      <c r="T3751" s="11" t="str">
        <f>'data on outstanding creditors'!$C3751&amp;" "&amp;'data on outstanding creditors'!$D3751&amp;" "&amp;TEXT('data on outstanding creditors'!$E3751,"#,##0.00")</f>
        <v>บ.ไทย เฮลท์ อิมเมจจิ้ง CT SCAN  สิทธิ สปสช 017/803 02/68 159,420.00</v>
      </c>
      <c r="U3751" s="12"/>
    </row>
    <row r="3752" ht="13.5" customHeight="1">
      <c r="A3752" s="1" t="s">
        <v>5924</v>
      </c>
      <c r="B3752" s="2">
        <v>45776.0</v>
      </c>
      <c r="C3752" s="9" t="s">
        <v>5818</v>
      </c>
      <c r="D3752" s="1" t="s">
        <v>5925</v>
      </c>
      <c r="E3752" s="4">
        <v>161440.0</v>
      </c>
      <c r="F3752" s="4"/>
      <c r="G3752" s="4"/>
      <c r="H3752" s="4">
        <f>'data on outstanding creditors'!$E3752-'data on outstanding creditors'!$F3752-'data on outstanding creditors'!$G3752</f>
        <v>161440</v>
      </c>
      <c r="I3752" s="2"/>
      <c r="J3752" s="1" t="s">
        <v>646</v>
      </c>
      <c r="K3752" s="2">
        <v>45906.0</v>
      </c>
      <c r="L3752" s="5"/>
      <c r="M3752" s="9" t="s">
        <v>61</v>
      </c>
      <c r="N3752" s="9" t="s">
        <v>49</v>
      </c>
      <c r="O3752" s="10">
        <f>'data on outstanding creditors'!$E3752*100/107</f>
        <v>150878.5047</v>
      </c>
      <c r="P3752" s="10">
        <f>'data on outstanding creditors'!$E3752-'data on outstanding creditors'!$O3752</f>
        <v>10561.49533</v>
      </c>
      <c r="Q3752" s="7">
        <f>DAY('data on outstanding creditors'!$B3752)</f>
        <v>29</v>
      </c>
      <c r="R3752" s="7">
        <f>MONTH('data on outstanding creditors'!$B3752)</f>
        <v>4</v>
      </c>
      <c r="S3752" s="7">
        <f>YEAR('data on outstanding creditors'!$B3752)</f>
        <v>2025</v>
      </c>
      <c r="T3752" s="11" t="str">
        <f>'data on outstanding creditors'!$C3752&amp;" "&amp;'data on outstanding creditors'!$D3752&amp;" "&amp;TEXT('data on outstanding creditors'!$E3752,"#,##0.00")</f>
        <v>บ.ไทย เฮลท์ อิมเมจจิ้ง CT SCAN  สิทธิ สปสช 017/804 02/68 161,440.00</v>
      </c>
      <c r="U3752" s="12"/>
    </row>
    <row r="3753" ht="13.5" customHeight="1">
      <c r="A3753" s="1" t="s">
        <v>5926</v>
      </c>
      <c r="B3753" s="2">
        <v>45776.0</v>
      </c>
      <c r="C3753" s="9" t="s">
        <v>5810</v>
      </c>
      <c r="D3753" s="1" t="s">
        <v>5927</v>
      </c>
      <c r="E3753" s="4">
        <v>112580.0</v>
      </c>
      <c r="F3753" s="4"/>
      <c r="G3753" s="4"/>
      <c r="H3753" s="4">
        <f>'data on outstanding creditors'!$E3753-'data on outstanding creditors'!$F3753-'data on outstanding creditors'!$G3753</f>
        <v>112580</v>
      </c>
      <c r="I3753" s="2"/>
      <c r="J3753" s="1" t="s">
        <v>646</v>
      </c>
      <c r="K3753" s="2">
        <v>45906.0</v>
      </c>
      <c r="L3753" s="5"/>
      <c r="M3753" s="9" t="s">
        <v>61</v>
      </c>
      <c r="N3753" s="9" t="s">
        <v>49</v>
      </c>
      <c r="O3753" s="10">
        <f>'data on outstanding creditors'!$E3753*100/107</f>
        <v>105214.9533</v>
      </c>
      <c r="P3753" s="10">
        <f>'data on outstanding creditors'!$E3753-'data on outstanding creditors'!$O3753</f>
        <v>7365.046729</v>
      </c>
      <c r="Q3753" s="7">
        <f>DAY('data on outstanding creditors'!$B3753)</f>
        <v>29</v>
      </c>
      <c r="R3753" s="7">
        <f>MONTH('data on outstanding creditors'!$B3753)</f>
        <v>4</v>
      </c>
      <c r="S3753" s="7">
        <f>YEAR('data on outstanding creditors'!$B3753)</f>
        <v>2025</v>
      </c>
      <c r="T3753" s="11" t="str">
        <f>'data on outstanding creditors'!$C3753&amp;" "&amp;'data on outstanding creditors'!$D3753&amp;" "&amp;TEXT('data on outstanding creditors'!$E3753,"#,##0.00")</f>
        <v>บ.ไทย เฮลท์ อิมเมจจิ้ง CT SCAN  สิทธิ จ่ายตรง 017/805 02/68 112,580.00</v>
      </c>
      <c r="U3753" s="12"/>
    </row>
    <row r="3754" ht="13.5" customHeight="1">
      <c r="A3754" s="1" t="s">
        <v>5928</v>
      </c>
      <c r="B3754" s="2">
        <v>45776.0</v>
      </c>
      <c r="C3754" s="9" t="s">
        <v>5810</v>
      </c>
      <c r="D3754" s="1" t="s">
        <v>5929</v>
      </c>
      <c r="E3754" s="4">
        <v>165980.0</v>
      </c>
      <c r="F3754" s="4"/>
      <c r="G3754" s="4"/>
      <c r="H3754" s="4">
        <f>'data on outstanding creditors'!$E3754-'data on outstanding creditors'!$F3754-'data on outstanding creditors'!$G3754</f>
        <v>165980</v>
      </c>
      <c r="I3754" s="2"/>
      <c r="J3754" s="1" t="s">
        <v>646</v>
      </c>
      <c r="K3754" s="2">
        <v>45906.0</v>
      </c>
      <c r="L3754" s="5"/>
      <c r="M3754" s="9" t="s">
        <v>61</v>
      </c>
      <c r="N3754" s="9" t="s">
        <v>49</v>
      </c>
      <c r="O3754" s="10">
        <f>'data on outstanding creditors'!$E3754*100/107</f>
        <v>155121.4953</v>
      </c>
      <c r="P3754" s="10">
        <f>'data on outstanding creditors'!$E3754-'data on outstanding creditors'!$O3754</f>
        <v>10858.50467</v>
      </c>
      <c r="Q3754" s="7">
        <f>DAY('data on outstanding creditors'!$B3754)</f>
        <v>29</v>
      </c>
      <c r="R3754" s="7">
        <f>MONTH('data on outstanding creditors'!$B3754)</f>
        <v>4</v>
      </c>
      <c r="S3754" s="7">
        <f>YEAR('data on outstanding creditors'!$B3754)</f>
        <v>2025</v>
      </c>
      <c r="T3754" s="11" t="str">
        <f>'data on outstanding creditors'!$C3754&amp;" "&amp;'data on outstanding creditors'!$D3754&amp;" "&amp;TEXT('data on outstanding creditors'!$E3754,"#,##0.00")</f>
        <v>บ.ไทย เฮลท์ อิมเมจจิ้ง CT SCAN  สิทธิ จ่ายตรง 017/806 02/68 165,980.00</v>
      </c>
      <c r="U3754" s="12"/>
    </row>
    <row r="3755" ht="13.5" customHeight="1">
      <c r="A3755" s="1" t="s">
        <v>5930</v>
      </c>
      <c r="B3755" s="2">
        <v>45776.0</v>
      </c>
      <c r="C3755" s="9" t="s">
        <v>5813</v>
      </c>
      <c r="D3755" s="1" t="s">
        <v>5931</v>
      </c>
      <c r="E3755" s="4">
        <v>59690.0</v>
      </c>
      <c r="F3755" s="4"/>
      <c r="G3755" s="4"/>
      <c r="H3755" s="4">
        <f>'data on outstanding creditors'!$E3755-'data on outstanding creditors'!$F3755-'data on outstanding creditors'!$G3755</f>
        <v>59690</v>
      </c>
      <c r="I3755" s="2"/>
      <c r="J3755" s="1" t="s">
        <v>646</v>
      </c>
      <c r="K3755" s="2">
        <v>45906.0</v>
      </c>
      <c r="L3755" s="5"/>
      <c r="M3755" s="9" t="s">
        <v>61</v>
      </c>
      <c r="N3755" s="9" t="s">
        <v>49</v>
      </c>
      <c r="O3755" s="10">
        <f>'data on outstanding creditors'!$E3755*100/107</f>
        <v>55785.04673</v>
      </c>
      <c r="P3755" s="10">
        <f>'data on outstanding creditors'!$E3755-'data on outstanding creditors'!$O3755</f>
        <v>3904.953271</v>
      </c>
      <c r="Q3755" s="7">
        <f>DAY('data on outstanding creditors'!$B3755)</f>
        <v>29</v>
      </c>
      <c r="R3755" s="7">
        <f>MONTH('data on outstanding creditors'!$B3755)</f>
        <v>4</v>
      </c>
      <c r="S3755" s="7">
        <f>YEAR('data on outstanding creditors'!$B3755)</f>
        <v>2025</v>
      </c>
      <c r="T3755" s="11" t="str">
        <f>'data on outstanding creditors'!$C3755&amp;" "&amp;'data on outstanding creditors'!$D3755&amp;" "&amp;TEXT('data on outstanding creditors'!$E3755,"#,##0.00")</f>
        <v>บ.ไทย เฮลท์ อิมเมจจิ้ง CT SCAN  สิทธิ ชำระเงิน 017/807 02/68 59,690.00</v>
      </c>
      <c r="U3755" s="12"/>
    </row>
    <row r="3756" ht="13.5" customHeight="1">
      <c r="A3756" s="1" t="s">
        <v>5932</v>
      </c>
      <c r="B3756" s="2">
        <v>45776.0</v>
      </c>
      <c r="C3756" s="9" t="s">
        <v>5813</v>
      </c>
      <c r="D3756" s="1" t="s">
        <v>5933</v>
      </c>
      <c r="E3756" s="4">
        <v>69520.0</v>
      </c>
      <c r="F3756" s="4"/>
      <c r="G3756" s="4"/>
      <c r="H3756" s="4">
        <f>'data on outstanding creditors'!$E3756-'data on outstanding creditors'!$F3756-'data on outstanding creditors'!$G3756</f>
        <v>69520</v>
      </c>
      <c r="I3756" s="2"/>
      <c r="J3756" s="1"/>
      <c r="K3756" s="2"/>
      <c r="L3756" s="5"/>
      <c r="M3756" s="9" t="s">
        <v>61</v>
      </c>
      <c r="N3756" s="9" t="s">
        <v>49</v>
      </c>
      <c r="O3756" s="10">
        <f>'data on outstanding creditors'!$E3756*100/107</f>
        <v>64971.96262</v>
      </c>
      <c r="P3756" s="10">
        <f>'data on outstanding creditors'!$E3756-'data on outstanding creditors'!$O3756</f>
        <v>4548.037383</v>
      </c>
      <c r="Q3756" s="7">
        <f>DAY('data on outstanding creditors'!$B3756)</f>
        <v>29</v>
      </c>
      <c r="R3756" s="7">
        <f>MONTH('data on outstanding creditors'!$B3756)</f>
        <v>4</v>
      </c>
      <c r="S3756" s="7">
        <f>YEAR('data on outstanding creditors'!$B3756)</f>
        <v>2025</v>
      </c>
      <c r="T3756" s="11" t="str">
        <f>'data on outstanding creditors'!$C3756&amp;" "&amp;'data on outstanding creditors'!$D3756&amp;" "&amp;TEXT('data on outstanding creditors'!$E3756,"#,##0.00")</f>
        <v>บ.ไทย เฮลท์ อิมเมจจิ้ง CT SCAN  สิทธิ ชำระเงิน 017/808 02/68 69,520.00</v>
      </c>
      <c r="U3756" s="12"/>
    </row>
    <row r="3757" ht="13.5" customHeight="1">
      <c r="A3757" s="1" t="s">
        <v>5934</v>
      </c>
      <c r="B3757" s="2">
        <v>45776.0</v>
      </c>
      <c r="C3757" s="9" t="s">
        <v>5816</v>
      </c>
      <c r="D3757" s="1" t="s">
        <v>5935</v>
      </c>
      <c r="E3757" s="4">
        <v>6000.0</v>
      </c>
      <c r="F3757" s="4"/>
      <c r="G3757" s="4"/>
      <c r="H3757" s="4">
        <f>'data on outstanding creditors'!$E3757-'data on outstanding creditors'!$F3757-'data on outstanding creditors'!$G3757</f>
        <v>6000</v>
      </c>
      <c r="I3757" s="2"/>
      <c r="J3757" s="1" t="s">
        <v>646</v>
      </c>
      <c r="K3757" s="2">
        <v>45906.0</v>
      </c>
      <c r="L3757" s="5"/>
      <c r="M3757" s="9" t="s">
        <v>61</v>
      </c>
      <c r="N3757" s="9" t="s">
        <v>49</v>
      </c>
      <c r="O3757" s="10">
        <f>'data on outstanding creditors'!$E3757*100/107</f>
        <v>5607.476636</v>
      </c>
      <c r="P3757" s="10">
        <f>'data on outstanding creditors'!$E3757-'data on outstanding creditors'!$O3757</f>
        <v>392.5233645</v>
      </c>
      <c r="Q3757" s="7">
        <f>DAY('data on outstanding creditors'!$B3757)</f>
        <v>29</v>
      </c>
      <c r="R3757" s="7">
        <f>MONTH('data on outstanding creditors'!$B3757)</f>
        <v>4</v>
      </c>
      <c r="S3757" s="7">
        <f>YEAR('data on outstanding creditors'!$B3757)</f>
        <v>2025</v>
      </c>
      <c r="T3757" s="11" t="str">
        <f>'data on outstanding creditors'!$C3757&amp;" "&amp;'data on outstanding creditors'!$D3757&amp;" "&amp;TEXT('data on outstanding creditors'!$E3757,"#,##0.00")</f>
        <v>บ.ไทย เฮลท์ อิมเมจจิ้ง CT SCAN  สิทธิ พรบ. 017/811 02/68 6,000.00</v>
      </c>
      <c r="U3757" s="12"/>
    </row>
    <row r="3758" ht="13.5" customHeight="1">
      <c r="A3758" s="1" t="s">
        <v>5936</v>
      </c>
      <c r="B3758" s="2">
        <v>45776.0</v>
      </c>
      <c r="C3758" s="9" t="s">
        <v>79</v>
      </c>
      <c r="D3758" s="1" t="s">
        <v>5937</v>
      </c>
      <c r="E3758" s="4">
        <v>65280.0</v>
      </c>
      <c r="F3758" s="4"/>
      <c r="G3758" s="4"/>
      <c r="H3758" s="4">
        <f>'data on outstanding creditors'!$E3758-'data on outstanding creditors'!$F3758-'data on outstanding creditors'!$G3758</f>
        <v>65280</v>
      </c>
      <c r="I3758" s="2"/>
      <c r="J3758" s="1" t="s">
        <v>646</v>
      </c>
      <c r="K3758" s="2">
        <v>45906.0</v>
      </c>
      <c r="L3758" s="5"/>
      <c r="M3758" s="9" t="s">
        <v>61</v>
      </c>
      <c r="N3758" s="9" t="s">
        <v>49</v>
      </c>
      <c r="O3758" s="10">
        <f>'data on outstanding creditors'!$E3758*100/107</f>
        <v>61009.34579</v>
      </c>
      <c r="P3758" s="10">
        <f>'data on outstanding creditors'!$E3758-'data on outstanding creditors'!$O3758</f>
        <v>4270.654206</v>
      </c>
      <c r="Q3758" s="7">
        <f>DAY('data on outstanding creditors'!$B3758)</f>
        <v>29</v>
      </c>
      <c r="R3758" s="7">
        <f>MONTH('data on outstanding creditors'!$B3758)</f>
        <v>4</v>
      </c>
      <c r="S3758" s="7">
        <f>YEAR('data on outstanding creditors'!$B3758)</f>
        <v>2025</v>
      </c>
      <c r="T3758" s="11" t="str">
        <f>'data on outstanding creditors'!$C3758&amp;" "&amp;'data on outstanding creditors'!$D3758&amp;" "&amp;TEXT('data on outstanding creditors'!$E3758,"#,##0.00")</f>
        <v>บ.ไทย เฮลท์ อิมเมจจิ้ง MMG  สิทธิ สปสช 017/812 02/68 65,280.00</v>
      </c>
      <c r="U3758" s="12"/>
    </row>
    <row r="3759" ht="13.5" customHeight="1">
      <c r="A3759" s="1" t="s">
        <v>5938</v>
      </c>
      <c r="B3759" s="2">
        <v>45776.0</v>
      </c>
      <c r="C3759" s="9" t="s">
        <v>79</v>
      </c>
      <c r="D3759" s="1" t="s">
        <v>5939</v>
      </c>
      <c r="E3759" s="4">
        <v>19200.0</v>
      </c>
      <c r="F3759" s="4"/>
      <c r="G3759" s="4"/>
      <c r="H3759" s="4">
        <f>'data on outstanding creditors'!$E3759-'data on outstanding creditors'!$F3759-'data on outstanding creditors'!$G3759</f>
        <v>19200</v>
      </c>
      <c r="I3759" s="2"/>
      <c r="J3759" s="1" t="s">
        <v>646</v>
      </c>
      <c r="K3759" s="2">
        <v>45906.0</v>
      </c>
      <c r="L3759" s="5"/>
      <c r="M3759" s="9" t="s">
        <v>61</v>
      </c>
      <c r="N3759" s="9" t="s">
        <v>49</v>
      </c>
      <c r="O3759" s="10">
        <f>'data on outstanding creditors'!$E3759*100/107</f>
        <v>17943.92523</v>
      </c>
      <c r="P3759" s="10">
        <f>'data on outstanding creditors'!$E3759-'data on outstanding creditors'!$O3759</f>
        <v>1256.074766</v>
      </c>
      <c r="Q3759" s="7">
        <f>DAY('data on outstanding creditors'!$B3759)</f>
        <v>29</v>
      </c>
      <c r="R3759" s="7">
        <f>MONTH('data on outstanding creditors'!$B3759)</f>
        <v>4</v>
      </c>
      <c r="S3759" s="7">
        <f>YEAR('data on outstanding creditors'!$B3759)</f>
        <v>2025</v>
      </c>
      <c r="T3759" s="11" t="str">
        <f>'data on outstanding creditors'!$C3759&amp;" "&amp;'data on outstanding creditors'!$D3759&amp;" "&amp;TEXT('data on outstanding creditors'!$E3759,"#,##0.00")</f>
        <v>บ.ไทย เฮลท์ อิมเมจจิ้ง MMG  สิทธิ สปสช 017/813 02/68 19,200.00</v>
      </c>
      <c r="U3759" s="12"/>
    </row>
    <row r="3760" ht="13.5" customHeight="1">
      <c r="A3760" s="1" t="s">
        <v>5940</v>
      </c>
      <c r="B3760" s="2">
        <v>45777.0</v>
      </c>
      <c r="C3760" s="9" t="s">
        <v>5941</v>
      </c>
      <c r="D3760" s="1" t="s">
        <v>5942</v>
      </c>
      <c r="E3760" s="4">
        <v>24000.0</v>
      </c>
      <c r="F3760" s="4"/>
      <c r="G3760" s="4"/>
      <c r="H3760" s="4">
        <f>'data on outstanding creditors'!$E3760-'data on outstanding creditors'!$F3760-'data on outstanding creditors'!$G3760</f>
        <v>24000</v>
      </c>
      <c r="I3760" s="2"/>
      <c r="J3760" s="1"/>
      <c r="K3760" s="2"/>
      <c r="L3760" s="5"/>
      <c r="M3760" s="9" t="s">
        <v>61</v>
      </c>
      <c r="N3760" s="9" t="s">
        <v>49</v>
      </c>
      <c r="O3760" s="10">
        <f>'data on outstanding creditors'!$E3760*100/107</f>
        <v>22429.90654</v>
      </c>
      <c r="P3760" s="10">
        <f>'data on outstanding creditors'!$E3760-'data on outstanding creditors'!$O3760</f>
        <v>1570.093458</v>
      </c>
      <c r="Q3760" s="7">
        <f>DAY('data on outstanding creditors'!$B3760)</f>
        <v>30</v>
      </c>
      <c r="R3760" s="7">
        <f>MONTH('data on outstanding creditors'!$B3760)</f>
        <v>4</v>
      </c>
      <c r="S3760" s="7">
        <f>YEAR('data on outstanding creditors'!$B3760)</f>
        <v>2025</v>
      </c>
      <c r="T3760" s="11" t="str">
        <f>'data on outstanding creditors'!$C3760&amp;" "&amp;'data on outstanding creditors'!$D3760&amp;" "&amp;TEXT('data on outstanding creditors'!$E3760,"#,##0.00")</f>
        <v>บ.โรงพยาบาลกรุงเทพ ราชสีมา  สิทธิ สปสช BKH.AR080/2568 03/68 24,000.00</v>
      </c>
      <c r="U3760" s="12"/>
    </row>
    <row r="3761" ht="13.5" customHeight="1">
      <c r="A3761" s="1" t="s">
        <v>5943</v>
      </c>
      <c r="B3761" s="2">
        <v>45777.0</v>
      </c>
      <c r="C3761" s="9" t="s">
        <v>5944</v>
      </c>
      <c r="D3761" s="1" t="s">
        <v>5945</v>
      </c>
      <c r="E3761" s="4">
        <v>4000.0</v>
      </c>
      <c r="F3761" s="4"/>
      <c r="G3761" s="4"/>
      <c r="H3761" s="4">
        <f>'data on outstanding creditors'!$E3761-'data on outstanding creditors'!$F3761-'data on outstanding creditors'!$G3761</f>
        <v>4000</v>
      </c>
      <c r="I3761" s="2"/>
      <c r="J3761" s="1"/>
      <c r="K3761" s="2"/>
      <c r="L3761" s="5"/>
      <c r="M3761" s="9" t="s">
        <v>61</v>
      </c>
      <c r="N3761" s="9" t="s">
        <v>49</v>
      </c>
      <c r="O3761" s="10">
        <f>'data on outstanding creditors'!$E3761*100/107</f>
        <v>3738.317757</v>
      </c>
      <c r="P3761" s="10">
        <f>'data on outstanding creditors'!$E3761-'data on outstanding creditors'!$O3761</f>
        <v>261.682243</v>
      </c>
      <c r="Q3761" s="7">
        <f>DAY('data on outstanding creditors'!$B3761)</f>
        <v>30</v>
      </c>
      <c r="R3761" s="7">
        <f>MONTH('data on outstanding creditors'!$B3761)</f>
        <v>4</v>
      </c>
      <c r="S3761" s="7">
        <f>YEAR('data on outstanding creditors'!$B3761)</f>
        <v>2025</v>
      </c>
      <c r="T3761" s="11" t="str">
        <f>'data on outstanding creditors'!$C3761&amp;" "&amp;'data on outstanding creditors'!$D3761&amp;" "&amp;TEXT('data on outstanding creditors'!$E3761,"#,##0.00")</f>
        <v>บ.โรงพยาบาลกรุงเทพ ราชสีมา  สิทธิ จ่ายตรง BKH.AR081/2568 03/68 4,000.00</v>
      </c>
      <c r="U3761" s="12"/>
    </row>
    <row r="3762" ht="13.5" customHeight="1">
      <c r="A3762" s="1" t="s">
        <v>5946</v>
      </c>
      <c r="B3762" s="2">
        <v>45785.0</v>
      </c>
      <c r="C3762" s="9" t="s">
        <v>59</v>
      </c>
      <c r="D3762" s="1" t="s">
        <v>5947</v>
      </c>
      <c r="E3762" s="4">
        <v>69550.0</v>
      </c>
      <c r="F3762" s="4"/>
      <c r="G3762" s="4"/>
      <c r="H3762" s="4">
        <f>'data on outstanding creditors'!$E3762-'data on outstanding creditors'!$F3762-'data on outstanding creditors'!$G3762</f>
        <v>69550</v>
      </c>
      <c r="I3762" s="2"/>
      <c r="J3762" s="1"/>
      <c r="K3762" s="2"/>
      <c r="L3762" s="5"/>
      <c r="M3762" s="9" t="s">
        <v>61</v>
      </c>
      <c r="N3762" s="9" t="s">
        <v>49</v>
      </c>
      <c r="O3762" s="10">
        <f>'data on outstanding creditors'!$E3762*100/107</f>
        <v>65000</v>
      </c>
      <c r="P3762" s="10">
        <f>'data on outstanding creditors'!$E3762-'data on outstanding creditors'!$O3762</f>
        <v>4550</v>
      </c>
      <c r="Q3762" s="7">
        <f>DAY('data on outstanding creditors'!$B3762)</f>
        <v>8</v>
      </c>
      <c r="R3762" s="7">
        <f>MONTH('data on outstanding creditors'!$B3762)</f>
        <v>5</v>
      </c>
      <c r="S3762" s="7">
        <f>YEAR('data on outstanding creditors'!$B3762)</f>
        <v>2025</v>
      </c>
      <c r="T3762" s="11" t="str">
        <f>'data on outstanding creditors'!$C3762&amp;" "&amp;'data on outstanding creditors'!$D3762&amp;" "&amp;TEXT('data on outstanding creditors'!$E3762,"#,##0.00")</f>
        <v>บ.ไทย เฮลท์ อิมเมจจิ้ง MRI  สิทธิ จ่ายตรง 002/057 02/68 69,550.00</v>
      </c>
      <c r="U3762" s="12"/>
    </row>
    <row r="3763" ht="13.5" customHeight="1">
      <c r="A3763" s="1" t="s">
        <v>5948</v>
      </c>
      <c r="B3763" s="2">
        <v>45785.0</v>
      </c>
      <c r="C3763" s="9" t="s">
        <v>68</v>
      </c>
      <c r="D3763" s="1" t="s">
        <v>5949</v>
      </c>
      <c r="E3763" s="4">
        <v>157100.0</v>
      </c>
      <c r="F3763" s="4"/>
      <c r="G3763" s="4"/>
      <c r="H3763" s="4">
        <f>'data on outstanding creditors'!$E3763-'data on outstanding creditors'!$F3763-'data on outstanding creditors'!$G3763</f>
        <v>157100</v>
      </c>
      <c r="I3763" s="2"/>
      <c r="J3763" s="1"/>
      <c r="K3763" s="2"/>
      <c r="L3763" s="5"/>
      <c r="M3763" s="9" t="s">
        <v>61</v>
      </c>
      <c r="N3763" s="9" t="s">
        <v>49</v>
      </c>
      <c r="O3763" s="10">
        <f>'data on outstanding creditors'!$E3763*100/107</f>
        <v>146822.4299</v>
      </c>
      <c r="P3763" s="10">
        <f>'data on outstanding creditors'!$E3763-'data on outstanding creditors'!$O3763</f>
        <v>10277.57009</v>
      </c>
      <c r="Q3763" s="7">
        <f>DAY('data on outstanding creditors'!$B3763)</f>
        <v>8</v>
      </c>
      <c r="R3763" s="7">
        <f>MONTH('data on outstanding creditors'!$B3763)</f>
        <v>5</v>
      </c>
      <c r="S3763" s="7">
        <f>YEAR('data on outstanding creditors'!$B3763)</f>
        <v>2025</v>
      </c>
      <c r="T3763" s="11" t="str">
        <f>'data on outstanding creditors'!$C3763&amp;" "&amp;'data on outstanding creditors'!$D3763&amp;" "&amp;TEXT('data on outstanding creditors'!$E3763,"#,##0.00")</f>
        <v>บ.ไทย เฮลท์ อิมเมจจิ้ง MRI  สิทธิ สปสช 002/058 02/68 157,100.00</v>
      </c>
      <c r="U3763" s="12"/>
    </row>
    <row r="3764" ht="13.5" customHeight="1">
      <c r="A3764" s="1" t="s">
        <v>5950</v>
      </c>
      <c r="B3764" s="2">
        <v>45785.0</v>
      </c>
      <c r="C3764" s="9" t="s">
        <v>5951</v>
      </c>
      <c r="D3764" s="1" t="s">
        <v>5952</v>
      </c>
      <c r="E3764" s="4">
        <v>23850.0</v>
      </c>
      <c r="F3764" s="4"/>
      <c r="G3764" s="4"/>
      <c r="H3764" s="4">
        <f>'data on outstanding creditors'!$E3764-'data on outstanding creditors'!$F3764-'data on outstanding creditors'!$G3764</f>
        <v>23850</v>
      </c>
      <c r="I3764" s="2"/>
      <c r="J3764" s="1"/>
      <c r="K3764" s="2"/>
      <c r="L3764" s="5"/>
      <c r="M3764" s="9" t="s">
        <v>61</v>
      </c>
      <c r="N3764" s="9" t="s">
        <v>49</v>
      </c>
      <c r="O3764" s="10">
        <f>'data on outstanding creditors'!$E3764*100/107</f>
        <v>22289.71963</v>
      </c>
      <c r="P3764" s="10">
        <f>'data on outstanding creditors'!$E3764-'data on outstanding creditors'!$O3764</f>
        <v>1560.280374</v>
      </c>
      <c r="Q3764" s="7">
        <f>DAY('data on outstanding creditors'!$B3764)</f>
        <v>8</v>
      </c>
      <c r="R3764" s="7">
        <f>MONTH('data on outstanding creditors'!$B3764)</f>
        <v>5</v>
      </c>
      <c r="S3764" s="7">
        <f>YEAR('data on outstanding creditors'!$B3764)</f>
        <v>2025</v>
      </c>
      <c r="T3764" s="11" t="str">
        <f>'data on outstanding creditors'!$C3764&amp;" "&amp;'data on outstanding creditors'!$D3764&amp;" "&amp;TEXT('data on outstanding creditors'!$E3764,"#,##0.00")</f>
        <v>บ.ไทย เฮลท์ อิมเมจจิ้ง MRI  สิทธิ ปกส 002/059 02/68 23,850.00</v>
      </c>
      <c r="U3764" s="12"/>
    </row>
    <row r="3765" ht="13.5" customHeight="1">
      <c r="A3765" s="1" t="s">
        <v>5953</v>
      </c>
      <c r="B3765" s="2">
        <v>45785.0</v>
      </c>
      <c r="C3765" s="9" t="s">
        <v>66</v>
      </c>
      <c r="D3765" s="1" t="s">
        <v>5954</v>
      </c>
      <c r="E3765" s="4">
        <v>20400.0</v>
      </c>
      <c r="F3765" s="4"/>
      <c r="G3765" s="4"/>
      <c r="H3765" s="4">
        <f>'data on outstanding creditors'!$E3765-'data on outstanding creditors'!$F3765-'data on outstanding creditors'!$G3765</f>
        <v>20400</v>
      </c>
      <c r="I3765" s="2"/>
      <c r="J3765" s="1"/>
      <c r="K3765" s="2"/>
      <c r="L3765" s="5"/>
      <c r="M3765" s="9" t="s">
        <v>61</v>
      </c>
      <c r="N3765" s="9" t="s">
        <v>49</v>
      </c>
      <c r="O3765" s="10">
        <f>'data on outstanding creditors'!$E3765*100/107</f>
        <v>19065.42056</v>
      </c>
      <c r="P3765" s="10">
        <f>'data on outstanding creditors'!$E3765-'data on outstanding creditors'!$O3765</f>
        <v>1334.579439</v>
      </c>
      <c r="Q3765" s="7">
        <f>DAY('data on outstanding creditors'!$B3765)</f>
        <v>8</v>
      </c>
      <c r="R3765" s="7">
        <f>MONTH('data on outstanding creditors'!$B3765)</f>
        <v>5</v>
      </c>
      <c r="S3765" s="7">
        <f>YEAR('data on outstanding creditors'!$B3765)</f>
        <v>2025</v>
      </c>
      <c r="T3765" s="11" t="str">
        <f>'data on outstanding creditors'!$C3765&amp;" "&amp;'data on outstanding creditors'!$D3765&amp;" "&amp;TEXT('data on outstanding creditors'!$E3765,"#,##0.00")</f>
        <v>บ.ไทย เฮลท์ อิมเมจจิ้ง MRI  สิทธิ พรบ. 002/060 02/68 20,400.00</v>
      </c>
      <c r="U3765" s="12"/>
    </row>
    <row r="3766" ht="13.5" customHeight="1">
      <c r="A3766" s="1" t="s">
        <v>5955</v>
      </c>
      <c r="B3766" s="2">
        <v>45785.0</v>
      </c>
      <c r="C3766" s="9" t="s">
        <v>59</v>
      </c>
      <c r="D3766" s="1" t="s">
        <v>5956</v>
      </c>
      <c r="E3766" s="4">
        <v>127300.0</v>
      </c>
      <c r="F3766" s="4"/>
      <c r="G3766" s="4"/>
      <c r="H3766" s="4">
        <f>'data on outstanding creditors'!$E3766-'data on outstanding creditors'!$F3766-'data on outstanding creditors'!$G3766</f>
        <v>127300</v>
      </c>
      <c r="I3766" s="2"/>
      <c r="J3766" s="1"/>
      <c r="K3766" s="2"/>
      <c r="L3766" s="5"/>
      <c r="M3766" s="9" t="s">
        <v>61</v>
      </c>
      <c r="N3766" s="9" t="s">
        <v>49</v>
      </c>
      <c r="O3766" s="10">
        <f>'data on outstanding creditors'!$E3766*100/107</f>
        <v>118971.9626</v>
      </c>
      <c r="P3766" s="10">
        <f>'data on outstanding creditors'!$E3766-'data on outstanding creditors'!$O3766</f>
        <v>8328.037383</v>
      </c>
      <c r="Q3766" s="7">
        <f>DAY('data on outstanding creditors'!$B3766)</f>
        <v>8</v>
      </c>
      <c r="R3766" s="7">
        <f>MONTH('data on outstanding creditors'!$B3766)</f>
        <v>5</v>
      </c>
      <c r="S3766" s="7">
        <f>YEAR('data on outstanding creditors'!$B3766)</f>
        <v>2025</v>
      </c>
      <c r="T3766" s="11" t="str">
        <f>'data on outstanding creditors'!$C3766&amp;" "&amp;'data on outstanding creditors'!$D3766&amp;" "&amp;TEXT('data on outstanding creditors'!$E3766,"#,##0.00")</f>
        <v>บ.ไทย เฮลท์ อิมเมจจิ้ง MRI  สิทธิ จ่ายตรง 002/063 02/68 127,300.00</v>
      </c>
      <c r="U3766" s="12"/>
    </row>
    <row r="3767" ht="13.5" customHeight="1">
      <c r="A3767" s="1" t="s">
        <v>5957</v>
      </c>
      <c r="B3767" s="2">
        <v>45785.0</v>
      </c>
      <c r="C3767" s="9" t="s">
        <v>64</v>
      </c>
      <c r="D3767" s="1" t="s">
        <v>5958</v>
      </c>
      <c r="E3767" s="4">
        <v>20400.0</v>
      </c>
      <c r="F3767" s="4"/>
      <c r="G3767" s="4"/>
      <c r="H3767" s="4">
        <f>'data on outstanding creditors'!$E3767-'data on outstanding creditors'!$F3767-'data on outstanding creditors'!$G3767</f>
        <v>20400</v>
      </c>
      <c r="I3767" s="2"/>
      <c r="J3767" s="1"/>
      <c r="K3767" s="2"/>
      <c r="L3767" s="5"/>
      <c r="M3767" s="9" t="s">
        <v>61</v>
      </c>
      <c r="N3767" s="9" t="s">
        <v>49</v>
      </c>
      <c r="O3767" s="10">
        <f>'data on outstanding creditors'!$E3767*100/107</f>
        <v>19065.42056</v>
      </c>
      <c r="P3767" s="10">
        <f>'data on outstanding creditors'!$E3767-'data on outstanding creditors'!$O3767</f>
        <v>1334.579439</v>
      </c>
      <c r="Q3767" s="7">
        <f>DAY('data on outstanding creditors'!$B3767)</f>
        <v>8</v>
      </c>
      <c r="R3767" s="7">
        <f>MONTH('data on outstanding creditors'!$B3767)</f>
        <v>5</v>
      </c>
      <c r="S3767" s="7">
        <f>YEAR('data on outstanding creditors'!$B3767)</f>
        <v>2025</v>
      </c>
      <c r="T3767" s="11" t="str">
        <f>'data on outstanding creditors'!$C3767&amp;" "&amp;'data on outstanding creditors'!$D3767&amp;" "&amp;TEXT('data on outstanding creditors'!$E3767,"#,##0.00")</f>
        <v>บ.ไทย เฮลท์ อิมเมจจิ้ง MRI  สิทธิ ชำระเงิน 002/064 02/68 20,400.00</v>
      </c>
      <c r="U3767" s="12"/>
    </row>
    <row r="3768" ht="13.5" customHeight="1">
      <c r="A3768" s="1" t="s">
        <v>5959</v>
      </c>
      <c r="B3768" s="2">
        <v>45785.0</v>
      </c>
      <c r="C3768" s="9" t="s">
        <v>68</v>
      </c>
      <c r="D3768" s="1" t="s">
        <v>5960</v>
      </c>
      <c r="E3768" s="4">
        <v>174600.0</v>
      </c>
      <c r="F3768" s="4"/>
      <c r="G3768" s="4"/>
      <c r="H3768" s="4">
        <f>'data on outstanding creditors'!$E3768-'data on outstanding creditors'!$F3768-'data on outstanding creditors'!$G3768</f>
        <v>174600</v>
      </c>
      <c r="I3768" s="2"/>
      <c r="J3768" s="1"/>
      <c r="K3768" s="2"/>
      <c r="L3768" s="5"/>
      <c r="M3768" s="9" t="s">
        <v>61</v>
      </c>
      <c r="N3768" s="9" t="s">
        <v>49</v>
      </c>
      <c r="O3768" s="10">
        <f>'data on outstanding creditors'!$E3768*100/107</f>
        <v>163177.5701</v>
      </c>
      <c r="P3768" s="10">
        <f>'data on outstanding creditors'!$E3768-'data on outstanding creditors'!$O3768</f>
        <v>11422.42991</v>
      </c>
      <c r="Q3768" s="7">
        <f>DAY('data on outstanding creditors'!$B3768)</f>
        <v>8</v>
      </c>
      <c r="R3768" s="7">
        <f>MONTH('data on outstanding creditors'!$B3768)</f>
        <v>5</v>
      </c>
      <c r="S3768" s="7">
        <f>YEAR('data on outstanding creditors'!$B3768)</f>
        <v>2025</v>
      </c>
      <c r="T3768" s="11" t="str">
        <f>'data on outstanding creditors'!$C3768&amp;" "&amp;'data on outstanding creditors'!$D3768&amp;" "&amp;TEXT('data on outstanding creditors'!$E3768,"#,##0.00")</f>
        <v>บ.ไทย เฮลท์ อิมเมจจิ้ง MRI  สิทธิ สปสช 002/065 02/68 174,600.00</v>
      </c>
      <c r="U3768" s="12"/>
    </row>
    <row r="3769" ht="13.5" customHeight="1">
      <c r="A3769" s="1" t="s">
        <v>5961</v>
      </c>
      <c r="B3769" s="2">
        <v>45785.0</v>
      </c>
      <c r="C3769" s="9" t="s">
        <v>68</v>
      </c>
      <c r="D3769" s="1" t="s">
        <v>5962</v>
      </c>
      <c r="E3769" s="4">
        <v>62150.0</v>
      </c>
      <c r="F3769" s="4"/>
      <c r="G3769" s="4"/>
      <c r="H3769" s="4">
        <f>'data on outstanding creditors'!$E3769-'data on outstanding creditors'!$F3769-'data on outstanding creditors'!$G3769</f>
        <v>62150</v>
      </c>
      <c r="I3769" s="2"/>
      <c r="J3769" s="1"/>
      <c r="K3769" s="2"/>
      <c r="L3769" s="5"/>
      <c r="M3769" s="9" t="s">
        <v>61</v>
      </c>
      <c r="N3769" s="9" t="s">
        <v>49</v>
      </c>
      <c r="O3769" s="10">
        <f>'data on outstanding creditors'!$E3769*100/107</f>
        <v>58084.11215</v>
      </c>
      <c r="P3769" s="10">
        <f>'data on outstanding creditors'!$E3769-'data on outstanding creditors'!$O3769</f>
        <v>4065.88785</v>
      </c>
      <c r="Q3769" s="7">
        <f>DAY('data on outstanding creditors'!$B3769)</f>
        <v>8</v>
      </c>
      <c r="R3769" s="7">
        <f>MONTH('data on outstanding creditors'!$B3769)</f>
        <v>5</v>
      </c>
      <c r="S3769" s="7">
        <f>YEAR('data on outstanding creditors'!$B3769)</f>
        <v>2025</v>
      </c>
      <c r="T3769" s="11" t="str">
        <f>'data on outstanding creditors'!$C3769&amp;" "&amp;'data on outstanding creditors'!$D3769&amp;" "&amp;TEXT('data on outstanding creditors'!$E3769,"#,##0.00")</f>
        <v>บ.ไทย เฮลท์ อิมเมจจิ้ง MRI  สิทธิ สปสช 002/066 02/68 62,150.00</v>
      </c>
      <c r="U3769" s="12"/>
    </row>
    <row r="3770" ht="13.5" customHeight="1">
      <c r="A3770" s="1" t="s">
        <v>5963</v>
      </c>
      <c r="B3770" s="2">
        <v>45785.0</v>
      </c>
      <c r="C3770" s="9" t="s">
        <v>5951</v>
      </c>
      <c r="D3770" s="1" t="s">
        <v>5964</v>
      </c>
      <c r="E3770" s="4">
        <v>54000.0</v>
      </c>
      <c r="F3770" s="4"/>
      <c r="G3770" s="4"/>
      <c r="H3770" s="4">
        <f>'data on outstanding creditors'!$E3770-'data on outstanding creditors'!$F3770-'data on outstanding creditors'!$G3770</f>
        <v>54000</v>
      </c>
      <c r="I3770" s="2"/>
      <c r="J3770" s="1"/>
      <c r="K3770" s="2"/>
      <c r="L3770" s="5"/>
      <c r="M3770" s="9" t="s">
        <v>61</v>
      </c>
      <c r="N3770" s="9" t="s">
        <v>49</v>
      </c>
      <c r="O3770" s="10">
        <f>'data on outstanding creditors'!$E3770*100/107</f>
        <v>50467.28972</v>
      </c>
      <c r="P3770" s="10">
        <f>'data on outstanding creditors'!$E3770-'data on outstanding creditors'!$O3770</f>
        <v>3532.71028</v>
      </c>
      <c r="Q3770" s="7">
        <f>DAY('data on outstanding creditors'!$B3770)</f>
        <v>8</v>
      </c>
      <c r="R3770" s="7">
        <f>MONTH('data on outstanding creditors'!$B3770)</f>
        <v>5</v>
      </c>
      <c r="S3770" s="7">
        <f>YEAR('data on outstanding creditors'!$B3770)</f>
        <v>2025</v>
      </c>
      <c r="T3770" s="11" t="str">
        <f>'data on outstanding creditors'!$C3770&amp;" "&amp;'data on outstanding creditors'!$D3770&amp;" "&amp;TEXT('data on outstanding creditors'!$E3770,"#,##0.00")</f>
        <v>บ.ไทย เฮลท์ อิมเมจจิ้ง MRI  สิทธิ ปกส 002/067 02/68 54,000.00</v>
      </c>
      <c r="U3770" s="12"/>
    </row>
    <row r="3771" ht="13.5" customHeight="1">
      <c r="A3771" s="1" t="s">
        <v>5965</v>
      </c>
      <c r="B3771" s="2">
        <v>45800.0</v>
      </c>
      <c r="C3771" s="9" t="s">
        <v>5944</v>
      </c>
      <c r="D3771" s="1" t="s">
        <v>5966</v>
      </c>
      <c r="E3771" s="4">
        <v>8000.0</v>
      </c>
      <c r="F3771" s="4"/>
      <c r="G3771" s="4"/>
      <c r="H3771" s="4">
        <f>'data on outstanding creditors'!$E3771-'data on outstanding creditors'!$F3771-'data on outstanding creditors'!$G3771</f>
        <v>8000</v>
      </c>
      <c r="I3771" s="2"/>
      <c r="J3771" s="1"/>
      <c r="K3771" s="2"/>
      <c r="L3771" s="5"/>
      <c r="M3771" s="9" t="s">
        <v>61</v>
      </c>
      <c r="N3771" s="9" t="s">
        <v>49</v>
      </c>
      <c r="O3771" s="10">
        <f>'data on outstanding creditors'!$E3771*100/107</f>
        <v>7476.635514</v>
      </c>
      <c r="P3771" s="10">
        <f>'data on outstanding creditors'!$E3771-'data on outstanding creditors'!$O3771</f>
        <v>523.364486</v>
      </c>
      <c r="Q3771" s="7">
        <f>DAY('data on outstanding creditors'!$B3771)</f>
        <v>23</v>
      </c>
      <c r="R3771" s="7">
        <f>MONTH('data on outstanding creditors'!$B3771)</f>
        <v>5</v>
      </c>
      <c r="S3771" s="7">
        <f>YEAR('data on outstanding creditors'!$B3771)</f>
        <v>2025</v>
      </c>
      <c r="T3771" s="11" t="str">
        <f>'data on outstanding creditors'!$C3771&amp;" "&amp;'data on outstanding creditors'!$D3771&amp;" "&amp;TEXT('data on outstanding creditors'!$E3771,"#,##0.00")</f>
        <v>บ.โรงพยาบาลกรุงเทพ ราชสีมา  สิทธิ จ่ายตรง BKH.AR088/2568 04/68 8,000.00</v>
      </c>
      <c r="U3771" s="12"/>
    </row>
    <row r="3772" ht="13.5" customHeight="1">
      <c r="A3772" s="1" t="s">
        <v>5967</v>
      </c>
      <c r="B3772" s="2">
        <v>45800.0</v>
      </c>
      <c r="C3772" s="9" t="s">
        <v>5968</v>
      </c>
      <c r="D3772" s="1" t="s">
        <v>5969</v>
      </c>
      <c r="E3772" s="4">
        <v>7400.0</v>
      </c>
      <c r="F3772" s="4"/>
      <c r="G3772" s="4"/>
      <c r="H3772" s="4">
        <f>'data on outstanding creditors'!$E3772-'data on outstanding creditors'!$F3772-'data on outstanding creditors'!$G3772</f>
        <v>7400</v>
      </c>
      <c r="I3772" s="2"/>
      <c r="J3772" s="1"/>
      <c r="K3772" s="2"/>
      <c r="L3772" s="5"/>
      <c r="M3772" s="9" t="s">
        <v>61</v>
      </c>
      <c r="N3772" s="9" t="s">
        <v>49</v>
      </c>
      <c r="O3772" s="10">
        <f>'data on outstanding creditors'!$E3772*100/107</f>
        <v>6915.88785</v>
      </c>
      <c r="P3772" s="10">
        <f>'data on outstanding creditors'!$E3772-'data on outstanding creditors'!$O3772</f>
        <v>484.1121495</v>
      </c>
      <c r="Q3772" s="7">
        <f>DAY('data on outstanding creditors'!$B3772)</f>
        <v>23</v>
      </c>
      <c r="R3772" s="7">
        <f>MONTH('data on outstanding creditors'!$B3772)</f>
        <v>5</v>
      </c>
      <c r="S3772" s="7">
        <f>YEAR('data on outstanding creditors'!$B3772)</f>
        <v>2025</v>
      </c>
      <c r="T3772" s="11" t="str">
        <f>'data on outstanding creditors'!$C3772&amp;" "&amp;'data on outstanding creditors'!$D3772&amp;" "&amp;TEXT('data on outstanding creditors'!$E3772,"#,##0.00")</f>
        <v>บ.โรงพยาบาลกรุงเทพ ราชสีมา  สิทธิ ปกส BKH.AR089/2568 04/68 7,400.00</v>
      </c>
      <c r="U3772" s="12"/>
    </row>
    <row r="3773" ht="13.5" customHeight="1">
      <c r="A3773" s="1" t="s">
        <v>5970</v>
      </c>
      <c r="B3773" s="2">
        <v>45800.0</v>
      </c>
      <c r="C3773" s="9" t="s">
        <v>5971</v>
      </c>
      <c r="D3773" s="1" t="s">
        <v>5972</v>
      </c>
      <c r="E3773" s="4">
        <v>2000.0</v>
      </c>
      <c r="F3773" s="4"/>
      <c r="G3773" s="4"/>
      <c r="H3773" s="4">
        <f>'data on outstanding creditors'!$E3773-'data on outstanding creditors'!$F3773-'data on outstanding creditors'!$G3773</f>
        <v>2000</v>
      </c>
      <c r="I3773" s="2"/>
      <c r="J3773" s="1"/>
      <c r="K3773" s="2"/>
      <c r="L3773" s="5"/>
      <c r="M3773" s="9" t="s">
        <v>61</v>
      </c>
      <c r="N3773" s="9" t="s">
        <v>49</v>
      </c>
      <c r="O3773" s="10">
        <f>'data on outstanding creditors'!$E3773*100/107</f>
        <v>1869.158879</v>
      </c>
      <c r="P3773" s="10">
        <f>'data on outstanding creditors'!$E3773-'data on outstanding creditors'!$O3773</f>
        <v>130.8411215</v>
      </c>
      <c r="Q3773" s="7">
        <f>DAY('data on outstanding creditors'!$B3773)</f>
        <v>23</v>
      </c>
      <c r="R3773" s="7">
        <f>MONTH('data on outstanding creditors'!$B3773)</f>
        <v>5</v>
      </c>
      <c r="S3773" s="7">
        <f>YEAR('data on outstanding creditors'!$B3773)</f>
        <v>2025</v>
      </c>
      <c r="T3773" s="11" t="str">
        <f>'data on outstanding creditors'!$C3773&amp;" "&amp;'data on outstanding creditors'!$D3773&amp;" "&amp;TEXT('data on outstanding creditors'!$E3773,"#,##0.00")</f>
        <v>บ.โรงพยาบาลกรุงเทพ ราชสีมา  สิทธิ ชำระเงิน BKH.AR090/2568 04/68 2,000.00</v>
      </c>
      <c r="U3773" s="12"/>
    </row>
    <row r="3774" ht="13.5" customHeight="1">
      <c r="A3774" s="1" t="s">
        <v>5973</v>
      </c>
      <c r="B3774" s="2">
        <v>45800.0</v>
      </c>
      <c r="C3774" s="9" t="s">
        <v>5974</v>
      </c>
      <c r="D3774" s="1" t="s">
        <v>5975</v>
      </c>
      <c r="E3774" s="4">
        <v>2000.0</v>
      </c>
      <c r="F3774" s="4"/>
      <c r="G3774" s="4"/>
      <c r="H3774" s="4">
        <f>'data on outstanding creditors'!$E3774-'data on outstanding creditors'!$F3774-'data on outstanding creditors'!$G3774</f>
        <v>2000</v>
      </c>
      <c r="I3774" s="2"/>
      <c r="J3774" s="1"/>
      <c r="K3774" s="2"/>
      <c r="L3774" s="5"/>
      <c r="M3774" s="9" t="s">
        <v>61</v>
      </c>
      <c r="N3774" s="9" t="s">
        <v>49</v>
      </c>
      <c r="O3774" s="10">
        <f>'data on outstanding creditors'!$E3774*100/107</f>
        <v>1869.158879</v>
      </c>
      <c r="P3774" s="10">
        <f>'data on outstanding creditors'!$E3774-'data on outstanding creditors'!$O3774</f>
        <v>130.8411215</v>
      </c>
      <c r="Q3774" s="7">
        <f>DAY('data on outstanding creditors'!$B3774)</f>
        <v>23</v>
      </c>
      <c r="R3774" s="7">
        <f>MONTH('data on outstanding creditors'!$B3774)</f>
        <v>5</v>
      </c>
      <c r="S3774" s="7">
        <f>YEAR('data on outstanding creditors'!$B3774)</f>
        <v>2025</v>
      </c>
      <c r="T3774" s="11" t="str">
        <f>'data on outstanding creditors'!$C3774&amp;" "&amp;'data on outstanding creditors'!$D3774&amp;" "&amp;TEXT('data on outstanding creditors'!$E3774,"#,##0.00")</f>
        <v>บ.โรงพยาบาลกรุงเทพ ราชสีมา  สิทธิ พรบ. BKH.AR091/2568 04/68 2,000.00</v>
      </c>
      <c r="U3774" s="12"/>
    </row>
    <row r="3775" ht="13.5" customHeight="1">
      <c r="A3775" s="1" t="s">
        <v>5976</v>
      </c>
      <c r="B3775" s="2">
        <v>45800.0</v>
      </c>
      <c r="C3775" s="9" t="s">
        <v>5941</v>
      </c>
      <c r="D3775" s="1" t="s">
        <v>5977</v>
      </c>
      <c r="E3775" s="4">
        <v>21500.0</v>
      </c>
      <c r="F3775" s="4"/>
      <c r="G3775" s="4"/>
      <c r="H3775" s="4">
        <f>'data on outstanding creditors'!$E3775-'data on outstanding creditors'!$F3775-'data on outstanding creditors'!$G3775</f>
        <v>21500</v>
      </c>
      <c r="I3775" s="2"/>
      <c r="J3775" s="1"/>
      <c r="K3775" s="2"/>
      <c r="L3775" s="5"/>
      <c r="M3775" s="9" t="s">
        <v>61</v>
      </c>
      <c r="N3775" s="9" t="s">
        <v>49</v>
      </c>
      <c r="O3775" s="10">
        <f>'data on outstanding creditors'!$E3775*100/107</f>
        <v>20093.45794</v>
      </c>
      <c r="P3775" s="10">
        <f>'data on outstanding creditors'!$E3775-'data on outstanding creditors'!$O3775</f>
        <v>1406.542056</v>
      </c>
      <c r="Q3775" s="7">
        <f>DAY('data on outstanding creditors'!$B3775)</f>
        <v>23</v>
      </c>
      <c r="R3775" s="7">
        <f>MONTH('data on outstanding creditors'!$B3775)</f>
        <v>5</v>
      </c>
      <c r="S3775" s="7">
        <f>YEAR('data on outstanding creditors'!$B3775)</f>
        <v>2025</v>
      </c>
      <c r="T3775" s="11" t="str">
        <f>'data on outstanding creditors'!$C3775&amp;" "&amp;'data on outstanding creditors'!$D3775&amp;" "&amp;TEXT('data on outstanding creditors'!$E3775,"#,##0.00")</f>
        <v>บ.โรงพยาบาลกรุงเทพ ราชสีมา  สิทธิ สปสช BKH.AR087/2568 21,500.00</v>
      </c>
      <c r="U3775" s="12"/>
    </row>
    <row r="3776" ht="13.5" customHeight="1">
      <c r="A3776" s="1" t="s">
        <v>5978</v>
      </c>
      <c r="B3776" s="2">
        <v>45812.0</v>
      </c>
      <c r="C3776" s="9" t="s">
        <v>5329</v>
      </c>
      <c r="D3776" s="1" t="s">
        <v>5979</v>
      </c>
      <c r="E3776" s="4">
        <v>149500.0</v>
      </c>
      <c r="F3776" s="4"/>
      <c r="G3776" s="4"/>
      <c r="H3776" s="4">
        <f>'data on outstanding creditors'!$E3776-'data on outstanding creditors'!$F3776-'data on outstanding creditors'!$G3776</f>
        <v>149500</v>
      </c>
      <c r="I3776" s="2"/>
      <c r="J3776" s="1" t="s">
        <v>646</v>
      </c>
      <c r="K3776" s="2">
        <v>45846.0</v>
      </c>
      <c r="L3776" s="5"/>
      <c r="M3776" s="9" t="s">
        <v>61</v>
      </c>
      <c r="N3776" s="9" t="s">
        <v>49</v>
      </c>
      <c r="O3776" s="10">
        <f>'data on outstanding creditors'!$E3776*100/107</f>
        <v>139719.6262</v>
      </c>
      <c r="P3776" s="10">
        <f>'data on outstanding creditors'!$E3776-'data on outstanding creditors'!$O3776</f>
        <v>9780.373832</v>
      </c>
      <c r="Q3776" s="7">
        <f>DAY('data on outstanding creditors'!$B3776)</f>
        <v>4</v>
      </c>
      <c r="R3776" s="7">
        <f>MONTH('data on outstanding creditors'!$B3776)</f>
        <v>6</v>
      </c>
      <c r="S3776" s="7">
        <f>YEAR('data on outstanding creditors'!$B3776)</f>
        <v>2025</v>
      </c>
      <c r="T3776" s="11" t="str">
        <f>'data on outstanding creditors'!$C3776&amp;" "&amp;'data on outstanding creditors'!$D3776&amp;" "&amp;TEXT('data on outstanding creditors'!$E3776,"#,##0.00")</f>
        <v>บ.เจ.เอฟ.แอดวาน เมด IV2505/436 149,500.00</v>
      </c>
      <c r="U3776" s="12"/>
    </row>
    <row r="3777" ht="13.5" customHeight="1">
      <c r="A3777" s="1"/>
      <c r="B3777" s="2">
        <v>45812.0</v>
      </c>
      <c r="C3777" s="9" t="s">
        <v>5818</v>
      </c>
      <c r="D3777" s="1" t="s">
        <v>5980</v>
      </c>
      <c r="E3777" s="4">
        <v>171600.0</v>
      </c>
      <c r="F3777" s="4"/>
      <c r="G3777" s="4"/>
      <c r="H3777" s="4">
        <f>'data on outstanding creditors'!$E3777-'data on outstanding creditors'!$F3777-'data on outstanding creditors'!$G3777</f>
        <v>171600</v>
      </c>
      <c r="I3777" s="2"/>
      <c r="J3777" s="1"/>
      <c r="K3777" s="2"/>
      <c r="L3777" s="5"/>
      <c r="M3777" s="9" t="s">
        <v>61</v>
      </c>
      <c r="N3777" s="9" t="s">
        <v>49</v>
      </c>
      <c r="O3777" s="10">
        <f>'data on outstanding creditors'!$E3777*100/107</f>
        <v>160373.8318</v>
      </c>
      <c r="P3777" s="10">
        <f>'data on outstanding creditors'!$E3777-'data on outstanding creditors'!$O3777</f>
        <v>11226.16822</v>
      </c>
      <c r="Q3777" s="7">
        <f>DAY('data on outstanding creditors'!$B3777)</f>
        <v>4</v>
      </c>
      <c r="R3777" s="7">
        <f>MONTH('data on outstanding creditors'!$B3777)</f>
        <v>6</v>
      </c>
      <c r="S3777" s="7">
        <f>YEAR('data on outstanding creditors'!$B3777)</f>
        <v>2025</v>
      </c>
      <c r="T3777" s="11" t="str">
        <f>'data on outstanding creditors'!$C3777&amp;" "&amp;'data on outstanding creditors'!$D3777&amp;" "&amp;TEXT('data on outstanding creditors'!$E3777,"#,##0.00")</f>
        <v>บ.ไทย เฮลท์ อิมเมจจิ้ง CT SCAN  สิทธิ สปสช 017/820 03/68 171,600.00</v>
      </c>
      <c r="U3777" s="12"/>
    </row>
    <row r="3778" ht="13.5" customHeight="1">
      <c r="A3778" s="1"/>
      <c r="B3778" s="2">
        <v>45812.0</v>
      </c>
      <c r="C3778" s="9" t="s">
        <v>5818</v>
      </c>
      <c r="D3778" s="1" t="s">
        <v>5981</v>
      </c>
      <c r="E3778" s="4">
        <v>138870.0</v>
      </c>
      <c r="F3778" s="4"/>
      <c r="G3778" s="4"/>
      <c r="H3778" s="4">
        <f>'data on outstanding creditors'!$E3778-'data on outstanding creditors'!$F3778-'data on outstanding creditors'!$G3778</f>
        <v>138870</v>
      </c>
      <c r="I3778" s="2"/>
      <c r="J3778" s="1"/>
      <c r="K3778" s="2"/>
      <c r="L3778" s="5"/>
      <c r="M3778" s="9" t="s">
        <v>61</v>
      </c>
      <c r="N3778" s="9" t="s">
        <v>49</v>
      </c>
      <c r="O3778" s="10">
        <f>'data on outstanding creditors'!$E3778*100/107</f>
        <v>129785.0467</v>
      </c>
      <c r="P3778" s="10">
        <f>'data on outstanding creditors'!$E3778-'data on outstanding creditors'!$O3778</f>
        <v>9084.953271</v>
      </c>
      <c r="Q3778" s="7">
        <f>DAY('data on outstanding creditors'!$B3778)</f>
        <v>4</v>
      </c>
      <c r="R3778" s="7">
        <f>MONTH('data on outstanding creditors'!$B3778)</f>
        <v>6</v>
      </c>
      <c r="S3778" s="7">
        <f>YEAR('data on outstanding creditors'!$B3778)</f>
        <v>2025</v>
      </c>
      <c r="T3778" s="11" t="str">
        <f>'data on outstanding creditors'!$C3778&amp;" "&amp;'data on outstanding creditors'!$D3778&amp;" "&amp;TEXT('data on outstanding creditors'!$E3778,"#,##0.00")</f>
        <v>บ.ไทย เฮลท์ อิมเมจจิ้ง CT SCAN  สิทธิ สปสช 017/821 03/68 138,870.00</v>
      </c>
      <c r="U3778" s="12"/>
    </row>
    <row r="3779" ht="13.5" customHeight="1">
      <c r="A3779" s="1"/>
      <c r="B3779" s="2">
        <v>45812.0</v>
      </c>
      <c r="C3779" s="9" t="s">
        <v>5818</v>
      </c>
      <c r="D3779" s="1" t="s">
        <v>5982</v>
      </c>
      <c r="E3779" s="4">
        <v>171440.0</v>
      </c>
      <c r="F3779" s="4"/>
      <c r="G3779" s="4"/>
      <c r="H3779" s="4">
        <f>'data on outstanding creditors'!$E3779-'data on outstanding creditors'!$F3779-'data on outstanding creditors'!$G3779</f>
        <v>171440</v>
      </c>
      <c r="I3779" s="2"/>
      <c r="J3779" s="1"/>
      <c r="K3779" s="2"/>
      <c r="L3779" s="5"/>
      <c r="M3779" s="9" t="s">
        <v>61</v>
      </c>
      <c r="N3779" s="9" t="s">
        <v>49</v>
      </c>
      <c r="O3779" s="10">
        <f>'data on outstanding creditors'!$E3779*100/107</f>
        <v>160224.2991</v>
      </c>
      <c r="P3779" s="10">
        <f>'data on outstanding creditors'!$E3779-'data on outstanding creditors'!$O3779</f>
        <v>11215.70093</v>
      </c>
      <c r="Q3779" s="7">
        <f>DAY('data on outstanding creditors'!$B3779)</f>
        <v>4</v>
      </c>
      <c r="R3779" s="7">
        <f>MONTH('data on outstanding creditors'!$B3779)</f>
        <v>6</v>
      </c>
      <c r="S3779" s="7">
        <f>YEAR('data on outstanding creditors'!$B3779)</f>
        <v>2025</v>
      </c>
      <c r="T3779" s="11" t="str">
        <f>'data on outstanding creditors'!$C3779&amp;" "&amp;'data on outstanding creditors'!$D3779&amp;" "&amp;TEXT('data on outstanding creditors'!$E3779,"#,##0.00")</f>
        <v>บ.ไทย เฮลท์ อิมเมจจิ้ง CT SCAN  สิทธิ สปสช 017/822 03/68 171,440.00</v>
      </c>
      <c r="U3779" s="12"/>
    </row>
    <row r="3780" ht="13.5" customHeight="1">
      <c r="A3780" s="1"/>
      <c r="B3780" s="2">
        <v>45812.0</v>
      </c>
      <c r="C3780" s="9" t="s">
        <v>5818</v>
      </c>
      <c r="D3780" s="1" t="s">
        <v>5983</v>
      </c>
      <c r="E3780" s="4">
        <v>191830.0</v>
      </c>
      <c r="F3780" s="4"/>
      <c r="G3780" s="4"/>
      <c r="H3780" s="4">
        <f>'data on outstanding creditors'!$E3780-'data on outstanding creditors'!$F3780-'data on outstanding creditors'!$G3780</f>
        <v>191830</v>
      </c>
      <c r="I3780" s="2"/>
      <c r="J3780" s="1"/>
      <c r="K3780" s="2"/>
      <c r="L3780" s="5"/>
      <c r="M3780" s="9" t="s">
        <v>61</v>
      </c>
      <c r="N3780" s="9" t="s">
        <v>49</v>
      </c>
      <c r="O3780" s="10">
        <f>'data on outstanding creditors'!$E3780*100/107</f>
        <v>179280.3738</v>
      </c>
      <c r="P3780" s="10">
        <f>'data on outstanding creditors'!$E3780-'data on outstanding creditors'!$O3780</f>
        <v>12549.62617</v>
      </c>
      <c r="Q3780" s="7">
        <f>DAY('data on outstanding creditors'!$B3780)</f>
        <v>4</v>
      </c>
      <c r="R3780" s="7">
        <f>MONTH('data on outstanding creditors'!$B3780)</f>
        <v>6</v>
      </c>
      <c r="S3780" s="7">
        <f>YEAR('data on outstanding creditors'!$B3780)</f>
        <v>2025</v>
      </c>
      <c r="T3780" s="11" t="str">
        <f>'data on outstanding creditors'!$C3780&amp;" "&amp;'data on outstanding creditors'!$D3780&amp;" "&amp;TEXT('data on outstanding creditors'!$E3780,"#,##0.00")</f>
        <v>บ.ไทย เฮลท์ อิมเมจจิ้ง CT SCAN  สิทธิ สปสช 017/823 03/68 191,830.00</v>
      </c>
      <c r="U3780" s="12"/>
    </row>
    <row r="3781" ht="13.5" customHeight="1">
      <c r="A3781" s="1"/>
      <c r="B3781" s="2">
        <v>45812.0</v>
      </c>
      <c r="C3781" s="9" t="s">
        <v>5818</v>
      </c>
      <c r="D3781" s="1" t="s">
        <v>5984</v>
      </c>
      <c r="E3781" s="4">
        <v>177400.0</v>
      </c>
      <c r="F3781" s="4"/>
      <c r="G3781" s="4"/>
      <c r="H3781" s="4">
        <f>'data on outstanding creditors'!$E3781-'data on outstanding creditors'!$F3781-'data on outstanding creditors'!$G3781</f>
        <v>177400</v>
      </c>
      <c r="I3781" s="2"/>
      <c r="J3781" s="1"/>
      <c r="K3781" s="2"/>
      <c r="L3781" s="5"/>
      <c r="M3781" s="9" t="s">
        <v>61</v>
      </c>
      <c r="N3781" s="9" t="s">
        <v>49</v>
      </c>
      <c r="O3781" s="10">
        <f>'data on outstanding creditors'!$E3781*100/107</f>
        <v>165794.3925</v>
      </c>
      <c r="P3781" s="10">
        <f>'data on outstanding creditors'!$E3781-'data on outstanding creditors'!$O3781</f>
        <v>11605.60748</v>
      </c>
      <c r="Q3781" s="7">
        <f>DAY('data on outstanding creditors'!$B3781)</f>
        <v>4</v>
      </c>
      <c r="R3781" s="7">
        <f>MONTH('data on outstanding creditors'!$B3781)</f>
        <v>6</v>
      </c>
      <c r="S3781" s="7">
        <f>YEAR('data on outstanding creditors'!$B3781)</f>
        <v>2025</v>
      </c>
      <c r="T3781" s="11" t="str">
        <f>'data on outstanding creditors'!$C3781&amp;" "&amp;'data on outstanding creditors'!$D3781&amp;" "&amp;TEXT('data on outstanding creditors'!$E3781,"#,##0.00")</f>
        <v>บ.ไทย เฮลท์ อิมเมจจิ้ง CT SCAN  สิทธิ สปสช 017/824 03/68 177,400.00</v>
      </c>
      <c r="U3781" s="12"/>
    </row>
    <row r="3782" ht="13.5" customHeight="1">
      <c r="A3782" s="1"/>
      <c r="B3782" s="2">
        <v>45812.0</v>
      </c>
      <c r="C3782" s="9" t="s">
        <v>5818</v>
      </c>
      <c r="D3782" s="1" t="s">
        <v>5985</v>
      </c>
      <c r="E3782" s="4">
        <v>158630.0</v>
      </c>
      <c r="F3782" s="4"/>
      <c r="G3782" s="4"/>
      <c r="H3782" s="4">
        <f>'data on outstanding creditors'!$E3782-'data on outstanding creditors'!$F3782-'data on outstanding creditors'!$G3782</f>
        <v>158630</v>
      </c>
      <c r="I3782" s="2"/>
      <c r="J3782" s="1"/>
      <c r="K3782" s="2"/>
      <c r="L3782" s="5"/>
      <c r="M3782" s="9" t="s">
        <v>61</v>
      </c>
      <c r="N3782" s="9" t="s">
        <v>49</v>
      </c>
      <c r="O3782" s="10">
        <f>'data on outstanding creditors'!$E3782*100/107</f>
        <v>148252.3364</v>
      </c>
      <c r="P3782" s="10">
        <f>'data on outstanding creditors'!$E3782-'data on outstanding creditors'!$O3782</f>
        <v>10377.66355</v>
      </c>
      <c r="Q3782" s="7">
        <f>DAY('data on outstanding creditors'!$B3782)</f>
        <v>4</v>
      </c>
      <c r="R3782" s="7">
        <f>MONTH('data on outstanding creditors'!$B3782)</f>
        <v>6</v>
      </c>
      <c r="S3782" s="7">
        <f>YEAR('data on outstanding creditors'!$B3782)</f>
        <v>2025</v>
      </c>
      <c r="T3782" s="11" t="str">
        <f>'data on outstanding creditors'!$C3782&amp;" "&amp;'data on outstanding creditors'!$D3782&amp;" "&amp;TEXT('data on outstanding creditors'!$E3782,"#,##0.00")</f>
        <v>บ.ไทย เฮลท์ อิมเมจจิ้ง CT SCAN  สิทธิ สปสช 017/825 03/68 158,630.00</v>
      </c>
      <c r="U3782" s="12"/>
    </row>
    <row r="3783" ht="13.5" customHeight="1">
      <c r="A3783" s="1"/>
      <c r="B3783" s="2">
        <v>45812.0</v>
      </c>
      <c r="C3783" s="9" t="s">
        <v>5818</v>
      </c>
      <c r="D3783" s="1" t="s">
        <v>5986</v>
      </c>
      <c r="E3783" s="4">
        <v>155110.0</v>
      </c>
      <c r="F3783" s="4"/>
      <c r="G3783" s="4"/>
      <c r="H3783" s="4">
        <f>'data on outstanding creditors'!$E3783-'data on outstanding creditors'!$F3783-'data on outstanding creditors'!$G3783</f>
        <v>155110</v>
      </c>
      <c r="I3783" s="2"/>
      <c r="J3783" s="1"/>
      <c r="K3783" s="2"/>
      <c r="L3783" s="5"/>
      <c r="M3783" s="9" t="s">
        <v>61</v>
      </c>
      <c r="N3783" s="9" t="s">
        <v>49</v>
      </c>
      <c r="O3783" s="10">
        <f>'data on outstanding creditors'!$E3783*100/107</f>
        <v>144962.6168</v>
      </c>
      <c r="P3783" s="10">
        <f>'data on outstanding creditors'!$E3783-'data on outstanding creditors'!$O3783</f>
        <v>10147.38318</v>
      </c>
      <c r="Q3783" s="7">
        <f>DAY('data on outstanding creditors'!$B3783)</f>
        <v>4</v>
      </c>
      <c r="R3783" s="7">
        <f>MONTH('data on outstanding creditors'!$B3783)</f>
        <v>6</v>
      </c>
      <c r="S3783" s="7">
        <f>YEAR('data on outstanding creditors'!$B3783)</f>
        <v>2025</v>
      </c>
      <c r="T3783" s="11" t="str">
        <f>'data on outstanding creditors'!$C3783&amp;" "&amp;'data on outstanding creditors'!$D3783&amp;" "&amp;TEXT('data on outstanding creditors'!$E3783,"#,##0.00")</f>
        <v>บ.ไทย เฮลท์ อิมเมจจิ้ง CT SCAN  สิทธิ สปสช 017/826 03/68 155,110.00</v>
      </c>
      <c r="U3783" s="12"/>
    </row>
    <row r="3784" ht="13.5" customHeight="1">
      <c r="A3784" s="1"/>
      <c r="B3784" s="2">
        <v>45812.0</v>
      </c>
      <c r="C3784" s="9" t="s">
        <v>5818</v>
      </c>
      <c r="D3784" s="1" t="s">
        <v>5987</v>
      </c>
      <c r="E3784" s="4">
        <v>140560.0</v>
      </c>
      <c r="F3784" s="4"/>
      <c r="G3784" s="4"/>
      <c r="H3784" s="4">
        <f>'data on outstanding creditors'!$E3784-'data on outstanding creditors'!$F3784-'data on outstanding creditors'!$G3784</f>
        <v>140560</v>
      </c>
      <c r="I3784" s="2"/>
      <c r="J3784" s="1"/>
      <c r="K3784" s="2"/>
      <c r="L3784" s="5"/>
      <c r="M3784" s="9" t="s">
        <v>61</v>
      </c>
      <c r="N3784" s="9" t="s">
        <v>49</v>
      </c>
      <c r="O3784" s="10">
        <f>'data on outstanding creditors'!$E3784*100/107</f>
        <v>131364.486</v>
      </c>
      <c r="P3784" s="10">
        <f>'data on outstanding creditors'!$E3784-'data on outstanding creditors'!$O3784</f>
        <v>9195.514019</v>
      </c>
      <c r="Q3784" s="7">
        <f>DAY('data on outstanding creditors'!$B3784)</f>
        <v>4</v>
      </c>
      <c r="R3784" s="7">
        <f>MONTH('data on outstanding creditors'!$B3784)</f>
        <v>6</v>
      </c>
      <c r="S3784" s="7">
        <f>YEAR('data on outstanding creditors'!$B3784)</f>
        <v>2025</v>
      </c>
      <c r="T3784" s="11" t="str">
        <f>'data on outstanding creditors'!$C3784&amp;" "&amp;'data on outstanding creditors'!$D3784&amp;" "&amp;TEXT('data on outstanding creditors'!$E3784,"#,##0.00")</f>
        <v>บ.ไทย เฮลท์ อิมเมจจิ้ง CT SCAN  สิทธิ สปสช 017/827 03/68 140,560.00</v>
      </c>
      <c r="U3784" s="12"/>
    </row>
    <row r="3785" ht="13.5" customHeight="1">
      <c r="A3785" s="1"/>
      <c r="B3785" s="2">
        <v>45812.0</v>
      </c>
      <c r="C3785" s="9" t="s">
        <v>5818</v>
      </c>
      <c r="D3785" s="1" t="s">
        <v>5988</v>
      </c>
      <c r="E3785" s="4">
        <v>155150.0</v>
      </c>
      <c r="F3785" s="4"/>
      <c r="G3785" s="4"/>
      <c r="H3785" s="4">
        <f>'data on outstanding creditors'!$E3785-'data on outstanding creditors'!$F3785-'data on outstanding creditors'!$G3785</f>
        <v>155150</v>
      </c>
      <c r="I3785" s="2"/>
      <c r="J3785" s="1"/>
      <c r="K3785" s="2"/>
      <c r="L3785" s="5"/>
      <c r="M3785" s="9" t="s">
        <v>61</v>
      </c>
      <c r="N3785" s="9" t="s">
        <v>49</v>
      </c>
      <c r="O3785" s="10">
        <f>'data on outstanding creditors'!$E3785*100/107</f>
        <v>145000</v>
      </c>
      <c r="P3785" s="10">
        <f>'data on outstanding creditors'!$E3785-'data on outstanding creditors'!$O3785</f>
        <v>10150</v>
      </c>
      <c r="Q3785" s="7">
        <f>DAY('data on outstanding creditors'!$B3785)</f>
        <v>4</v>
      </c>
      <c r="R3785" s="7">
        <f>MONTH('data on outstanding creditors'!$B3785)</f>
        <v>6</v>
      </c>
      <c r="S3785" s="7">
        <f>YEAR('data on outstanding creditors'!$B3785)</f>
        <v>2025</v>
      </c>
      <c r="T3785" s="11" t="str">
        <f>'data on outstanding creditors'!$C3785&amp;" "&amp;'data on outstanding creditors'!$D3785&amp;" "&amp;TEXT('data on outstanding creditors'!$E3785,"#,##0.00")</f>
        <v>บ.ไทย เฮลท์ อิมเมจจิ้ง CT SCAN  สิทธิ สปสช 017/828 03/68 155,150.00</v>
      </c>
      <c r="U3785" s="12"/>
    </row>
    <row r="3786" ht="13.5" customHeight="1">
      <c r="A3786" s="1"/>
      <c r="B3786" s="2">
        <v>45812.0</v>
      </c>
      <c r="C3786" s="9" t="s">
        <v>5818</v>
      </c>
      <c r="D3786" s="1" t="s">
        <v>5989</v>
      </c>
      <c r="E3786" s="4">
        <v>170750.0</v>
      </c>
      <c r="F3786" s="4"/>
      <c r="G3786" s="4"/>
      <c r="H3786" s="4">
        <f>'data on outstanding creditors'!$E3786-'data on outstanding creditors'!$F3786-'data on outstanding creditors'!$G3786</f>
        <v>170750</v>
      </c>
      <c r="I3786" s="2"/>
      <c r="J3786" s="1"/>
      <c r="K3786" s="2"/>
      <c r="L3786" s="5"/>
      <c r="M3786" s="9" t="s">
        <v>61</v>
      </c>
      <c r="N3786" s="9" t="s">
        <v>49</v>
      </c>
      <c r="O3786" s="10">
        <f>'data on outstanding creditors'!$E3786*100/107</f>
        <v>159579.4393</v>
      </c>
      <c r="P3786" s="10">
        <f>'data on outstanding creditors'!$E3786-'data on outstanding creditors'!$O3786</f>
        <v>11170.56075</v>
      </c>
      <c r="Q3786" s="7">
        <f>DAY('data on outstanding creditors'!$B3786)</f>
        <v>4</v>
      </c>
      <c r="R3786" s="7">
        <f>MONTH('data on outstanding creditors'!$B3786)</f>
        <v>6</v>
      </c>
      <c r="S3786" s="7">
        <f>YEAR('data on outstanding creditors'!$B3786)</f>
        <v>2025</v>
      </c>
      <c r="T3786" s="11" t="str">
        <f>'data on outstanding creditors'!$C3786&amp;" "&amp;'data on outstanding creditors'!$D3786&amp;" "&amp;TEXT('data on outstanding creditors'!$E3786,"#,##0.00")</f>
        <v>บ.ไทย เฮลท์ อิมเมจจิ้ง CT SCAN  สิทธิ สปสช 017/829 03/68 170,750.00</v>
      </c>
      <c r="U3786" s="12"/>
    </row>
    <row r="3787" ht="13.5" customHeight="1">
      <c r="A3787" s="1"/>
      <c r="B3787" s="2">
        <v>45812.0</v>
      </c>
      <c r="C3787" s="9" t="s">
        <v>5810</v>
      </c>
      <c r="D3787" s="1" t="s">
        <v>5990</v>
      </c>
      <c r="E3787" s="4">
        <v>132850.0</v>
      </c>
      <c r="F3787" s="4"/>
      <c r="G3787" s="4"/>
      <c r="H3787" s="4">
        <f>'data on outstanding creditors'!$E3787-'data on outstanding creditors'!$F3787-'data on outstanding creditors'!$G3787</f>
        <v>132850</v>
      </c>
      <c r="I3787" s="2"/>
      <c r="J3787" s="1"/>
      <c r="K3787" s="2"/>
      <c r="L3787" s="5"/>
      <c r="M3787" s="9" t="s">
        <v>61</v>
      </c>
      <c r="N3787" s="9" t="s">
        <v>49</v>
      </c>
      <c r="O3787" s="10">
        <f>'data on outstanding creditors'!$E3787*100/107</f>
        <v>124158.8785</v>
      </c>
      <c r="P3787" s="10">
        <f>'data on outstanding creditors'!$E3787-'data on outstanding creditors'!$O3787</f>
        <v>8691.121495</v>
      </c>
      <c r="Q3787" s="7">
        <f>DAY('data on outstanding creditors'!$B3787)</f>
        <v>4</v>
      </c>
      <c r="R3787" s="7">
        <f>MONTH('data on outstanding creditors'!$B3787)</f>
        <v>6</v>
      </c>
      <c r="S3787" s="7">
        <f>YEAR('data on outstanding creditors'!$B3787)</f>
        <v>2025</v>
      </c>
      <c r="T3787" s="11" t="str">
        <f>'data on outstanding creditors'!$C3787&amp;" "&amp;'data on outstanding creditors'!$D3787&amp;" "&amp;TEXT('data on outstanding creditors'!$E3787,"#,##0.00")</f>
        <v>บ.ไทย เฮลท์ อิมเมจจิ้ง CT SCAN  สิทธิ จ่ายตรง 017/830 03/68 132,850.00</v>
      </c>
      <c r="U3787" s="12"/>
    </row>
    <row r="3788" ht="13.5" customHeight="1">
      <c r="A3788" s="1"/>
      <c r="B3788" s="2">
        <v>45812.0</v>
      </c>
      <c r="C3788" s="9" t="s">
        <v>5810</v>
      </c>
      <c r="D3788" s="1" t="s">
        <v>5990</v>
      </c>
      <c r="E3788" s="4">
        <v>101500.0</v>
      </c>
      <c r="F3788" s="4"/>
      <c r="G3788" s="4"/>
      <c r="H3788" s="4">
        <f>'data on outstanding creditors'!$E3788-'data on outstanding creditors'!$F3788-'data on outstanding creditors'!$G3788</f>
        <v>101500</v>
      </c>
      <c r="I3788" s="2"/>
      <c r="J3788" s="1"/>
      <c r="K3788" s="2"/>
      <c r="L3788" s="5"/>
      <c r="M3788" s="9" t="s">
        <v>61</v>
      </c>
      <c r="N3788" s="9" t="s">
        <v>49</v>
      </c>
      <c r="O3788" s="10">
        <f>'data on outstanding creditors'!$E3788*100/107</f>
        <v>94859.81308</v>
      </c>
      <c r="P3788" s="10">
        <f>'data on outstanding creditors'!$E3788-'data on outstanding creditors'!$O3788</f>
        <v>6640.186916</v>
      </c>
      <c r="Q3788" s="7">
        <f>DAY('data on outstanding creditors'!$B3788)</f>
        <v>4</v>
      </c>
      <c r="R3788" s="7">
        <f>MONTH('data on outstanding creditors'!$B3788)</f>
        <v>6</v>
      </c>
      <c r="S3788" s="7">
        <f>YEAR('data on outstanding creditors'!$B3788)</f>
        <v>2025</v>
      </c>
      <c r="T3788" s="11" t="str">
        <f>'data on outstanding creditors'!$C3788&amp;" "&amp;'data on outstanding creditors'!$D3788&amp;" "&amp;TEXT('data on outstanding creditors'!$E3788,"#,##0.00")</f>
        <v>บ.ไทย เฮลท์ อิมเมจจิ้ง CT SCAN  สิทธิ จ่ายตรง 017/830 03/68 101,500.00</v>
      </c>
      <c r="U3788" s="12"/>
    </row>
    <row r="3789" ht="13.5" customHeight="1">
      <c r="A3789" s="1"/>
      <c r="B3789" s="2">
        <v>45812.0</v>
      </c>
      <c r="C3789" s="9" t="s">
        <v>5813</v>
      </c>
      <c r="D3789" s="1" t="s">
        <v>5991</v>
      </c>
      <c r="E3789" s="4">
        <v>46670.0</v>
      </c>
      <c r="F3789" s="4"/>
      <c r="G3789" s="4"/>
      <c r="H3789" s="4">
        <f>'data on outstanding creditors'!$E3789-'data on outstanding creditors'!$F3789-'data on outstanding creditors'!$G3789</f>
        <v>46670</v>
      </c>
      <c r="I3789" s="2"/>
      <c r="J3789" s="1"/>
      <c r="K3789" s="2"/>
      <c r="L3789" s="5"/>
      <c r="M3789" s="9" t="s">
        <v>61</v>
      </c>
      <c r="N3789" s="9" t="s">
        <v>49</v>
      </c>
      <c r="O3789" s="10">
        <f>'data on outstanding creditors'!$E3789*100/107</f>
        <v>43616.82243</v>
      </c>
      <c r="P3789" s="10">
        <f>'data on outstanding creditors'!$E3789-'data on outstanding creditors'!$O3789</f>
        <v>3053.17757</v>
      </c>
      <c r="Q3789" s="7">
        <f>DAY('data on outstanding creditors'!$B3789)</f>
        <v>4</v>
      </c>
      <c r="R3789" s="7">
        <f>MONTH('data on outstanding creditors'!$B3789)</f>
        <v>6</v>
      </c>
      <c r="S3789" s="7">
        <f>YEAR('data on outstanding creditors'!$B3789)</f>
        <v>2025</v>
      </c>
      <c r="T3789" s="11" t="str">
        <f>'data on outstanding creditors'!$C3789&amp;" "&amp;'data on outstanding creditors'!$D3789&amp;" "&amp;TEXT('data on outstanding creditors'!$E3789,"#,##0.00")</f>
        <v>บ.ไทย เฮลท์ อิมเมจจิ้ง CT SCAN  สิทธิ ชำระเงิน 017/832 03/68 46,670.00</v>
      </c>
      <c r="U3789" s="12"/>
    </row>
    <row r="3790" ht="13.5" customHeight="1">
      <c r="A3790" s="1"/>
      <c r="B3790" s="2">
        <v>45812.0</v>
      </c>
      <c r="C3790" s="9" t="s">
        <v>5813</v>
      </c>
      <c r="D3790" s="1" t="s">
        <v>5992</v>
      </c>
      <c r="E3790" s="4">
        <v>106560.0</v>
      </c>
      <c r="F3790" s="4"/>
      <c r="G3790" s="4"/>
      <c r="H3790" s="4">
        <f>'data on outstanding creditors'!$E3790-'data on outstanding creditors'!$F3790-'data on outstanding creditors'!$G3790</f>
        <v>106560</v>
      </c>
      <c r="I3790" s="2"/>
      <c r="J3790" s="1"/>
      <c r="K3790" s="2"/>
      <c r="L3790" s="5"/>
      <c r="M3790" s="9" t="s">
        <v>61</v>
      </c>
      <c r="N3790" s="9" t="s">
        <v>49</v>
      </c>
      <c r="O3790" s="10">
        <f>'data on outstanding creditors'!$E3790*100/107</f>
        <v>99588.78505</v>
      </c>
      <c r="P3790" s="10">
        <f>'data on outstanding creditors'!$E3790-'data on outstanding creditors'!$O3790</f>
        <v>6971.214953</v>
      </c>
      <c r="Q3790" s="7">
        <f>DAY('data on outstanding creditors'!$B3790)</f>
        <v>4</v>
      </c>
      <c r="R3790" s="7">
        <f>MONTH('data on outstanding creditors'!$B3790)</f>
        <v>6</v>
      </c>
      <c r="S3790" s="7">
        <f>YEAR('data on outstanding creditors'!$B3790)</f>
        <v>2025</v>
      </c>
      <c r="T3790" s="11" t="str">
        <f>'data on outstanding creditors'!$C3790&amp;" "&amp;'data on outstanding creditors'!$D3790&amp;" "&amp;TEXT('data on outstanding creditors'!$E3790,"#,##0.00")</f>
        <v>บ.ไทย เฮลท์ อิมเมจจิ้ง CT SCAN  สิทธิ ชำระเงิน 017/833 03/68 106,560.00</v>
      </c>
      <c r="U3790" s="12"/>
    </row>
    <row r="3791" ht="13.5" customHeight="1">
      <c r="A3791" s="1"/>
      <c r="B3791" s="2">
        <v>45812.0</v>
      </c>
      <c r="C3791" s="9" t="s">
        <v>5993</v>
      </c>
      <c r="D3791" s="1" t="s">
        <v>5994</v>
      </c>
      <c r="E3791" s="4">
        <v>45780.0</v>
      </c>
      <c r="F3791" s="4"/>
      <c r="G3791" s="4"/>
      <c r="H3791" s="4">
        <f>'data on outstanding creditors'!$E3791-'data on outstanding creditors'!$F3791-'data on outstanding creditors'!$G3791</f>
        <v>45780</v>
      </c>
      <c r="I3791" s="2"/>
      <c r="J3791" s="1"/>
      <c r="K3791" s="2"/>
      <c r="L3791" s="5"/>
      <c r="M3791" s="9" t="s">
        <v>61</v>
      </c>
      <c r="N3791" s="9" t="s">
        <v>49</v>
      </c>
      <c r="O3791" s="10">
        <f>'data on outstanding creditors'!$E3791*100/107</f>
        <v>42785.04673</v>
      </c>
      <c r="P3791" s="10">
        <f>'data on outstanding creditors'!$E3791-'data on outstanding creditors'!$O3791</f>
        <v>2994.953271</v>
      </c>
      <c r="Q3791" s="7">
        <f>DAY('data on outstanding creditors'!$B3791)</f>
        <v>4</v>
      </c>
      <c r="R3791" s="7">
        <f>MONTH('data on outstanding creditors'!$B3791)</f>
        <v>6</v>
      </c>
      <c r="S3791" s="7">
        <f>YEAR('data on outstanding creditors'!$B3791)</f>
        <v>2025</v>
      </c>
      <c r="T3791" s="11" t="str">
        <f>'data on outstanding creditors'!$C3791&amp;" "&amp;'data on outstanding creditors'!$D3791&amp;" "&amp;TEXT('data on outstanding creditors'!$E3791,"#,##0.00")</f>
        <v>บ.ไทย เฮลท์ อิมเมจจิ้ง CT SCAN  สิทธิ ปกส 017/834 03/68 45,780.00</v>
      </c>
      <c r="U3791" s="12"/>
    </row>
    <row r="3792" ht="13.5" customHeight="1">
      <c r="A3792" s="1"/>
      <c r="B3792" s="2">
        <v>45812.0</v>
      </c>
      <c r="C3792" s="9" t="s">
        <v>5993</v>
      </c>
      <c r="D3792" s="1" t="s">
        <v>5995</v>
      </c>
      <c r="E3792" s="4">
        <v>44520.0</v>
      </c>
      <c r="F3792" s="4"/>
      <c r="G3792" s="4"/>
      <c r="H3792" s="4">
        <f>'data on outstanding creditors'!$E3792-'data on outstanding creditors'!$F3792-'data on outstanding creditors'!$G3792</f>
        <v>44520</v>
      </c>
      <c r="I3792" s="2"/>
      <c r="J3792" s="1"/>
      <c r="K3792" s="2"/>
      <c r="L3792" s="5"/>
      <c r="M3792" s="9" t="s">
        <v>61</v>
      </c>
      <c r="N3792" s="9" t="s">
        <v>49</v>
      </c>
      <c r="O3792" s="10">
        <f>'data on outstanding creditors'!$E3792*100/107</f>
        <v>41607.47664</v>
      </c>
      <c r="P3792" s="10">
        <f>'data on outstanding creditors'!$E3792-'data on outstanding creditors'!$O3792</f>
        <v>2912.523364</v>
      </c>
      <c r="Q3792" s="7">
        <f>DAY('data on outstanding creditors'!$B3792)</f>
        <v>4</v>
      </c>
      <c r="R3792" s="7">
        <f>MONTH('data on outstanding creditors'!$B3792)</f>
        <v>6</v>
      </c>
      <c r="S3792" s="7">
        <f>YEAR('data on outstanding creditors'!$B3792)</f>
        <v>2025</v>
      </c>
      <c r="T3792" s="11" t="str">
        <f>'data on outstanding creditors'!$C3792&amp;" "&amp;'data on outstanding creditors'!$D3792&amp;" "&amp;TEXT('data on outstanding creditors'!$E3792,"#,##0.00")</f>
        <v>บ.ไทย เฮลท์ อิมเมจจิ้ง CT SCAN  สิทธิ ปกส 017/835 03/68 44,520.00</v>
      </c>
      <c r="U3792" s="12"/>
    </row>
    <row r="3793" ht="13.5" customHeight="1">
      <c r="A3793" s="1"/>
      <c r="B3793" s="2">
        <v>45812.0</v>
      </c>
      <c r="C3793" s="9" t="s">
        <v>5816</v>
      </c>
      <c r="D3793" s="1" t="s">
        <v>5996</v>
      </c>
      <c r="E3793" s="4">
        <v>14540.0</v>
      </c>
      <c r="F3793" s="4"/>
      <c r="G3793" s="4"/>
      <c r="H3793" s="4">
        <f>'data on outstanding creditors'!$E3793-'data on outstanding creditors'!$F3793-'data on outstanding creditors'!$G3793</f>
        <v>14540</v>
      </c>
      <c r="I3793" s="2"/>
      <c r="J3793" s="1"/>
      <c r="K3793" s="2"/>
      <c r="L3793" s="5"/>
      <c r="M3793" s="9" t="s">
        <v>61</v>
      </c>
      <c r="N3793" s="9" t="s">
        <v>49</v>
      </c>
      <c r="O3793" s="10">
        <f>'data on outstanding creditors'!$E3793*100/107</f>
        <v>13588.78505</v>
      </c>
      <c r="P3793" s="10">
        <f>'data on outstanding creditors'!$E3793-'data on outstanding creditors'!$O3793</f>
        <v>951.2149533</v>
      </c>
      <c r="Q3793" s="7">
        <f>DAY('data on outstanding creditors'!$B3793)</f>
        <v>4</v>
      </c>
      <c r="R3793" s="7">
        <f>MONTH('data on outstanding creditors'!$B3793)</f>
        <v>6</v>
      </c>
      <c r="S3793" s="7">
        <f>YEAR('data on outstanding creditors'!$B3793)</f>
        <v>2025</v>
      </c>
      <c r="T3793" s="11" t="str">
        <f>'data on outstanding creditors'!$C3793&amp;" "&amp;'data on outstanding creditors'!$D3793&amp;" "&amp;TEXT('data on outstanding creditors'!$E3793,"#,##0.00")</f>
        <v>บ.ไทย เฮลท์ อิมเมจจิ้ง CT SCAN  สิทธิ พรบ. 017/836 03/68 14,540.00</v>
      </c>
      <c r="U3793" s="12"/>
    </row>
    <row r="3794" ht="13.5" customHeight="1">
      <c r="A3794" s="1" t="s">
        <v>5997</v>
      </c>
      <c r="B3794" s="2">
        <v>45812.0</v>
      </c>
      <c r="C3794" s="9" t="s">
        <v>79</v>
      </c>
      <c r="D3794" s="1" t="s">
        <v>5998</v>
      </c>
      <c r="E3794" s="4">
        <v>90240.0</v>
      </c>
      <c r="F3794" s="4"/>
      <c r="G3794" s="4"/>
      <c r="H3794" s="4">
        <f>'data on outstanding creditors'!$E3794-'data on outstanding creditors'!$F3794-'data on outstanding creditors'!$G3794</f>
        <v>90240</v>
      </c>
      <c r="I3794" s="2"/>
      <c r="J3794" s="1"/>
      <c r="K3794" s="2"/>
      <c r="L3794" s="5"/>
      <c r="M3794" s="9" t="s">
        <v>61</v>
      </c>
      <c r="N3794" s="9" t="s">
        <v>49</v>
      </c>
      <c r="O3794" s="10">
        <f>'data on outstanding creditors'!$E3794*100/107</f>
        <v>84336.4486</v>
      </c>
      <c r="P3794" s="10">
        <f>'data on outstanding creditors'!$E3794-'data on outstanding creditors'!$O3794</f>
        <v>5903.551402</v>
      </c>
      <c r="Q3794" s="7">
        <f>DAY('data on outstanding creditors'!$B3794)</f>
        <v>4</v>
      </c>
      <c r="R3794" s="7">
        <f>MONTH('data on outstanding creditors'!$B3794)</f>
        <v>6</v>
      </c>
      <c r="S3794" s="7">
        <f>YEAR('data on outstanding creditors'!$B3794)</f>
        <v>2025</v>
      </c>
      <c r="T3794" s="11" t="str">
        <f>'data on outstanding creditors'!$C3794&amp;" "&amp;'data on outstanding creditors'!$D3794&amp;" "&amp;TEXT('data on outstanding creditors'!$E3794,"#,##0.00")</f>
        <v>บ.ไทย เฮลท์ อิมเมจจิ้ง MMG  สิทธิ สปสช 017/837 03/68 90,240.00</v>
      </c>
      <c r="U3794" s="12"/>
    </row>
    <row r="3795" ht="13.5" customHeight="1">
      <c r="A3795" s="1" t="s">
        <v>5999</v>
      </c>
      <c r="B3795" s="2">
        <v>45812.0</v>
      </c>
      <c r="C3795" s="9" t="s">
        <v>81</v>
      </c>
      <c r="D3795" s="1" t="s">
        <v>6000</v>
      </c>
      <c r="E3795" s="4">
        <v>34560.0</v>
      </c>
      <c r="F3795" s="4"/>
      <c r="G3795" s="4"/>
      <c r="H3795" s="4">
        <f>'data on outstanding creditors'!$E3795-'data on outstanding creditors'!$F3795-'data on outstanding creditors'!$G3795</f>
        <v>34560</v>
      </c>
      <c r="I3795" s="2"/>
      <c r="J3795" s="1"/>
      <c r="K3795" s="2"/>
      <c r="L3795" s="5"/>
      <c r="M3795" s="9" t="s">
        <v>61</v>
      </c>
      <c r="N3795" s="9" t="s">
        <v>49</v>
      </c>
      <c r="O3795" s="10">
        <f>'data on outstanding creditors'!$E3795*100/107</f>
        <v>32299.06542</v>
      </c>
      <c r="P3795" s="10">
        <f>'data on outstanding creditors'!$E3795-'data on outstanding creditors'!$O3795</f>
        <v>2260.934579</v>
      </c>
      <c r="Q3795" s="7">
        <f>DAY('data on outstanding creditors'!$B3795)</f>
        <v>4</v>
      </c>
      <c r="R3795" s="7">
        <f>MONTH('data on outstanding creditors'!$B3795)</f>
        <v>6</v>
      </c>
      <c r="S3795" s="7">
        <f>YEAR('data on outstanding creditors'!$B3795)</f>
        <v>2025</v>
      </c>
      <c r="T3795" s="11" t="str">
        <f>'data on outstanding creditors'!$C3795&amp;" "&amp;'data on outstanding creditors'!$D3795&amp;" "&amp;TEXT('data on outstanding creditors'!$E3795,"#,##0.00")</f>
        <v>บ.ไทย เฮลท์ อิมเมจจิ้ง MMG  สิทธิ จ่ายตรง 017/838 03/68 34,560.00</v>
      </c>
      <c r="U3795" s="12"/>
    </row>
    <row r="3796" ht="13.5" customHeight="1">
      <c r="A3796" s="1" t="s">
        <v>6001</v>
      </c>
      <c r="B3796" s="2">
        <v>45812.0</v>
      </c>
      <c r="C3796" s="9" t="s">
        <v>6002</v>
      </c>
      <c r="D3796" s="1" t="s">
        <v>6003</v>
      </c>
      <c r="E3796" s="4">
        <v>15360.0</v>
      </c>
      <c r="F3796" s="4"/>
      <c r="G3796" s="4"/>
      <c r="H3796" s="4">
        <f>'data on outstanding creditors'!$E3796-'data on outstanding creditors'!$F3796-'data on outstanding creditors'!$G3796</f>
        <v>15360</v>
      </c>
      <c r="I3796" s="2"/>
      <c r="J3796" s="1"/>
      <c r="K3796" s="2"/>
      <c r="L3796" s="5"/>
      <c r="M3796" s="9" t="s">
        <v>61</v>
      </c>
      <c r="N3796" s="9" t="s">
        <v>49</v>
      </c>
      <c r="O3796" s="10">
        <f>'data on outstanding creditors'!$E3796*100/107</f>
        <v>14355.14019</v>
      </c>
      <c r="P3796" s="10">
        <f>'data on outstanding creditors'!$E3796-'data on outstanding creditors'!$O3796</f>
        <v>1004.859813</v>
      </c>
      <c r="Q3796" s="7">
        <f>DAY('data on outstanding creditors'!$B3796)</f>
        <v>4</v>
      </c>
      <c r="R3796" s="7">
        <f>MONTH('data on outstanding creditors'!$B3796)</f>
        <v>6</v>
      </c>
      <c r="S3796" s="7">
        <f>YEAR('data on outstanding creditors'!$B3796)</f>
        <v>2025</v>
      </c>
      <c r="T3796" s="11" t="str">
        <f>'data on outstanding creditors'!$C3796&amp;" "&amp;'data on outstanding creditors'!$D3796&amp;" "&amp;TEXT('data on outstanding creditors'!$E3796,"#,##0.00")</f>
        <v>บ.ไทย เฮลท์ อิมเมจจิ้ง MMG  สิทธิ ปกส 017/839 03/68 15,360.00</v>
      </c>
      <c r="U3796" s="12"/>
    </row>
    <row r="3797" ht="13.5" customHeight="1">
      <c r="A3797" s="1" t="s">
        <v>6004</v>
      </c>
      <c r="B3797" s="2">
        <v>45812.0</v>
      </c>
      <c r="C3797" s="9" t="s">
        <v>59</v>
      </c>
      <c r="D3797" s="1" t="s">
        <v>6005</v>
      </c>
      <c r="E3797" s="4">
        <v>69300.0</v>
      </c>
      <c r="F3797" s="4"/>
      <c r="G3797" s="4"/>
      <c r="H3797" s="4">
        <f>'data on outstanding creditors'!$E3797-'data on outstanding creditors'!$F3797-'data on outstanding creditors'!$G3797</f>
        <v>69300</v>
      </c>
      <c r="I3797" s="2"/>
      <c r="J3797" s="1"/>
      <c r="K3797" s="2"/>
      <c r="L3797" s="5"/>
      <c r="M3797" s="9" t="s">
        <v>61</v>
      </c>
      <c r="N3797" s="9" t="s">
        <v>49</v>
      </c>
      <c r="O3797" s="10">
        <f>'data on outstanding creditors'!$E3797*100/107</f>
        <v>64766.35514</v>
      </c>
      <c r="P3797" s="10">
        <f>'data on outstanding creditors'!$E3797-'data on outstanding creditors'!$O3797</f>
        <v>4533.64486</v>
      </c>
      <c r="Q3797" s="7">
        <f>DAY('data on outstanding creditors'!$B3797)</f>
        <v>4</v>
      </c>
      <c r="R3797" s="7">
        <f>MONTH('data on outstanding creditors'!$B3797)</f>
        <v>6</v>
      </c>
      <c r="S3797" s="7">
        <f>YEAR('data on outstanding creditors'!$B3797)</f>
        <v>2025</v>
      </c>
      <c r="T3797" s="11" t="str">
        <f>'data on outstanding creditors'!$C3797&amp;" "&amp;'data on outstanding creditors'!$D3797&amp;" "&amp;TEXT('data on outstanding creditors'!$E3797,"#,##0.00")</f>
        <v>บ.ไทย เฮลท์ อิมเมจจิ้ง MRI  สิทธิ จ่ายตรง 002/069 03/68 69,300.00</v>
      </c>
      <c r="U3797" s="12"/>
    </row>
    <row r="3798" ht="13.5" customHeight="1">
      <c r="A3798" s="1" t="s">
        <v>6006</v>
      </c>
      <c r="B3798" s="2">
        <v>45812.0</v>
      </c>
      <c r="C3798" s="9" t="s">
        <v>5951</v>
      </c>
      <c r="D3798" s="1" t="s">
        <v>6007</v>
      </c>
      <c r="E3798" s="4">
        <v>20700.0</v>
      </c>
      <c r="F3798" s="4"/>
      <c r="G3798" s="4"/>
      <c r="H3798" s="4">
        <f>'data on outstanding creditors'!$E3798-'data on outstanding creditors'!$F3798-'data on outstanding creditors'!$G3798</f>
        <v>20700</v>
      </c>
      <c r="I3798" s="2"/>
      <c r="J3798" s="1"/>
      <c r="K3798" s="2"/>
      <c r="L3798" s="5"/>
      <c r="M3798" s="9" t="s">
        <v>61</v>
      </c>
      <c r="N3798" s="9" t="s">
        <v>49</v>
      </c>
      <c r="O3798" s="10">
        <f>'data on outstanding creditors'!$E3798*100/107</f>
        <v>19345.79439</v>
      </c>
      <c r="P3798" s="10">
        <f>'data on outstanding creditors'!$E3798-'data on outstanding creditors'!$O3798</f>
        <v>1354.205607</v>
      </c>
      <c r="Q3798" s="7">
        <f>DAY('data on outstanding creditors'!$B3798)</f>
        <v>4</v>
      </c>
      <c r="R3798" s="7">
        <f>MONTH('data on outstanding creditors'!$B3798)</f>
        <v>6</v>
      </c>
      <c r="S3798" s="7">
        <f>YEAR('data on outstanding creditors'!$B3798)</f>
        <v>2025</v>
      </c>
      <c r="T3798" s="11" t="str">
        <f>'data on outstanding creditors'!$C3798&amp;" "&amp;'data on outstanding creditors'!$D3798&amp;" "&amp;TEXT('data on outstanding creditors'!$E3798,"#,##0.00")</f>
        <v>บ.ไทย เฮลท์ อิมเมจจิ้ง MRI  สิทธิ ปกส 002/070 03/68 20,700.00</v>
      </c>
      <c r="U3798" s="12"/>
    </row>
    <row r="3799" ht="13.5" customHeight="1">
      <c r="A3799" s="1" t="s">
        <v>6008</v>
      </c>
      <c r="B3799" s="2">
        <v>45812.0</v>
      </c>
      <c r="C3799" s="9" t="s">
        <v>68</v>
      </c>
      <c r="D3799" s="1" t="s">
        <v>6009</v>
      </c>
      <c r="E3799" s="4">
        <v>148350.0</v>
      </c>
      <c r="F3799" s="4"/>
      <c r="G3799" s="4"/>
      <c r="H3799" s="4">
        <f>'data on outstanding creditors'!$E3799-'data on outstanding creditors'!$F3799-'data on outstanding creditors'!$G3799</f>
        <v>148350</v>
      </c>
      <c r="I3799" s="2"/>
      <c r="J3799" s="1"/>
      <c r="K3799" s="2"/>
      <c r="L3799" s="5"/>
      <c r="M3799" s="9" t="s">
        <v>61</v>
      </c>
      <c r="N3799" s="9" t="s">
        <v>49</v>
      </c>
      <c r="O3799" s="10">
        <f>'data on outstanding creditors'!$E3799*100/107</f>
        <v>138644.8598</v>
      </c>
      <c r="P3799" s="10">
        <f>'data on outstanding creditors'!$E3799-'data on outstanding creditors'!$O3799</f>
        <v>9705.140187</v>
      </c>
      <c r="Q3799" s="7">
        <f>DAY('data on outstanding creditors'!$B3799)</f>
        <v>4</v>
      </c>
      <c r="R3799" s="7">
        <f>MONTH('data on outstanding creditors'!$B3799)</f>
        <v>6</v>
      </c>
      <c r="S3799" s="7">
        <f>YEAR('data on outstanding creditors'!$B3799)</f>
        <v>2025</v>
      </c>
      <c r="T3799" s="11" t="str">
        <f>'data on outstanding creditors'!$C3799&amp;" "&amp;'data on outstanding creditors'!$D3799&amp;" "&amp;TEXT('data on outstanding creditors'!$E3799,"#,##0.00")</f>
        <v>บ.ไทย เฮลท์ อิมเมจจิ้ง MRI  สิทธิ สปสช 002/071 03/68 148,350.00</v>
      </c>
      <c r="U3799" s="12"/>
    </row>
    <row r="3800" ht="13.5" customHeight="1">
      <c r="A3800" s="1" t="s">
        <v>6010</v>
      </c>
      <c r="B3800" s="2">
        <v>45812.0</v>
      </c>
      <c r="C3800" s="9" t="s">
        <v>68</v>
      </c>
      <c r="D3800" s="1" t="s">
        <v>6011</v>
      </c>
      <c r="E3800" s="4">
        <v>114750.0</v>
      </c>
      <c r="F3800" s="4"/>
      <c r="G3800" s="4"/>
      <c r="H3800" s="4">
        <f>'data on outstanding creditors'!$E3800-'data on outstanding creditors'!$F3800-'data on outstanding creditors'!$G3800</f>
        <v>114750</v>
      </c>
      <c r="I3800" s="2"/>
      <c r="J3800" s="1"/>
      <c r="K3800" s="2"/>
      <c r="L3800" s="5"/>
      <c r="M3800" s="9" t="s">
        <v>61</v>
      </c>
      <c r="N3800" s="9" t="s">
        <v>49</v>
      </c>
      <c r="O3800" s="10">
        <f>'data on outstanding creditors'!$E3800*100/107</f>
        <v>107242.9907</v>
      </c>
      <c r="P3800" s="10">
        <f>'data on outstanding creditors'!$E3800-'data on outstanding creditors'!$O3800</f>
        <v>7507.009346</v>
      </c>
      <c r="Q3800" s="7">
        <f>DAY('data on outstanding creditors'!$B3800)</f>
        <v>4</v>
      </c>
      <c r="R3800" s="7">
        <f>MONTH('data on outstanding creditors'!$B3800)</f>
        <v>6</v>
      </c>
      <c r="S3800" s="7">
        <f>YEAR('data on outstanding creditors'!$B3800)</f>
        <v>2025</v>
      </c>
      <c r="T3800" s="11" t="str">
        <f>'data on outstanding creditors'!$C3800&amp;" "&amp;'data on outstanding creditors'!$D3800&amp;" "&amp;TEXT('data on outstanding creditors'!$E3800,"#,##0.00")</f>
        <v>บ.ไทย เฮลท์ อิมเมจจิ้ง MRI  สิทธิ สปสช 002/072 03/68 114,750.00</v>
      </c>
      <c r="U3800" s="12"/>
    </row>
    <row r="3801" ht="13.5" customHeight="1">
      <c r="A3801" s="1" t="s">
        <v>6012</v>
      </c>
      <c r="B3801" s="2">
        <v>45812.0</v>
      </c>
      <c r="C3801" s="9" t="s">
        <v>66</v>
      </c>
      <c r="D3801" s="1" t="s">
        <v>6013</v>
      </c>
      <c r="E3801" s="4">
        <v>22900.0</v>
      </c>
      <c r="F3801" s="4"/>
      <c r="G3801" s="4"/>
      <c r="H3801" s="4">
        <f>'data on outstanding creditors'!$E3801-'data on outstanding creditors'!$F3801-'data on outstanding creditors'!$G3801</f>
        <v>22900</v>
      </c>
      <c r="I3801" s="2"/>
      <c r="J3801" s="1"/>
      <c r="K3801" s="2"/>
      <c r="L3801" s="5"/>
      <c r="M3801" s="9" t="s">
        <v>61</v>
      </c>
      <c r="N3801" s="9" t="s">
        <v>49</v>
      </c>
      <c r="O3801" s="10">
        <f>'data on outstanding creditors'!$E3801*100/107</f>
        <v>21401.86916</v>
      </c>
      <c r="P3801" s="10">
        <f>'data on outstanding creditors'!$E3801-'data on outstanding creditors'!$O3801</f>
        <v>1498.130841</v>
      </c>
      <c r="Q3801" s="7">
        <f>DAY('data on outstanding creditors'!$B3801)</f>
        <v>4</v>
      </c>
      <c r="R3801" s="7">
        <f>MONTH('data on outstanding creditors'!$B3801)</f>
        <v>6</v>
      </c>
      <c r="S3801" s="7">
        <f>YEAR('data on outstanding creditors'!$B3801)</f>
        <v>2025</v>
      </c>
      <c r="T3801" s="11" t="str">
        <f>'data on outstanding creditors'!$C3801&amp;" "&amp;'data on outstanding creditors'!$D3801&amp;" "&amp;TEXT('data on outstanding creditors'!$E3801,"#,##0.00")</f>
        <v>บ.ไทย เฮลท์ อิมเมจจิ้ง MRI  สิทธิ พรบ. 002/073 03/68 22,900.00</v>
      </c>
      <c r="U3801" s="12"/>
    </row>
    <row r="3802" ht="13.5" customHeight="1">
      <c r="A3802" s="1" t="s">
        <v>6014</v>
      </c>
      <c r="B3802" s="2">
        <v>45812.0</v>
      </c>
      <c r="C3802" s="9" t="s">
        <v>64</v>
      </c>
      <c r="D3802" s="1" t="s">
        <v>6015</v>
      </c>
      <c r="E3802" s="4">
        <v>6800.0</v>
      </c>
      <c r="F3802" s="4"/>
      <c r="G3802" s="4"/>
      <c r="H3802" s="4">
        <f>'data on outstanding creditors'!$E3802-'data on outstanding creditors'!$F3802-'data on outstanding creditors'!$G3802</f>
        <v>6800</v>
      </c>
      <c r="I3802" s="2"/>
      <c r="J3802" s="1"/>
      <c r="K3802" s="2"/>
      <c r="L3802" s="5"/>
      <c r="M3802" s="9" t="s">
        <v>61</v>
      </c>
      <c r="N3802" s="9" t="s">
        <v>49</v>
      </c>
      <c r="O3802" s="10">
        <f>'data on outstanding creditors'!$E3802*100/107</f>
        <v>6355.140187</v>
      </c>
      <c r="P3802" s="10">
        <f>'data on outstanding creditors'!$E3802-'data on outstanding creditors'!$O3802</f>
        <v>444.8598131</v>
      </c>
      <c r="Q3802" s="7">
        <f>DAY('data on outstanding creditors'!$B3802)</f>
        <v>4</v>
      </c>
      <c r="R3802" s="7">
        <f>MONTH('data on outstanding creditors'!$B3802)</f>
        <v>6</v>
      </c>
      <c r="S3802" s="7">
        <f>YEAR('data on outstanding creditors'!$B3802)</f>
        <v>2025</v>
      </c>
      <c r="T3802" s="11" t="str">
        <f>'data on outstanding creditors'!$C3802&amp;" "&amp;'data on outstanding creditors'!$D3802&amp;" "&amp;TEXT('data on outstanding creditors'!$E3802,"#,##0.00")</f>
        <v>บ.ไทย เฮลท์ อิมเมจจิ้ง MRI  สิทธิ ชำระเงิน 002/074 03/68 6,800.00</v>
      </c>
      <c r="U3802" s="12"/>
    </row>
    <row r="3803" ht="13.5" customHeight="1">
      <c r="A3803" s="1" t="s">
        <v>6016</v>
      </c>
      <c r="B3803" s="2">
        <v>45812.0</v>
      </c>
      <c r="C3803" s="9" t="s">
        <v>59</v>
      </c>
      <c r="D3803" s="1" t="s">
        <v>6017</v>
      </c>
      <c r="E3803" s="4">
        <v>179950.0</v>
      </c>
      <c r="F3803" s="4"/>
      <c r="G3803" s="4"/>
      <c r="H3803" s="4">
        <f>'data on outstanding creditors'!$E3803-'data on outstanding creditors'!$F3803-'data on outstanding creditors'!$G3803</f>
        <v>179950</v>
      </c>
      <c r="I3803" s="2"/>
      <c r="J3803" s="1"/>
      <c r="K3803" s="2"/>
      <c r="L3803" s="5"/>
      <c r="M3803" s="9" t="s">
        <v>61</v>
      </c>
      <c r="N3803" s="9" t="s">
        <v>49</v>
      </c>
      <c r="O3803" s="10">
        <f>'data on outstanding creditors'!$E3803*100/107</f>
        <v>168177.5701</v>
      </c>
      <c r="P3803" s="10">
        <f>'data on outstanding creditors'!$E3803-'data on outstanding creditors'!$O3803</f>
        <v>11772.42991</v>
      </c>
      <c r="Q3803" s="7">
        <f>DAY('data on outstanding creditors'!$B3803)</f>
        <v>4</v>
      </c>
      <c r="R3803" s="7">
        <f>MONTH('data on outstanding creditors'!$B3803)</f>
        <v>6</v>
      </c>
      <c r="S3803" s="7">
        <f>YEAR('data on outstanding creditors'!$B3803)</f>
        <v>2025</v>
      </c>
      <c r="T3803" s="11" t="str">
        <f>'data on outstanding creditors'!$C3803&amp;" "&amp;'data on outstanding creditors'!$D3803&amp;" "&amp;TEXT('data on outstanding creditors'!$E3803,"#,##0.00")</f>
        <v>บ.ไทย เฮลท์ อิมเมจจิ้ง MRI  สิทธิ จ่ายตรง 002/075 03/68 179,950.00</v>
      </c>
      <c r="U3803" s="12"/>
    </row>
    <row r="3804" ht="13.5" customHeight="1">
      <c r="A3804" s="1" t="s">
        <v>6018</v>
      </c>
      <c r="B3804" s="2">
        <v>45812.0</v>
      </c>
      <c r="C3804" s="9" t="s">
        <v>59</v>
      </c>
      <c r="D3804" s="1" t="s">
        <v>6019</v>
      </c>
      <c r="E3804" s="4">
        <v>156950.0</v>
      </c>
      <c r="F3804" s="4"/>
      <c r="G3804" s="4"/>
      <c r="H3804" s="4">
        <f>'data on outstanding creditors'!$E3804-'data on outstanding creditors'!$F3804-'data on outstanding creditors'!$G3804</f>
        <v>156950</v>
      </c>
      <c r="I3804" s="2"/>
      <c r="J3804" s="1"/>
      <c r="K3804" s="2"/>
      <c r="L3804" s="5"/>
      <c r="M3804" s="9" t="s">
        <v>61</v>
      </c>
      <c r="N3804" s="9" t="s">
        <v>49</v>
      </c>
      <c r="O3804" s="10">
        <f>'data on outstanding creditors'!$E3804*100/107</f>
        <v>146682.243</v>
      </c>
      <c r="P3804" s="10">
        <f>'data on outstanding creditors'!$E3804-'data on outstanding creditors'!$O3804</f>
        <v>10267.75701</v>
      </c>
      <c r="Q3804" s="7">
        <f>DAY('data on outstanding creditors'!$B3804)</f>
        <v>4</v>
      </c>
      <c r="R3804" s="7">
        <f>MONTH('data on outstanding creditors'!$B3804)</f>
        <v>6</v>
      </c>
      <c r="S3804" s="7">
        <f>YEAR('data on outstanding creditors'!$B3804)</f>
        <v>2025</v>
      </c>
      <c r="T3804" s="11" t="str">
        <f>'data on outstanding creditors'!$C3804&amp;" "&amp;'data on outstanding creditors'!$D3804&amp;" "&amp;TEXT('data on outstanding creditors'!$E3804,"#,##0.00")</f>
        <v>บ.ไทย เฮลท์ อิมเมจจิ้ง MRI  สิทธิ จ่ายตรง 002/076 03/68 156,950.00</v>
      </c>
      <c r="U3804" s="12"/>
    </row>
    <row r="3805" ht="13.5" customHeight="1">
      <c r="A3805" s="1" t="s">
        <v>6020</v>
      </c>
      <c r="B3805" s="2">
        <v>45812.0</v>
      </c>
      <c r="C3805" s="9" t="s">
        <v>68</v>
      </c>
      <c r="D3805" s="1" t="s">
        <v>6021</v>
      </c>
      <c r="E3805" s="4">
        <v>176650.0</v>
      </c>
      <c r="F3805" s="4"/>
      <c r="G3805" s="4"/>
      <c r="H3805" s="4">
        <f>'data on outstanding creditors'!$E3805-'data on outstanding creditors'!$F3805-'data on outstanding creditors'!$G3805</f>
        <v>176650</v>
      </c>
      <c r="I3805" s="2"/>
      <c r="J3805" s="1"/>
      <c r="K3805" s="2"/>
      <c r="L3805" s="5"/>
      <c r="M3805" s="9" t="s">
        <v>61</v>
      </c>
      <c r="N3805" s="9" t="s">
        <v>49</v>
      </c>
      <c r="O3805" s="10">
        <f>'data on outstanding creditors'!$E3805*100/107</f>
        <v>165093.4579</v>
      </c>
      <c r="P3805" s="10">
        <f>'data on outstanding creditors'!$E3805-'data on outstanding creditors'!$O3805</f>
        <v>11556.54206</v>
      </c>
      <c r="Q3805" s="7">
        <f>DAY('data on outstanding creditors'!$B3805)</f>
        <v>4</v>
      </c>
      <c r="R3805" s="7">
        <f>MONTH('data on outstanding creditors'!$B3805)</f>
        <v>6</v>
      </c>
      <c r="S3805" s="7">
        <f>YEAR('data on outstanding creditors'!$B3805)</f>
        <v>2025</v>
      </c>
      <c r="T3805" s="11" t="str">
        <f>'data on outstanding creditors'!$C3805&amp;" "&amp;'data on outstanding creditors'!$D3805&amp;" "&amp;TEXT('data on outstanding creditors'!$E3805,"#,##0.00")</f>
        <v>บ.ไทย เฮลท์ อิมเมจจิ้ง MRI  สิทธิ สปสช 002/077 03/68 176,650.00</v>
      </c>
      <c r="U3805" s="12"/>
    </row>
    <row r="3806" ht="13.5" customHeight="1">
      <c r="A3806" s="1" t="s">
        <v>6022</v>
      </c>
      <c r="B3806" s="2">
        <v>45812.0</v>
      </c>
      <c r="C3806" s="9" t="s">
        <v>68</v>
      </c>
      <c r="D3806" s="1" t="s">
        <v>6023</v>
      </c>
      <c r="E3806" s="4">
        <v>181150.0</v>
      </c>
      <c r="F3806" s="4"/>
      <c r="G3806" s="4"/>
      <c r="H3806" s="4">
        <f>'data on outstanding creditors'!$E3806-'data on outstanding creditors'!$F3806-'data on outstanding creditors'!$G3806</f>
        <v>181150</v>
      </c>
      <c r="I3806" s="2"/>
      <c r="J3806" s="1"/>
      <c r="K3806" s="2"/>
      <c r="L3806" s="5"/>
      <c r="M3806" s="9" t="s">
        <v>61</v>
      </c>
      <c r="N3806" s="9" t="s">
        <v>49</v>
      </c>
      <c r="O3806" s="10">
        <f>'data on outstanding creditors'!$E3806*100/107</f>
        <v>169299.0654</v>
      </c>
      <c r="P3806" s="10">
        <f>'data on outstanding creditors'!$E3806-'data on outstanding creditors'!$O3806</f>
        <v>11850.93458</v>
      </c>
      <c r="Q3806" s="7">
        <f>DAY('data on outstanding creditors'!$B3806)</f>
        <v>4</v>
      </c>
      <c r="R3806" s="7">
        <f>MONTH('data on outstanding creditors'!$B3806)</f>
        <v>6</v>
      </c>
      <c r="S3806" s="7">
        <f>YEAR('data on outstanding creditors'!$B3806)</f>
        <v>2025</v>
      </c>
      <c r="T3806" s="11" t="str">
        <f>'data on outstanding creditors'!$C3806&amp;" "&amp;'data on outstanding creditors'!$D3806&amp;" "&amp;TEXT('data on outstanding creditors'!$E3806,"#,##0.00")</f>
        <v>บ.ไทย เฮลท์ อิมเมจจิ้ง MRI  สิทธิ สปสช 002/078 03/68 181,150.00</v>
      </c>
      <c r="U3806" s="12"/>
    </row>
    <row r="3807" ht="13.5" customHeight="1">
      <c r="A3807" s="1" t="s">
        <v>6024</v>
      </c>
      <c r="B3807" s="2">
        <v>45812.0</v>
      </c>
      <c r="C3807" s="9" t="s">
        <v>68</v>
      </c>
      <c r="D3807" s="1" t="s">
        <v>6025</v>
      </c>
      <c r="E3807" s="4">
        <v>52650.0</v>
      </c>
      <c r="F3807" s="4"/>
      <c r="G3807" s="4"/>
      <c r="H3807" s="4">
        <f>'data on outstanding creditors'!$E3807-'data on outstanding creditors'!$F3807-'data on outstanding creditors'!$G3807</f>
        <v>52650</v>
      </c>
      <c r="I3807" s="2"/>
      <c r="J3807" s="1"/>
      <c r="K3807" s="2"/>
      <c r="L3807" s="5"/>
      <c r="M3807" s="9" t="s">
        <v>61</v>
      </c>
      <c r="N3807" s="9" t="s">
        <v>49</v>
      </c>
      <c r="O3807" s="10">
        <f>'data on outstanding creditors'!$E3807*100/107</f>
        <v>49205.60748</v>
      </c>
      <c r="P3807" s="10">
        <f>'data on outstanding creditors'!$E3807-'data on outstanding creditors'!$O3807</f>
        <v>3444.392523</v>
      </c>
      <c r="Q3807" s="7">
        <f>DAY('data on outstanding creditors'!$B3807)</f>
        <v>4</v>
      </c>
      <c r="R3807" s="7">
        <f>MONTH('data on outstanding creditors'!$B3807)</f>
        <v>6</v>
      </c>
      <c r="S3807" s="7">
        <f>YEAR('data on outstanding creditors'!$B3807)</f>
        <v>2025</v>
      </c>
      <c r="T3807" s="11" t="str">
        <f>'data on outstanding creditors'!$C3807&amp;" "&amp;'data on outstanding creditors'!$D3807&amp;" "&amp;TEXT('data on outstanding creditors'!$E3807,"#,##0.00")</f>
        <v>บ.ไทย เฮลท์ อิมเมจจิ้ง MRI  สิทธิ สปสช 002/079 03/68 52,650.00</v>
      </c>
      <c r="U3807" s="12"/>
    </row>
    <row r="3808" ht="13.5" customHeight="1">
      <c r="A3808" s="1" t="s">
        <v>6026</v>
      </c>
      <c r="B3808" s="2">
        <v>45812.0</v>
      </c>
      <c r="C3808" s="9" t="s">
        <v>5951</v>
      </c>
      <c r="D3808" s="1" t="s">
        <v>6027</v>
      </c>
      <c r="E3808" s="4">
        <v>5400.0</v>
      </c>
      <c r="F3808" s="4"/>
      <c r="G3808" s="4"/>
      <c r="H3808" s="4">
        <f>'data on outstanding creditors'!$E3808-'data on outstanding creditors'!$F3808-'data on outstanding creditors'!$G3808</f>
        <v>5400</v>
      </c>
      <c r="I3808" s="2"/>
      <c r="J3808" s="1"/>
      <c r="K3808" s="2"/>
      <c r="L3808" s="5"/>
      <c r="M3808" s="9" t="s">
        <v>61</v>
      </c>
      <c r="N3808" s="9" t="s">
        <v>49</v>
      </c>
      <c r="O3808" s="10">
        <f>'data on outstanding creditors'!$E3808*100/107</f>
        <v>5046.728972</v>
      </c>
      <c r="P3808" s="10">
        <f>'data on outstanding creditors'!$E3808-'data on outstanding creditors'!$O3808</f>
        <v>353.271028</v>
      </c>
      <c r="Q3808" s="7">
        <f>DAY('data on outstanding creditors'!$B3808)</f>
        <v>4</v>
      </c>
      <c r="R3808" s="7">
        <f>MONTH('data on outstanding creditors'!$B3808)</f>
        <v>6</v>
      </c>
      <c r="S3808" s="7">
        <f>YEAR('data on outstanding creditors'!$B3808)</f>
        <v>2025</v>
      </c>
      <c r="T3808" s="11" t="str">
        <f>'data on outstanding creditors'!$C3808&amp;" "&amp;'data on outstanding creditors'!$D3808&amp;" "&amp;TEXT('data on outstanding creditors'!$E3808,"#,##0.00")</f>
        <v>บ.ไทย เฮลท์ อิมเมจจิ้ง MRI  สิทธิ ปกส 002/080 03/68 5,400.00</v>
      </c>
      <c r="U3808" s="12"/>
    </row>
    <row r="3809" ht="13.5" customHeight="1">
      <c r="A3809" s="1" t="s">
        <v>6028</v>
      </c>
      <c r="B3809" s="2">
        <v>45812.0</v>
      </c>
      <c r="C3809" s="9" t="s">
        <v>64</v>
      </c>
      <c r="D3809" s="1" t="s">
        <v>6029</v>
      </c>
      <c r="E3809" s="4">
        <v>9300.0</v>
      </c>
      <c r="F3809" s="4"/>
      <c r="G3809" s="4"/>
      <c r="H3809" s="4">
        <f>'data on outstanding creditors'!$E3809-'data on outstanding creditors'!$F3809-'data on outstanding creditors'!$G3809</f>
        <v>9300</v>
      </c>
      <c r="I3809" s="2"/>
      <c r="J3809" s="1"/>
      <c r="K3809" s="2"/>
      <c r="L3809" s="5"/>
      <c r="M3809" s="9" t="s">
        <v>61</v>
      </c>
      <c r="N3809" s="9" t="s">
        <v>49</v>
      </c>
      <c r="O3809" s="10">
        <f>'data on outstanding creditors'!$E3809*100/107</f>
        <v>8691.588785</v>
      </c>
      <c r="P3809" s="10">
        <f>'data on outstanding creditors'!$E3809-'data on outstanding creditors'!$O3809</f>
        <v>608.411215</v>
      </c>
      <c r="Q3809" s="7">
        <f>DAY('data on outstanding creditors'!$B3809)</f>
        <v>4</v>
      </c>
      <c r="R3809" s="7">
        <f>MONTH('data on outstanding creditors'!$B3809)</f>
        <v>6</v>
      </c>
      <c r="S3809" s="7">
        <f>YEAR('data on outstanding creditors'!$B3809)</f>
        <v>2025</v>
      </c>
      <c r="T3809" s="11" t="str">
        <f>'data on outstanding creditors'!$C3809&amp;" "&amp;'data on outstanding creditors'!$D3809&amp;" "&amp;TEXT('data on outstanding creditors'!$E3809,"#,##0.00")</f>
        <v>บ.ไทย เฮลท์ อิมเมจจิ้ง MRI  สิทธิ ชำระเงิน 002/081 03/68 9,300.00</v>
      </c>
      <c r="U3809" s="12"/>
    </row>
    <row r="3810" ht="13.5" customHeight="1">
      <c r="A3810" s="1" t="s">
        <v>6030</v>
      </c>
      <c r="B3810" s="2">
        <v>45818.0</v>
      </c>
      <c r="C3810" s="9" t="s">
        <v>5941</v>
      </c>
      <c r="D3810" s="1" t="s">
        <v>6031</v>
      </c>
      <c r="E3810" s="4">
        <v>35400.0</v>
      </c>
      <c r="F3810" s="4"/>
      <c r="G3810" s="4"/>
      <c r="H3810" s="4">
        <f>'data on outstanding creditors'!$E3810-'data on outstanding creditors'!$F3810-'data on outstanding creditors'!$G3810</f>
        <v>35400</v>
      </c>
      <c r="I3810" s="2"/>
      <c r="J3810" s="1"/>
      <c r="K3810" s="2"/>
      <c r="L3810" s="5"/>
      <c r="M3810" s="9" t="s">
        <v>61</v>
      </c>
      <c r="N3810" s="9" t="s">
        <v>49</v>
      </c>
      <c r="O3810" s="10">
        <f>'data on outstanding creditors'!$E3810*100/107</f>
        <v>33084.11215</v>
      </c>
      <c r="P3810" s="10">
        <f>'data on outstanding creditors'!$E3810-'data on outstanding creditors'!$O3810</f>
        <v>2315.88785</v>
      </c>
      <c r="Q3810" s="7">
        <f>DAY('data on outstanding creditors'!$B3810)</f>
        <v>10</v>
      </c>
      <c r="R3810" s="7">
        <f>MONTH('data on outstanding creditors'!$B3810)</f>
        <v>6</v>
      </c>
      <c r="S3810" s="7">
        <f>YEAR('data on outstanding creditors'!$B3810)</f>
        <v>2025</v>
      </c>
      <c r="T3810" s="11" t="str">
        <f>'data on outstanding creditors'!$C3810&amp;" "&amp;'data on outstanding creditors'!$D3810&amp;" "&amp;TEXT('data on outstanding creditors'!$E3810,"#,##0.00")</f>
        <v>บ.โรงพยาบาลกรุงเทพ ราชสีมา  สิทธิ สปสช BKH.AR094/2568 03/68 35,400.00</v>
      </c>
      <c r="U3810" s="12"/>
    </row>
    <row r="3811" ht="13.5" customHeight="1">
      <c r="A3811" s="1" t="s">
        <v>6032</v>
      </c>
      <c r="B3811" s="2">
        <v>45818.0</v>
      </c>
      <c r="C3811" s="9" t="s">
        <v>5944</v>
      </c>
      <c r="D3811" s="1" t="s">
        <v>6033</v>
      </c>
      <c r="E3811" s="4">
        <v>12000.0</v>
      </c>
      <c r="F3811" s="4"/>
      <c r="G3811" s="4"/>
      <c r="H3811" s="4">
        <f>'data on outstanding creditors'!$E3811-'data on outstanding creditors'!$F3811-'data on outstanding creditors'!$G3811</f>
        <v>12000</v>
      </c>
      <c r="I3811" s="2"/>
      <c r="J3811" s="1"/>
      <c r="K3811" s="2"/>
      <c r="L3811" s="5"/>
      <c r="M3811" s="9" t="s">
        <v>61</v>
      </c>
      <c r="N3811" s="9" t="s">
        <v>49</v>
      </c>
      <c r="O3811" s="10">
        <f>'data on outstanding creditors'!$E3811*100/107</f>
        <v>11214.95327</v>
      </c>
      <c r="P3811" s="10">
        <f>'data on outstanding creditors'!$E3811-'data on outstanding creditors'!$O3811</f>
        <v>785.046729</v>
      </c>
      <c r="Q3811" s="7">
        <f>DAY('data on outstanding creditors'!$B3811)</f>
        <v>10</v>
      </c>
      <c r="R3811" s="7">
        <f>MONTH('data on outstanding creditors'!$B3811)</f>
        <v>6</v>
      </c>
      <c r="S3811" s="7">
        <f>YEAR('data on outstanding creditors'!$B3811)</f>
        <v>2025</v>
      </c>
      <c r="T3811" s="11" t="str">
        <f>'data on outstanding creditors'!$C3811&amp;" "&amp;'data on outstanding creditors'!$D3811&amp;" "&amp;TEXT('data on outstanding creditors'!$E3811,"#,##0.00")</f>
        <v>บ.โรงพยาบาลกรุงเทพ ราชสีมา  สิทธิ จ่ายตรง BKH.AR095/2568 03/68 12,000.00</v>
      </c>
      <c r="U3811" s="12"/>
    </row>
    <row r="3812" ht="13.5" customHeight="1">
      <c r="A3812" s="1"/>
      <c r="B3812" s="2">
        <v>45818.0</v>
      </c>
      <c r="C3812" s="9" t="s">
        <v>5968</v>
      </c>
      <c r="D3812" s="1" t="s">
        <v>6034</v>
      </c>
      <c r="E3812" s="4">
        <v>2000.0</v>
      </c>
      <c r="F3812" s="4"/>
      <c r="G3812" s="4"/>
      <c r="H3812" s="4">
        <f>'data on outstanding creditors'!$E3812-'data on outstanding creditors'!$F3812-'data on outstanding creditors'!$G3812</f>
        <v>2000</v>
      </c>
      <c r="I3812" s="2"/>
      <c r="J3812" s="1"/>
      <c r="K3812" s="2"/>
      <c r="L3812" s="5"/>
      <c r="M3812" s="9" t="s">
        <v>61</v>
      </c>
      <c r="N3812" s="9" t="s">
        <v>49</v>
      </c>
      <c r="O3812" s="10">
        <f>'data on outstanding creditors'!$E3812*100/107</f>
        <v>1869.158879</v>
      </c>
      <c r="P3812" s="10">
        <f>'data on outstanding creditors'!$E3812-'data on outstanding creditors'!$O3812</f>
        <v>130.8411215</v>
      </c>
      <c r="Q3812" s="7">
        <f>DAY('data on outstanding creditors'!$B3812)</f>
        <v>10</v>
      </c>
      <c r="R3812" s="7">
        <f>MONTH('data on outstanding creditors'!$B3812)</f>
        <v>6</v>
      </c>
      <c r="S3812" s="7">
        <f>YEAR('data on outstanding creditors'!$B3812)</f>
        <v>2025</v>
      </c>
      <c r="T3812" s="11" t="str">
        <f>'data on outstanding creditors'!$C3812&amp;" "&amp;'data on outstanding creditors'!$D3812&amp;" "&amp;TEXT('data on outstanding creditors'!$E3812,"#,##0.00")</f>
        <v>บ.โรงพยาบาลกรุงเทพ ราชสีมา  สิทธิ ปกส BKH.AR096/2568 03/68 2,000.00</v>
      </c>
      <c r="U3812" s="12"/>
    </row>
    <row r="3813" ht="13.5" customHeight="1">
      <c r="A3813" s="1" t="s">
        <v>6035</v>
      </c>
      <c r="B3813" s="2">
        <v>45818.0</v>
      </c>
      <c r="C3813" s="9" t="s">
        <v>5971</v>
      </c>
      <c r="D3813" s="1" t="s">
        <v>6036</v>
      </c>
      <c r="E3813" s="4">
        <v>2400.0</v>
      </c>
      <c r="F3813" s="4"/>
      <c r="G3813" s="4"/>
      <c r="H3813" s="4">
        <f>'data on outstanding creditors'!$E3813-'data on outstanding creditors'!$F3813-'data on outstanding creditors'!$G3813</f>
        <v>2400</v>
      </c>
      <c r="I3813" s="2"/>
      <c r="J3813" s="1"/>
      <c r="K3813" s="2"/>
      <c r="L3813" s="5"/>
      <c r="M3813" s="9" t="s">
        <v>61</v>
      </c>
      <c r="N3813" s="9" t="s">
        <v>49</v>
      </c>
      <c r="O3813" s="10">
        <f>'data on outstanding creditors'!$E3813*100/107</f>
        <v>2242.990654</v>
      </c>
      <c r="P3813" s="10">
        <f>'data on outstanding creditors'!$E3813-'data on outstanding creditors'!$O3813</f>
        <v>157.0093458</v>
      </c>
      <c r="Q3813" s="7">
        <f>DAY('data on outstanding creditors'!$B3813)</f>
        <v>10</v>
      </c>
      <c r="R3813" s="7">
        <f>MONTH('data on outstanding creditors'!$B3813)</f>
        <v>6</v>
      </c>
      <c r="S3813" s="7">
        <f>YEAR('data on outstanding creditors'!$B3813)</f>
        <v>2025</v>
      </c>
      <c r="T3813" s="11" t="str">
        <f>'data on outstanding creditors'!$C3813&amp;" "&amp;'data on outstanding creditors'!$D3813&amp;" "&amp;TEXT('data on outstanding creditors'!$E3813,"#,##0.00")</f>
        <v>บ.โรงพยาบาลกรุงเทพ ราชสีมา  สิทธิ ชำระเงิน BKH.AR097/2568 03/68 2,400.00</v>
      </c>
      <c r="U3813" s="12"/>
    </row>
    <row r="3814" ht="13.5" customHeight="1">
      <c r="A3814" s="1"/>
      <c r="B3814" s="2">
        <v>45838.0</v>
      </c>
      <c r="C3814" s="9" t="s">
        <v>5329</v>
      </c>
      <c r="D3814" s="1" t="s">
        <v>6037</v>
      </c>
      <c r="E3814" s="4">
        <v>149500.0</v>
      </c>
      <c r="F3814" s="4"/>
      <c r="G3814" s="4"/>
      <c r="H3814" s="4">
        <f>'data on outstanding creditors'!$E3814-'data on outstanding creditors'!$F3814-'data on outstanding creditors'!$G3814</f>
        <v>149500</v>
      </c>
      <c r="I3814" s="2"/>
      <c r="J3814" s="1" t="s">
        <v>646</v>
      </c>
      <c r="K3814" s="2">
        <v>45887.0</v>
      </c>
      <c r="L3814" s="5"/>
      <c r="M3814" s="9" t="s">
        <v>61</v>
      </c>
      <c r="N3814" s="9" t="s">
        <v>49</v>
      </c>
      <c r="O3814" s="10">
        <f>'data on outstanding creditors'!$E3814*100/107</f>
        <v>139719.6262</v>
      </c>
      <c r="P3814" s="10">
        <f>'data on outstanding creditors'!$E3814-'data on outstanding creditors'!$O3814</f>
        <v>9780.373832</v>
      </c>
      <c r="Q3814" s="7">
        <f>DAY('data on outstanding creditors'!$B3814)</f>
        <v>30</v>
      </c>
      <c r="R3814" s="7">
        <f>MONTH('data on outstanding creditors'!$B3814)</f>
        <v>6</v>
      </c>
      <c r="S3814" s="7">
        <f>YEAR('data on outstanding creditors'!$B3814)</f>
        <v>2025</v>
      </c>
      <c r="T3814" s="11" t="str">
        <f>'data on outstanding creditors'!$C3814&amp;" "&amp;'data on outstanding creditors'!$D3814&amp;" "&amp;TEXT('data on outstanding creditors'!$E3814,"#,##0.00")</f>
        <v>บ.เจ.เอฟ.แอดวาน เมด IV2506/525 149,500.00</v>
      </c>
      <c r="U3814" s="12"/>
    </row>
    <row r="3815" ht="13.5" customHeight="1">
      <c r="A3815" s="1"/>
      <c r="B3815" s="2">
        <v>45838.0</v>
      </c>
      <c r="C3815" s="9" t="s">
        <v>6038</v>
      </c>
      <c r="D3815" s="1" t="s">
        <v>6039</v>
      </c>
      <c r="E3815" s="4">
        <v>1500000.0</v>
      </c>
      <c r="F3815" s="4"/>
      <c r="G3815" s="4"/>
      <c r="H3815" s="4">
        <f>'data on outstanding creditors'!$E3815-'data on outstanding creditors'!$F3815-'data on outstanding creditors'!$G3815</f>
        <v>1500000</v>
      </c>
      <c r="I3815" s="2"/>
      <c r="J3815" s="1"/>
      <c r="K3815" s="2"/>
      <c r="L3815" s="5"/>
      <c r="M3815" s="9" t="s">
        <v>61</v>
      </c>
      <c r="N3815" s="9" t="s">
        <v>49</v>
      </c>
      <c r="O3815" s="10">
        <f>'data on outstanding creditors'!$E3815*100/107</f>
        <v>1401869.159</v>
      </c>
      <c r="P3815" s="10">
        <f>'data on outstanding creditors'!$E3815-'data on outstanding creditors'!$O3815</f>
        <v>98130.84112</v>
      </c>
      <c r="Q3815" s="7">
        <f>DAY('data on outstanding creditors'!$B3815)</f>
        <v>30</v>
      </c>
      <c r="R3815" s="7">
        <f>MONTH('data on outstanding creditors'!$B3815)</f>
        <v>6</v>
      </c>
      <c r="S3815" s="7">
        <f>YEAR('data on outstanding creditors'!$B3815)</f>
        <v>2025</v>
      </c>
      <c r="T3815" s="11" t="str">
        <f>'data on outstanding creditors'!$C3815&amp;" "&amp;'data on outstanding creditors'!$D3815&amp;" "&amp;TEXT('data on outstanding creditors'!$E3815,"#,##0.00")</f>
        <v>บ.ไทย เฮลท์ อิมเมจจิ้ง CT SCAN 017/837 04/68 1,500,000.00</v>
      </c>
      <c r="U3815" s="12"/>
    </row>
    <row r="3816" ht="13.5" customHeight="1">
      <c r="A3816" s="1"/>
      <c r="B3816" s="2">
        <v>45838.0</v>
      </c>
      <c r="C3816" s="9" t="s">
        <v>6038</v>
      </c>
      <c r="D3816" s="1" t="s">
        <v>6040</v>
      </c>
      <c r="E3816" s="4">
        <v>1500000.0</v>
      </c>
      <c r="F3816" s="4"/>
      <c r="G3816" s="4"/>
      <c r="H3816" s="4">
        <f>'data on outstanding creditors'!$E3816-'data on outstanding creditors'!$F3816-'data on outstanding creditors'!$G3816</f>
        <v>1500000</v>
      </c>
      <c r="I3816" s="2"/>
      <c r="J3816" s="1"/>
      <c r="K3816" s="2"/>
      <c r="L3816" s="5"/>
      <c r="M3816" s="9" t="s">
        <v>61</v>
      </c>
      <c r="N3816" s="9" t="s">
        <v>49</v>
      </c>
      <c r="O3816" s="10">
        <f>'data on outstanding creditors'!$E3816*100/107</f>
        <v>1401869.159</v>
      </c>
      <c r="P3816" s="10">
        <f>'data on outstanding creditors'!$E3816-'data on outstanding creditors'!$O3816</f>
        <v>98130.84112</v>
      </c>
      <c r="Q3816" s="7">
        <f>DAY('data on outstanding creditors'!$B3816)</f>
        <v>30</v>
      </c>
      <c r="R3816" s="7">
        <f>MONTH('data on outstanding creditors'!$B3816)</f>
        <v>6</v>
      </c>
      <c r="S3816" s="7">
        <f>YEAR('data on outstanding creditors'!$B3816)</f>
        <v>2025</v>
      </c>
      <c r="T3816" s="11" t="str">
        <f>'data on outstanding creditors'!$C3816&amp;" "&amp;'data on outstanding creditors'!$D3816&amp;" "&amp;TEXT('data on outstanding creditors'!$E3816,"#,##0.00")</f>
        <v>บ.ไทย เฮลท์ อิมเมจจิ้ง CT SCAN 017/838 05/68 1,500,000.00</v>
      </c>
      <c r="U3816" s="12"/>
    </row>
    <row r="3817" ht="13.5" customHeight="1">
      <c r="A3817" s="1"/>
      <c r="B3817" s="2">
        <v>45838.0</v>
      </c>
      <c r="C3817" s="9" t="s">
        <v>6038</v>
      </c>
      <c r="D3817" s="1" t="s">
        <v>6041</v>
      </c>
      <c r="E3817" s="4">
        <v>1500000.0</v>
      </c>
      <c r="F3817" s="4"/>
      <c r="G3817" s="4"/>
      <c r="H3817" s="4">
        <f>'data on outstanding creditors'!$E3817-'data on outstanding creditors'!$F3817-'data on outstanding creditors'!$G3817</f>
        <v>1500000</v>
      </c>
      <c r="I3817" s="2"/>
      <c r="J3817" s="1"/>
      <c r="K3817" s="2"/>
      <c r="L3817" s="5"/>
      <c r="M3817" s="9" t="s">
        <v>61</v>
      </c>
      <c r="N3817" s="9" t="s">
        <v>49</v>
      </c>
      <c r="O3817" s="10">
        <f>'data on outstanding creditors'!$E3817*100/107</f>
        <v>1401869.159</v>
      </c>
      <c r="P3817" s="10">
        <f>'data on outstanding creditors'!$E3817-'data on outstanding creditors'!$O3817</f>
        <v>98130.84112</v>
      </c>
      <c r="Q3817" s="7">
        <f>DAY('data on outstanding creditors'!$B3817)</f>
        <v>30</v>
      </c>
      <c r="R3817" s="7">
        <f>MONTH('data on outstanding creditors'!$B3817)</f>
        <v>6</v>
      </c>
      <c r="S3817" s="7">
        <f>YEAR('data on outstanding creditors'!$B3817)</f>
        <v>2025</v>
      </c>
      <c r="T3817" s="11" t="str">
        <f>'data on outstanding creditors'!$C3817&amp;" "&amp;'data on outstanding creditors'!$D3817&amp;" "&amp;TEXT('data on outstanding creditors'!$E3817,"#,##0.00")</f>
        <v>บ.ไทย เฮลท์ อิมเมจจิ้ง CT SCAN 017/822 06/68 1,500,000.00</v>
      </c>
      <c r="U3817" s="12"/>
    </row>
    <row r="3818" ht="13.5" customHeight="1">
      <c r="A3818" s="1" t="s">
        <v>6042</v>
      </c>
      <c r="B3818" s="2">
        <v>45838.0</v>
      </c>
      <c r="C3818" s="9" t="s">
        <v>59</v>
      </c>
      <c r="D3818" s="1" t="s">
        <v>6043</v>
      </c>
      <c r="E3818" s="4">
        <v>183150.0</v>
      </c>
      <c r="F3818" s="4"/>
      <c r="G3818" s="4"/>
      <c r="H3818" s="4">
        <f>'data on outstanding creditors'!$E3818-'data on outstanding creditors'!$F3818-'data on outstanding creditors'!$G3818</f>
        <v>183150</v>
      </c>
      <c r="I3818" s="2"/>
      <c r="J3818" s="1"/>
      <c r="K3818" s="2"/>
      <c r="L3818" s="5"/>
      <c r="M3818" s="9" t="s">
        <v>61</v>
      </c>
      <c r="N3818" s="9" t="s">
        <v>49</v>
      </c>
      <c r="O3818" s="10">
        <f>'data on outstanding creditors'!$E3818*100/107</f>
        <v>171168.2243</v>
      </c>
      <c r="P3818" s="10">
        <f>'data on outstanding creditors'!$E3818-'data on outstanding creditors'!$O3818</f>
        <v>11981.7757</v>
      </c>
      <c r="Q3818" s="7">
        <f>DAY('data on outstanding creditors'!$B3818)</f>
        <v>30</v>
      </c>
      <c r="R3818" s="7">
        <f>MONTH('data on outstanding creditors'!$B3818)</f>
        <v>6</v>
      </c>
      <c r="S3818" s="7">
        <f>YEAR('data on outstanding creditors'!$B3818)</f>
        <v>2025</v>
      </c>
      <c r="T3818" s="11" t="str">
        <f>'data on outstanding creditors'!$C3818&amp;" "&amp;'data on outstanding creditors'!$D3818&amp;" "&amp;TEXT('data on outstanding creditors'!$E3818,"#,##0.00")</f>
        <v>บ.ไทย เฮลท์ อิมเมจจิ้ง MRI  สิทธิ จ่ายตรง 003/108 02/68 183,150.00</v>
      </c>
      <c r="U3818" s="12"/>
    </row>
    <row r="3819" ht="13.5" customHeight="1">
      <c r="A3819" s="1" t="s">
        <v>6044</v>
      </c>
      <c r="B3819" s="2">
        <v>45838.0</v>
      </c>
      <c r="C3819" s="9" t="s">
        <v>59</v>
      </c>
      <c r="D3819" s="1" t="s">
        <v>6045</v>
      </c>
      <c r="E3819" s="4">
        <v>162000.0</v>
      </c>
      <c r="F3819" s="4"/>
      <c r="G3819" s="4"/>
      <c r="H3819" s="4">
        <f>'data on outstanding creditors'!$E3819-'data on outstanding creditors'!$F3819-'data on outstanding creditors'!$G3819</f>
        <v>162000</v>
      </c>
      <c r="I3819" s="2"/>
      <c r="J3819" s="1"/>
      <c r="K3819" s="2"/>
      <c r="L3819" s="5"/>
      <c r="M3819" s="9" t="s">
        <v>61</v>
      </c>
      <c r="N3819" s="9" t="s">
        <v>49</v>
      </c>
      <c r="O3819" s="10">
        <f>'data on outstanding creditors'!$E3819*100/107</f>
        <v>151401.8692</v>
      </c>
      <c r="P3819" s="10">
        <f>'data on outstanding creditors'!$E3819-'data on outstanding creditors'!$O3819</f>
        <v>10598.13084</v>
      </c>
      <c r="Q3819" s="7">
        <f>DAY('data on outstanding creditors'!$B3819)</f>
        <v>30</v>
      </c>
      <c r="R3819" s="7">
        <f>MONTH('data on outstanding creditors'!$B3819)</f>
        <v>6</v>
      </c>
      <c r="S3819" s="7">
        <f>YEAR('data on outstanding creditors'!$B3819)</f>
        <v>2025</v>
      </c>
      <c r="T3819" s="11" t="str">
        <f>'data on outstanding creditors'!$C3819&amp;" "&amp;'data on outstanding creditors'!$D3819&amp;" "&amp;TEXT('data on outstanding creditors'!$E3819,"#,##0.00")</f>
        <v>บ.ไทย เฮลท์ อิมเมจจิ้ง MRI  สิทธิ จ่ายตรง 003/109 02/68 162,000.00</v>
      </c>
      <c r="U3819" s="12"/>
    </row>
    <row r="3820" ht="13.5" customHeight="1">
      <c r="A3820" s="1"/>
      <c r="B3820" s="2">
        <v>45852.0</v>
      </c>
      <c r="C3820" s="9" t="s">
        <v>5941</v>
      </c>
      <c r="D3820" s="1" t="s">
        <v>6046</v>
      </c>
      <c r="E3820" s="4">
        <v>40800.0</v>
      </c>
      <c r="F3820" s="4"/>
      <c r="G3820" s="4"/>
      <c r="H3820" s="4">
        <f>'data on outstanding creditors'!$E3820-'data on outstanding creditors'!$F3820-'data on outstanding creditors'!$G3820</f>
        <v>40800</v>
      </c>
      <c r="I3820" s="2"/>
      <c r="J3820" s="1"/>
      <c r="K3820" s="2"/>
      <c r="L3820" s="5"/>
      <c r="M3820" s="9" t="s">
        <v>61</v>
      </c>
      <c r="N3820" s="9" t="s">
        <v>49</v>
      </c>
      <c r="O3820" s="10">
        <f>'data on outstanding creditors'!$E3820*100/107</f>
        <v>38130.84112</v>
      </c>
      <c r="P3820" s="10">
        <f>'data on outstanding creditors'!$E3820-'data on outstanding creditors'!$O3820</f>
        <v>2669.158879</v>
      </c>
      <c r="Q3820" s="7">
        <f>DAY('data on outstanding creditors'!$B3820)</f>
        <v>14</v>
      </c>
      <c r="R3820" s="7">
        <f>MONTH('data on outstanding creditors'!$B3820)</f>
        <v>7</v>
      </c>
      <c r="S3820" s="7">
        <f>YEAR('data on outstanding creditors'!$B3820)</f>
        <v>2025</v>
      </c>
      <c r="T3820" s="11" t="str">
        <f>'data on outstanding creditors'!$C3820&amp;" "&amp;'data on outstanding creditors'!$D3820&amp;" "&amp;TEXT('data on outstanding creditors'!$E3820,"#,##0.00")</f>
        <v>บ.โรงพยาบาลกรุงเทพ ราชสีมา  สิทธิ สปสช BKH.AR101/2568 06/68 40,800.00</v>
      </c>
      <c r="U3820" s="12"/>
    </row>
    <row r="3821" ht="13.5" customHeight="1">
      <c r="A3821" s="1"/>
      <c r="B3821" s="2">
        <v>45852.0</v>
      </c>
      <c r="C3821" s="9" t="s">
        <v>5944</v>
      </c>
      <c r="D3821" s="1" t="s">
        <v>6047</v>
      </c>
      <c r="E3821" s="4">
        <v>8000.0</v>
      </c>
      <c r="F3821" s="4"/>
      <c r="G3821" s="4"/>
      <c r="H3821" s="4">
        <f>'data on outstanding creditors'!$E3821-'data on outstanding creditors'!$F3821-'data on outstanding creditors'!$G3821</f>
        <v>8000</v>
      </c>
      <c r="I3821" s="2"/>
      <c r="J3821" s="1"/>
      <c r="K3821" s="2"/>
      <c r="L3821" s="5"/>
      <c r="M3821" s="9" t="s">
        <v>61</v>
      </c>
      <c r="N3821" s="9" t="s">
        <v>49</v>
      </c>
      <c r="O3821" s="10">
        <f>'data on outstanding creditors'!$E3821*100/107</f>
        <v>7476.635514</v>
      </c>
      <c r="P3821" s="10">
        <f>'data on outstanding creditors'!$E3821-'data on outstanding creditors'!$O3821</f>
        <v>523.364486</v>
      </c>
      <c r="Q3821" s="7">
        <f>DAY('data on outstanding creditors'!$B3821)</f>
        <v>14</v>
      </c>
      <c r="R3821" s="7">
        <f>MONTH('data on outstanding creditors'!$B3821)</f>
        <v>7</v>
      </c>
      <c r="S3821" s="7">
        <f>YEAR('data on outstanding creditors'!$B3821)</f>
        <v>2025</v>
      </c>
      <c r="T3821" s="11" t="str">
        <f>'data on outstanding creditors'!$C3821&amp;" "&amp;'data on outstanding creditors'!$D3821&amp;" "&amp;TEXT('data on outstanding creditors'!$E3821,"#,##0.00")</f>
        <v>บ.โรงพยาบาลกรุงเทพ ราชสีมา  สิทธิ จ่ายตรง BKH.AR102/2568 06/68 8,000.00</v>
      </c>
      <c r="U3821" s="12"/>
    </row>
    <row r="3822" ht="13.5" customHeight="1">
      <c r="A3822" s="1"/>
      <c r="B3822" s="2">
        <v>45852.0</v>
      </c>
      <c r="C3822" s="9" t="s">
        <v>5968</v>
      </c>
      <c r="D3822" s="1" t="s">
        <v>6048</v>
      </c>
      <c r="E3822" s="4">
        <v>6800.0</v>
      </c>
      <c r="F3822" s="4"/>
      <c r="G3822" s="4"/>
      <c r="H3822" s="4">
        <f>'data on outstanding creditors'!$E3822-'data on outstanding creditors'!$F3822-'data on outstanding creditors'!$G3822</f>
        <v>6800</v>
      </c>
      <c r="I3822" s="2"/>
      <c r="J3822" s="1"/>
      <c r="K3822" s="2"/>
      <c r="L3822" s="5"/>
      <c r="M3822" s="9" t="s">
        <v>61</v>
      </c>
      <c r="N3822" s="9" t="s">
        <v>49</v>
      </c>
      <c r="O3822" s="10">
        <f>'data on outstanding creditors'!$E3822*100/107</f>
        <v>6355.140187</v>
      </c>
      <c r="P3822" s="10">
        <f>'data on outstanding creditors'!$E3822-'data on outstanding creditors'!$O3822</f>
        <v>444.8598131</v>
      </c>
      <c r="Q3822" s="7">
        <f>DAY('data on outstanding creditors'!$B3822)</f>
        <v>14</v>
      </c>
      <c r="R3822" s="7">
        <f>MONTH('data on outstanding creditors'!$B3822)</f>
        <v>7</v>
      </c>
      <c r="S3822" s="7">
        <f>YEAR('data on outstanding creditors'!$B3822)</f>
        <v>2025</v>
      </c>
      <c r="T3822" s="11" t="str">
        <f>'data on outstanding creditors'!$C3822&amp;" "&amp;'data on outstanding creditors'!$D3822&amp;" "&amp;TEXT('data on outstanding creditors'!$E3822,"#,##0.00")</f>
        <v>บ.โรงพยาบาลกรุงเทพ ราชสีมา  สิทธิ ปกส BKH.AR103/2568 06/68 6,800.00</v>
      </c>
      <c r="U3822" s="12"/>
    </row>
    <row r="3823" ht="13.5" customHeight="1">
      <c r="A3823" s="1"/>
      <c r="B3823" s="2">
        <v>45869.0</v>
      </c>
      <c r="C3823" s="9" t="s">
        <v>5329</v>
      </c>
      <c r="D3823" s="1" t="s">
        <v>6049</v>
      </c>
      <c r="E3823" s="4">
        <v>149500.0</v>
      </c>
      <c r="F3823" s="4"/>
      <c r="G3823" s="4"/>
      <c r="H3823" s="4">
        <f>'data on outstanding creditors'!$E3823-'data on outstanding creditors'!$F3823-'data on outstanding creditors'!$G3823</f>
        <v>149500</v>
      </c>
      <c r="I3823" s="2"/>
      <c r="J3823" s="1" t="s">
        <v>646</v>
      </c>
      <c r="K3823" s="2">
        <v>45906.0</v>
      </c>
      <c r="L3823" s="5"/>
      <c r="M3823" s="9" t="s">
        <v>61</v>
      </c>
      <c r="N3823" s="9" t="s">
        <v>49</v>
      </c>
      <c r="O3823" s="10">
        <f>'data on outstanding creditors'!$E3823*100/107</f>
        <v>139719.6262</v>
      </c>
      <c r="P3823" s="10">
        <f>'data on outstanding creditors'!$E3823-'data on outstanding creditors'!$O3823</f>
        <v>9780.373832</v>
      </c>
      <c r="Q3823" s="7">
        <f>DAY('data on outstanding creditors'!$B3823)</f>
        <v>31</v>
      </c>
      <c r="R3823" s="7">
        <f>MONTH('data on outstanding creditors'!$B3823)</f>
        <v>7</v>
      </c>
      <c r="S3823" s="7">
        <f>YEAR('data on outstanding creditors'!$B3823)</f>
        <v>2025</v>
      </c>
      <c r="T3823" s="11" t="str">
        <f>'data on outstanding creditors'!$C3823&amp;" "&amp;'data on outstanding creditors'!$D3823&amp;" "&amp;TEXT('data on outstanding creditors'!$E3823,"#,##0.00")</f>
        <v>บ.เจ.เอฟ.แอดวาน เมด IV2507/467 149,500.00</v>
      </c>
      <c r="U3823" s="12"/>
    </row>
    <row r="3824" ht="13.5" customHeight="1">
      <c r="A3824" s="1"/>
      <c r="B3824" s="2">
        <v>45884.0</v>
      </c>
      <c r="C3824" s="9" t="s">
        <v>5941</v>
      </c>
      <c r="D3824" s="1" t="s">
        <v>6050</v>
      </c>
      <c r="E3824" s="4">
        <v>10000.0</v>
      </c>
      <c r="F3824" s="4"/>
      <c r="G3824" s="4"/>
      <c r="H3824" s="4">
        <f>'data on outstanding creditors'!$E3824-'data on outstanding creditors'!$F3824-'data on outstanding creditors'!$G3824</f>
        <v>10000</v>
      </c>
      <c r="I3824" s="2"/>
      <c r="J3824" s="1"/>
      <c r="K3824" s="2"/>
      <c r="L3824" s="5"/>
      <c r="M3824" s="9" t="s">
        <v>61</v>
      </c>
      <c r="N3824" s="9" t="s">
        <v>49</v>
      </c>
      <c r="O3824" s="10">
        <f>'data on outstanding creditors'!$E3824*100/107</f>
        <v>9345.794393</v>
      </c>
      <c r="P3824" s="10">
        <f>'data on outstanding creditors'!$E3824-'data on outstanding creditors'!$O3824</f>
        <v>654.2056075</v>
      </c>
      <c r="Q3824" s="7">
        <f>DAY('data on outstanding creditors'!$B3824)</f>
        <v>15</v>
      </c>
      <c r="R3824" s="7">
        <f>MONTH('data on outstanding creditors'!$B3824)</f>
        <v>8</v>
      </c>
      <c r="S3824" s="7">
        <f>YEAR('data on outstanding creditors'!$B3824)</f>
        <v>2025</v>
      </c>
      <c r="T3824" s="11" t="str">
        <f>'data on outstanding creditors'!$C3824&amp;" "&amp;'data on outstanding creditors'!$D3824&amp;" "&amp;TEXT('data on outstanding creditors'!$E3824,"#,##0.00")</f>
        <v>บ.โรงพยาบาลกรุงเทพ ราชสีมา  สิทธิ สปสช BKH.AR113/2568 07/68 10,000.00</v>
      </c>
      <c r="U3824" s="12"/>
    </row>
    <row r="3825" ht="13.5" customHeight="1">
      <c r="A3825" s="1"/>
      <c r="B3825" s="2">
        <v>45884.0</v>
      </c>
      <c r="C3825" s="9" t="s">
        <v>5944</v>
      </c>
      <c r="D3825" s="1" t="s">
        <v>6051</v>
      </c>
      <c r="E3825" s="4">
        <v>2000.0</v>
      </c>
      <c r="F3825" s="4"/>
      <c r="G3825" s="4"/>
      <c r="H3825" s="4">
        <f>'data on outstanding creditors'!$E3825-'data on outstanding creditors'!$F3825-'data on outstanding creditors'!$G3825</f>
        <v>2000</v>
      </c>
      <c r="I3825" s="2"/>
      <c r="J3825" s="1"/>
      <c r="K3825" s="2"/>
      <c r="L3825" s="5"/>
      <c r="M3825" s="9" t="s">
        <v>61</v>
      </c>
      <c r="N3825" s="9" t="s">
        <v>49</v>
      </c>
      <c r="O3825" s="10">
        <f>'data on outstanding creditors'!$E3825*100/107</f>
        <v>1869.158879</v>
      </c>
      <c r="P3825" s="10">
        <f>'data on outstanding creditors'!$E3825-'data on outstanding creditors'!$O3825</f>
        <v>130.8411215</v>
      </c>
      <c r="Q3825" s="7">
        <f>DAY('data on outstanding creditors'!$B3825)</f>
        <v>15</v>
      </c>
      <c r="R3825" s="7">
        <f>MONTH('data on outstanding creditors'!$B3825)</f>
        <v>8</v>
      </c>
      <c r="S3825" s="7">
        <f>YEAR('data on outstanding creditors'!$B3825)</f>
        <v>2025</v>
      </c>
      <c r="T3825" s="11" t="str">
        <f>'data on outstanding creditors'!$C3825&amp;" "&amp;'data on outstanding creditors'!$D3825&amp;" "&amp;TEXT('data on outstanding creditors'!$E3825,"#,##0.00")</f>
        <v>บ.โรงพยาบาลกรุงเทพ ราชสีมา  สิทธิ จ่ายตรง BKH.AR114/2568 07/68 2,000.00</v>
      </c>
      <c r="U3825" s="12"/>
    </row>
    <row r="3826" ht="13.5" customHeight="1">
      <c r="A3826" s="1" t="s">
        <v>6052</v>
      </c>
      <c r="B3826" s="2">
        <v>45901.0</v>
      </c>
      <c r="C3826" s="9" t="s">
        <v>5329</v>
      </c>
      <c r="D3826" s="1" t="s">
        <v>6053</v>
      </c>
      <c r="E3826" s="4">
        <v>149500.0</v>
      </c>
      <c r="F3826" s="4"/>
      <c r="G3826" s="4"/>
      <c r="H3826" s="4">
        <f>'data on outstanding creditors'!$E3826-'data on outstanding creditors'!$F3826-'data on outstanding creditors'!$G3826</f>
        <v>149500</v>
      </c>
      <c r="I3826" s="2"/>
      <c r="J3826" s="1" t="s">
        <v>757</v>
      </c>
      <c r="K3826" s="2">
        <v>45966.0</v>
      </c>
      <c r="L3826" s="5"/>
      <c r="M3826" s="9" t="s">
        <v>61</v>
      </c>
      <c r="N3826" s="9" t="s">
        <v>49</v>
      </c>
      <c r="O3826" s="10">
        <f>'data on outstanding creditors'!$E3826*100/107</f>
        <v>139719.6262</v>
      </c>
      <c r="P3826" s="10">
        <f>'data on outstanding creditors'!$E3826-'data on outstanding creditors'!$O3826</f>
        <v>9780.373832</v>
      </c>
      <c r="Q3826" s="7">
        <f>DAY('data on outstanding creditors'!$B3826)</f>
        <v>1</v>
      </c>
      <c r="R3826" s="7">
        <f>MONTH('data on outstanding creditors'!$B3826)</f>
        <v>9</v>
      </c>
      <c r="S3826" s="7">
        <f>YEAR('data on outstanding creditors'!$B3826)</f>
        <v>2025</v>
      </c>
      <c r="T3826" s="11" t="str">
        <f>'data on outstanding creditors'!$C3826&amp;" "&amp;'data on outstanding creditors'!$D3826&amp;" "&amp;TEXT('data on outstanding creditors'!$E3826,"#,##0.00")</f>
        <v>บ.เจ.เอฟ.แอดวาน เมด IV2508/411 149,500.00</v>
      </c>
      <c r="U3826" s="12"/>
    </row>
    <row r="3827" ht="13.5" customHeight="1">
      <c r="A3827" s="1"/>
      <c r="B3827" s="2">
        <v>45909.0</v>
      </c>
      <c r="C3827" s="9" t="s">
        <v>5941</v>
      </c>
      <c r="D3827" s="1" t="s">
        <v>6054</v>
      </c>
      <c r="E3827" s="4">
        <v>45800.0</v>
      </c>
      <c r="F3827" s="4"/>
      <c r="G3827" s="4"/>
      <c r="H3827" s="4">
        <f>'data on outstanding creditors'!$E3827-'data on outstanding creditors'!$F3827-'data on outstanding creditors'!$G3827</f>
        <v>45800</v>
      </c>
      <c r="I3827" s="2"/>
      <c r="J3827" s="1"/>
      <c r="K3827" s="2"/>
      <c r="L3827" s="5"/>
      <c r="M3827" s="9" t="s">
        <v>61</v>
      </c>
      <c r="N3827" s="9" t="s">
        <v>49</v>
      </c>
      <c r="O3827" s="10">
        <f>'data on outstanding creditors'!$E3827*100/107</f>
        <v>42803.73832</v>
      </c>
      <c r="P3827" s="10">
        <f>'data on outstanding creditors'!$E3827-'data on outstanding creditors'!$O3827</f>
        <v>2996.261682</v>
      </c>
      <c r="Q3827" s="7">
        <f>DAY('data on outstanding creditors'!$B3827)</f>
        <v>9</v>
      </c>
      <c r="R3827" s="7">
        <f>MONTH('data on outstanding creditors'!$B3827)</f>
        <v>9</v>
      </c>
      <c r="S3827" s="7">
        <f>YEAR('data on outstanding creditors'!$B3827)</f>
        <v>2025</v>
      </c>
      <c r="T3827" s="11" t="str">
        <f>'data on outstanding creditors'!$C3827&amp;" "&amp;'data on outstanding creditors'!$D3827&amp;" "&amp;TEXT('data on outstanding creditors'!$E3827,"#,##0.00")</f>
        <v>บ.โรงพยาบาลกรุงเทพ ราชสีมา  สิทธิ สปสช BKH.AR120/2568 08/68 45,800.00</v>
      </c>
      <c r="U3827" s="12"/>
    </row>
    <row r="3828" ht="13.5" customHeight="1">
      <c r="A3828" s="1"/>
      <c r="B3828" s="2">
        <v>45909.0</v>
      </c>
      <c r="C3828" s="9" t="s">
        <v>5971</v>
      </c>
      <c r="D3828" s="1" t="s">
        <v>6055</v>
      </c>
      <c r="E3828" s="4">
        <v>6000.0</v>
      </c>
      <c r="F3828" s="4"/>
      <c r="G3828" s="4"/>
      <c r="H3828" s="4">
        <f>'data on outstanding creditors'!$E3828-'data on outstanding creditors'!$F3828-'data on outstanding creditors'!$G3828</f>
        <v>6000</v>
      </c>
      <c r="I3828" s="2"/>
      <c r="J3828" s="1"/>
      <c r="K3828" s="2"/>
      <c r="L3828" s="5"/>
      <c r="M3828" s="9" t="s">
        <v>61</v>
      </c>
      <c r="N3828" s="9" t="s">
        <v>49</v>
      </c>
      <c r="O3828" s="10">
        <f>'data on outstanding creditors'!$E3828*100/107</f>
        <v>5607.476636</v>
      </c>
      <c r="P3828" s="10">
        <f>'data on outstanding creditors'!$E3828-'data on outstanding creditors'!$O3828</f>
        <v>392.5233645</v>
      </c>
      <c r="Q3828" s="7">
        <f>DAY('data on outstanding creditors'!$B3828)</f>
        <v>9</v>
      </c>
      <c r="R3828" s="7">
        <f>MONTH('data on outstanding creditors'!$B3828)</f>
        <v>9</v>
      </c>
      <c r="S3828" s="7">
        <f>YEAR('data on outstanding creditors'!$B3828)</f>
        <v>2025</v>
      </c>
      <c r="T3828" s="11" t="str">
        <f>'data on outstanding creditors'!$C3828&amp;" "&amp;'data on outstanding creditors'!$D3828&amp;" "&amp;TEXT('data on outstanding creditors'!$E3828,"#,##0.00")</f>
        <v>บ.โรงพยาบาลกรุงเทพ ราชสีมา  สิทธิ ชำระเงิน BKH.AR121/2568 08/68 6,000.00</v>
      </c>
      <c r="U3828" s="12"/>
    </row>
    <row r="3829" ht="13.5" customHeight="1">
      <c r="A3829" s="1"/>
      <c r="B3829" s="2">
        <v>45930.0</v>
      </c>
      <c r="C3829" s="9" t="s">
        <v>5329</v>
      </c>
      <c r="D3829" s="1" t="s">
        <v>6056</v>
      </c>
      <c r="E3829" s="4">
        <v>149500.0</v>
      </c>
      <c r="F3829" s="4"/>
      <c r="G3829" s="4"/>
      <c r="H3829" s="4">
        <f>'data on outstanding creditors'!$E3829-'data on outstanding creditors'!$F3829-'data on outstanding creditors'!$G3829</f>
        <v>149500</v>
      </c>
      <c r="I3829" s="2"/>
      <c r="J3829" s="1" t="s">
        <v>757</v>
      </c>
      <c r="K3829" s="2">
        <v>45966.0</v>
      </c>
      <c r="L3829" s="5"/>
      <c r="M3829" s="9" t="s">
        <v>61</v>
      </c>
      <c r="N3829" s="9" t="s">
        <v>49</v>
      </c>
      <c r="O3829" s="10">
        <f>'data on outstanding creditors'!$E3829*100/107</f>
        <v>139719.6262</v>
      </c>
      <c r="P3829" s="10">
        <f>'data on outstanding creditors'!$E3829-'data on outstanding creditors'!$O3829</f>
        <v>9780.373832</v>
      </c>
      <c r="Q3829" s="7">
        <f>DAY('data on outstanding creditors'!$B3829)</f>
        <v>30</v>
      </c>
      <c r="R3829" s="7">
        <f>MONTH('data on outstanding creditors'!$B3829)</f>
        <v>9</v>
      </c>
      <c r="S3829" s="7">
        <f>YEAR('data on outstanding creditors'!$B3829)</f>
        <v>2025</v>
      </c>
      <c r="T3829" s="11" t="str">
        <f>'data on outstanding creditors'!$C3829&amp;" "&amp;'data on outstanding creditors'!$D3829&amp;" "&amp;TEXT('data on outstanding creditors'!$E3829,"#,##0.00")</f>
        <v>บ.เจ.เอฟ.แอดวาน เมด IV2509/534 149,500.00</v>
      </c>
      <c r="U3829" s="12"/>
    </row>
    <row r="3830" ht="13.5" customHeight="1">
      <c r="A3830" s="1"/>
      <c r="B3830" s="2">
        <v>45947.0</v>
      </c>
      <c r="C3830" s="9" t="s">
        <v>5941</v>
      </c>
      <c r="D3830" s="1" t="s">
        <v>6057</v>
      </c>
      <c r="E3830" s="4">
        <v>4800.0</v>
      </c>
      <c r="F3830" s="4"/>
      <c r="G3830" s="4"/>
      <c r="H3830" s="4">
        <f>'data on outstanding creditors'!$E3830-'data on outstanding creditors'!$F3830-'data on outstanding creditors'!$G3830</f>
        <v>4800</v>
      </c>
      <c r="I3830" s="2"/>
      <c r="J3830" s="1"/>
      <c r="K3830" s="2"/>
      <c r="L3830" s="5"/>
      <c r="M3830" s="9" t="s">
        <v>61</v>
      </c>
      <c r="N3830" s="9" t="s">
        <v>49</v>
      </c>
      <c r="O3830" s="10">
        <f>'data on outstanding creditors'!$E3830*100/107</f>
        <v>4485.981308</v>
      </c>
      <c r="P3830" s="10">
        <f>'data on outstanding creditors'!$E3830-'data on outstanding creditors'!$O3830</f>
        <v>314.0186916</v>
      </c>
      <c r="Q3830" s="7">
        <f>DAY('data on outstanding creditors'!$B3830)</f>
        <v>17</v>
      </c>
      <c r="R3830" s="7">
        <f>MONTH('data on outstanding creditors'!$B3830)</f>
        <v>10</v>
      </c>
      <c r="S3830" s="7">
        <f>YEAR('data on outstanding creditors'!$B3830)</f>
        <v>2025</v>
      </c>
      <c r="T3830" s="11" t="str">
        <f>'data on outstanding creditors'!$C3830&amp;" "&amp;'data on outstanding creditors'!$D3830&amp;" "&amp;TEXT('data on outstanding creditors'!$E3830,"#,##0.00")</f>
        <v>บ.โรงพยาบาลกรุงเทพ ราชสีมา  สิทธิ สปสช BKH.AR123/2568 09/68 4,800.00</v>
      </c>
      <c r="U3830" s="12"/>
    </row>
    <row r="3831" ht="13.5" customHeight="1">
      <c r="A3831" s="1"/>
      <c r="B3831" s="2">
        <v>45947.0</v>
      </c>
      <c r="C3831" s="9" t="s">
        <v>5968</v>
      </c>
      <c r="D3831" s="1" t="s">
        <v>6058</v>
      </c>
      <c r="E3831" s="4">
        <v>3000.0</v>
      </c>
      <c r="F3831" s="4"/>
      <c r="G3831" s="4"/>
      <c r="H3831" s="4">
        <f>'data on outstanding creditors'!$E3831-'data on outstanding creditors'!$F3831-'data on outstanding creditors'!$G3831</f>
        <v>3000</v>
      </c>
      <c r="I3831" s="2"/>
      <c r="J3831" s="1"/>
      <c r="K3831" s="2"/>
      <c r="L3831" s="5"/>
      <c r="M3831" s="9" t="s">
        <v>61</v>
      </c>
      <c r="N3831" s="9" t="s">
        <v>49</v>
      </c>
      <c r="O3831" s="10">
        <f>'data on outstanding creditors'!$E3831*100/107</f>
        <v>2803.738318</v>
      </c>
      <c r="P3831" s="10">
        <f>'data on outstanding creditors'!$E3831-'data on outstanding creditors'!$O3831</f>
        <v>196.2616822</v>
      </c>
      <c r="Q3831" s="7">
        <f>DAY('data on outstanding creditors'!$B3831)</f>
        <v>17</v>
      </c>
      <c r="R3831" s="7">
        <f>MONTH('data on outstanding creditors'!$B3831)</f>
        <v>10</v>
      </c>
      <c r="S3831" s="7">
        <f>YEAR('data on outstanding creditors'!$B3831)</f>
        <v>2025</v>
      </c>
      <c r="T3831" s="11" t="str">
        <f>'data on outstanding creditors'!$C3831&amp;" "&amp;'data on outstanding creditors'!$D3831&amp;" "&amp;TEXT('data on outstanding creditors'!$E3831,"#,##0.00")</f>
        <v>บ.โรงพยาบาลกรุงเทพ ราชสีมา  สิทธิ ปกส BKH.AR124/2568 09/68 3,000.00</v>
      </c>
      <c r="U3831" s="12"/>
    </row>
    <row r="3832" ht="13.5" customHeight="1">
      <c r="A3832" s="1" t="s">
        <v>6059</v>
      </c>
      <c r="B3832" s="2">
        <v>45691.0</v>
      </c>
      <c r="C3832" s="9" t="s">
        <v>2394</v>
      </c>
      <c r="D3832" s="1" t="s">
        <v>6060</v>
      </c>
      <c r="E3832" s="4">
        <v>12400.0</v>
      </c>
      <c r="F3832" s="4"/>
      <c r="G3832" s="4"/>
      <c r="H3832" s="4">
        <f>'data on outstanding creditors'!$E3832-'data on outstanding creditors'!$F3832-'data on outstanding creditors'!$G3832</f>
        <v>12400</v>
      </c>
      <c r="I3832" s="2"/>
      <c r="J3832" s="1" t="s">
        <v>757</v>
      </c>
      <c r="K3832" s="2">
        <v>45756.0</v>
      </c>
      <c r="L3832" s="5"/>
      <c r="M3832" s="9" t="s">
        <v>178</v>
      </c>
      <c r="N3832" s="9" t="s">
        <v>49</v>
      </c>
      <c r="O3832" s="10">
        <f>'data on outstanding creditors'!$E3832*100/107</f>
        <v>11588.78505</v>
      </c>
      <c r="P3832" s="10">
        <f>'data on outstanding creditors'!$E3832-'data on outstanding creditors'!$O3832</f>
        <v>811.2149533</v>
      </c>
      <c r="Q3832" s="7">
        <f>DAY('data on outstanding creditors'!$B3832)</f>
        <v>3</v>
      </c>
      <c r="R3832" s="7">
        <f>MONTH('data on outstanding creditors'!$B3832)</f>
        <v>2</v>
      </c>
      <c r="S3832" s="7">
        <f>YEAR('data on outstanding creditors'!$B3832)</f>
        <v>2025</v>
      </c>
      <c r="T3832" s="11" t="str">
        <f>'data on outstanding creditors'!$C3832&amp;" "&amp;'data on outstanding creditors'!$D3832&amp;" "&amp;TEXT('data on outstanding creditors'!$E3832,"#,##0.00")</f>
        <v>บ.เมดวิท D-Q24121616 12,400.00</v>
      </c>
      <c r="U3832" s="12"/>
    </row>
    <row r="3833" ht="13.5" customHeight="1">
      <c r="A3833" s="1" t="s">
        <v>6061</v>
      </c>
      <c r="B3833" s="2">
        <v>45769.0</v>
      </c>
      <c r="C3833" s="9" t="s">
        <v>1114</v>
      </c>
      <c r="D3833" s="1" t="s">
        <v>6062</v>
      </c>
      <c r="E3833" s="4">
        <v>9200.0</v>
      </c>
      <c r="F3833" s="4"/>
      <c r="G3833" s="4"/>
      <c r="H3833" s="4">
        <f>'data on outstanding creditors'!$E3833-'data on outstanding creditors'!$F3833-'data on outstanding creditors'!$G3833</f>
        <v>9200</v>
      </c>
      <c r="I3833" s="2"/>
      <c r="J3833" s="1" t="s">
        <v>646</v>
      </c>
      <c r="K3833" s="2">
        <v>45843.0</v>
      </c>
      <c r="L3833" s="5"/>
      <c r="M3833" s="9" t="s">
        <v>178</v>
      </c>
      <c r="N3833" s="9" t="s">
        <v>49</v>
      </c>
      <c r="O3833" s="10">
        <f>'data on outstanding creditors'!$E3833*100/107</f>
        <v>8598.130841</v>
      </c>
      <c r="P3833" s="10">
        <f>'data on outstanding creditors'!$E3833-'data on outstanding creditors'!$O3833</f>
        <v>601.8691589</v>
      </c>
      <c r="Q3833" s="7">
        <f>DAY('data on outstanding creditors'!$B3833)</f>
        <v>22</v>
      </c>
      <c r="R3833" s="7">
        <f>MONTH('data on outstanding creditors'!$B3833)</f>
        <v>4</v>
      </c>
      <c r="S3833" s="7">
        <f>YEAR('data on outstanding creditors'!$B3833)</f>
        <v>2025</v>
      </c>
      <c r="T3833" s="11" t="str">
        <f>'data on outstanding creditors'!$C3833&amp;" "&amp;'data on outstanding creditors'!$D3833&amp;" "&amp;TEXT('data on outstanding creditors'!$E3833,"#,##0.00")</f>
        <v>หจก.อิเลฟเว่น พลัซ EL680409110 9,200.00</v>
      </c>
      <c r="U3833" s="12"/>
    </row>
    <row r="3834" ht="13.5" customHeight="1">
      <c r="A3834" s="1" t="s">
        <v>6063</v>
      </c>
      <c r="B3834" s="2">
        <v>45779.0</v>
      </c>
      <c r="C3834" s="9" t="s">
        <v>149</v>
      </c>
      <c r="D3834" s="1" t="s">
        <v>6064</v>
      </c>
      <c r="E3834" s="4">
        <v>3990.0</v>
      </c>
      <c r="F3834" s="4"/>
      <c r="G3834" s="4"/>
      <c r="H3834" s="4">
        <f>'data on outstanding creditors'!$E3834-'data on outstanding creditors'!$F3834-'data on outstanding creditors'!$G3834</f>
        <v>3990</v>
      </c>
      <c r="I3834" s="2"/>
      <c r="J3834" s="1" t="s">
        <v>646</v>
      </c>
      <c r="K3834" s="2">
        <v>45951.0</v>
      </c>
      <c r="L3834" s="5"/>
      <c r="M3834" s="9" t="s">
        <v>178</v>
      </c>
      <c r="N3834" s="9" t="s">
        <v>49</v>
      </c>
      <c r="O3834" s="10">
        <f>'data on outstanding creditors'!$E3834*100/107</f>
        <v>3728.971963</v>
      </c>
      <c r="P3834" s="10">
        <f>'data on outstanding creditors'!$E3834-'data on outstanding creditors'!$O3834</f>
        <v>261.0280374</v>
      </c>
      <c r="Q3834" s="7">
        <f>DAY('data on outstanding creditors'!$B3834)</f>
        <v>2</v>
      </c>
      <c r="R3834" s="7">
        <f>MONTH('data on outstanding creditors'!$B3834)</f>
        <v>5</v>
      </c>
      <c r="S3834" s="7">
        <f>YEAR('data on outstanding creditors'!$B3834)</f>
        <v>2025</v>
      </c>
      <c r="T3834" s="11" t="str">
        <f>'data on outstanding creditors'!$C3834&amp;" "&amp;'data on outstanding creditors'!$D3834&amp;" "&amp;TEXT('data on outstanding creditors'!$E3834,"#,##0.00")</f>
        <v>หจก.บุรีรัมย์ซัพพลายอีเล็คโทรนิค I68/000263 3,990.00</v>
      </c>
      <c r="U3834" s="12"/>
    </row>
    <row r="3835" ht="13.5" customHeight="1">
      <c r="A3835" s="1" t="s">
        <v>6065</v>
      </c>
      <c r="B3835" s="2">
        <v>45784.0</v>
      </c>
      <c r="C3835" s="9" t="s">
        <v>6066</v>
      </c>
      <c r="D3835" s="1" t="s">
        <v>6067</v>
      </c>
      <c r="E3835" s="4">
        <v>6000.0</v>
      </c>
      <c r="F3835" s="4"/>
      <c r="G3835" s="4"/>
      <c r="H3835" s="4">
        <f>'data on outstanding creditors'!$E3835-'data on outstanding creditors'!$F3835-'data on outstanding creditors'!$G3835</f>
        <v>6000</v>
      </c>
      <c r="I3835" s="2"/>
      <c r="J3835" s="1" t="s">
        <v>646</v>
      </c>
      <c r="K3835" s="2">
        <v>45855.0</v>
      </c>
      <c r="L3835" s="5"/>
      <c r="M3835" s="9" t="s">
        <v>178</v>
      </c>
      <c r="N3835" s="9" t="s">
        <v>49</v>
      </c>
      <c r="O3835" s="10">
        <f>'data on outstanding creditors'!$E3835*100/107</f>
        <v>5607.476636</v>
      </c>
      <c r="P3835" s="10">
        <f>'data on outstanding creditors'!$E3835-'data on outstanding creditors'!$O3835</f>
        <v>392.5233645</v>
      </c>
      <c r="Q3835" s="7">
        <f>DAY('data on outstanding creditors'!$B3835)</f>
        <v>7</v>
      </c>
      <c r="R3835" s="7">
        <f>MONTH('data on outstanding creditors'!$B3835)</f>
        <v>5</v>
      </c>
      <c r="S3835" s="7">
        <f>YEAR('data on outstanding creditors'!$B3835)</f>
        <v>2025</v>
      </c>
      <c r="T3835" s="11" t="str">
        <f>'data on outstanding creditors'!$C3835&amp;" "&amp;'data on outstanding creditors'!$D3835&amp;" "&amp;TEXT('data on outstanding creditors'!$E3835,"#,##0.00")</f>
        <v>บ.ทอพพิเคิล 680495 6,000.00</v>
      </c>
      <c r="U3835" s="12"/>
    </row>
    <row r="3836" ht="13.5" customHeight="1">
      <c r="A3836" s="1" t="s">
        <v>6068</v>
      </c>
      <c r="B3836" s="2">
        <v>45790.0</v>
      </c>
      <c r="C3836" s="9" t="s">
        <v>1059</v>
      </c>
      <c r="D3836" s="1" t="s">
        <v>6069</v>
      </c>
      <c r="E3836" s="4">
        <v>4000.0</v>
      </c>
      <c r="F3836" s="4"/>
      <c r="G3836" s="4"/>
      <c r="H3836" s="4">
        <f>'data on outstanding creditors'!$E3836-'data on outstanding creditors'!$F3836-'data on outstanding creditors'!$G3836</f>
        <v>4000</v>
      </c>
      <c r="I3836" s="2"/>
      <c r="J3836" s="1" t="s">
        <v>646</v>
      </c>
      <c r="K3836" s="2">
        <v>45866.0</v>
      </c>
      <c r="L3836" s="5"/>
      <c r="M3836" s="9" t="s">
        <v>178</v>
      </c>
      <c r="N3836" s="9" t="s">
        <v>49</v>
      </c>
      <c r="O3836" s="10">
        <f>'data on outstanding creditors'!$E3836*100/107</f>
        <v>3738.317757</v>
      </c>
      <c r="P3836" s="10">
        <f>'data on outstanding creditors'!$E3836-'data on outstanding creditors'!$O3836</f>
        <v>261.682243</v>
      </c>
      <c r="Q3836" s="7">
        <f>DAY('data on outstanding creditors'!$B3836)</f>
        <v>13</v>
      </c>
      <c r="R3836" s="7">
        <f>MONTH('data on outstanding creditors'!$B3836)</f>
        <v>5</v>
      </c>
      <c r="S3836" s="7">
        <f>YEAR('data on outstanding creditors'!$B3836)</f>
        <v>2025</v>
      </c>
      <c r="T3836" s="11" t="str">
        <f>'data on outstanding creditors'!$C3836&amp;" "&amp;'data on outstanding creditors'!$D3836&amp;" "&amp;TEXT('data on outstanding creditors'!$E3836,"#,##0.00")</f>
        <v>หจก.ภาสิน 61802 4,000.00</v>
      </c>
      <c r="U3836" s="12"/>
    </row>
    <row r="3837" ht="13.5" customHeight="1">
      <c r="A3837" s="1" t="s">
        <v>6070</v>
      </c>
      <c r="B3837" s="2">
        <v>45797.0</v>
      </c>
      <c r="C3837" s="9" t="s">
        <v>6071</v>
      </c>
      <c r="D3837" s="1" t="s">
        <v>6072</v>
      </c>
      <c r="E3837" s="4">
        <v>1890.0</v>
      </c>
      <c r="F3837" s="4"/>
      <c r="G3837" s="4"/>
      <c r="H3837" s="4">
        <f>'data on outstanding creditors'!$E3837-'data on outstanding creditors'!$F3837-'data on outstanding creditors'!$G3837</f>
        <v>1890</v>
      </c>
      <c r="I3837" s="2"/>
      <c r="J3837" s="1" t="s">
        <v>757</v>
      </c>
      <c r="K3837" s="2">
        <v>45831.0</v>
      </c>
      <c r="L3837" s="5"/>
      <c r="M3837" s="9" t="s">
        <v>178</v>
      </c>
      <c r="N3837" s="9" t="s">
        <v>49</v>
      </c>
      <c r="O3837" s="10">
        <f>'data on outstanding creditors'!$E3837*100/107</f>
        <v>1766.35514</v>
      </c>
      <c r="P3837" s="10">
        <f>'data on outstanding creditors'!$E3837-'data on outstanding creditors'!$O3837</f>
        <v>123.6448598</v>
      </c>
      <c r="Q3837" s="7">
        <f>DAY('data on outstanding creditors'!$B3837)</f>
        <v>20</v>
      </c>
      <c r="R3837" s="7">
        <f>MONTH('data on outstanding creditors'!$B3837)</f>
        <v>5</v>
      </c>
      <c r="S3837" s="7">
        <f>YEAR('data on outstanding creditors'!$B3837)</f>
        <v>2025</v>
      </c>
      <c r="T3837" s="11" t="str">
        <f>'data on outstanding creditors'!$C3837&amp;" "&amp;'data on outstanding creditors'!$D3837&amp;" "&amp;TEXT('data on outstanding creditors'!$E3837,"#,##0.00")</f>
        <v>บ.ดั๊บเบิ้ลยู เมดิคอล IV680511 1,890.00</v>
      </c>
      <c r="U3837" s="12"/>
    </row>
    <row r="3838" ht="13.5" customHeight="1">
      <c r="A3838" s="1" t="s">
        <v>6073</v>
      </c>
      <c r="B3838" s="2">
        <v>45798.0</v>
      </c>
      <c r="C3838" s="9" t="s">
        <v>1114</v>
      </c>
      <c r="D3838" s="1" t="s">
        <v>6074</v>
      </c>
      <c r="E3838" s="4">
        <v>6850.0</v>
      </c>
      <c r="F3838" s="4"/>
      <c r="G3838" s="4"/>
      <c r="H3838" s="4">
        <f>'data on outstanding creditors'!$E3838-'data on outstanding creditors'!$F3838-'data on outstanding creditors'!$G3838</f>
        <v>6850</v>
      </c>
      <c r="I3838" s="2"/>
      <c r="J3838" s="1" t="s">
        <v>646</v>
      </c>
      <c r="K3838" s="2">
        <v>45843.0</v>
      </c>
      <c r="L3838" s="5"/>
      <c r="M3838" s="9" t="s">
        <v>178</v>
      </c>
      <c r="N3838" s="9" t="s">
        <v>49</v>
      </c>
      <c r="O3838" s="10">
        <f>'data on outstanding creditors'!$E3838*100/107</f>
        <v>6401.869159</v>
      </c>
      <c r="P3838" s="10">
        <f>'data on outstanding creditors'!$E3838-'data on outstanding creditors'!$O3838</f>
        <v>448.1308411</v>
      </c>
      <c r="Q3838" s="7">
        <f>DAY('data on outstanding creditors'!$B3838)</f>
        <v>21</v>
      </c>
      <c r="R3838" s="7">
        <f>MONTH('data on outstanding creditors'!$B3838)</f>
        <v>5</v>
      </c>
      <c r="S3838" s="7">
        <f>YEAR('data on outstanding creditors'!$B3838)</f>
        <v>2025</v>
      </c>
      <c r="T3838" s="11" t="str">
        <f>'data on outstanding creditors'!$C3838&amp;" "&amp;'data on outstanding creditors'!$D3838&amp;" "&amp;TEXT('data on outstanding creditors'!$E3838,"#,##0.00")</f>
        <v>หจก.อิเลฟเว่น พลัซ EL680506053 6,850.00</v>
      </c>
      <c r="U3838" s="12"/>
    </row>
    <row r="3839" ht="13.5" customHeight="1">
      <c r="A3839" s="1" t="s">
        <v>6075</v>
      </c>
      <c r="B3839" s="2">
        <v>45800.0</v>
      </c>
      <c r="C3839" s="9" t="s">
        <v>4834</v>
      </c>
      <c r="D3839" s="1" t="s">
        <v>6076</v>
      </c>
      <c r="E3839" s="4">
        <v>16500.0</v>
      </c>
      <c r="F3839" s="4"/>
      <c r="G3839" s="4"/>
      <c r="H3839" s="4">
        <f>'data on outstanding creditors'!$E3839-'data on outstanding creditors'!$F3839-'data on outstanding creditors'!$G3839</f>
        <v>16500</v>
      </c>
      <c r="I3839" s="2"/>
      <c r="J3839" s="1" t="s">
        <v>757</v>
      </c>
      <c r="K3839" s="2">
        <v>45859.0</v>
      </c>
      <c r="L3839" s="5"/>
      <c r="M3839" s="9" t="s">
        <v>178</v>
      </c>
      <c r="N3839" s="9" t="s">
        <v>49</v>
      </c>
      <c r="O3839" s="10">
        <f>'data on outstanding creditors'!$E3839*100/107</f>
        <v>15420.56075</v>
      </c>
      <c r="P3839" s="10">
        <f>'data on outstanding creditors'!$E3839-'data on outstanding creditors'!$O3839</f>
        <v>1079.439252</v>
      </c>
      <c r="Q3839" s="7">
        <f>DAY('data on outstanding creditors'!$B3839)</f>
        <v>23</v>
      </c>
      <c r="R3839" s="7">
        <f>MONTH('data on outstanding creditors'!$B3839)</f>
        <v>5</v>
      </c>
      <c r="S3839" s="7">
        <f>YEAR('data on outstanding creditors'!$B3839)</f>
        <v>2025</v>
      </c>
      <c r="T3839" s="11" t="str">
        <f>'data on outstanding creditors'!$C3839&amp;" "&amp;'data on outstanding creditors'!$D3839&amp;" "&amp;TEXT('data on outstanding creditors'!$E3839,"#,##0.00")</f>
        <v>บ.ซีทีเอ็ม โกลเบิล IV68050165 16,500.00</v>
      </c>
      <c r="U3839" s="12"/>
    </row>
    <row r="3840" ht="13.5" customHeight="1">
      <c r="A3840" s="1" t="s">
        <v>6077</v>
      </c>
      <c r="B3840" s="2">
        <v>45803.0</v>
      </c>
      <c r="C3840" s="9" t="s">
        <v>1177</v>
      </c>
      <c r="D3840" s="1" t="s">
        <v>6078</v>
      </c>
      <c r="E3840" s="4">
        <v>6800.0</v>
      </c>
      <c r="F3840" s="4"/>
      <c r="G3840" s="4"/>
      <c r="H3840" s="4">
        <f>'data on outstanding creditors'!$E3840-'data on outstanding creditors'!$F3840-'data on outstanding creditors'!$G3840</f>
        <v>6800</v>
      </c>
      <c r="I3840" s="2"/>
      <c r="J3840" s="1" t="s">
        <v>646</v>
      </c>
      <c r="K3840" s="2">
        <v>45944.0</v>
      </c>
      <c r="L3840" s="5"/>
      <c r="M3840" s="9" t="s">
        <v>178</v>
      </c>
      <c r="N3840" s="9" t="s">
        <v>49</v>
      </c>
      <c r="O3840" s="10">
        <f>'data on outstanding creditors'!$E3840*100/107</f>
        <v>6355.140187</v>
      </c>
      <c r="P3840" s="10">
        <f>'data on outstanding creditors'!$E3840-'data on outstanding creditors'!$O3840</f>
        <v>444.8598131</v>
      </c>
      <c r="Q3840" s="7">
        <f>DAY('data on outstanding creditors'!$B3840)</f>
        <v>26</v>
      </c>
      <c r="R3840" s="7">
        <f>MONTH('data on outstanding creditors'!$B3840)</f>
        <v>5</v>
      </c>
      <c r="S3840" s="7">
        <f>YEAR('data on outstanding creditors'!$B3840)</f>
        <v>2025</v>
      </c>
      <c r="T3840" s="11" t="str">
        <f>'data on outstanding creditors'!$C3840&amp;" "&amp;'data on outstanding creditors'!$D3840&amp;" "&amp;TEXT('data on outstanding creditors'!$E3840,"#,##0.00")</f>
        <v>บ.ณรงค์ศักดิ์ครุภัณฑ์เวชภัณฑ์ 034/3422 6,800.00</v>
      </c>
      <c r="U3840" s="12"/>
    </row>
    <row r="3841" ht="13.5" customHeight="1">
      <c r="A3841" s="1" t="s">
        <v>6079</v>
      </c>
      <c r="B3841" s="2">
        <v>45819.0</v>
      </c>
      <c r="C3841" s="9" t="s">
        <v>1114</v>
      </c>
      <c r="D3841" s="1" t="s">
        <v>6080</v>
      </c>
      <c r="E3841" s="4">
        <v>2500.0</v>
      </c>
      <c r="F3841" s="4"/>
      <c r="G3841" s="4"/>
      <c r="H3841" s="4">
        <f>'data on outstanding creditors'!$E3841-'data on outstanding creditors'!$F3841-'data on outstanding creditors'!$G3841</f>
        <v>2500</v>
      </c>
      <c r="I3841" s="2"/>
      <c r="J3841" s="1" t="s">
        <v>646</v>
      </c>
      <c r="K3841" s="2">
        <v>45877.0</v>
      </c>
      <c r="L3841" s="5"/>
      <c r="M3841" s="9" t="s">
        <v>178</v>
      </c>
      <c r="N3841" s="9" t="s">
        <v>49</v>
      </c>
      <c r="O3841" s="10">
        <f>'data on outstanding creditors'!$E3841*100/107</f>
        <v>2336.448598</v>
      </c>
      <c r="P3841" s="10">
        <f>'data on outstanding creditors'!$E3841-'data on outstanding creditors'!$O3841</f>
        <v>163.5514019</v>
      </c>
      <c r="Q3841" s="7">
        <f>DAY('data on outstanding creditors'!$B3841)</f>
        <v>11</v>
      </c>
      <c r="R3841" s="7">
        <f>MONTH('data on outstanding creditors'!$B3841)</f>
        <v>6</v>
      </c>
      <c r="S3841" s="7">
        <f>YEAR('data on outstanding creditors'!$B3841)</f>
        <v>2025</v>
      </c>
      <c r="T3841" s="11" t="str">
        <f>'data on outstanding creditors'!$C3841&amp;" "&amp;'data on outstanding creditors'!$D3841&amp;" "&amp;TEXT('data on outstanding creditors'!$E3841,"#,##0.00")</f>
        <v>หจก.อิเลฟเว่น พลัซ EL680604031 2,500.00</v>
      </c>
      <c r="U3841" s="12"/>
    </row>
    <row r="3842" ht="13.5" customHeight="1">
      <c r="A3842" s="1" t="s">
        <v>6081</v>
      </c>
      <c r="B3842" s="2">
        <v>45819.0</v>
      </c>
      <c r="C3842" s="9" t="s">
        <v>6082</v>
      </c>
      <c r="D3842" s="1" t="s">
        <v>6083</v>
      </c>
      <c r="E3842" s="4">
        <v>24000.0</v>
      </c>
      <c r="F3842" s="4"/>
      <c r="G3842" s="4"/>
      <c r="H3842" s="4">
        <f>'data on outstanding creditors'!$E3842-'data on outstanding creditors'!$F3842-'data on outstanding creditors'!$G3842</f>
        <v>24000</v>
      </c>
      <c r="I3842" s="2"/>
      <c r="J3842" s="1" t="s">
        <v>646</v>
      </c>
      <c r="K3842" s="2">
        <v>45887.0</v>
      </c>
      <c r="L3842" s="5"/>
      <c r="M3842" s="9" t="s">
        <v>178</v>
      </c>
      <c r="N3842" s="9" t="s">
        <v>49</v>
      </c>
      <c r="O3842" s="10">
        <f>'data on outstanding creditors'!$E3842*100/107</f>
        <v>22429.90654</v>
      </c>
      <c r="P3842" s="10">
        <f>'data on outstanding creditors'!$E3842-'data on outstanding creditors'!$O3842</f>
        <v>1570.093458</v>
      </c>
      <c r="Q3842" s="7">
        <f>DAY('data on outstanding creditors'!$B3842)</f>
        <v>11</v>
      </c>
      <c r="R3842" s="7">
        <f>MONTH('data on outstanding creditors'!$B3842)</f>
        <v>6</v>
      </c>
      <c r="S3842" s="7">
        <f>YEAR('data on outstanding creditors'!$B3842)</f>
        <v>2025</v>
      </c>
      <c r="T3842" s="11" t="str">
        <f>'data on outstanding creditors'!$C3842&amp;" "&amp;'data on outstanding creditors'!$D3842&amp;" "&amp;TEXT('data on outstanding creditors'!$E3842,"#,##0.00")</f>
        <v>บ.ทันตภัณฑ์ไทย(ที.ดี.พี.) INV2025060006 24,000.00</v>
      </c>
      <c r="U3842" s="12"/>
    </row>
    <row r="3843" ht="13.5" customHeight="1">
      <c r="A3843" s="1" t="s">
        <v>6084</v>
      </c>
      <c r="B3843" s="2">
        <v>45832.0</v>
      </c>
      <c r="C3843" s="9" t="s">
        <v>1114</v>
      </c>
      <c r="D3843" s="1" t="s">
        <v>6085</v>
      </c>
      <c r="E3843" s="4">
        <v>6500.0</v>
      </c>
      <c r="F3843" s="4"/>
      <c r="G3843" s="4"/>
      <c r="H3843" s="4">
        <f>'data on outstanding creditors'!$E3843-'data on outstanding creditors'!$F3843-'data on outstanding creditors'!$G3843</f>
        <v>6500</v>
      </c>
      <c r="I3843" s="2"/>
      <c r="J3843" s="1" t="s">
        <v>646</v>
      </c>
      <c r="K3843" s="2">
        <v>45877.0</v>
      </c>
      <c r="L3843" s="5"/>
      <c r="M3843" s="9" t="s">
        <v>178</v>
      </c>
      <c r="N3843" s="9" t="s">
        <v>49</v>
      </c>
      <c r="O3843" s="10">
        <f>'data on outstanding creditors'!$E3843*100/107</f>
        <v>6074.766355</v>
      </c>
      <c r="P3843" s="10">
        <f>'data on outstanding creditors'!$E3843-'data on outstanding creditors'!$O3843</f>
        <v>425.2336449</v>
      </c>
      <c r="Q3843" s="7">
        <f>DAY('data on outstanding creditors'!$B3843)</f>
        <v>24</v>
      </c>
      <c r="R3843" s="7">
        <f>MONTH('data on outstanding creditors'!$B3843)</f>
        <v>6</v>
      </c>
      <c r="S3843" s="7">
        <f>YEAR('data on outstanding creditors'!$B3843)</f>
        <v>2025</v>
      </c>
      <c r="T3843" s="11" t="str">
        <f>'data on outstanding creditors'!$C3843&amp;" "&amp;'data on outstanding creditors'!$D3843&amp;" "&amp;TEXT('data on outstanding creditors'!$E3843,"#,##0.00")</f>
        <v>หจก.อิเลฟเว่น พลัซ EL680617151 6,500.00</v>
      </c>
      <c r="U3843" s="12"/>
    </row>
    <row r="3844" ht="13.5" customHeight="1">
      <c r="A3844" s="1" t="s">
        <v>6086</v>
      </c>
      <c r="B3844" s="2">
        <v>45838.0</v>
      </c>
      <c r="C3844" s="9" t="s">
        <v>100</v>
      </c>
      <c r="D3844" s="1" t="s">
        <v>6087</v>
      </c>
      <c r="E3844" s="4">
        <v>1450.0</v>
      </c>
      <c r="F3844" s="4"/>
      <c r="G3844" s="4"/>
      <c r="H3844" s="4">
        <f>'data on outstanding creditors'!$E3844-'data on outstanding creditors'!$F3844-'data on outstanding creditors'!$G3844</f>
        <v>1450</v>
      </c>
      <c r="I3844" s="2"/>
      <c r="J3844" s="1" t="s">
        <v>646</v>
      </c>
      <c r="K3844" s="2">
        <v>45951.0</v>
      </c>
      <c r="L3844" s="5"/>
      <c r="M3844" s="9" t="s">
        <v>178</v>
      </c>
      <c r="N3844" s="9" t="s">
        <v>49</v>
      </c>
      <c r="O3844" s="10">
        <f>'data on outstanding creditors'!$E3844*100/107</f>
        <v>1355.140187</v>
      </c>
      <c r="P3844" s="10">
        <f>'data on outstanding creditors'!$E3844-'data on outstanding creditors'!$O3844</f>
        <v>94.85981308</v>
      </c>
      <c r="Q3844" s="7">
        <f>DAY('data on outstanding creditors'!$B3844)</f>
        <v>30</v>
      </c>
      <c r="R3844" s="7">
        <f>MONTH('data on outstanding creditors'!$B3844)</f>
        <v>6</v>
      </c>
      <c r="S3844" s="7">
        <f>YEAR('data on outstanding creditors'!$B3844)</f>
        <v>2025</v>
      </c>
      <c r="T3844" s="11" t="str">
        <f>'data on outstanding creditors'!$C3844&amp;" "&amp;'data on outstanding creditors'!$D3844&amp;" "&amp;TEXT('data on outstanding creditors'!$E3844,"#,##0.00")</f>
        <v>หจก.ทวีศักดิ์การไฟฟ้า 2018 TN00002852 1,450.00</v>
      </c>
      <c r="U3844" s="12"/>
    </row>
    <row r="3845" ht="13.5" customHeight="1">
      <c r="A3845" s="1" t="s">
        <v>6088</v>
      </c>
      <c r="B3845" s="2">
        <v>45839.0</v>
      </c>
      <c r="C3845" s="9" t="s">
        <v>1114</v>
      </c>
      <c r="D3845" s="1" t="s">
        <v>6089</v>
      </c>
      <c r="E3845" s="4">
        <v>2500.0</v>
      </c>
      <c r="F3845" s="4"/>
      <c r="G3845" s="4"/>
      <c r="H3845" s="4">
        <f>'data on outstanding creditors'!$E3845-'data on outstanding creditors'!$F3845-'data on outstanding creditors'!$G3845</f>
        <v>2500</v>
      </c>
      <c r="I3845" s="2"/>
      <c r="J3845" s="1" t="s">
        <v>646</v>
      </c>
      <c r="K3845" s="2">
        <v>45952.0</v>
      </c>
      <c r="L3845" s="5"/>
      <c r="M3845" s="9" t="s">
        <v>178</v>
      </c>
      <c r="N3845" s="9" t="s">
        <v>49</v>
      </c>
      <c r="O3845" s="10">
        <f>'data on outstanding creditors'!$E3845*100/107</f>
        <v>2336.448598</v>
      </c>
      <c r="P3845" s="10">
        <f>'data on outstanding creditors'!$E3845-'data on outstanding creditors'!$O3845</f>
        <v>163.5514019</v>
      </c>
      <c r="Q3845" s="7">
        <f>DAY('data on outstanding creditors'!$B3845)</f>
        <v>1</v>
      </c>
      <c r="R3845" s="7">
        <f>MONTH('data on outstanding creditors'!$B3845)</f>
        <v>7</v>
      </c>
      <c r="S3845" s="7">
        <f>YEAR('data on outstanding creditors'!$B3845)</f>
        <v>2025</v>
      </c>
      <c r="T3845" s="11" t="str">
        <f>'data on outstanding creditors'!$C3845&amp;" "&amp;'data on outstanding creditors'!$D3845&amp;" "&amp;TEXT('data on outstanding creditors'!$E3845,"#,##0.00")</f>
        <v>หจก.อิเลฟเว่น พลัซ EL680617148 2,500.00</v>
      </c>
      <c r="U3845" s="12"/>
    </row>
    <row r="3846" ht="13.5" customHeight="1">
      <c r="A3846" s="1" t="s">
        <v>6090</v>
      </c>
      <c r="B3846" s="2">
        <v>45845.0</v>
      </c>
      <c r="C3846" s="9" t="s">
        <v>1059</v>
      </c>
      <c r="D3846" s="1" t="s">
        <v>6091</v>
      </c>
      <c r="E3846" s="4">
        <v>4000.0</v>
      </c>
      <c r="F3846" s="4"/>
      <c r="G3846" s="4"/>
      <c r="H3846" s="4">
        <f>'data on outstanding creditors'!$E3846-'data on outstanding creditors'!$F3846-'data on outstanding creditors'!$G3846</f>
        <v>4000</v>
      </c>
      <c r="I3846" s="2"/>
      <c r="J3846" s="1" t="s">
        <v>646</v>
      </c>
      <c r="K3846" s="2">
        <v>45906.0</v>
      </c>
      <c r="L3846" s="5"/>
      <c r="M3846" s="9" t="s">
        <v>178</v>
      </c>
      <c r="N3846" s="9" t="s">
        <v>49</v>
      </c>
      <c r="O3846" s="10">
        <f>'data on outstanding creditors'!$E3846*100/107</f>
        <v>3738.317757</v>
      </c>
      <c r="P3846" s="10">
        <f>'data on outstanding creditors'!$E3846-'data on outstanding creditors'!$O3846</f>
        <v>261.682243</v>
      </c>
      <c r="Q3846" s="7">
        <f>DAY('data on outstanding creditors'!$B3846)</f>
        <v>7</v>
      </c>
      <c r="R3846" s="7">
        <f>MONTH('data on outstanding creditors'!$B3846)</f>
        <v>7</v>
      </c>
      <c r="S3846" s="7">
        <f>YEAR('data on outstanding creditors'!$B3846)</f>
        <v>2025</v>
      </c>
      <c r="T3846" s="11" t="str">
        <f>'data on outstanding creditors'!$C3846&amp;" "&amp;'data on outstanding creditors'!$D3846&amp;" "&amp;TEXT('data on outstanding creditors'!$E3846,"#,##0.00")</f>
        <v>หจก.ภาสิน 62314 4,000.00</v>
      </c>
      <c r="U3846" s="12"/>
    </row>
    <row r="3847" ht="13.5" customHeight="1">
      <c r="A3847" s="1" t="s">
        <v>6092</v>
      </c>
      <c r="B3847" s="2">
        <v>45847.0</v>
      </c>
      <c r="C3847" s="9" t="s">
        <v>2702</v>
      </c>
      <c r="D3847" s="1" t="s">
        <v>6093</v>
      </c>
      <c r="E3847" s="4">
        <v>10900.0</v>
      </c>
      <c r="F3847" s="4"/>
      <c r="G3847" s="4"/>
      <c r="H3847" s="4">
        <f>'data on outstanding creditors'!$E3847-'data on outstanding creditors'!$F3847-'data on outstanding creditors'!$G3847</f>
        <v>10900</v>
      </c>
      <c r="I3847" s="2"/>
      <c r="J3847" s="1" t="s">
        <v>646</v>
      </c>
      <c r="K3847" s="2">
        <v>45944.0</v>
      </c>
      <c r="L3847" s="5"/>
      <c r="M3847" s="9" t="s">
        <v>178</v>
      </c>
      <c r="N3847" s="9" t="s">
        <v>49</v>
      </c>
      <c r="O3847" s="10">
        <f>'data on outstanding creditors'!$E3847*100/107</f>
        <v>10186.91589</v>
      </c>
      <c r="P3847" s="10">
        <f>'data on outstanding creditors'!$E3847-'data on outstanding creditors'!$O3847</f>
        <v>713.0841121</v>
      </c>
      <c r="Q3847" s="7">
        <f>DAY('data on outstanding creditors'!$B3847)</f>
        <v>9</v>
      </c>
      <c r="R3847" s="7">
        <f>MONTH('data on outstanding creditors'!$B3847)</f>
        <v>7</v>
      </c>
      <c r="S3847" s="7">
        <f>YEAR('data on outstanding creditors'!$B3847)</f>
        <v>2025</v>
      </c>
      <c r="T3847" s="11" t="str">
        <f>'data on outstanding creditors'!$C3847&amp;" "&amp;'data on outstanding creditors'!$D3847&amp;" "&amp;TEXT('data on outstanding creditors'!$E3847,"#,##0.00")</f>
        <v>บ.กรุงเทพครุภัณฑ์เวชภัณฑ์ 2568/0670 10,900.00</v>
      </c>
      <c r="U3847" s="12"/>
    </row>
    <row r="3848" ht="13.5" customHeight="1">
      <c r="A3848" s="1" t="s">
        <v>6094</v>
      </c>
      <c r="B3848" s="2">
        <v>45852.0</v>
      </c>
      <c r="C3848" s="9" t="s">
        <v>1114</v>
      </c>
      <c r="D3848" s="1" t="s">
        <v>6095</v>
      </c>
      <c r="E3848" s="4">
        <v>1800.0</v>
      </c>
      <c r="F3848" s="4"/>
      <c r="G3848" s="4"/>
      <c r="H3848" s="4">
        <f>'data on outstanding creditors'!$E3848-'data on outstanding creditors'!$F3848-'data on outstanding creditors'!$G3848</f>
        <v>1800</v>
      </c>
      <c r="I3848" s="2"/>
      <c r="J3848" s="1" t="s">
        <v>646</v>
      </c>
      <c r="K3848" s="2">
        <v>45928.0</v>
      </c>
      <c r="L3848" s="5"/>
      <c r="M3848" s="9" t="s">
        <v>178</v>
      </c>
      <c r="N3848" s="9" t="s">
        <v>49</v>
      </c>
      <c r="O3848" s="10">
        <f>'data on outstanding creditors'!$E3848*100/107</f>
        <v>1682.242991</v>
      </c>
      <c r="P3848" s="10">
        <f>'data on outstanding creditors'!$E3848-'data on outstanding creditors'!$O3848</f>
        <v>117.7570093</v>
      </c>
      <c r="Q3848" s="7">
        <f>DAY('data on outstanding creditors'!$B3848)</f>
        <v>14</v>
      </c>
      <c r="R3848" s="7">
        <f>MONTH('data on outstanding creditors'!$B3848)</f>
        <v>7</v>
      </c>
      <c r="S3848" s="7">
        <f>YEAR('data on outstanding creditors'!$B3848)</f>
        <v>2025</v>
      </c>
      <c r="T3848" s="11" t="str">
        <f>'data on outstanding creditors'!$C3848&amp;" "&amp;'data on outstanding creditors'!$D3848&amp;" "&amp;TEXT('data on outstanding creditors'!$E3848,"#,##0.00")</f>
        <v>หจก.อิเลฟเว่น พลัซ EL680707064 1,800.00</v>
      </c>
      <c r="U3848" s="12"/>
    </row>
    <row r="3849" ht="13.5" customHeight="1">
      <c r="A3849" s="1" t="s">
        <v>6096</v>
      </c>
      <c r="B3849" s="2">
        <v>45854.0</v>
      </c>
      <c r="C3849" s="9" t="s">
        <v>1114</v>
      </c>
      <c r="D3849" s="1" t="s">
        <v>6097</v>
      </c>
      <c r="E3849" s="4">
        <v>2300.0</v>
      </c>
      <c r="F3849" s="4"/>
      <c r="G3849" s="4"/>
      <c r="H3849" s="4">
        <f>'data on outstanding creditors'!$E3849-'data on outstanding creditors'!$F3849-'data on outstanding creditors'!$G3849</f>
        <v>2300</v>
      </c>
      <c r="I3849" s="2"/>
      <c r="J3849" s="1" t="s">
        <v>646</v>
      </c>
      <c r="K3849" s="2">
        <v>45928.0</v>
      </c>
      <c r="L3849" s="5"/>
      <c r="M3849" s="9" t="s">
        <v>178</v>
      </c>
      <c r="N3849" s="9" t="s">
        <v>49</v>
      </c>
      <c r="O3849" s="10">
        <f>'data on outstanding creditors'!$E3849*100/107</f>
        <v>2149.53271</v>
      </c>
      <c r="P3849" s="10">
        <f>'data on outstanding creditors'!$E3849-'data on outstanding creditors'!$O3849</f>
        <v>150.4672897</v>
      </c>
      <c r="Q3849" s="7">
        <f>DAY('data on outstanding creditors'!$B3849)</f>
        <v>16</v>
      </c>
      <c r="R3849" s="7">
        <f>MONTH('data on outstanding creditors'!$B3849)</f>
        <v>7</v>
      </c>
      <c r="S3849" s="7">
        <f>YEAR('data on outstanding creditors'!$B3849)</f>
        <v>2025</v>
      </c>
      <c r="T3849" s="11" t="str">
        <f>'data on outstanding creditors'!$C3849&amp;" "&amp;'data on outstanding creditors'!$D3849&amp;" "&amp;TEXT('data on outstanding creditors'!$E3849,"#,##0.00")</f>
        <v>หจก.อิเลฟเว่น พลัซ EL680703036 2,300.00</v>
      </c>
      <c r="U3849" s="12"/>
    </row>
    <row r="3850" ht="13.5" customHeight="1">
      <c r="A3850" s="1" t="s">
        <v>6098</v>
      </c>
      <c r="B3850" s="2">
        <v>45855.0</v>
      </c>
      <c r="C3850" s="9" t="s">
        <v>1177</v>
      </c>
      <c r="D3850" s="1" t="s">
        <v>6099</v>
      </c>
      <c r="E3850" s="4">
        <v>5000.0</v>
      </c>
      <c r="F3850" s="4"/>
      <c r="G3850" s="4"/>
      <c r="H3850" s="4">
        <f>'data on outstanding creditors'!$E3850-'data on outstanding creditors'!$F3850-'data on outstanding creditors'!$G3850</f>
        <v>5000</v>
      </c>
      <c r="I3850" s="2"/>
      <c r="J3850" s="1" t="s">
        <v>646</v>
      </c>
      <c r="K3850" s="2">
        <v>45944.0</v>
      </c>
      <c r="L3850" s="5"/>
      <c r="M3850" s="9" t="s">
        <v>178</v>
      </c>
      <c r="N3850" s="9" t="s">
        <v>49</v>
      </c>
      <c r="O3850" s="10">
        <f>'data on outstanding creditors'!$E3850*100/107</f>
        <v>4672.897196</v>
      </c>
      <c r="P3850" s="10">
        <f>'data on outstanding creditors'!$E3850-'data on outstanding creditors'!$O3850</f>
        <v>327.1028037</v>
      </c>
      <c r="Q3850" s="7">
        <f>DAY('data on outstanding creditors'!$B3850)</f>
        <v>17</v>
      </c>
      <c r="R3850" s="7">
        <f>MONTH('data on outstanding creditors'!$B3850)</f>
        <v>7</v>
      </c>
      <c r="S3850" s="7">
        <f>YEAR('data on outstanding creditors'!$B3850)</f>
        <v>2025</v>
      </c>
      <c r="T3850" s="11" t="str">
        <f>'data on outstanding creditors'!$C3850&amp;" "&amp;'data on outstanding creditors'!$D3850&amp;" "&amp;TEXT('data on outstanding creditors'!$E3850,"#,##0.00")</f>
        <v>บ.ณรงค์ศักดิ์ครุภัณฑ์เวชภัณฑ์ 034/3498 5,000.00</v>
      </c>
      <c r="U3850" s="12"/>
    </row>
    <row r="3851" ht="13.5" customHeight="1">
      <c r="A3851" s="1" t="s">
        <v>6100</v>
      </c>
      <c r="B3851" s="2">
        <v>45855.0</v>
      </c>
      <c r="C3851" s="9" t="s">
        <v>1177</v>
      </c>
      <c r="D3851" s="1" t="s">
        <v>6101</v>
      </c>
      <c r="E3851" s="4">
        <v>5800.0</v>
      </c>
      <c r="F3851" s="4"/>
      <c r="G3851" s="4"/>
      <c r="H3851" s="4">
        <f>'data on outstanding creditors'!$E3851-'data on outstanding creditors'!$F3851-'data on outstanding creditors'!$G3851</f>
        <v>5800</v>
      </c>
      <c r="I3851" s="2"/>
      <c r="J3851" s="1" t="s">
        <v>646</v>
      </c>
      <c r="K3851" s="2">
        <v>45944.0</v>
      </c>
      <c r="L3851" s="5"/>
      <c r="M3851" s="9" t="s">
        <v>178</v>
      </c>
      <c r="N3851" s="9" t="s">
        <v>49</v>
      </c>
      <c r="O3851" s="10">
        <f>'data on outstanding creditors'!$E3851*100/107</f>
        <v>5420.560748</v>
      </c>
      <c r="P3851" s="10">
        <f>'data on outstanding creditors'!$E3851-'data on outstanding creditors'!$O3851</f>
        <v>379.4392523</v>
      </c>
      <c r="Q3851" s="7">
        <f>DAY('data on outstanding creditors'!$B3851)</f>
        <v>17</v>
      </c>
      <c r="R3851" s="7">
        <f>MONTH('data on outstanding creditors'!$B3851)</f>
        <v>7</v>
      </c>
      <c r="S3851" s="7">
        <f>YEAR('data on outstanding creditors'!$B3851)</f>
        <v>2025</v>
      </c>
      <c r="T3851" s="11" t="str">
        <f>'data on outstanding creditors'!$C3851&amp;" "&amp;'data on outstanding creditors'!$D3851&amp;" "&amp;TEXT('data on outstanding creditors'!$E3851,"#,##0.00")</f>
        <v>บ.ณรงค์ศักดิ์ครุภัณฑ์เวชภัณฑ์ 034/3497 5,800.00</v>
      </c>
      <c r="U3851" s="12"/>
    </row>
    <row r="3852" ht="13.5" customHeight="1">
      <c r="A3852" s="1" t="s">
        <v>6102</v>
      </c>
      <c r="B3852" s="2">
        <v>45859.0</v>
      </c>
      <c r="C3852" s="9" t="s">
        <v>1114</v>
      </c>
      <c r="D3852" s="1" t="s">
        <v>6103</v>
      </c>
      <c r="E3852" s="4">
        <v>2300.0</v>
      </c>
      <c r="F3852" s="4"/>
      <c r="G3852" s="4"/>
      <c r="H3852" s="4">
        <f>'data on outstanding creditors'!$E3852-'data on outstanding creditors'!$F3852-'data on outstanding creditors'!$G3852</f>
        <v>2300</v>
      </c>
      <c r="I3852" s="2"/>
      <c r="J3852" s="1" t="s">
        <v>646</v>
      </c>
      <c r="K3852" s="2">
        <v>45894.0</v>
      </c>
      <c r="L3852" s="5"/>
      <c r="M3852" s="9" t="s">
        <v>178</v>
      </c>
      <c r="N3852" s="9" t="s">
        <v>49</v>
      </c>
      <c r="O3852" s="10">
        <f>'data on outstanding creditors'!$E3852*100/107</f>
        <v>2149.53271</v>
      </c>
      <c r="P3852" s="10">
        <f>'data on outstanding creditors'!$E3852-'data on outstanding creditors'!$O3852</f>
        <v>150.4672897</v>
      </c>
      <c r="Q3852" s="7">
        <f>DAY('data on outstanding creditors'!$B3852)</f>
        <v>21</v>
      </c>
      <c r="R3852" s="7">
        <f>MONTH('data on outstanding creditors'!$B3852)</f>
        <v>7</v>
      </c>
      <c r="S3852" s="7">
        <f>YEAR('data on outstanding creditors'!$B3852)</f>
        <v>2025</v>
      </c>
      <c r="T3852" s="11" t="str">
        <f>'data on outstanding creditors'!$C3852&amp;" "&amp;'data on outstanding creditors'!$D3852&amp;" "&amp;TEXT('data on outstanding creditors'!$E3852,"#,##0.00")</f>
        <v>หจก.อิเลฟเว่น พลัซ EL680701011 2,300.00</v>
      </c>
      <c r="U3852" s="12"/>
    </row>
    <row r="3853" ht="13.5" customHeight="1">
      <c r="A3853" s="1" t="s">
        <v>6104</v>
      </c>
      <c r="B3853" s="2">
        <v>45869.0</v>
      </c>
      <c r="C3853" s="9" t="s">
        <v>6105</v>
      </c>
      <c r="D3853" s="1" t="s">
        <v>6106</v>
      </c>
      <c r="E3853" s="4">
        <v>7800.0</v>
      </c>
      <c r="F3853" s="4"/>
      <c r="G3853" s="4"/>
      <c r="H3853" s="4">
        <f>'data on outstanding creditors'!$E3853-'data on outstanding creditors'!$F3853-'data on outstanding creditors'!$G3853</f>
        <v>7800</v>
      </c>
      <c r="I3853" s="2"/>
      <c r="J3853" s="1" t="s">
        <v>646</v>
      </c>
      <c r="K3853" s="2">
        <v>45952.0</v>
      </c>
      <c r="L3853" s="5"/>
      <c r="M3853" s="9" t="s">
        <v>178</v>
      </c>
      <c r="N3853" s="9" t="s">
        <v>49</v>
      </c>
      <c r="O3853" s="10">
        <f>'data on outstanding creditors'!$E3853*100/107</f>
        <v>7289.719626</v>
      </c>
      <c r="P3853" s="10">
        <f>'data on outstanding creditors'!$E3853-'data on outstanding creditors'!$O3853</f>
        <v>510.2803738</v>
      </c>
      <c r="Q3853" s="7">
        <f>DAY('data on outstanding creditors'!$B3853)</f>
        <v>31</v>
      </c>
      <c r="R3853" s="7">
        <f>MONTH('data on outstanding creditors'!$B3853)</f>
        <v>7</v>
      </c>
      <c r="S3853" s="7">
        <f>YEAR('data on outstanding creditors'!$B3853)</f>
        <v>2025</v>
      </c>
      <c r="T3853" s="11" t="str">
        <f>'data on outstanding creditors'!$C3853&amp;" "&amp;'data on outstanding creditors'!$D3853&amp;" "&amp;TEXT('data on outstanding creditors'!$E3853,"#,##0.00")</f>
        <v>หจก.อินเตอร์ เมดิคอล เทรดดิ้ง 068/025374 7,800.00</v>
      </c>
      <c r="U3853" s="12"/>
    </row>
    <row r="3854" ht="13.5" customHeight="1">
      <c r="A3854" s="1" t="s">
        <v>6107</v>
      </c>
      <c r="B3854" s="2">
        <v>45874.0</v>
      </c>
      <c r="C3854" s="9" t="s">
        <v>2394</v>
      </c>
      <c r="D3854" s="1" t="s">
        <v>6108</v>
      </c>
      <c r="E3854" s="4">
        <v>12400.0</v>
      </c>
      <c r="F3854" s="4"/>
      <c r="G3854" s="4"/>
      <c r="H3854" s="4">
        <f>'data on outstanding creditors'!$E3854-'data on outstanding creditors'!$F3854-'data on outstanding creditors'!$G3854</f>
        <v>12400</v>
      </c>
      <c r="I3854" s="2"/>
      <c r="J3854" s="1" t="s">
        <v>757</v>
      </c>
      <c r="K3854" s="2">
        <v>45922.0</v>
      </c>
      <c r="L3854" s="5"/>
      <c r="M3854" s="9" t="s">
        <v>178</v>
      </c>
      <c r="N3854" s="9" t="s">
        <v>49</v>
      </c>
      <c r="O3854" s="10">
        <f>'data on outstanding creditors'!$E3854*100/107</f>
        <v>11588.78505</v>
      </c>
      <c r="P3854" s="10">
        <f>'data on outstanding creditors'!$E3854-'data on outstanding creditors'!$O3854</f>
        <v>811.2149533</v>
      </c>
      <c r="Q3854" s="7">
        <f>DAY('data on outstanding creditors'!$B3854)</f>
        <v>5</v>
      </c>
      <c r="R3854" s="7">
        <f>MONTH('data on outstanding creditors'!$B3854)</f>
        <v>8</v>
      </c>
      <c r="S3854" s="7">
        <f>YEAR('data on outstanding creditors'!$B3854)</f>
        <v>2025</v>
      </c>
      <c r="T3854" s="11" t="str">
        <f>'data on outstanding creditors'!$C3854&amp;" "&amp;'data on outstanding creditors'!$D3854&amp;" "&amp;TEXT('data on outstanding creditors'!$E3854,"#,##0.00")</f>
        <v>บ.เมดวิท D-Q25061206 12,400.00</v>
      </c>
      <c r="U3854" s="12"/>
    </row>
    <row r="3855" ht="13.5" customHeight="1">
      <c r="A3855" s="1" t="s">
        <v>6109</v>
      </c>
      <c r="B3855" s="2">
        <v>45875.0</v>
      </c>
      <c r="C3855" s="9" t="s">
        <v>100</v>
      </c>
      <c r="D3855" s="1" t="s">
        <v>6110</v>
      </c>
      <c r="E3855" s="4">
        <v>3200.0</v>
      </c>
      <c r="F3855" s="4"/>
      <c r="G3855" s="4"/>
      <c r="H3855" s="4">
        <f>'data on outstanding creditors'!$E3855-'data on outstanding creditors'!$F3855-'data on outstanding creditors'!$G3855</f>
        <v>3200</v>
      </c>
      <c r="I3855" s="2"/>
      <c r="J3855" s="1"/>
      <c r="K3855" s="2"/>
      <c r="L3855" s="5"/>
      <c r="M3855" s="9" t="s">
        <v>178</v>
      </c>
      <c r="N3855" s="9" t="s">
        <v>49</v>
      </c>
      <c r="O3855" s="10">
        <f>'data on outstanding creditors'!$E3855*100/107</f>
        <v>2990.654206</v>
      </c>
      <c r="P3855" s="10">
        <f>'data on outstanding creditors'!$E3855-'data on outstanding creditors'!$O3855</f>
        <v>209.3457944</v>
      </c>
      <c r="Q3855" s="7">
        <f>DAY('data on outstanding creditors'!$B3855)</f>
        <v>6</v>
      </c>
      <c r="R3855" s="7">
        <f>MONTH('data on outstanding creditors'!$B3855)</f>
        <v>8</v>
      </c>
      <c r="S3855" s="7">
        <f>YEAR('data on outstanding creditors'!$B3855)</f>
        <v>2025</v>
      </c>
      <c r="T3855" s="11" t="str">
        <f>'data on outstanding creditors'!$C3855&amp;" "&amp;'data on outstanding creditors'!$D3855&amp;" "&amp;TEXT('data on outstanding creditors'!$E3855,"#,##0.00")</f>
        <v>หจก.ทวีศักดิ์การไฟฟ้า 2018 TN00002915 3,200.00</v>
      </c>
      <c r="U3855" s="12"/>
    </row>
    <row r="3856" ht="13.5" customHeight="1">
      <c r="A3856" s="1" t="s">
        <v>6111</v>
      </c>
      <c r="B3856" s="2">
        <v>45894.0</v>
      </c>
      <c r="C3856" s="9" t="s">
        <v>1106</v>
      </c>
      <c r="D3856" s="1" t="s">
        <v>6112</v>
      </c>
      <c r="E3856" s="4">
        <v>7500.0</v>
      </c>
      <c r="F3856" s="4"/>
      <c r="G3856" s="4"/>
      <c r="H3856" s="4">
        <f>'data on outstanding creditors'!$E3856-'data on outstanding creditors'!$F3856-'data on outstanding creditors'!$G3856</f>
        <v>7500</v>
      </c>
      <c r="I3856" s="2"/>
      <c r="J3856" s="1" t="s">
        <v>646</v>
      </c>
      <c r="K3856" s="2">
        <v>45944.0</v>
      </c>
      <c r="L3856" s="5"/>
      <c r="M3856" s="9" t="s">
        <v>178</v>
      </c>
      <c r="N3856" s="9" t="s">
        <v>49</v>
      </c>
      <c r="O3856" s="10">
        <f>'data on outstanding creditors'!$E3856*100/107</f>
        <v>7009.345794</v>
      </c>
      <c r="P3856" s="10">
        <f>'data on outstanding creditors'!$E3856-'data on outstanding creditors'!$O3856</f>
        <v>490.6542056</v>
      </c>
      <c r="Q3856" s="7">
        <f>DAY('data on outstanding creditors'!$B3856)</f>
        <v>25</v>
      </c>
      <c r="R3856" s="7">
        <f>MONTH('data on outstanding creditors'!$B3856)</f>
        <v>8</v>
      </c>
      <c r="S3856" s="7">
        <f>YEAR('data on outstanding creditors'!$B3856)</f>
        <v>2025</v>
      </c>
      <c r="T3856" s="11" t="str">
        <f>'data on outstanding creditors'!$C3856&amp;" "&amp;'data on outstanding creditors'!$D3856&amp;" "&amp;TEXT('data on outstanding creditors'!$E3856,"#,##0.00")</f>
        <v>บ.คราวน์ เมดิคอล OFF2508050 7,500.00</v>
      </c>
      <c r="U3856" s="12"/>
    </row>
    <row r="3857" ht="13.5" customHeight="1">
      <c r="A3857" s="1" t="s">
        <v>6113</v>
      </c>
      <c r="B3857" s="2">
        <v>45896.0</v>
      </c>
      <c r="C3857" s="9" t="s">
        <v>1177</v>
      </c>
      <c r="D3857" s="1" t="s">
        <v>6114</v>
      </c>
      <c r="E3857" s="4">
        <v>36000.0</v>
      </c>
      <c r="F3857" s="4"/>
      <c r="G3857" s="4"/>
      <c r="H3857" s="4">
        <f>'data on outstanding creditors'!$E3857-'data on outstanding creditors'!$F3857-'data on outstanding creditors'!$G3857</f>
        <v>36000</v>
      </c>
      <c r="I3857" s="2"/>
      <c r="J3857" s="1" t="s">
        <v>646</v>
      </c>
      <c r="K3857" s="2">
        <v>45944.0</v>
      </c>
      <c r="L3857" s="5"/>
      <c r="M3857" s="9" t="s">
        <v>178</v>
      </c>
      <c r="N3857" s="9" t="s">
        <v>49</v>
      </c>
      <c r="O3857" s="10">
        <f>'data on outstanding creditors'!$E3857*100/107</f>
        <v>33644.85981</v>
      </c>
      <c r="P3857" s="10">
        <f>'data on outstanding creditors'!$E3857-'data on outstanding creditors'!$O3857</f>
        <v>2355.140187</v>
      </c>
      <c r="Q3857" s="7">
        <f>DAY('data on outstanding creditors'!$B3857)</f>
        <v>27</v>
      </c>
      <c r="R3857" s="7">
        <f>MONTH('data on outstanding creditors'!$B3857)</f>
        <v>8</v>
      </c>
      <c r="S3857" s="7">
        <f>YEAR('data on outstanding creditors'!$B3857)</f>
        <v>2025</v>
      </c>
      <c r="T3857" s="11" t="str">
        <f>'data on outstanding creditors'!$C3857&amp;" "&amp;'data on outstanding creditors'!$D3857&amp;" "&amp;TEXT('data on outstanding creditors'!$E3857,"#,##0.00")</f>
        <v>บ.ณรงค์ศักดิ์ครุภัณฑ์เวชภัณฑ์ 035/3547 36,000.00</v>
      </c>
      <c r="U3857" s="12"/>
    </row>
    <row r="3858" ht="13.5" customHeight="1">
      <c r="A3858" s="1" t="s">
        <v>6115</v>
      </c>
      <c r="B3858" s="2">
        <v>45901.0</v>
      </c>
      <c r="C3858" s="9" t="s">
        <v>100</v>
      </c>
      <c r="D3858" s="1" t="s">
        <v>6116</v>
      </c>
      <c r="E3858" s="4">
        <v>1450.0</v>
      </c>
      <c r="F3858" s="4"/>
      <c r="G3858" s="4"/>
      <c r="H3858" s="4">
        <f>'data on outstanding creditors'!$E3858-'data on outstanding creditors'!$F3858-'data on outstanding creditors'!$G3858</f>
        <v>1450</v>
      </c>
      <c r="I3858" s="2"/>
      <c r="J3858" s="1"/>
      <c r="K3858" s="2"/>
      <c r="L3858" s="5"/>
      <c r="M3858" s="9" t="s">
        <v>178</v>
      </c>
      <c r="N3858" s="9" t="s">
        <v>49</v>
      </c>
      <c r="O3858" s="10">
        <f>'data on outstanding creditors'!$E3858*100/107</f>
        <v>1355.140187</v>
      </c>
      <c r="P3858" s="10">
        <f>'data on outstanding creditors'!$E3858-'data on outstanding creditors'!$O3858</f>
        <v>94.85981308</v>
      </c>
      <c r="Q3858" s="7">
        <f>DAY('data on outstanding creditors'!$B3858)</f>
        <v>1</v>
      </c>
      <c r="R3858" s="7">
        <f>MONTH('data on outstanding creditors'!$B3858)</f>
        <v>9</v>
      </c>
      <c r="S3858" s="7">
        <f>YEAR('data on outstanding creditors'!$B3858)</f>
        <v>2025</v>
      </c>
      <c r="T3858" s="11" t="str">
        <f>'data on outstanding creditors'!$C3858&amp;" "&amp;'data on outstanding creditors'!$D3858&amp;" "&amp;TEXT('data on outstanding creditors'!$E3858,"#,##0.00")</f>
        <v>หจก.ทวีศักดิ์การไฟฟ้า 2018 TN00002957 1,450.00</v>
      </c>
      <c r="U3858" s="12"/>
    </row>
    <row r="3859" ht="13.5" customHeight="1">
      <c r="A3859" s="1" t="s">
        <v>6117</v>
      </c>
      <c r="B3859" s="2">
        <v>45904.0</v>
      </c>
      <c r="C3859" s="9" t="s">
        <v>149</v>
      </c>
      <c r="D3859" s="1" t="s">
        <v>6118</v>
      </c>
      <c r="E3859" s="4">
        <v>3690.0</v>
      </c>
      <c r="F3859" s="4"/>
      <c r="G3859" s="4"/>
      <c r="H3859" s="4">
        <f>'data on outstanding creditors'!$E3859-'data on outstanding creditors'!$F3859-'data on outstanding creditors'!$G3859</f>
        <v>3690</v>
      </c>
      <c r="I3859" s="2"/>
      <c r="J3859" s="1"/>
      <c r="K3859" s="2"/>
      <c r="L3859" s="5"/>
      <c r="M3859" s="9" t="s">
        <v>178</v>
      </c>
      <c r="N3859" s="9" t="s">
        <v>49</v>
      </c>
      <c r="O3859" s="10">
        <f>'data on outstanding creditors'!$E3859*100/107</f>
        <v>3448.598131</v>
      </c>
      <c r="P3859" s="10">
        <f>'data on outstanding creditors'!$E3859-'data on outstanding creditors'!$O3859</f>
        <v>241.4018692</v>
      </c>
      <c r="Q3859" s="7">
        <f>DAY('data on outstanding creditors'!$B3859)</f>
        <v>4</v>
      </c>
      <c r="R3859" s="7">
        <f>MONTH('data on outstanding creditors'!$B3859)</f>
        <v>9</v>
      </c>
      <c r="S3859" s="7">
        <f>YEAR('data on outstanding creditors'!$B3859)</f>
        <v>2025</v>
      </c>
      <c r="T3859" s="11" t="str">
        <f>'data on outstanding creditors'!$C3859&amp;" "&amp;'data on outstanding creditors'!$D3859&amp;" "&amp;TEXT('data on outstanding creditors'!$E3859,"#,##0.00")</f>
        <v>หจก.บุรีรัมย์ซัพพลายอีเล็คโทรนิค I68/000561 3,690.00</v>
      </c>
      <c r="U3859" s="12"/>
    </row>
    <row r="3860" ht="13.5" customHeight="1">
      <c r="A3860" s="1" t="s">
        <v>6119</v>
      </c>
      <c r="B3860" s="2">
        <v>45909.0</v>
      </c>
      <c r="C3860" s="9" t="s">
        <v>1177</v>
      </c>
      <c r="D3860" s="1" t="s">
        <v>6120</v>
      </c>
      <c r="E3860" s="4">
        <v>80000.0</v>
      </c>
      <c r="F3860" s="4"/>
      <c r="G3860" s="4"/>
      <c r="H3860" s="4">
        <f>'data on outstanding creditors'!$E3860-'data on outstanding creditors'!$F3860-'data on outstanding creditors'!$G3860</f>
        <v>80000</v>
      </c>
      <c r="I3860" s="2"/>
      <c r="J3860" s="1" t="s">
        <v>646</v>
      </c>
      <c r="K3860" s="2">
        <v>45944.0</v>
      </c>
      <c r="L3860" s="5"/>
      <c r="M3860" s="9" t="s">
        <v>178</v>
      </c>
      <c r="N3860" s="9" t="s">
        <v>49</v>
      </c>
      <c r="O3860" s="10">
        <f>'data on outstanding creditors'!$E3860*100/107</f>
        <v>74766.35514</v>
      </c>
      <c r="P3860" s="10">
        <f>'data on outstanding creditors'!$E3860-'data on outstanding creditors'!$O3860</f>
        <v>5233.64486</v>
      </c>
      <c r="Q3860" s="7">
        <f>DAY('data on outstanding creditors'!$B3860)</f>
        <v>9</v>
      </c>
      <c r="R3860" s="7">
        <f>MONTH('data on outstanding creditors'!$B3860)</f>
        <v>9</v>
      </c>
      <c r="S3860" s="7">
        <f>YEAR('data on outstanding creditors'!$B3860)</f>
        <v>2025</v>
      </c>
      <c r="T3860" s="11" t="str">
        <f>'data on outstanding creditors'!$C3860&amp;" "&amp;'data on outstanding creditors'!$D3860&amp;" "&amp;TEXT('data on outstanding creditors'!$E3860,"#,##0.00")</f>
        <v>บ.ณรงค์ศักดิ์ครุภัณฑ์เวชภัณฑ์ 035/3548 80,000.00</v>
      </c>
      <c r="U3860" s="12"/>
    </row>
    <row r="3861" ht="13.5" customHeight="1">
      <c r="A3861" s="1" t="s">
        <v>6121</v>
      </c>
      <c r="B3861" s="2">
        <v>45910.0</v>
      </c>
      <c r="C3861" s="9" t="s">
        <v>1059</v>
      </c>
      <c r="D3861" s="1" t="s">
        <v>6122</v>
      </c>
      <c r="E3861" s="4">
        <v>8000.0</v>
      </c>
      <c r="F3861" s="4"/>
      <c r="G3861" s="4"/>
      <c r="H3861" s="4">
        <f>'data on outstanding creditors'!$E3861-'data on outstanding creditors'!$F3861-'data on outstanding creditors'!$G3861</f>
        <v>8000</v>
      </c>
      <c r="I3861" s="2"/>
      <c r="J3861" s="1"/>
      <c r="K3861" s="2"/>
      <c r="L3861" s="5"/>
      <c r="M3861" s="9" t="s">
        <v>178</v>
      </c>
      <c r="N3861" s="9" t="s">
        <v>49</v>
      </c>
      <c r="O3861" s="10">
        <f>'data on outstanding creditors'!$E3861*100/107</f>
        <v>7476.635514</v>
      </c>
      <c r="P3861" s="10">
        <f>'data on outstanding creditors'!$E3861-'data on outstanding creditors'!$O3861</f>
        <v>523.364486</v>
      </c>
      <c r="Q3861" s="7">
        <f>DAY('data on outstanding creditors'!$B3861)</f>
        <v>10</v>
      </c>
      <c r="R3861" s="7">
        <f>MONTH('data on outstanding creditors'!$B3861)</f>
        <v>9</v>
      </c>
      <c r="S3861" s="7">
        <f>YEAR('data on outstanding creditors'!$B3861)</f>
        <v>2025</v>
      </c>
      <c r="T3861" s="11" t="str">
        <f>'data on outstanding creditors'!$C3861&amp;" "&amp;'data on outstanding creditors'!$D3861&amp;" "&amp;TEXT('data on outstanding creditors'!$E3861,"#,##0.00")</f>
        <v>หจก.ภาสิน 63446 8,000.00</v>
      </c>
      <c r="U3861" s="12"/>
    </row>
    <row r="3862" ht="13.5" customHeight="1">
      <c r="A3862" s="1" t="s">
        <v>6123</v>
      </c>
      <c r="B3862" s="2">
        <v>45911.0</v>
      </c>
      <c r="C3862" s="9" t="s">
        <v>149</v>
      </c>
      <c r="D3862" s="1" t="s">
        <v>6124</v>
      </c>
      <c r="E3862" s="4">
        <v>3690.0</v>
      </c>
      <c r="F3862" s="4"/>
      <c r="G3862" s="4"/>
      <c r="H3862" s="4">
        <f>'data on outstanding creditors'!$E3862-'data on outstanding creditors'!$F3862-'data on outstanding creditors'!$G3862</f>
        <v>3690</v>
      </c>
      <c r="I3862" s="2"/>
      <c r="J3862" s="1"/>
      <c r="K3862" s="2"/>
      <c r="L3862" s="5"/>
      <c r="M3862" s="9" t="s">
        <v>178</v>
      </c>
      <c r="N3862" s="9" t="s">
        <v>49</v>
      </c>
      <c r="O3862" s="10">
        <f>'data on outstanding creditors'!$E3862*100/107</f>
        <v>3448.598131</v>
      </c>
      <c r="P3862" s="10">
        <f>'data on outstanding creditors'!$E3862-'data on outstanding creditors'!$O3862</f>
        <v>241.4018692</v>
      </c>
      <c r="Q3862" s="7">
        <f>DAY('data on outstanding creditors'!$B3862)</f>
        <v>11</v>
      </c>
      <c r="R3862" s="7">
        <f>MONTH('data on outstanding creditors'!$B3862)</f>
        <v>9</v>
      </c>
      <c r="S3862" s="7">
        <f>YEAR('data on outstanding creditors'!$B3862)</f>
        <v>2025</v>
      </c>
      <c r="T3862" s="11" t="str">
        <f>'data on outstanding creditors'!$C3862&amp;" "&amp;'data on outstanding creditors'!$D3862&amp;" "&amp;TEXT('data on outstanding creditors'!$E3862,"#,##0.00")</f>
        <v>หจก.บุรีรัมย์ซัพพลายอีเล็คโทรนิค I68/000585 3,690.00</v>
      </c>
      <c r="U3862" s="12"/>
    </row>
    <row r="3863" ht="13.5" customHeight="1">
      <c r="A3863" s="1" t="s">
        <v>6125</v>
      </c>
      <c r="B3863" s="2">
        <v>45915.0</v>
      </c>
      <c r="C3863" s="9" t="s">
        <v>1059</v>
      </c>
      <c r="D3863" s="1" t="s">
        <v>6126</v>
      </c>
      <c r="E3863" s="4">
        <v>4000.0</v>
      </c>
      <c r="F3863" s="4"/>
      <c r="G3863" s="4"/>
      <c r="H3863" s="4">
        <f>'data on outstanding creditors'!$E3863-'data on outstanding creditors'!$F3863-'data on outstanding creditors'!$G3863</f>
        <v>4000</v>
      </c>
      <c r="I3863" s="2"/>
      <c r="J3863" s="1" t="s">
        <v>757</v>
      </c>
      <c r="K3863" s="2">
        <v>45935.0</v>
      </c>
      <c r="L3863" s="5"/>
      <c r="M3863" s="9" t="s">
        <v>178</v>
      </c>
      <c r="N3863" s="9" t="s">
        <v>49</v>
      </c>
      <c r="O3863" s="10">
        <f>'data on outstanding creditors'!$E3863*100/107</f>
        <v>3738.317757</v>
      </c>
      <c r="P3863" s="10">
        <f>'data on outstanding creditors'!$E3863-'data on outstanding creditors'!$O3863</f>
        <v>261.682243</v>
      </c>
      <c r="Q3863" s="7">
        <f>DAY('data on outstanding creditors'!$B3863)</f>
        <v>15</v>
      </c>
      <c r="R3863" s="7">
        <f>MONTH('data on outstanding creditors'!$B3863)</f>
        <v>9</v>
      </c>
      <c r="S3863" s="7">
        <f>YEAR('data on outstanding creditors'!$B3863)</f>
        <v>2025</v>
      </c>
      <c r="T3863" s="11" t="str">
        <f>'data on outstanding creditors'!$C3863&amp;" "&amp;'data on outstanding creditors'!$D3863&amp;" "&amp;TEXT('data on outstanding creditors'!$E3863,"#,##0.00")</f>
        <v>หจก.ภาสิน 63639 4,000.00</v>
      </c>
      <c r="U3863" s="12"/>
    </row>
    <row r="3864" ht="13.5" customHeight="1">
      <c r="A3864" s="1" t="s">
        <v>6127</v>
      </c>
      <c r="B3864" s="2">
        <v>45917.0</v>
      </c>
      <c r="C3864" s="9" t="s">
        <v>100</v>
      </c>
      <c r="D3864" s="1" t="s">
        <v>6128</v>
      </c>
      <c r="E3864" s="4">
        <v>2150.0</v>
      </c>
      <c r="F3864" s="4"/>
      <c r="G3864" s="4"/>
      <c r="H3864" s="4">
        <f>'data on outstanding creditors'!$E3864-'data on outstanding creditors'!$F3864-'data on outstanding creditors'!$G3864</f>
        <v>2150</v>
      </c>
      <c r="I3864" s="2"/>
      <c r="J3864" s="1"/>
      <c r="K3864" s="2"/>
      <c r="L3864" s="5"/>
      <c r="M3864" s="9" t="s">
        <v>178</v>
      </c>
      <c r="N3864" s="9" t="s">
        <v>49</v>
      </c>
      <c r="O3864" s="10">
        <f>'data on outstanding creditors'!$E3864*100/107</f>
        <v>2009.345794</v>
      </c>
      <c r="P3864" s="10">
        <f>'data on outstanding creditors'!$E3864-'data on outstanding creditors'!$O3864</f>
        <v>140.6542056</v>
      </c>
      <c r="Q3864" s="7">
        <f>DAY('data on outstanding creditors'!$B3864)</f>
        <v>17</v>
      </c>
      <c r="R3864" s="7">
        <f>MONTH('data on outstanding creditors'!$B3864)</f>
        <v>9</v>
      </c>
      <c r="S3864" s="7">
        <f>YEAR('data on outstanding creditors'!$B3864)</f>
        <v>2025</v>
      </c>
      <c r="T3864" s="11" t="str">
        <f>'data on outstanding creditors'!$C3864&amp;" "&amp;'data on outstanding creditors'!$D3864&amp;" "&amp;TEXT('data on outstanding creditors'!$E3864,"#,##0.00")</f>
        <v>หจก.ทวีศักดิ์การไฟฟ้า 2018 TN00002987 2,150.00</v>
      </c>
      <c r="U3864" s="12"/>
    </row>
    <row r="3865" ht="13.5" customHeight="1">
      <c r="A3865" s="1" t="s">
        <v>6129</v>
      </c>
      <c r="B3865" s="2">
        <v>45917.0</v>
      </c>
      <c r="C3865" s="9" t="s">
        <v>100</v>
      </c>
      <c r="D3865" s="1" t="s">
        <v>6130</v>
      </c>
      <c r="E3865" s="4">
        <v>4350.0</v>
      </c>
      <c r="F3865" s="4"/>
      <c r="G3865" s="4"/>
      <c r="H3865" s="4">
        <f>'data on outstanding creditors'!$E3865-'data on outstanding creditors'!$F3865-'data on outstanding creditors'!$G3865</f>
        <v>4350</v>
      </c>
      <c r="I3865" s="2"/>
      <c r="J3865" s="1"/>
      <c r="K3865" s="2"/>
      <c r="L3865" s="5"/>
      <c r="M3865" s="9" t="s">
        <v>178</v>
      </c>
      <c r="N3865" s="9" t="s">
        <v>49</v>
      </c>
      <c r="O3865" s="10">
        <f>'data on outstanding creditors'!$E3865*100/107</f>
        <v>4065.420561</v>
      </c>
      <c r="P3865" s="10">
        <f>'data on outstanding creditors'!$E3865-'data on outstanding creditors'!$O3865</f>
        <v>284.5794393</v>
      </c>
      <c r="Q3865" s="7">
        <f>DAY('data on outstanding creditors'!$B3865)</f>
        <v>17</v>
      </c>
      <c r="R3865" s="7">
        <f>MONTH('data on outstanding creditors'!$B3865)</f>
        <v>9</v>
      </c>
      <c r="S3865" s="7">
        <f>YEAR('data on outstanding creditors'!$B3865)</f>
        <v>2025</v>
      </c>
      <c r="T3865" s="11" t="str">
        <f>'data on outstanding creditors'!$C3865&amp;" "&amp;'data on outstanding creditors'!$D3865&amp;" "&amp;TEXT('data on outstanding creditors'!$E3865,"#,##0.00")</f>
        <v>หจก.ทวีศักดิ์การไฟฟ้า 2018 TN00002988 4,350.00</v>
      </c>
      <c r="U3865" s="12"/>
    </row>
    <row r="3866" ht="13.5" customHeight="1">
      <c r="A3866" s="1" t="s">
        <v>6131</v>
      </c>
      <c r="B3866" s="2">
        <v>45917.0</v>
      </c>
      <c r="C3866" s="9" t="s">
        <v>100</v>
      </c>
      <c r="D3866" s="1" t="s">
        <v>6132</v>
      </c>
      <c r="E3866" s="4">
        <v>2900.0</v>
      </c>
      <c r="F3866" s="4"/>
      <c r="G3866" s="4"/>
      <c r="H3866" s="4">
        <f>'data on outstanding creditors'!$E3866-'data on outstanding creditors'!$F3866-'data on outstanding creditors'!$G3866</f>
        <v>2900</v>
      </c>
      <c r="I3866" s="2"/>
      <c r="J3866" s="1"/>
      <c r="K3866" s="2"/>
      <c r="L3866" s="5"/>
      <c r="M3866" s="9" t="s">
        <v>178</v>
      </c>
      <c r="N3866" s="9" t="s">
        <v>49</v>
      </c>
      <c r="O3866" s="10">
        <f>'data on outstanding creditors'!$E3866*100/107</f>
        <v>2710.280374</v>
      </c>
      <c r="P3866" s="10">
        <f>'data on outstanding creditors'!$E3866-'data on outstanding creditors'!$O3866</f>
        <v>189.7196262</v>
      </c>
      <c r="Q3866" s="7">
        <f>DAY('data on outstanding creditors'!$B3866)</f>
        <v>17</v>
      </c>
      <c r="R3866" s="7">
        <f>MONTH('data on outstanding creditors'!$B3866)</f>
        <v>9</v>
      </c>
      <c r="S3866" s="7">
        <f>YEAR('data on outstanding creditors'!$B3866)</f>
        <v>2025</v>
      </c>
      <c r="T3866" s="11" t="str">
        <f>'data on outstanding creditors'!$C3866&amp;" "&amp;'data on outstanding creditors'!$D3866&amp;" "&amp;TEXT('data on outstanding creditors'!$E3866,"#,##0.00")</f>
        <v>หจก.ทวีศักดิ์การไฟฟ้า 2018 TN00002989 2,900.00</v>
      </c>
      <c r="U3866" s="12"/>
    </row>
    <row r="3867" ht="13.5" customHeight="1">
      <c r="A3867" s="1" t="s">
        <v>6133</v>
      </c>
      <c r="B3867" s="2">
        <v>45922.0</v>
      </c>
      <c r="C3867" s="9" t="s">
        <v>1114</v>
      </c>
      <c r="D3867" s="1" t="s">
        <v>6134</v>
      </c>
      <c r="E3867" s="4">
        <v>23300.0</v>
      </c>
      <c r="F3867" s="4"/>
      <c r="G3867" s="4"/>
      <c r="H3867" s="4">
        <f>'data on outstanding creditors'!$E3867-'data on outstanding creditors'!$F3867-'data on outstanding creditors'!$G3867</f>
        <v>23300</v>
      </c>
      <c r="I3867" s="2"/>
      <c r="J3867" s="1" t="s">
        <v>646</v>
      </c>
      <c r="K3867" s="2">
        <v>45952.0</v>
      </c>
      <c r="L3867" s="5"/>
      <c r="M3867" s="9" t="s">
        <v>178</v>
      </c>
      <c r="N3867" s="9" t="s">
        <v>49</v>
      </c>
      <c r="O3867" s="10">
        <f>'data on outstanding creditors'!$E3867*100/107</f>
        <v>21775.70093</v>
      </c>
      <c r="P3867" s="10">
        <f>'data on outstanding creditors'!$E3867-'data on outstanding creditors'!$O3867</f>
        <v>1524.299065</v>
      </c>
      <c r="Q3867" s="7">
        <f>DAY('data on outstanding creditors'!$B3867)</f>
        <v>22</v>
      </c>
      <c r="R3867" s="7">
        <f>MONTH('data on outstanding creditors'!$B3867)</f>
        <v>9</v>
      </c>
      <c r="S3867" s="7">
        <f>YEAR('data on outstanding creditors'!$B3867)</f>
        <v>2025</v>
      </c>
      <c r="T3867" s="11" t="str">
        <f>'data on outstanding creditors'!$C3867&amp;" "&amp;'data on outstanding creditors'!$D3867&amp;" "&amp;TEXT('data on outstanding creditors'!$E3867,"#,##0.00")</f>
        <v>หจก.อิเลฟเว่น พลัซ EL680916117 23,300.00</v>
      </c>
      <c r="U3867" s="12"/>
    </row>
    <row r="3868" ht="13.5" customHeight="1">
      <c r="A3868" s="1" t="s">
        <v>6135</v>
      </c>
      <c r="B3868" s="2">
        <v>45926.0</v>
      </c>
      <c r="C3868" s="9" t="s">
        <v>100</v>
      </c>
      <c r="D3868" s="1" t="s">
        <v>6136</v>
      </c>
      <c r="E3868" s="4">
        <v>1450.0</v>
      </c>
      <c r="F3868" s="4"/>
      <c r="G3868" s="4"/>
      <c r="H3868" s="4">
        <f>'data on outstanding creditors'!$E3868-'data on outstanding creditors'!$F3868-'data on outstanding creditors'!$G3868</f>
        <v>1450</v>
      </c>
      <c r="I3868" s="2"/>
      <c r="J3868" s="1"/>
      <c r="K3868" s="2"/>
      <c r="L3868" s="5"/>
      <c r="M3868" s="9" t="s">
        <v>178</v>
      </c>
      <c r="N3868" s="9" t="s">
        <v>49</v>
      </c>
      <c r="O3868" s="10">
        <f>'data on outstanding creditors'!$E3868*100/107</f>
        <v>1355.140187</v>
      </c>
      <c r="P3868" s="10">
        <f>'data on outstanding creditors'!$E3868-'data on outstanding creditors'!$O3868</f>
        <v>94.85981308</v>
      </c>
      <c r="Q3868" s="7">
        <f>DAY('data on outstanding creditors'!$B3868)</f>
        <v>26</v>
      </c>
      <c r="R3868" s="7">
        <f>MONTH('data on outstanding creditors'!$B3868)</f>
        <v>9</v>
      </c>
      <c r="S3868" s="7">
        <f>YEAR('data on outstanding creditors'!$B3868)</f>
        <v>2025</v>
      </c>
      <c r="T3868" s="11" t="str">
        <f>'data on outstanding creditors'!$C3868&amp;" "&amp;'data on outstanding creditors'!$D3868&amp;" "&amp;TEXT('data on outstanding creditors'!$E3868,"#,##0.00")</f>
        <v>หจก.ทวีศักดิ์การไฟฟ้า 2018 TN00003006 1,450.00</v>
      </c>
      <c r="U3868" s="12"/>
    </row>
    <row r="3869" ht="13.5" customHeight="1">
      <c r="A3869" s="1" t="s">
        <v>6137</v>
      </c>
      <c r="B3869" s="2">
        <v>45931.0</v>
      </c>
      <c r="C3869" s="9" t="s">
        <v>152</v>
      </c>
      <c r="D3869" s="1" t="s">
        <v>6138</v>
      </c>
      <c r="E3869" s="4">
        <v>4350.0</v>
      </c>
      <c r="F3869" s="4"/>
      <c r="G3869" s="4"/>
      <c r="H3869" s="4">
        <f>'data on outstanding creditors'!$E3869-'data on outstanding creditors'!$F3869-'data on outstanding creditors'!$G3869</f>
        <v>4350</v>
      </c>
      <c r="I3869" s="2"/>
      <c r="J3869" s="1" t="s">
        <v>757</v>
      </c>
      <c r="K3869" s="2">
        <v>45961.0</v>
      </c>
      <c r="L3869" s="5"/>
      <c r="M3869" s="9" t="s">
        <v>178</v>
      </c>
      <c r="N3869" s="9" t="s">
        <v>49</v>
      </c>
      <c r="O3869" s="10">
        <f>'data on outstanding creditors'!$E3869*100/107</f>
        <v>4065.420561</v>
      </c>
      <c r="P3869" s="10">
        <f>'data on outstanding creditors'!$E3869-'data on outstanding creditors'!$O3869</f>
        <v>284.5794393</v>
      </c>
      <c r="Q3869" s="7">
        <f>DAY('data on outstanding creditors'!$B3869)</f>
        <v>1</v>
      </c>
      <c r="R3869" s="7">
        <f>MONTH('data on outstanding creditors'!$B3869)</f>
        <v>10</v>
      </c>
      <c r="S3869" s="7">
        <f>YEAR('data on outstanding creditors'!$B3869)</f>
        <v>2025</v>
      </c>
      <c r="T3869" s="11" t="str">
        <f>'data on outstanding creditors'!$C3869&amp;" "&amp;'data on outstanding creditors'!$D3869&amp;" "&amp;TEXT('data on outstanding creditors'!$E3869,"#,##0.00")</f>
        <v>บ.มาเจริญ โฮม เฟอร์นิเจอร์ 191/9522 4,350.00</v>
      </c>
      <c r="U3869" s="12"/>
    </row>
    <row r="3870" ht="13.5" customHeight="1">
      <c r="A3870" s="1" t="s">
        <v>6139</v>
      </c>
      <c r="B3870" s="2">
        <v>45937.0</v>
      </c>
      <c r="C3870" s="9" t="s">
        <v>421</v>
      </c>
      <c r="D3870" s="1" t="s">
        <v>6140</v>
      </c>
      <c r="E3870" s="4">
        <v>5082.5</v>
      </c>
      <c r="F3870" s="4"/>
      <c r="G3870" s="4"/>
      <c r="H3870" s="4">
        <f>'data on outstanding creditors'!$E3870-'data on outstanding creditors'!$F3870-'data on outstanding creditors'!$G3870</f>
        <v>5082.5</v>
      </c>
      <c r="I3870" s="2"/>
      <c r="J3870" s="1"/>
      <c r="K3870" s="2"/>
      <c r="L3870" s="5"/>
      <c r="M3870" s="9" t="s">
        <v>178</v>
      </c>
      <c r="N3870" s="9" t="s">
        <v>49</v>
      </c>
      <c r="O3870" s="10">
        <f>'data on outstanding creditors'!$E3870*100/107</f>
        <v>4750</v>
      </c>
      <c r="P3870" s="10">
        <f>'data on outstanding creditors'!$E3870-'data on outstanding creditors'!$O3870</f>
        <v>332.5</v>
      </c>
      <c r="Q3870" s="7">
        <f>DAY('data on outstanding creditors'!$B3870)</f>
        <v>7</v>
      </c>
      <c r="R3870" s="7">
        <f>MONTH('data on outstanding creditors'!$B3870)</f>
        <v>10</v>
      </c>
      <c r="S3870" s="7">
        <f>YEAR('data on outstanding creditors'!$B3870)</f>
        <v>2025</v>
      </c>
      <c r="T3870" s="11" t="str">
        <f>'data on outstanding creditors'!$C3870&amp;" "&amp;'data on outstanding creditors'!$D3870&amp;" "&amp;TEXT('data on outstanding creditors'!$E3870,"#,##0.00")</f>
        <v>บ.นางรองเคหะภัณฑ์ IV681007-014 5,082.50</v>
      </c>
      <c r="U3870" s="12"/>
    </row>
    <row r="3871" ht="13.5" customHeight="1">
      <c r="A3871" s="1" t="s">
        <v>6141</v>
      </c>
      <c r="B3871" s="2">
        <v>45939.0</v>
      </c>
      <c r="C3871" s="9" t="s">
        <v>1177</v>
      </c>
      <c r="D3871" s="1" t="s">
        <v>6142</v>
      </c>
      <c r="E3871" s="4">
        <v>6000.0</v>
      </c>
      <c r="F3871" s="4"/>
      <c r="G3871" s="4"/>
      <c r="H3871" s="4">
        <f>'data on outstanding creditors'!$E3871-'data on outstanding creditors'!$F3871-'data on outstanding creditors'!$G3871</f>
        <v>6000</v>
      </c>
      <c r="I3871" s="2"/>
      <c r="J3871" s="1"/>
      <c r="K3871" s="2"/>
      <c r="L3871" s="5"/>
      <c r="M3871" s="9" t="s">
        <v>178</v>
      </c>
      <c r="N3871" s="9" t="s">
        <v>49</v>
      </c>
      <c r="O3871" s="10">
        <f>'data on outstanding creditors'!$E3871*100/107</f>
        <v>5607.476636</v>
      </c>
      <c r="P3871" s="10">
        <f>'data on outstanding creditors'!$E3871-'data on outstanding creditors'!$O3871</f>
        <v>392.5233645</v>
      </c>
      <c r="Q3871" s="7">
        <f>DAY('data on outstanding creditors'!$B3871)</f>
        <v>9</v>
      </c>
      <c r="R3871" s="7">
        <f>MONTH('data on outstanding creditors'!$B3871)</f>
        <v>10</v>
      </c>
      <c r="S3871" s="7">
        <f>YEAR('data on outstanding creditors'!$B3871)</f>
        <v>2025</v>
      </c>
      <c r="T3871" s="11" t="str">
        <f>'data on outstanding creditors'!$C3871&amp;" "&amp;'data on outstanding creditors'!$D3871&amp;" "&amp;TEXT('data on outstanding creditors'!$E3871,"#,##0.00")</f>
        <v>บ.ณรงค์ศักดิ์ครุภัณฑ์เวชภัณฑ์ 6828/2568 6,000.00</v>
      </c>
      <c r="U3871" s="12"/>
    </row>
    <row r="3872" ht="13.5" customHeight="1">
      <c r="A3872" s="1" t="s">
        <v>6143</v>
      </c>
      <c r="B3872" s="2">
        <v>45944.0</v>
      </c>
      <c r="C3872" s="9" t="s">
        <v>6144</v>
      </c>
      <c r="D3872" s="1" t="s">
        <v>6145</v>
      </c>
      <c r="E3872" s="4">
        <v>290000.0</v>
      </c>
      <c r="F3872" s="4"/>
      <c r="G3872" s="4"/>
      <c r="H3872" s="4">
        <f>'data on outstanding creditors'!$E3872-'data on outstanding creditors'!$F3872-'data on outstanding creditors'!$G3872</f>
        <v>290000</v>
      </c>
      <c r="I3872" s="2"/>
      <c r="J3872" s="1"/>
      <c r="K3872" s="2"/>
      <c r="L3872" s="5"/>
      <c r="M3872" s="9" t="s">
        <v>178</v>
      </c>
      <c r="N3872" s="9" t="s">
        <v>49</v>
      </c>
      <c r="O3872" s="10">
        <f>'data on outstanding creditors'!$E3872*100/107</f>
        <v>271028.0374</v>
      </c>
      <c r="P3872" s="10">
        <f>'data on outstanding creditors'!$E3872-'data on outstanding creditors'!$O3872</f>
        <v>18971.96262</v>
      </c>
      <c r="Q3872" s="7">
        <f>DAY('data on outstanding creditors'!$B3872)</f>
        <v>14</v>
      </c>
      <c r="R3872" s="7">
        <f>MONTH('data on outstanding creditors'!$B3872)</f>
        <v>10</v>
      </c>
      <c r="S3872" s="7">
        <f>YEAR('data on outstanding creditors'!$B3872)</f>
        <v>2025</v>
      </c>
      <c r="T3872" s="11" t="str">
        <f>'data on outstanding creditors'!$C3872&amp;" "&amp;'data on outstanding creditors'!$D3872&amp;" "&amp;TEXT('data on outstanding creditors'!$E3872,"#,##0.00")</f>
        <v>หจก.บัวบุตร คอนซัลท์ แอนด์ โซลูซั่น 1005 290,000.00</v>
      </c>
      <c r="U3872" s="12"/>
    </row>
    <row r="3873" ht="13.5" customHeight="1">
      <c r="A3873" s="1" t="s">
        <v>6146</v>
      </c>
      <c r="B3873" s="2">
        <v>45945.0</v>
      </c>
      <c r="C3873" s="9" t="s">
        <v>46</v>
      </c>
      <c r="D3873" s="1" t="s">
        <v>6147</v>
      </c>
      <c r="E3873" s="4">
        <v>85500.0</v>
      </c>
      <c r="F3873" s="4"/>
      <c r="G3873" s="4"/>
      <c r="H3873" s="4">
        <f>'data on outstanding creditors'!$E3873-'data on outstanding creditors'!$F3873-'data on outstanding creditors'!$G3873</f>
        <v>85500</v>
      </c>
      <c r="I3873" s="2"/>
      <c r="J3873" s="1"/>
      <c r="K3873" s="2"/>
      <c r="L3873" s="5"/>
      <c r="M3873" s="9" t="s">
        <v>178</v>
      </c>
      <c r="N3873" s="9" t="s">
        <v>49</v>
      </c>
      <c r="O3873" s="10">
        <f>'data on outstanding creditors'!$E3873*100/107</f>
        <v>79906.54206</v>
      </c>
      <c r="P3873" s="10">
        <f>'data on outstanding creditors'!$E3873-'data on outstanding creditors'!$O3873</f>
        <v>5593.457944</v>
      </c>
      <c r="Q3873" s="7">
        <f>DAY('data on outstanding creditors'!$B3873)</f>
        <v>15</v>
      </c>
      <c r="R3873" s="7">
        <f>MONTH('data on outstanding creditors'!$B3873)</f>
        <v>10</v>
      </c>
      <c r="S3873" s="7">
        <f>YEAR('data on outstanding creditors'!$B3873)</f>
        <v>2025</v>
      </c>
      <c r="T3873" s="11" t="str">
        <f>'data on outstanding creditors'!$C3873&amp;" "&amp;'data on outstanding creditors'!$D3873&amp;" "&amp;TEXT('data on outstanding creditors'!$E3873,"#,##0.00")</f>
        <v>บ.เดอะคอนเนคเซอร์วิสเซล BL2025080047 85,500.00</v>
      </c>
      <c r="U3873" s="12"/>
    </row>
    <row r="3874" ht="13.5" customHeight="1">
      <c r="A3874" s="1" t="s">
        <v>6148</v>
      </c>
      <c r="B3874" s="2">
        <v>45784.0</v>
      </c>
      <c r="C3874" s="9" t="s">
        <v>2315</v>
      </c>
      <c r="D3874" s="1" t="s">
        <v>6149</v>
      </c>
      <c r="E3874" s="4">
        <v>28000.0</v>
      </c>
      <c r="F3874" s="4"/>
      <c r="G3874" s="4"/>
      <c r="H3874" s="4">
        <f>'data on outstanding creditors'!$E3874-'data on outstanding creditors'!$F3874-'data on outstanding creditors'!$G3874</f>
        <v>28000</v>
      </c>
      <c r="I3874" s="2"/>
      <c r="J3874" s="1" t="s">
        <v>646</v>
      </c>
      <c r="K3874" s="2">
        <v>45889.0</v>
      </c>
      <c r="L3874" s="5"/>
      <c r="M3874" s="9" t="s">
        <v>86</v>
      </c>
      <c r="N3874" s="9" t="s">
        <v>49</v>
      </c>
      <c r="O3874" s="10">
        <f>'data on outstanding creditors'!$E3874*100/107</f>
        <v>26168.2243</v>
      </c>
      <c r="P3874" s="10">
        <f>'data on outstanding creditors'!$E3874-'data on outstanding creditors'!$O3874</f>
        <v>1831.775701</v>
      </c>
      <c r="Q3874" s="7">
        <f>DAY('data on outstanding creditors'!$B3874)</f>
        <v>7</v>
      </c>
      <c r="R3874" s="7">
        <f>MONTH('data on outstanding creditors'!$B3874)</f>
        <v>5</v>
      </c>
      <c r="S3874" s="7">
        <f>YEAR('data on outstanding creditors'!$B3874)</f>
        <v>2025</v>
      </c>
      <c r="T3874" s="11" t="str">
        <f>'data on outstanding creditors'!$C3874&amp;" "&amp;'data on outstanding creditors'!$D3874&amp;" "&amp;TEXT('data on outstanding creditors'!$E3874,"#,##0.00")</f>
        <v>บ.เรียลเมดคอร์ป IV25050126 28,000.00</v>
      </c>
      <c r="U3874" s="12"/>
    </row>
    <row r="3875" ht="13.5" customHeight="1">
      <c r="A3875" s="1" t="s">
        <v>6150</v>
      </c>
      <c r="B3875" s="2">
        <v>45915.0</v>
      </c>
      <c r="C3875" s="9" t="s">
        <v>421</v>
      </c>
      <c r="D3875" s="1" t="s">
        <v>6151</v>
      </c>
      <c r="E3875" s="4">
        <v>16050.0</v>
      </c>
      <c r="F3875" s="4"/>
      <c r="G3875" s="4"/>
      <c r="H3875" s="4">
        <f>'data on outstanding creditors'!$E3875-'data on outstanding creditors'!$F3875-'data on outstanding creditors'!$G3875</f>
        <v>16050</v>
      </c>
      <c r="I3875" s="2"/>
      <c r="J3875" s="1"/>
      <c r="K3875" s="2"/>
      <c r="L3875" s="5"/>
      <c r="M3875" s="9" t="s">
        <v>6152</v>
      </c>
      <c r="N3875" s="9" t="s">
        <v>49</v>
      </c>
      <c r="O3875" s="10">
        <f>'data on outstanding creditors'!$E3875*100/107</f>
        <v>15000</v>
      </c>
      <c r="P3875" s="10">
        <f>'data on outstanding creditors'!$E3875-'data on outstanding creditors'!$O3875</f>
        <v>1050</v>
      </c>
      <c r="Q3875" s="7">
        <f>DAY('data on outstanding creditors'!$B3875)</f>
        <v>15</v>
      </c>
      <c r="R3875" s="7">
        <f>MONTH('data on outstanding creditors'!$B3875)</f>
        <v>9</v>
      </c>
      <c r="S3875" s="7">
        <f>YEAR('data on outstanding creditors'!$B3875)</f>
        <v>2025</v>
      </c>
      <c r="T3875" s="11" t="str">
        <f>'data on outstanding creditors'!$C3875&amp;" "&amp;'data on outstanding creditors'!$D3875&amp;" "&amp;TEXT('data on outstanding creditors'!$E3875,"#,##0.00")</f>
        <v>บ.นางรองเคหะภัณฑ์ IV680915-006 16,050.00</v>
      </c>
      <c r="U3875" s="12"/>
    </row>
    <row r="3876" ht="13.5" customHeight="1">
      <c r="A3876" s="1" t="s">
        <v>6153</v>
      </c>
      <c r="B3876" s="2">
        <v>45945.0</v>
      </c>
      <c r="C3876" s="9" t="s">
        <v>421</v>
      </c>
      <c r="D3876" s="1" t="s">
        <v>6154</v>
      </c>
      <c r="E3876" s="4">
        <v>16050.0</v>
      </c>
      <c r="F3876" s="4"/>
      <c r="G3876" s="4"/>
      <c r="H3876" s="4">
        <f>'data on outstanding creditors'!$E3876-'data on outstanding creditors'!$F3876-'data on outstanding creditors'!$G3876</f>
        <v>16050</v>
      </c>
      <c r="I3876" s="2"/>
      <c r="J3876" s="1"/>
      <c r="K3876" s="2"/>
      <c r="L3876" s="5"/>
      <c r="M3876" s="9" t="s">
        <v>6152</v>
      </c>
      <c r="N3876" s="9" t="s">
        <v>49</v>
      </c>
      <c r="O3876" s="10">
        <f>'data on outstanding creditors'!$E3876*100/107</f>
        <v>15000</v>
      </c>
      <c r="P3876" s="10">
        <f>'data on outstanding creditors'!$E3876-'data on outstanding creditors'!$O3876</f>
        <v>1050</v>
      </c>
      <c r="Q3876" s="7">
        <f>DAY('data on outstanding creditors'!$B3876)</f>
        <v>15</v>
      </c>
      <c r="R3876" s="7">
        <f>MONTH('data on outstanding creditors'!$B3876)</f>
        <v>10</v>
      </c>
      <c r="S3876" s="7">
        <f>YEAR('data on outstanding creditors'!$B3876)</f>
        <v>2025</v>
      </c>
      <c r="T3876" s="11" t="str">
        <f>'data on outstanding creditors'!$C3876&amp;" "&amp;'data on outstanding creditors'!$D3876&amp;" "&amp;TEXT('data on outstanding creditors'!$E3876,"#,##0.00")</f>
        <v>บ.นางรองเคหะภัณฑ์ IV681015-010 16,050.00</v>
      </c>
      <c r="U3876" s="12"/>
    </row>
    <row r="3877" ht="13.5" customHeight="1">
      <c r="A3877" s="1" t="s">
        <v>6155</v>
      </c>
      <c r="B3877" s="2">
        <v>45677.0</v>
      </c>
      <c r="C3877" s="9" t="s">
        <v>6156</v>
      </c>
      <c r="D3877" s="1" t="s">
        <v>6157</v>
      </c>
      <c r="E3877" s="4">
        <v>50000.0</v>
      </c>
      <c r="F3877" s="4"/>
      <c r="G3877" s="4"/>
      <c r="H3877" s="4">
        <f>'data on outstanding creditors'!$E3877-'data on outstanding creditors'!$F3877-'data on outstanding creditors'!$G3877</f>
        <v>50000</v>
      </c>
      <c r="I3877" s="2"/>
      <c r="J3877" s="1" t="s">
        <v>646</v>
      </c>
      <c r="K3877" s="2">
        <v>45843.0</v>
      </c>
      <c r="L3877" s="5"/>
      <c r="M3877" s="9" t="s">
        <v>90</v>
      </c>
      <c r="N3877" s="9" t="s">
        <v>49</v>
      </c>
      <c r="O3877" s="10">
        <f>'data on outstanding creditors'!$E3877*100/107</f>
        <v>46728.97196</v>
      </c>
      <c r="P3877" s="10">
        <f>'data on outstanding creditors'!$E3877-'data on outstanding creditors'!$O3877</f>
        <v>3271.028037</v>
      </c>
      <c r="Q3877" s="7">
        <f>DAY('data on outstanding creditors'!$B3877)</f>
        <v>20</v>
      </c>
      <c r="R3877" s="7">
        <f>MONTH('data on outstanding creditors'!$B3877)</f>
        <v>1</v>
      </c>
      <c r="S3877" s="7">
        <f>YEAR('data on outstanding creditors'!$B3877)</f>
        <v>2025</v>
      </c>
      <c r="T3877" s="11" t="str">
        <f>'data on outstanding creditors'!$C3877&amp;" "&amp;'data on outstanding creditors'!$D3877&amp;" "&amp;TEXT('data on outstanding creditors'!$E3877,"#,##0.00")</f>
        <v>บ.เคเมด แอดวานซ์ KIN2025000001 50,000.00</v>
      </c>
      <c r="U3877" s="12"/>
    </row>
    <row r="3878" ht="13.5" customHeight="1">
      <c r="A3878" s="1" t="s">
        <v>6158</v>
      </c>
      <c r="B3878" s="2">
        <v>45684.0</v>
      </c>
      <c r="C3878" s="9" t="s">
        <v>3614</v>
      </c>
      <c r="D3878" s="1" t="s">
        <v>6159</v>
      </c>
      <c r="E3878" s="4">
        <v>22000.0</v>
      </c>
      <c r="F3878" s="4"/>
      <c r="G3878" s="4"/>
      <c r="H3878" s="4">
        <f>'data on outstanding creditors'!$E3878-'data on outstanding creditors'!$F3878-'data on outstanding creditors'!$G3878</f>
        <v>22000</v>
      </c>
      <c r="I3878" s="2"/>
      <c r="J3878" s="1" t="s">
        <v>646</v>
      </c>
      <c r="K3878" s="2">
        <v>45855.0</v>
      </c>
      <c r="L3878" s="5"/>
      <c r="M3878" s="9" t="s">
        <v>90</v>
      </c>
      <c r="N3878" s="9" t="s">
        <v>49</v>
      </c>
      <c r="O3878" s="10">
        <f>'data on outstanding creditors'!$E3878*100/107</f>
        <v>20560.74766</v>
      </c>
      <c r="P3878" s="10">
        <f>'data on outstanding creditors'!$E3878-'data on outstanding creditors'!$O3878</f>
        <v>1439.252336</v>
      </c>
      <c r="Q3878" s="7">
        <f>DAY('data on outstanding creditors'!$B3878)</f>
        <v>27</v>
      </c>
      <c r="R3878" s="7">
        <f>MONTH('data on outstanding creditors'!$B3878)</f>
        <v>1</v>
      </c>
      <c r="S3878" s="7">
        <f>YEAR('data on outstanding creditors'!$B3878)</f>
        <v>2025</v>
      </c>
      <c r="T3878" s="11" t="str">
        <f>'data on outstanding creditors'!$C3878&amp;" "&amp;'data on outstanding creditors'!$D3878&amp;" "&amp;TEXT('data on outstanding creditors'!$E3878,"#,##0.00")</f>
        <v>บ.อัมรินทร์ เมดิคอล 6801/050 22,000.00</v>
      </c>
      <c r="U3878" s="12"/>
    </row>
    <row r="3879" ht="13.5" customHeight="1">
      <c r="A3879" s="1" t="s">
        <v>6160</v>
      </c>
      <c r="B3879" s="2">
        <v>45745.0</v>
      </c>
      <c r="C3879" s="9" t="s">
        <v>1186</v>
      </c>
      <c r="D3879" s="1" t="s">
        <v>6161</v>
      </c>
      <c r="E3879" s="4">
        <v>95000.0</v>
      </c>
      <c r="F3879" s="4"/>
      <c r="G3879" s="4"/>
      <c r="H3879" s="4">
        <f>'data on outstanding creditors'!$E3879-'data on outstanding creditors'!$F3879-'data on outstanding creditors'!$G3879</f>
        <v>95000</v>
      </c>
      <c r="I3879" s="2"/>
      <c r="J3879" s="1" t="s">
        <v>646</v>
      </c>
      <c r="K3879" s="2">
        <v>45906.0</v>
      </c>
      <c r="L3879" s="5"/>
      <c r="M3879" s="9" t="s">
        <v>90</v>
      </c>
      <c r="N3879" s="9" t="s">
        <v>49</v>
      </c>
      <c r="O3879" s="10">
        <f>'data on outstanding creditors'!$E3879*100/107</f>
        <v>88785.04673</v>
      </c>
      <c r="P3879" s="10">
        <f>'data on outstanding creditors'!$E3879-'data on outstanding creditors'!$O3879</f>
        <v>6214.953271</v>
      </c>
      <c r="Q3879" s="7">
        <f>DAY('data on outstanding creditors'!$B3879)</f>
        <v>29</v>
      </c>
      <c r="R3879" s="7">
        <f>MONTH('data on outstanding creditors'!$B3879)</f>
        <v>3</v>
      </c>
      <c r="S3879" s="7">
        <f>YEAR('data on outstanding creditors'!$B3879)</f>
        <v>2025</v>
      </c>
      <c r="T3879" s="11" t="str">
        <f>'data on outstanding creditors'!$C3879&amp;" "&amp;'data on outstanding creditors'!$D3879&amp;" "&amp;TEXT('data on outstanding creditors'!$E3879,"#,##0.00")</f>
        <v>บ.ธเนศพัฒนา I6803054 95,000.00</v>
      </c>
      <c r="U3879" s="12"/>
    </row>
    <row r="3880" ht="13.5" customHeight="1">
      <c r="A3880" s="1" t="s">
        <v>6162</v>
      </c>
      <c r="B3880" s="2">
        <v>45778.0</v>
      </c>
      <c r="C3880" s="9" t="s">
        <v>3614</v>
      </c>
      <c r="D3880" s="1" t="s">
        <v>6163</v>
      </c>
      <c r="E3880" s="4">
        <v>57000.0</v>
      </c>
      <c r="F3880" s="4"/>
      <c r="G3880" s="4"/>
      <c r="H3880" s="4">
        <f>'data on outstanding creditors'!$E3880-'data on outstanding creditors'!$F3880-'data on outstanding creditors'!$G3880</f>
        <v>57000</v>
      </c>
      <c r="I3880" s="2"/>
      <c r="J3880" s="1" t="s">
        <v>646</v>
      </c>
      <c r="K3880" s="2">
        <v>45855.0</v>
      </c>
      <c r="L3880" s="5"/>
      <c r="M3880" s="9" t="s">
        <v>90</v>
      </c>
      <c r="N3880" s="9" t="s">
        <v>49</v>
      </c>
      <c r="O3880" s="10">
        <f>'data on outstanding creditors'!$E3880*100/107</f>
        <v>53271.02804</v>
      </c>
      <c r="P3880" s="10">
        <f>'data on outstanding creditors'!$E3880-'data on outstanding creditors'!$O3880</f>
        <v>3728.971963</v>
      </c>
      <c r="Q3880" s="7">
        <f>DAY('data on outstanding creditors'!$B3880)</f>
        <v>1</v>
      </c>
      <c r="R3880" s="7">
        <f>MONTH('data on outstanding creditors'!$B3880)</f>
        <v>5</v>
      </c>
      <c r="S3880" s="7">
        <f>YEAR('data on outstanding creditors'!$B3880)</f>
        <v>2025</v>
      </c>
      <c r="T3880" s="11" t="str">
        <f>'data on outstanding creditors'!$C3880&amp;" "&amp;'data on outstanding creditors'!$D3880&amp;" "&amp;TEXT('data on outstanding creditors'!$E3880,"#,##0.00")</f>
        <v>บ.อัมรินทร์ เมดิคอล 6804/049 57,000.00</v>
      </c>
      <c r="U3880" s="12"/>
    </row>
    <row r="3881" ht="13.5" customHeight="1">
      <c r="A3881" s="1" t="s">
        <v>6164</v>
      </c>
      <c r="B3881" s="2">
        <v>45778.0</v>
      </c>
      <c r="C3881" s="9" t="s">
        <v>3614</v>
      </c>
      <c r="D3881" s="1" t="s">
        <v>6165</v>
      </c>
      <c r="E3881" s="4">
        <v>35000.0</v>
      </c>
      <c r="F3881" s="4"/>
      <c r="G3881" s="4"/>
      <c r="H3881" s="4">
        <f>'data on outstanding creditors'!$E3881-'data on outstanding creditors'!$F3881-'data on outstanding creditors'!$G3881</f>
        <v>35000</v>
      </c>
      <c r="I3881" s="2"/>
      <c r="J3881" s="1" t="s">
        <v>757</v>
      </c>
      <c r="K3881" s="2">
        <v>45871.0</v>
      </c>
      <c r="L3881" s="5"/>
      <c r="M3881" s="9" t="s">
        <v>90</v>
      </c>
      <c r="N3881" s="9" t="s">
        <v>49</v>
      </c>
      <c r="O3881" s="10">
        <f>'data on outstanding creditors'!$E3881*100/107</f>
        <v>32710.28037</v>
      </c>
      <c r="P3881" s="10">
        <f>'data on outstanding creditors'!$E3881-'data on outstanding creditors'!$O3881</f>
        <v>2289.719626</v>
      </c>
      <c r="Q3881" s="7">
        <f>DAY('data on outstanding creditors'!$B3881)</f>
        <v>1</v>
      </c>
      <c r="R3881" s="7">
        <f>MONTH('data on outstanding creditors'!$B3881)</f>
        <v>5</v>
      </c>
      <c r="S3881" s="7">
        <f>YEAR('data on outstanding creditors'!$B3881)</f>
        <v>2025</v>
      </c>
      <c r="T3881" s="11" t="str">
        <f>'data on outstanding creditors'!$C3881&amp;" "&amp;'data on outstanding creditors'!$D3881&amp;" "&amp;TEXT('data on outstanding creditors'!$E3881,"#,##0.00")</f>
        <v>บ.อัมรินทร์ เมดิคอล 6804/050 35,000.00</v>
      </c>
      <c r="U3881" s="12"/>
    </row>
    <row r="3882" ht="13.5" customHeight="1">
      <c r="A3882" s="1" t="s">
        <v>6166</v>
      </c>
      <c r="B3882" s="2">
        <v>45785.0</v>
      </c>
      <c r="C3882" s="9" t="s">
        <v>6156</v>
      </c>
      <c r="D3882" s="1" t="s">
        <v>6167</v>
      </c>
      <c r="E3882" s="4">
        <v>50000.0</v>
      </c>
      <c r="F3882" s="4"/>
      <c r="G3882" s="4"/>
      <c r="H3882" s="4">
        <f>'data on outstanding creditors'!$E3882-'data on outstanding creditors'!$F3882-'data on outstanding creditors'!$G3882</f>
        <v>50000</v>
      </c>
      <c r="I3882" s="2"/>
      <c r="J3882" s="1" t="s">
        <v>646</v>
      </c>
      <c r="K3882" s="2">
        <v>45843.0</v>
      </c>
      <c r="L3882" s="5"/>
      <c r="M3882" s="9" t="s">
        <v>90</v>
      </c>
      <c r="N3882" s="9" t="s">
        <v>49</v>
      </c>
      <c r="O3882" s="10">
        <f>'data on outstanding creditors'!$E3882*100/107</f>
        <v>46728.97196</v>
      </c>
      <c r="P3882" s="10">
        <f>'data on outstanding creditors'!$E3882-'data on outstanding creditors'!$O3882</f>
        <v>3271.028037</v>
      </c>
      <c r="Q3882" s="7">
        <f>DAY('data on outstanding creditors'!$B3882)</f>
        <v>8</v>
      </c>
      <c r="R3882" s="7">
        <f>MONTH('data on outstanding creditors'!$B3882)</f>
        <v>5</v>
      </c>
      <c r="S3882" s="7">
        <f>YEAR('data on outstanding creditors'!$B3882)</f>
        <v>2025</v>
      </c>
      <c r="T3882" s="11" t="str">
        <f>'data on outstanding creditors'!$C3882&amp;" "&amp;'data on outstanding creditors'!$D3882&amp;" "&amp;TEXT('data on outstanding creditors'!$E3882,"#,##0.00")</f>
        <v>บ.เคเมด แอดวานซ์ KIN2025000005 50,000.00</v>
      </c>
      <c r="U3882" s="12"/>
    </row>
    <row r="3883" ht="13.5" customHeight="1">
      <c r="A3883" s="1" t="s">
        <v>6168</v>
      </c>
      <c r="B3883" s="2">
        <v>45785.0</v>
      </c>
      <c r="C3883" s="9" t="s">
        <v>6156</v>
      </c>
      <c r="D3883" s="1" t="s">
        <v>6169</v>
      </c>
      <c r="E3883" s="4">
        <v>50000.0</v>
      </c>
      <c r="F3883" s="4"/>
      <c r="G3883" s="4"/>
      <c r="H3883" s="4">
        <f>'data on outstanding creditors'!$E3883-'data on outstanding creditors'!$F3883-'data on outstanding creditors'!$G3883</f>
        <v>50000</v>
      </c>
      <c r="I3883" s="2"/>
      <c r="J3883" s="1" t="s">
        <v>646</v>
      </c>
      <c r="K3883" s="2">
        <v>45843.0</v>
      </c>
      <c r="L3883" s="5"/>
      <c r="M3883" s="9" t="s">
        <v>90</v>
      </c>
      <c r="N3883" s="9" t="s">
        <v>49</v>
      </c>
      <c r="O3883" s="10">
        <f>'data on outstanding creditors'!$E3883*100/107</f>
        <v>46728.97196</v>
      </c>
      <c r="P3883" s="10">
        <f>'data on outstanding creditors'!$E3883-'data on outstanding creditors'!$O3883</f>
        <v>3271.028037</v>
      </c>
      <c r="Q3883" s="7">
        <f>DAY('data on outstanding creditors'!$B3883)</f>
        <v>8</v>
      </c>
      <c r="R3883" s="7">
        <f>MONTH('data on outstanding creditors'!$B3883)</f>
        <v>5</v>
      </c>
      <c r="S3883" s="7">
        <f>YEAR('data on outstanding creditors'!$B3883)</f>
        <v>2025</v>
      </c>
      <c r="T3883" s="11" t="str">
        <f>'data on outstanding creditors'!$C3883&amp;" "&amp;'data on outstanding creditors'!$D3883&amp;" "&amp;TEXT('data on outstanding creditors'!$E3883,"#,##0.00")</f>
        <v>บ.เคเมด แอดวานซ์ KIN2025000006 50,000.00</v>
      </c>
      <c r="U3883" s="12"/>
    </row>
    <row r="3884" ht="13.5" customHeight="1">
      <c r="A3884" s="1" t="s">
        <v>6170</v>
      </c>
      <c r="B3884" s="2">
        <v>45804.0</v>
      </c>
      <c r="C3884" s="9" t="s">
        <v>1186</v>
      </c>
      <c r="D3884" s="1" t="s">
        <v>6171</v>
      </c>
      <c r="E3884" s="4">
        <v>49000.0</v>
      </c>
      <c r="F3884" s="4"/>
      <c r="G3884" s="4"/>
      <c r="H3884" s="4">
        <f>'data on outstanding creditors'!$E3884-'data on outstanding creditors'!$F3884-'data on outstanding creditors'!$G3884</f>
        <v>49000</v>
      </c>
      <c r="I3884" s="2"/>
      <c r="J3884" s="1" t="s">
        <v>646</v>
      </c>
      <c r="K3884" s="2">
        <v>45906.0</v>
      </c>
      <c r="L3884" s="5"/>
      <c r="M3884" s="9" t="s">
        <v>90</v>
      </c>
      <c r="N3884" s="9" t="s">
        <v>49</v>
      </c>
      <c r="O3884" s="10">
        <f>'data on outstanding creditors'!$E3884*100/107</f>
        <v>45794.39252</v>
      </c>
      <c r="P3884" s="10">
        <f>'data on outstanding creditors'!$E3884-'data on outstanding creditors'!$O3884</f>
        <v>3205.607477</v>
      </c>
      <c r="Q3884" s="7">
        <f>DAY('data on outstanding creditors'!$B3884)</f>
        <v>27</v>
      </c>
      <c r="R3884" s="7">
        <f>MONTH('data on outstanding creditors'!$B3884)</f>
        <v>5</v>
      </c>
      <c r="S3884" s="7">
        <f>YEAR('data on outstanding creditors'!$B3884)</f>
        <v>2025</v>
      </c>
      <c r="T3884" s="11" t="str">
        <f>'data on outstanding creditors'!$C3884&amp;" "&amp;'data on outstanding creditors'!$D3884&amp;" "&amp;TEXT('data on outstanding creditors'!$E3884,"#,##0.00")</f>
        <v>บ.ธเนศพัฒนา I6805069 49,000.00</v>
      </c>
      <c r="U3884" s="12"/>
    </row>
    <row r="3885" ht="13.5" customHeight="1">
      <c r="A3885" s="1" t="s">
        <v>6172</v>
      </c>
      <c r="B3885" s="2">
        <v>45805.0</v>
      </c>
      <c r="C3885" s="9" t="s">
        <v>2394</v>
      </c>
      <c r="D3885" s="1" t="s">
        <v>6173</v>
      </c>
      <c r="E3885" s="4">
        <v>24000.0</v>
      </c>
      <c r="F3885" s="4"/>
      <c r="G3885" s="4"/>
      <c r="H3885" s="4">
        <f>'data on outstanding creditors'!$E3885-'data on outstanding creditors'!$F3885-'data on outstanding creditors'!$G3885</f>
        <v>24000</v>
      </c>
      <c r="I3885" s="2"/>
      <c r="J3885" s="1" t="s">
        <v>646</v>
      </c>
      <c r="K3885" s="2">
        <v>45854.0</v>
      </c>
      <c r="L3885" s="5"/>
      <c r="M3885" s="9" t="s">
        <v>90</v>
      </c>
      <c r="N3885" s="9" t="s">
        <v>49</v>
      </c>
      <c r="O3885" s="10">
        <f>'data on outstanding creditors'!$E3885*100/107</f>
        <v>22429.90654</v>
      </c>
      <c r="P3885" s="10">
        <f>'data on outstanding creditors'!$E3885-'data on outstanding creditors'!$O3885</f>
        <v>1570.093458</v>
      </c>
      <c r="Q3885" s="7">
        <f>DAY('data on outstanding creditors'!$B3885)</f>
        <v>28</v>
      </c>
      <c r="R3885" s="7">
        <f>MONTH('data on outstanding creditors'!$B3885)</f>
        <v>5</v>
      </c>
      <c r="S3885" s="7">
        <f>YEAR('data on outstanding creditors'!$B3885)</f>
        <v>2025</v>
      </c>
      <c r="T3885" s="11" t="str">
        <f>'data on outstanding creditors'!$C3885&amp;" "&amp;'data on outstanding creditors'!$D3885&amp;" "&amp;TEXT('data on outstanding creditors'!$E3885,"#,##0.00")</f>
        <v>บ.เมดวิท D-Q25032704 24,000.00</v>
      </c>
      <c r="U3885" s="12"/>
    </row>
    <row r="3886" ht="13.5" customHeight="1">
      <c r="A3886" s="1" t="s">
        <v>6174</v>
      </c>
      <c r="B3886" s="2">
        <v>45805.0</v>
      </c>
      <c r="C3886" s="9" t="s">
        <v>2394</v>
      </c>
      <c r="D3886" s="1" t="s">
        <v>6175</v>
      </c>
      <c r="E3886" s="4">
        <v>12000.0</v>
      </c>
      <c r="F3886" s="4"/>
      <c r="G3886" s="4"/>
      <c r="H3886" s="4">
        <f>'data on outstanding creditors'!$E3886-'data on outstanding creditors'!$F3886-'data on outstanding creditors'!$G3886</f>
        <v>12000</v>
      </c>
      <c r="I3886" s="2"/>
      <c r="J3886" s="1" t="s">
        <v>646</v>
      </c>
      <c r="K3886" s="2">
        <v>45843.0</v>
      </c>
      <c r="L3886" s="5"/>
      <c r="M3886" s="9" t="s">
        <v>90</v>
      </c>
      <c r="N3886" s="9" t="s">
        <v>49</v>
      </c>
      <c r="O3886" s="10">
        <f>'data on outstanding creditors'!$E3886*100/107</f>
        <v>11214.95327</v>
      </c>
      <c r="P3886" s="10">
        <f>'data on outstanding creditors'!$E3886-'data on outstanding creditors'!$O3886</f>
        <v>785.046729</v>
      </c>
      <c r="Q3886" s="7">
        <f>DAY('data on outstanding creditors'!$B3886)</f>
        <v>28</v>
      </c>
      <c r="R3886" s="7">
        <f>MONTH('data on outstanding creditors'!$B3886)</f>
        <v>5</v>
      </c>
      <c r="S3886" s="7">
        <f>YEAR('data on outstanding creditors'!$B3886)</f>
        <v>2025</v>
      </c>
      <c r="T3886" s="11" t="str">
        <f>'data on outstanding creditors'!$C3886&amp;" "&amp;'data on outstanding creditors'!$D3886&amp;" "&amp;TEXT('data on outstanding creditors'!$E3886,"#,##0.00")</f>
        <v>บ.เมดวิท D-Q25012003 12,000.00</v>
      </c>
      <c r="U3886" s="12"/>
    </row>
    <row r="3887" ht="13.5" customHeight="1">
      <c r="A3887" s="1" t="s">
        <v>6176</v>
      </c>
      <c r="B3887" s="2">
        <v>45807.0</v>
      </c>
      <c r="C3887" s="9" t="s">
        <v>4826</v>
      </c>
      <c r="D3887" s="1" t="s">
        <v>6177</v>
      </c>
      <c r="E3887" s="4">
        <v>58000.0</v>
      </c>
      <c r="F3887" s="4"/>
      <c r="G3887" s="4"/>
      <c r="H3887" s="4">
        <f>'data on outstanding creditors'!$E3887-'data on outstanding creditors'!$F3887-'data on outstanding creditors'!$G3887</f>
        <v>58000</v>
      </c>
      <c r="I3887" s="2"/>
      <c r="J3887" s="1" t="s">
        <v>757</v>
      </c>
      <c r="K3887" s="2">
        <v>45859.0</v>
      </c>
      <c r="L3887" s="5"/>
      <c r="M3887" s="9" t="s">
        <v>90</v>
      </c>
      <c r="N3887" s="9" t="s">
        <v>49</v>
      </c>
      <c r="O3887" s="10">
        <f>'data on outstanding creditors'!$E3887*100/107</f>
        <v>54205.60748</v>
      </c>
      <c r="P3887" s="10">
        <f>'data on outstanding creditors'!$E3887-'data on outstanding creditors'!$O3887</f>
        <v>3794.392523</v>
      </c>
      <c r="Q3887" s="7">
        <f>DAY('data on outstanding creditors'!$B3887)</f>
        <v>30</v>
      </c>
      <c r="R3887" s="7">
        <f>MONTH('data on outstanding creditors'!$B3887)</f>
        <v>5</v>
      </c>
      <c r="S3887" s="7">
        <f>YEAR('data on outstanding creditors'!$B3887)</f>
        <v>2025</v>
      </c>
      <c r="T3887" s="11" t="str">
        <f>'data on outstanding creditors'!$C3887&amp;" "&amp;'data on outstanding creditors'!$D3887&amp;" "&amp;TEXT('data on outstanding creditors'!$E3887,"#,##0.00")</f>
        <v>บ.โฮมเด้นท์ กรุ๊ป IV0002456 58,000.00</v>
      </c>
      <c r="U3887" s="12"/>
    </row>
    <row r="3888" ht="13.5" customHeight="1">
      <c r="A3888" s="1" t="s">
        <v>6178</v>
      </c>
      <c r="B3888" s="2">
        <v>45812.0</v>
      </c>
      <c r="C3888" s="9" t="s">
        <v>1177</v>
      </c>
      <c r="D3888" s="1" t="s">
        <v>6179</v>
      </c>
      <c r="E3888" s="4">
        <v>43000.0</v>
      </c>
      <c r="F3888" s="4"/>
      <c r="G3888" s="4"/>
      <c r="H3888" s="4">
        <f>'data on outstanding creditors'!$E3888-'data on outstanding creditors'!$F3888-'data on outstanding creditors'!$G3888</f>
        <v>43000</v>
      </c>
      <c r="I3888" s="2"/>
      <c r="J3888" s="1" t="s">
        <v>646</v>
      </c>
      <c r="K3888" s="2">
        <v>45944.0</v>
      </c>
      <c r="L3888" s="5"/>
      <c r="M3888" s="9" t="s">
        <v>90</v>
      </c>
      <c r="N3888" s="9" t="s">
        <v>49</v>
      </c>
      <c r="O3888" s="10">
        <f>'data on outstanding creditors'!$E3888*100/107</f>
        <v>40186.91589</v>
      </c>
      <c r="P3888" s="10">
        <f>'data on outstanding creditors'!$E3888-'data on outstanding creditors'!$O3888</f>
        <v>2813.084112</v>
      </c>
      <c r="Q3888" s="7">
        <f>DAY('data on outstanding creditors'!$B3888)</f>
        <v>4</v>
      </c>
      <c r="R3888" s="7">
        <f>MONTH('data on outstanding creditors'!$B3888)</f>
        <v>6</v>
      </c>
      <c r="S3888" s="7">
        <f>YEAR('data on outstanding creditors'!$B3888)</f>
        <v>2025</v>
      </c>
      <c r="T3888" s="11" t="str">
        <f>'data on outstanding creditors'!$C3888&amp;" "&amp;'data on outstanding creditors'!$D3888&amp;" "&amp;TEXT('data on outstanding creditors'!$E3888,"#,##0.00")</f>
        <v>บ.ณรงค์ศักดิ์ครุภัณฑ์เวชภัณฑ์ 034/3439 43,000.00</v>
      </c>
      <c r="U3888" s="12"/>
    </row>
    <row r="3889" ht="13.5" customHeight="1">
      <c r="A3889" s="1" t="s">
        <v>6180</v>
      </c>
      <c r="B3889" s="2">
        <v>45812.0</v>
      </c>
      <c r="C3889" s="9" t="s">
        <v>1177</v>
      </c>
      <c r="D3889" s="1" t="s">
        <v>6181</v>
      </c>
      <c r="E3889" s="4">
        <v>106000.0</v>
      </c>
      <c r="F3889" s="4"/>
      <c r="G3889" s="4"/>
      <c r="H3889" s="4">
        <f>'data on outstanding creditors'!$E3889-'data on outstanding creditors'!$F3889-'data on outstanding creditors'!$G3889</f>
        <v>106000</v>
      </c>
      <c r="I3889" s="2"/>
      <c r="J3889" s="1" t="s">
        <v>646</v>
      </c>
      <c r="K3889" s="2">
        <v>45944.0</v>
      </c>
      <c r="L3889" s="5"/>
      <c r="M3889" s="9" t="s">
        <v>90</v>
      </c>
      <c r="N3889" s="9" t="s">
        <v>49</v>
      </c>
      <c r="O3889" s="10">
        <f>'data on outstanding creditors'!$E3889*100/107</f>
        <v>99065.42056</v>
      </c>
      <c r="P3889" s="10">
        <f>'data on outstanding creditors'!$E3889-'data on outstanding creditors'!$O3889</f>
        <v>6934.579439</v>
      </c>
      <c r="Q3889" s="7">
        <f>DAY('data on outstanding creditors'!$B3889)</f>
        <v>4</v>
      </c>
      <c r="R3889" s="7">
        <f>MONTH('data on outstanding creditors'!$B3889)</f>
        <v>6</v>
      </c>
      <c r="S3889" s="7">
        <f>YEAR('data on outstanding creditors'!$B3889)</f>
        <v>2025</v>
      </c>
      <c r="T3889" s="11" t="str">
        <f>'data on outstanding creditors'!$C3889&amp;" "&amp;'data on outstanding creditors'!$D3889&amp;" "&amp;TEXT('data on outstanding creditors'!$E3889,"#,##0.00")</f>
        <v>บ.ณรงค์ศักดิ์ครุภัณฑ์เวชภัณฑ์ 034/3440 106,000.00</v>
      </c>
      <c r="U3889" s="12"/>
    </row>
    <row r="3890" ht="13.5" customHeight="1">
      <c r="A3890" s="1" t="s">
        <v>6182</v>
      </c>
      <c r="B3890" s="2">
        <v>45826.0</v>
      </c>
      <c r="C3890" s="9" t="s">
        <v>2359</v>
      </c>
      <c r="D3890" s="1" t="s">
        <v>6183</v>
      </c>
      <c r="E3890" s="4">
        <v>18900.0</v>
      </c>
      <c r="F3890" s="4"/>
      <c r="G3890" s="4"/>
      <c r="H3890" s="4">
        <f>'data on outstanding creditors'!$E3890-'data on outstanding creditors'!$F3890-'data on outstanding creditors'!$G3890</f>
        <v>18900</v>
      </c>
      <c r="I3890" s="2"/>
      <c r="J3890" s="1" t="s">
        <v>646</v>
      </c>
      <c r="K3890" s="2">
        <v>45928.0</v>
      </c>
      <c r="L3890" s="5"/>
      <c r="M3890" s="9" t="s">
        <v>90</v>
      </c>
      <c r="N3890" s="9" t="s">
        <v>49</v>
      </c>
      <c r="O3890" s="10">
        <f>'data on outstanding creditors'!$E3890*100/107</f>
        <v>17663.5514</v>
      </c>
      <c r="P3890" s="10">
        <f>'data on outstanding creditors'!$E3890-'data on outstanding creditors'!$O3890</f>
        <v>1236.448598</v>
      </c>
      <c r="Q3890" s="7">
        <f>DAY('data on outstanding creditors'!$B3890)</f>
        <v>18</v>
      </c>
      <c r="R3890" s="7">
        <f>MONTH('data on outstanding creditors'!$B3890)</f>
        <v>6</v>
      </c>
      <c r="S3890" s="7">
        <f>YEAR('data on outstanding creditors'!$B3890)</f>
        <v>2025</v>
      </c>
      <c r="T3890" s="11" t="str">
        <f>'data on outstanding creditors'!$C3890&amp;" "&amp;'data on outstanding creditors'!$D3890&amp;" "&amp;TEXT('data on outstanding creditors'!$E3890,"#,##0.00")</f>
        <v>หจก.เอ แอนด์ ที เมดิคอลซายด์ B6803032 18,900.00</v>
      </c>
      <c r="U3890" s="12"/>
    </row>
    <row r="3891" ht="13.5" customHeight="1">
      <c r="A3891" s="1" t="s">
        <v>6184</v>
      </c>
      <c r="B3891" s="2">
        <v>45832.0</v>
      </c>
      <c r="C3891" s="9" t="s">
        <v>2275</v>
      </c>
      <c r="D3891" s="1" t="s">
        <v>6185</v>
      </c>
      <c r="E3891" s="4">
        <v>25000.0</v>
      </c>
      <c r="F3891" s="4"/>
      <c r="G3891" s="4"/>
      <c r="H3891" s="4">
        <f>'data on outstanding creditors'!$E3891-'data on outstanding creditors'!$F3891-'data on outstanding creditors'!$G3891</f>
        <v>25000</v>
      </c>
      <c r="I3891" s="2"/>
      <c r="J3891" s="1" t="s">
        <v>757</v>
      </c>
      <c r="K3891" s="2">
        <v>45890.0</v>
      </c>
      <c r="L3891" s="5"/>
      <c r="M3891" s="9" t="s">
        <v>90</v>
      </c>
      <c r="N3891" s="9" t="s">
        <v>49</v>
      </c>
      <c r="O3891" s="10">
        <f>'data on outstanding creditors'!$E3891*100/107</f>
        <v>23364.48598</v>
      </c>
      <c r="P3891" s="10">
        <f>'data on outstanding creditors'!$E3891-'data on outstanding creditors'!$O3891</f>
        <v>1635.514019</v>
      </c>
      <c r="Q3891" s="7">
        <f>DAY('data on outstanding creditors'!$B3891)</f>
        <v>24</v>
      </c>
      <c r="R3891" s="7">
        <f>MONTH('data on outstanding creditors'!$B3891)</f>
        <v>6</v>
      </c>
      <c r="S3891" s="7">
        <f>YEAR('data on outstanding creditors'!$B3891)</f>
        <v>2025</v>
      </c>
      <c r="T3891" s="11" t="str">
        <f>'data on outstanding creditors'!$C3891&amp;" "&amp;'data on outstanding creditors'!$D3891&amp;" "&amp;TEXT('data on outstanding creditors'!$E3891,"#,##0.00")</f>
        <v>บ.ยู.พี.เมดิคอล ซอลเตอร์ 681872 25,000.00</v>
      </c>
      <c r="U3891" s="12"/>
    </row>
    <row r="3892" ht="13.5" customHeight="1">
      <c r="A3892" s="1" t="s">
        <v>6186</v>
      </c>
      <c r="B3892" s="2">
        <v>45835.0</v>
      </c>
      <c r="C3892" s="9" t="s">
        <v>6187</v>
      </c>
      <c r="D3892" s="1" t="s">
        <v>6188</v>
      </c>
      <c r="E3892" s="4">
        <v>23000.0</v>
      </c>
      <c r="F3892" s="4"/>
      <c r="G3892" s="4"/>
      <c r="H3892" s="4">
        <f>'data on outstanding creditors'!$E3892-'data on outstanding creditors'!$F3892-'data on outstanding creditors'!$G3892</f>
        <v>23000</v>
      </c>
      <c r="I3892" s="2"/>
      <c r="J3892" s="1" t="s">
        <v>757</v>
      </c>
      <c r="K3892" s="2">
        <v>45904.0</v>
      </c>
      <c r="L3892" s="5"/>
      <c r="M3892" s="9" t="s">
        <v>90</v>
      </c>
      <c r="N3892" s="9" t="s">
        <v>49</v>
      </c>
      <c r="O3892" s="10">
        <f>'data on outstanding creditors'!$E3892*100/107</f>
        <v>21495.3271</v>
      </c>
      <c r="P3892" s="10">
        <f>'data on outstanding creditors'!$E3892-'data on outstanding creditors'!$O3892</f>
        <v>1504.672897</v>
      </c>
      <c r="Q3892" s="7">
        <f>DAY('data on outstanding creditors'!$B3892)</f>
        <v>27</v>
      </c>
      <c r="R3892" s="7">
        <f>MONTH('data on outstanding creditors'!$B3892)</f>
        <v>6</v>
      </c>
      <c r="S3892" s="7">
        <f>YEAR('data on outstanding creditors'!$B3892)</f>
        <v>2025</v>
      </c>
      <c r="T3892" s="11" t="str">
        <f>'data on outstanding creditors'!$C3892&amp;" "&amp;'data on outstanding creditors'!$D3892&amp;" "&amp;TEXT('data on outstanding creditors'!$E3892,"#,##0.00")</f>
        <v>บ.ออล อินทิเกรชั่น ซัพพลาย B.6806/011 23,000.00</v>
      </c>
      <c r="U3892" s="12"/>
    </row>
    <row r="3893" ht="13.5" customHeight="1">
      <c r="A3893" s="1" t="s">
        <v>6189</v>
      </c>
      <c r="B3893" s="2">
        <v>45839.0</v>
      </c>
      <c r="C3893" s="9" t="s">
        <v>6190</v>
      </c>
      <c r="D3893" s="1" t="s">
        <v>6191</v>
      </c>
      <c r="E3893" s="4">
        <v>180000.0</v>
      </c>
      <c r="F3893" s="4"/>
      <c r="G3893" s="4"/>
      <c r="H3893" s="4">
        <f>'data on outstanding creditors'!$E3893-'data on outstanding creditors'!$F3893-'data on outstanding creditors'!$G3893</f>
        <v>180000</v>
      </c>
      <c r="I3893" s="2"/>
      <c r="J3893" s="1" t="s">
        <v>646</v>
      </c>
      <c r="K3893" s="2">
        <v>45928.0</v>
      </c>
      <c r="L3893" s="5"/>
      <c r="M3893" s="9" t="s">
        <v>90</v>
      </c>
      <c r="N3893" s="9" t="s">
        <v>49</v>
      </c>
      <c r="O3893" s="10">
        <f>'data on outstanding creditors'!$E3893*100/107</f>
        <v>168224.2991</v>
      </c>
      <c r="P3893" s="10">
        <f>'data on outstanding creditors'!$E3893-'data on outstanding creditors'!$O3893</f>
        <v>11775.70093</v>
      </c>
      <c r="Q3893" s="7">
        <f>DAY('data on outstanding creditors'!$B3893)</f>
        <v>1</v>
      </c>
      <c r="R3893" s="7">
        <f>MONTH('data on outstanding creditors'!$B3893)</f>
        <v>7</v>
      </c>
      <c r="S3893" s="7">
        <f>YEAR('data on outstanding creditors'!$B3893)</f>
        <v>2025</v>
      </c>
      <c r="T3893" s="11" t="str">
        <f>'data on outstanding creditors'!$C3893&amp;" "&amp;'data on outstanding creditors'!$D3893&amp;" "&amp;TEXT('data on outstanding creditors'!$E3893,"#,##0.00")</f>
        <v>C&amp;K Business Development IV2506-005 180,000.00</v>
      </c>
      <c r="U3893" s="12"/>
    </row>
    <row r="3894" ht="13.5" customHeight="1">
      <c r="A3894" s="1" t="s">
        <v>6192</v>
      </c>
      <c r="B3894" s="2">
        <v>45841.0</v>
      </c>
      <c r="C3894" s="9" t="s">
        <v>6193</v>
      </c>
      <c r="D3894" s="1" t="s">
        <v>6194</v>
      </c>
      <c r="E3894" s="4">
        <v>55640.0</v>
      </c>
      <c r="F3894" s="4"/>
      <c r="G3894" s="4"/>
      <c r="H3894" s="4">
        <f>'data on outstanding creditors'!$E3894-'data on outstanding creditors'!$F3894-'data on outstanding creditors'!$G3894</f>
        <v>55640</v>
      </c>
      <c r="I3894" s="2"/>
      <c r="J3894" s="1" t="s">
        <v>646</v>
      </c>
      <c r="K3894" s="2">
        <v>45889.0</v>
      </c>
      <c r="L3894" s="5"/>
      <c r="M3894" s="9" t="s">
        <v>90</v>
      </c>
      <c r="N3894" s="9" t="s">
        <v>49</v>
      </c>
      <c r="O3894" s="10">
        <f>'data on outstanding creditors'!$E3894*100/107</f>
        <v>52000</v>
      </c>
      <c r="P3894" s="10">
        <f>'data on outstanding creditors'!$E3894-'data on outstanding creditors'!$O3894</f>
        <v>3640</v>
      </c>
      <c r="Q3894" s="7">
        <f>DAY('data on outstanding creditors'!$B3894)</f>
        <v>3</v>
      </c>
      <c r="R3894" s="7">
        <f>MONTH('data on outstanding creditors'!$B3894)</f>
        <v>7</v>
      </c>
      <c r="S3894" s="7">
        <f>YEAR('data on outstanding creditors'!$B3894)</f>
        <v>2025</v>
      </c>
      <c r="T3894" s="11" t="str">
        <f>'data on outstanding creditors'!$C3894&amp;" "&amp;'data on outstanding creditors'!$D3894&amp;" "&amp;TEXT('data on outstanding creditors'!$E3894,"#,##0.00")</f>
        <v>บ.เลอ นีซ IV000243 55,640.00</v>
      </c>
      <c r="U3894" s="12"/>
    </row>
    <row r="3895" ht="13.5" customHeight="1">
      <c r="A3895" s="1" t="s">
        <v>6195</v>
      </c>
      <c r="B3895" s="2">
        <v>45847.0</v>
      </c>
      <c r="C3895" s="9" t="s">
        <v>2702</v>
      </c>
      <c r="D3895" s="1" t="s">
        <v>6196</v>
      </c>
      <c r="E3895" s="4">
        <v>39900.0</v>
      </c>
      <c r="F3895" s="4"/>
      <c r="G3895" s="4"/>
      <c r="H3895" s="4">
        <f>'data on outstanding creditors'!$E3895-'data on outstanding creditors'!$F3895-'data on outstanding creditors'!$G3895</f>
        <v>39900</v>
      </c>
      <c r="I3895" s="2"/>
      <c r="J3895" s="1" t="s">
        <v>646</v>
      </c>
      <c r="K3895" s="2">
        <v>45944.0</v>
      </c>
      <c r="L3895" s="5"/>
      <c r="M3895" s="9" t="s">
        <v>90</v>
      </c>
      <c r="N3895" s="9" t="s">
        <v>49</v>
      </c>
      <c r="O3895" s="10">
        <f>'data on outstanding creditors'!$E3895*100/107</f>
        <v>37289.71963</v>
      </c>
      <c r="P3895" s="10">
        <f>'data on outstanding creditors'!$E3895-'data on outstanding creditors'!$O3895</f>
        <v>2610.280374</v>
      </c>
      <c r="Q3895" s="7">
        <f>DAY('data on outstanding creditors'!$B3895)</f>
        <v>9</v>
      </c>
      <c r="R3895" s="7">
        <f>MONTH('data on outstanding creditors'!$B3895)</f>
        <v>7</v>
      </c>
      <c r="S3895" s="7">
        <f>YEAR('data on outstanding creditors'!$B3895)</f>
        <v>2025</v>
      </c>
      <c r="T3895" s="11" t="str">
        <f>'data on outstanding creditors'!$C3895&amp;" "&amp;'data on outstanding creditors'!$D3895&amp;" "&amp;TEXT('data on outstanding creditors'!$E3895,"#,##0.00")</f>
        <v>บ.กรุงเทพครุภัณฑ์เวชภัณฑ์ 2568/0669 39,900.00</v>
      </c>
      <c r="U3895" s="12"/>
    </row>
    <row r="3896" ht="13.5" customHeight="1">
      <c r="A3896" s="1" t="s">
        <v>6197</v>
      </c>
      <c r="B3896" s="2">
        <v>45847.0</v>
      </c>
      <c r="C3896" s="9" t="s">
        <v>4809</v>
      </c>
      <c r="D3896" s="1" t="s">
        <v>6198</v>
      </c>
      <c r="E3896" s="4">
        <v>37000.0</v>
      </c>
      <c r="F3896" s="4"/>
      <c r="G3896" s="4"/>
      <c r="H3896" s="4">
        <f>'data on outstanding creditors'!$E3896-'data on outstanding creditors'!$F3896-'data on outstanding creditors'!$G3896</f>
        <v>37000</v>
      </c>
      <c r="I3896" s="2"/>
      <c r="J3896" s="1" t="s">
        <v>757</v>
      </c>
      <c r="K3896" s="2">
        <v>45911.0</v>
      </c>
      <c r="L3896" s="5"/>
      <c r="M3896" s="9" t="s">
        <v>90</v>
      </c>
      <c r="N3896" s="9" t="s">
        <v>49</v>
      </c>
      <c r="O3896" s="10">
        <f>'data on outstanding creditors'!$E3896*100/107</f>
        <v>34579.43925</v>
      </c>
      <c r="P3896" s="10">
        <f>'data on outstanding creditors'!$E3896-'data on outstanding creditors'!$O3896</f>
        <v>2420.560748</v>
      </c>
      <c r="Q3896" s="7">
        <f>DAY('data on outstanding creditors'!$B3896)</f>
        <v>9</v>
      </c>
      <c r="R3896" s="7">
        <f>MONTH('data on outstanding creditors'!$B3896)</f>
        <v>7</v>
      </c>
      <c r="S3896" s="7">
        <f>YEAR('data on outstanding creditors'!$B3896)</f>
        <v>2025</v>
      </c>
      <c r="T3896" s="11" t="str">
        <f>'data on outstanding creditors'!$C3896&amp;" "&amp;'data on outstanding creditors'!$D3896&amp;" "&amp;TEXT('data on outstanding creditors'!$E3896,"#,##0.00")</f>
        <v>หจก.เซี่ยงไฮ้ทันตภัณฑ์ BB256807/00035 37,000.00</v>
      </c>
      <c r="U3896" s="12"/>
    </row>
    <row r="3897" ht="13.5" customHeight="1">
      <c r="A3897" s="1" t="s">
        <v>6199</v>
      </c>
      <c r="B3897" s="2">
        <v>45868.0</v>
      </c>
      <c r="C3897" s="9" t="s">
        <v>4631</v>
      </c>
      <c r="D3897" s="1" t="s">
        <v>6200</v>
      </c>
      <c r="E3897" s="4">
        <v>52965.0</v>
      </c>
      <c r="F3897" s="4"/>
      <c r="G3897" s="4"/>
      <c r="H3897" s="4">
        <f>'data on outstanding creditors'!$E3897-'data on outstanding creditors'!$F3897-'data on outstanding creditors'!$G3897</f>
        <v>52965</v>
      </c>
      <c r="I3897" s="2"/>
      <c r="J3897" s="1" t="s">
        <v>646</v>
      </c>
      <c r="K3897" s="2">
        <v>45928.0</v>
      </c>
      <c r="L3897" s="5"/>
      <c r="M3897" s="9" t="s">
        <v>90</v>
      </c>
      <c r="N3897" s="9" t="s">
        <v>49</v>
      </c>
      <c r="O3897" s="10">
        <f>'data on outstanding creditors'!$E3897*100/107</f>
        <v>49500</v>
      </c>
      <c r="P3897" s="10">
        <f>'data on outstanding creditors'!$E3897-'data on outstanding creditors'!$O3897</f>
        <v>3465</v>
      </c>
      <c r="Q3897" s="7">
        <f>DAY('data on outstanding creditors'!$B3897)</f>
        <v>30</v>
      </c>
      <c r="R3897" s="7">
        <f>MONTH('data on outstanding creditors'!$B3897)</f>
        <v>7</v>
      </c>
      <c r="S3897" s="7">
        <f>YEAR('data on outstanding creditors'!$B3897)</f>
        <v>2025</v>
      </c>
      <c r="T3897" s="11" t="str">
        <f>'data on outstanding creditors'!$C3897&amp;" "&amp;'data on outstanding creditors'!$D3897&amp;" "&amp;TEXT('data on outstanding creditors'!$E3897,"#,##0.00")</f>
        <v>บ.นำวิวัฒน์การช่าง(1992) SIV250500687 52,965.00</v>
      </c>
      <c r="U3897" s="12"/>
    </row>
    <row r="3898" ht="13.5" customHeight="1">
      <c r="A3898" s="1" t="s">
        <v>6201</v>
      </c>
      <c r="B3898" s="2">
        <v>45875.0</v>
      </c>
      <c r="C3898" s="9" t="s">
        <v>3614</v>
      </c>
      <c r="D3898" s="1" t="s">
        <v>6202</v>
      </c>
      <c r="E3898" s="4">
        <v>21500.0</v>
      </c>
      <c r="F3898" s="4"/>
      <c r="G3898" s="4"/>
      <c r="H3898" s="4">
        <f>'data on outstanding creditors'!$E3898-'data on outstanding creditors'!$F3898-'data on outstanding creditors'!$G3898</f>
        <v>21500</v>
      </c>
      <c r="I3898" s="2"/>
      <c r="J3898" s="1" t="s">
        <v>757</v>
      </c>
      <c r="K3898" s="2">
        <v>45935.0</v>
      </c>
      <c r="L3898" s="5"/>
      <c r="M3898" s="9" t="s">
        <v>90</v>
      </c>
      <c r="N3898" s="9" t="s">
        <v>49</v>
      </c>
      <c r="O3898" s="10">
        <f>'data on outstanding creditors'!$E3898*100/107</f>
        <v>20093.45794</v>
      </c>
      <c r="P3898" s="10">
        <f>'data on outstanding creditors'!$E3898-'data on outstanding creditors'!$O3898</f>
        <v>1406.542056</v>
      </c>
      <c r="Q3898" s="7">
        <f>DAY('data on outstanding creditors'!$B3898)</f>
        <v>6</v>
      </c>
      <c r="R3898" s="7">
        <f>MONTH('data on outstanding creditors'!$B3898)</f>
        <v>8</v>
      </c>
      <c r="S3898" s="7">
        <f>YEAR('data on outstanding creditors'!$B3898)</f>
        <v>2025</v>
      </c>
      <c r="T3898" s="11" t="str">
        <f>'data on outstanding creditors'!$C3898&amp;" "&amp;'data on outstanding creditors'!$D3898&amp;" "&amp;TEXT('data on outstanding creditors'!$E3898,"#,##0.00")</f>
        <v>บ.อัมรินทร์ เมดิคอล 6808/004 21,500.00</v>
      </c>
      <c r="U3898" s="12"/>
    </row>
    <row r="3899" ht="13.5" customHeight="1">
      <c r="A3899" s="1" t="s">
        <v>6203</v>
      </c>
      <c r="B3899" s="2">
        <v>45909.0</v>
      </c>
      <c r="C3899" s="9" t="s">
        <v>1177</v>
      </c>
      <c r="D3899" s="1" t="s">
        <v>6204</v>
      </c>
      <c r="E3899" s="4">
        <v>178000.0</v>
      </c>
      <c r="F3899" s="4"/>
      <c r="G3899" s="4"/>
      <c r="H3899" s="4">
        <f>'data on outstanding creditors'!$E3899-'data on outstanding creditors'!$F3899-'data on outstanding creditors'!$G3899</f>
        <v>178000</v>
      </c>
      <c r="I3899" s="2"/>
      <c r="J3899" s="1" t="s">
        <v>757</v>
      </c>
      <c r="K3899" s="2">
        <v>45940.0</v>
      </c>
      <c r="L3899" s="5"/>
      <c r="M3899" s="9" t="s">
        <v>90</v>
      </c>
      <c r="N3899" s="9" t="s">
        <v>49</v>
      </c>
      <c r="O3899" s="10">
        <f>'data on outstanding creditors'!$E3899*100/107</f>
        <v>166355.1402</v>
      </c>
      <c r="P3899" s="10">
        <f>'data on outstanding creditors'!$E3899-'data on outstanding creditors'!$O3899</f>
        <v>11644.85981</v>
      </c>
      <c r="Q3899" s="7">
        <f>DAY('data on outstanding creditors'!$B3899)</f>
        <v>9</v>
      </c>
      <c r="R3899" s="7">
        <f>MONTH('data on outstanding creditors'!$B3899)</f>
        <v>9</v>
      </c>
      <c r="S3899" s="7">
        <f>YEAR('data on outstanding creditors'!$B3899)</f>
        <v>2025</v>
      </c>
      <c r="T3899" s="11" t="str">
        <f>'data on outstanding creditors'!$C3899&amp;" "&amp;'data on outstanding creditors'!$D3899&amp;" "&amp;TEXT('data on outstanding creditors'!$E3899,"#,##0.00")</f>
        <v>บ.ณรงค์ศักดิ์ครุภัณฑ์เวชภัณฑ์ 035/3559 178,000.00</v>
      </c>
      <c r="U3899" s="12"/>
    </row>
    <row r="3900" ht="13.5" customHeight="1">
      <c r="A3900" s="1" t="s">
        <v>6205</v>
      </c>
      <c r="B3900" s="2">
        <v>45916.0</v>
      </c>
      <c r="C3900" s="9" t="s">
        <v>3808</v>
      </c>
      <c r="D3900" s="1" t="s">
        <v>6206</v>
      </c>
      <c r="E3900" s="4">
        <v>150000.0</v>
      </c>
      <c r="F3900" s="4"/>
      <c r="G3900" s="4"/>
      <c r="H3900" s="4">
        <f>'data on outstanding creditors'!$E3900-'data on outstanding creditors'!$F3900-'data on outstanding creditors'!$G3900</f>
        <v>150000</v>
      </c>
      <c r="I3900" s="2"/>
      <c r="J3900" s="1" t="s">
        <v>757</v>
      </c>
      <c r="K3900" s="2">
        <v>45967.0</v>
      </c>
      <c r="L3900" s="5"/>
      <c r="M3900" s="9" t="s">
        <v>90</v>
      </c>
      <c r="N3900" s="9" t="s">
        <v>49</v>
      </c>
      <c r="O3900" s="10">
        <f>'data on outstanding creditors'!$E3900*100/107</f>
        <v>140186.9159</v>
      </c>
      <c r="P3900" s="10">
        <f>'data on outstanding creditors'!$E3900-'data on outstanding creditors'!$O3900</f>
        <v>9813.084112</v>
      </c>
      <c r="Q3900" s="7">
        <f>DAY('data on outstanding creditors'!$B3900)</f>
        <v>16</v>
      </c>
      <c r="R3900" s="7">
        <f>MONTH('data on outstanding creditors'!$B3900)</f>
        <v>9</v>
      </c>
      <c r="S3900" s="7">
        <f>YEAR('data on outstanding creditors'!$B3900)</f>
        <v>2025</v>
      </c>
      <c r="T3900" s="11" t="str">
        <f>'data on outstanding creditors'!$C3900&amp;" "&amp;'data on outstanding creditors'!$D3900&amp;" "&amp;TEXT('data on outstanding creditors'!$E3900,"#,##0.00")</f>
        <v>บ.เกท์ทิงเก (ไทยแลนด์) 25090276 150,000.00</v>
      </c>
      <c r="U3900" s="12"/>
    </row>
    <row r="3901" ht="13.5" customHeight="1">
      <c r="A3901" s="1" t="s">
        <v>6207</v>
      </c>
      <c r="B3901" s="2">
        <v>45929.0</v>
      </c>
      <c r="C3901" s="9" t="s">
        <v>6208</v>
      </c>
      <c r="D3901" s="1" t="s">
        <v>6209</v>
      </c>
      <c r="E3901" s="4">
        <v>23000.0</v>
      </c>
      <c r="F3901" s="4"/>
      <c r="G3901" s="4"/>
      <c r="H3901" s="4">
        <f>'data on outstanding creditors'!$E3901-'data on outstanding creditors'!$F3901-'data on outstanding creditors'!$G3901</f>
        <v>23000</v>
      </c>
      <c r="I3901" s="2"/>
      <c r="J3901" s="1" t="s">
        <v>757</v>
      </c>
      <c r="K3901" s="2">
        <v>45967.0</v>
      </c>
      <c r="L3901" s="5"/>
      <c r="M3901" s="9" t="s">
        <v>90</v>
      </c>
      <c r="N3901" s="9" t="s">
        <v>49</v>
      </c>
      <c r="O3901" s="10">
        <f>'data on outstanding creditors'!$E3901*100/107</f>
        <v>21495.3271</v>
      </c>
      <c r="P3901" s="10">
        <f>'data on outstanding creditors'!$E3901-'data on outstanding creditors'!$O3901</f>
        <v>1504.672897</v>
      </c>
      <c r="Q3901" s="7">
        <f>DAY('data on outstanding creditors'!$B3901)</f>
        <v>29</v>
      </c>
      <c r="R3901" s="7">
        <f>MONTH('data on outstanding creditors'!$B3901)</f>
        <v>9</v>
      </c>
      <c r="S3901" s="7">
        <f>YEAR('data on outstanding creditors'!$B3901)</f>
        <v>2025</v>
      </c>
      <c r="T3901" s="11" t="str">
        <f>'data on outstanding creditors'!$C3901&amp;" "&amp;'data on outstanding creditors'!$D3901&amp;" "&amp;TEXT('data on outstanding creditors'!$E3901,"#,##0.00")</f>
        <v>บ.ธนินท์ธร มาร์เก็ตติ้ง แอนด์ ซัพพลาย IV2508173 23,000.00</v>
      </c>
      <c r="U3901" s="12"/>
    </row>
    <row r="3902" ht="13.5" customHeight="1">
      <c r="A3902" s="1"/>
      <c r="B3902" s="2">
        <v>45950.0</v>
      </c>
      <c r="C3902" s="9" t="s">
        <v>2646</v>
      </c>
      <c r="D3902" s="1" t="s">
        <v>6210</v>
      </c>
      <c r="E3902" s="4">
        <v>929000.0</v>
      </c>
      <c r="F3902" s="4"/>
      <c r="G3902" s="4"/>
      <c r="H3902" s="4">
        <f>'data on outstanding creditors'!$E3902-'data on outstanding creditors'!$F3902-'data on outstanding creditors'!$G3902</f>
        <v>929000</v>
      </c>
      <c r="I3902" s="2"/>
      <c r="J3902" s="1"/>
      <c r="K3902" s="2"/>
      <c r="L3902" s="5"/>
      <c r="M3902" s="9" t="s">
        <v>90</v>
      </c>
      <c r="N3902" s="9" t="s">
        <v>49</v>
      </c>
      <c r="O3902" s="10">
        <f>'data on outstanding creditors'!$E3902*100/107</f>
        <v>868224.2991</v>
      </c>
      <c r="P3902" s="10">
        <f>'data on outstanding creditors'!$E3902-'data on outstanding creditors'!$O3902</f>
        <v>60775.70093</v>
      </c>
      <c r="Q3902" s="7">
        <f>DAY('data on outstanding creditors'!$B3902)</f>
        <v>20</v>
      </c>
      <c r="R3902" s="7">
        <f>MONTH('data on outstanding creditors'!$B3902)</f>
        <v>10</v>
      </c>
      <c r="S3902" s="7">
        <f>YEAR('data on outstanding creditors'!$B3902)</f>
        <v>2025</v>
      </c>
      <c r="T3902" s="11" t="str">
        <f>'data on outstanding creditors'!$C3902&amp;" "&amp;'data on outstanding creditors'!$D3902&amp;" "&amp;TEXT('data on outstanding creditors'!$E3902,"#,##0.00")</f>
        <v>บ.ไอดีเอส เมดิคอล ซิสเต็มส์(ประเทศไทย) UG90035768 929,000.00</v>
      </c>
      <c r="U3902" s="12"/>
    </row>
    <row r="3903" ht="13.5" customHeight="1">
      <c r="A3903" s="1" t="s">
        <v>6211</v>
      </c>
      <c r="B3903" s="2">
        <v>45926.0</v>
      </c>
      <c r="C3903" s="9" t="s">
        <v>1125</v>
      </c>
      <c r="D3903" s="1" t="s">
        <v>6212</v>
      </c>
      <c r="E3903" s="4">
        <v>26000.0</v>
      </c>
      <c r="F3903" s="4"/>
      <c r="G3903" s="4"/>
      <c r="H3903" s="4">
        <f>'data on outstanding creditors'!$E3903-'data on outstanding creditors'!$F3903-'data on outstanding creditors'!$G3903</f>
        <v>26000</v>
      </c>
      <c r="I3903" s="2"/>
      <c r="J3903" s="1"/>
      <c r="K3903" s="2"/>
      <c r="L3903" s="5"/>
      <c r="M3903" s="9" t="s">
        <v>6213</v>
      </c>
      <c r="N3903" s="9" t="s">
        <v>49</v>
      </c>
      <c r="O3903" s="10">
        <f>'data on outstanding creditors'!$E3903*100/107</f>
        <v>24299.06542</v>
      </c>
      <c r="P3903" s="10">
        <f>'data on outstanding creditors'!$E3903-'data on outstanding creditors'!$O3903</f>
        <v>1700.934579</v>
      </c>
      <c r="Q3903" s="7">
        <f>DAY('data on outstanding creditors'!$B3903)</f>
        <v>26</v>
      </c>
      <c r="R3903" s="7">
        <f>MONTH('data on outstanding creditors'!$B3903)</f>
        <v>9</v>
      </c>
      <c r="S3903" s="7">
        <f>YEAR('data on outstanding creditors'!$B3903)</f>
        <v>2025</v>
      </c>
      <c r="T3903" s="11" t="str">
        <f>'data on outstanding creditors'!$C3903&amp;" "&amp;'data on outstanding creditors'!$D3903&amp;" "&amp;TEXT('data on outstanding creditors'!$E3903,"#,##0.00")</f>
        <v>หจก.เอ็นบี ซัพพลาย เอ็นจิเนียริ่ง(ประเทศไทย) INV2025090010 26,000.00</v>
      </c>
      <c r="U3903" s="12"/>
    </row>
    <row r="3904" ht="13.5" customHeight="1">
      <c r="A3904" s="1"/>
      <c r="B3904" s="2">
        <v>45938.0</v>
      </c>
      <c r="C3904" s="9" t="s">
        <v>3722</v>
      </c>
      <c r="D3904" s="1" t="s">
        <v>6214</v>
      </c>
      <c r="E3904" s="4">
        <v>1598000.0</v>
      </c>
      <c r="F3904" s="4"/>
      <c r="G3904" s="4"/>
      <c r="H3904" s="4">
        <f>'data on outstanding creditors'!$E3904-'data on outstanding creditors'!$F3904-'data on outstanding creditors'!$G3904</f>
        <v>1598000</v>
      </c>
      <c r="I3904" s="2"/>
      <c r="J3904" s="1" t="s">
        <v>646</v>
      </c>
      <c r="K3904" s="2">
        <v>45964.0</v>
      </c>
      <c r="L3904" s="5"/>
      <c r="M3904" s="9" t="s">
        <v>433</v>
      </c>
      <c r="N3904" s="9" t="s">
        <v>49</v>
      </c>
      <c r="O3904" s="10">
        <f>'data on outstanding creditors'!$E3904*100/107</f>
        <v>1493457.944</v>
      </c>
      <c r="P3904" s="10">
        <f>'data on outstanding creditors'!$E3904-'data on outstanding creditors'!$O3904</f>
        <v>104542.0561</v>
      </c>
      <c r="Q3904" s="7">
        <f>DAY('data on outstanding creditors'!$B3904)</f>
        <v>8</v>
      </c>
      <c r="R3904" s="7">
        <f>MONTH('data on outstanding creditors'!$B3904)</f>
        <v>10</v>
      </c>
      <c r="S3904" s="7">
        <f>YEAR('data on outstanding creditors'!$B3904)</f>
        <v>2025</v>
      </c>
      <c r="T3904" s="11" t="str">
        <f>'data on outstanding creditors'!$C3904&amp;" "&amp;'data on outstanding creditors'!$D3904&amp;" "&amp;TEXT('data on outstanding creditors'!$E3904,"#,##0.00")</f>
        <v>บ.บีลีฟ วินน์ B6810-006 1,598,000.00</v>
      </c>
      <c r="U3904" s="12"/>
    </row>
    <row r="3905" ht="13.5" customHeight="1">
      <c r="A3905" s="1"/>
      <c r="B3905" s="2">
        <v>45939.0</v>
      </c>
      <c r="C3905" s="9" t="s">
        <v>3867</v>
      </c>
      <c r="D3905" s="1" t="s">
        <v>6215</v>
      </c>
      <c r="E3905" s="4">
        <v>1195000.0</v>
      </c>
      <c r="F3905" s="4"/>
      <c r="G3905" s="4"/>
      <c r="H3905" s="4">
        <f>'data on outstanding creditors'!$E3905-'data on outstanding creditors'!$F3905-'data on outstanding creditors'!$G3905</f>
        <v>1195000</v>
      </c>
      <c r="I3905" s="2"/>
      <c r="J3905" s="1" t="s">
        <v>646</v>
      </c>
      <c r="K3905" s="2">
        <v>45964.0</v>
      </c>
      <c r="L3905" s="5"/>
      <c r="M3905" s="9" t="s">
        <v>433</v>
      </c>
      <c r="N3905" s="9" t="s">
        <v>49</v>
      </c>
      <c r="O3905" s="10">
        <f>'data on outstanding creditors'!$E3905*100/107</f>
        <v>1116822.43</v>
      </c>
      <c r="P3905" s="10">
        <f>'data on outstanding creditors'!$E3905-'data on outstanding creditors'!$O3905</f>
        <v>78177.57009</v>
      </c>
      <c r="Q3905" s="7">
        <f>DAY('data on outstanding creditors'!$B3905)</f>
        <v>9</v>
      </c>
      <c r="R3905" s="7">
        <f>MONTH('data on outstanding creditors'!$B3905)</f>
        <v>10</v>
      </c>
      <c r="S3905" s="7">
        <f>YEAR('data on outstanding creditors'!$B3905)</f>
        <v>2025</v>
      </c>
      <c r="T3905" s="11" t="str">
        <f>'data on outstanding creditors'!$C3905&amp;" "&amp;'data on outstanding creditors'!$D3905&amp;" "&amp;TEXT('data on outstanding creditors'!$E3905,"#,##0.00")</f>
        <v>บ.ไทย วอเตอร์ เจนเนอเรชั่น TWG6810010 1,195,000.00</v>
      </c>
      <c r="U3905" s="12"/>
    </row>
    <row r="3906" ht="13.5" customHeight="1">
      <c r="A3906" s="1"/>
      <c r="B3906" s="2">
        <v>45945.0</v>
      </c>
      <c r="C3906" s="9" t="s">
        <v>6216</v>
      </c>
      <c r="D3906" s="1" t="s">
        <v>6217</v>
      </c>
      <c r="E3906" s="4">
        <v>250000.0</v>
      </c>
      <c r="F3906" s="4"/>
      <c r="G3906" s="4"/>
      <c r="H3906" s="4">
        <f>'data on outstanding creditors'!$E3906-'data on outstanding creditors'!$F3906-'data on outstanding creditors'!$G3906</f>
        <v>250000</v>
      </c>
      <c r="I3906" s="2"/>
      <c r="J3906" s="1"/>
      <c r="K3906" s="2"/>
      <c r="L3906" s="5"/>
      <c r="M3906" s="9" t="s">
        <v>433</v>
      </c>
      <c r="N3906" s="9" t="s">
        <v>49</v>
      </c>
      <c r="O3906" s="10">
        <f>'data on outstanding creditors'!$E3906*100/107</f>
        <v>233644.8598</v>
      </c>
      <c r="P3906" s="10">
        <f>'data on outstanding creditors'!$E3906-'data on outstanding creditors'!$O3906</f>
        <v>16355.14019</v>
      </c>
      <c r="Q3906" s="7">
        <f>DAY('data on outstanding creditors'!$B3906)</f>
        <v>15</v>
      </c>
      <c r="R3906" s="7">
        <f>MONTH('data on outstanding creditors'!$B3906)</f>
        <v>10</v>
      </c>
      <c r="S3906" s="7">
        <f>YEAR('data on outstanding creditors'!$B3906)</f>
        <v>2025</v>
      </c>
      <c r="T3906" s="11" t="str">
        <f>'data on outstanding creditors'!$C3906&amp;" "&amp;'data on outstanding creditors'!$D3906&amp;" "&amp;TEXT('data on outstanding creditors'!$E3906,"#,##0.00")</f>
        <v>บ.เอ.เอส.ที.เมดิคอล ซัพพลาย (ไทยแลนด์) IV6810030 250,000.00</v>
      </c>
      <c r="U3906" s="12"/>
    </row>
    <row r="3907" ht="13.5" customHeight="1">
      <c r="A3907" s="1"/>
      <c r="B3907" s="2">
        <v>45945.0</v>
      </c>
      <c r="C3907" s="9" t="s">
        <v>6216</v>
      </c>
      <c r="D3907" s="1" t="s">
        <v>6218</v>
      </c>
      <c r="E3907" s="4">
        <v>250000.0</v>
      </c>
      <c r="F3907" s="4"/>
      <c r="G3907" s="4"/>
      <c r="H3907" s="4">
        <f>'data on outstanding creditors'!$E3907-'data on outstanding creditors'!$F3907-'data on outstanding creditors'!$G3907</f>
        <v>250000</v>
      </c>
      <c r="I3907" s="2"/>
      <c r="J3907" s="1"/>
      <c r="K3907" s="2"/>
      <c r="L3907" s="5"/>
      <c r="M3907" s="9" t="s">
        <v>433</v>
      </c>
      <c r="N3907" s="9" t="s">
        <v>49</v>
      </c>
      <c r="O3907" s="10">
        <f>'data on outstanding creditors'!$E3907*100/107</f>
        <v>233644.8598</v>
      </c>
      <c r="P3907" s="10">
        <f>'data on outstanding creditors'!$E3907-'data on outstanding creditors'!$O3907</f>
        <v>16355.14019</v>
      </c>
      <c r="Q3907" s="7">
        <f>DAY('data on outstanding creditors'!$B3907)</f>
        <v>15</v>
      </c>
      <c r="R3907" s="7">
        <f>MONTH('data on outstanding creditors'!$B3907)</f>
        <v>10</v>
      </c>
      <c r="S3907" s="7">
        <f>YEAR('data on outstanding creditors'!$B3907)</f>
        <v>2025</v>
      </c>
      <c r="T3907" s="11" t="str">
        <f>'data on outstanding creditors'!$C3907&amp;" "&amp;'data on outstanding creditors'!$D3907&amp;" "&amp;TEXT('data on outstanding creditors'!$E3907,"#,##0.00")</f>
        <v>บ.เอ.เอส.ที.เมดิคอล ซัพพลาย (ไทยแลนด์) IV6810029 250,000.00</v>
      </c>
      <c r="U3907" s="12"/>
    </row>
    <row r="3908" ht="13.5" customHeight="1">
      <c r="A3908" s="1"/>
      <c r="B3908" s="2">
        <v>45945.0</v>
      </c>
      <c r="C3908" s="9" t="s">
        <v>6216</v>
      </c>
      <c r="D3908" s="1" t="s">
        <v>6219</v>
      </c>
      <c r="E3908" s="4">
        <v>300000.0</v>
      </c>
      <c r="F3908" s="4"/>
      <c r="G3908" s="4"/>
      <c r="H3908" s="4">
        <f>'data on outstanding creditors'!$E3908-'data on outstanding creditors'!$F3908-'data on outstanding creditors'!$G3908</f>
        <v>300000</v>
      </c>
      <c r="I3908" s="2"/>
      <c r="J3908" s="1"/>
      <c r="K3908" s="2"/>
      <c r="L3908" s="5"/>
      <c r="M3908" s="9" t="s">
        <v>433</v>
      </c>
      <c r="N3908" s="9" t="s">
        <v>49</v>
      </c>
      <c r="O3908" s="10">
        <f>'data on outstanding creditors'!$E3908*100/107</f>
        <v>280373.8318</v>
      </c>
      <c r="P3908" s="10">
        <f>'data on outstanding creditors'!$E3908-'data on outstanding creditors'!$O3908</f>
        <v>19626.16822</v>
      </c>
      <c r="Q3908" s="7">
        <f>DAY('data on outstanding creditors'!$B3908)</f>
        <v>15</v>
      </c>
      <c r="R3908" s="7">
        <f>MONTH('data on outstanding creditors'!$B3908)</f>
        <v>10</v>
      </c>
      <c r="S3908" s="7">
        <f>YEAR('data on outstanding creditors'!$B3908)</f>
        <v>2025</v>
      </c>
      <c r="T3908" s="11" t="str">
        <f>'data on outstanding creditors'!$C3908&amp;" "&amp;'data on outstanding creditors'!$D3908&amp;" "&amp;TEXT('data on outstanding creditors'!$E3908,"#,##0.00")</f>
        <v>บ.เอ.เอส.ที.เมดิคอล ซัพพลาย (ไทยแลนด์) IV6810031 300,000.00</v>
      </c>
      <c r="U3908" s="12"/>
    </row>
    <row r="3909" ht="13.5" customHeight="1">
      <c r="A3909" s="1"/>
      <c r="B3909" s="2">
        <v>45952.0</v>
      </c>
      <c r="C3909" s="9" t="s">
        <v>6220</v>
      </c>
      <c r="D3909" s="1" t="s">
        <v>6221</v>
      </c>
      <c r="E3909" s="4">
        <v>996000.0</v>
      </c>
      <c r="F3909" s="4"/>
      <c r="G3909" s="4"/>
      <c r="H3909" s="4">
        <f>'data on outstanding creditors'!$E3909-'data on outstanding creditors'!$F3909-'data on outstanding creditors'!$G3909</f>
        <v>996000</v>
      </c>
      <c r="I3909" s="2"/>
      <c r="J3909" s="1"/>
      <c r="K3909" s="2"/>
      <c r="L3909" s="5"/>
      <c r="M3909" s="9" t="s">
        <v>433</v>
      </c>
      <c r="N3909" s="9" t="s">
        <v>49</v>
      </c>
      <c r="O3909" s="10">
        <f>'data on outstanding creditors'!$E3909*100/107</f>
        <v>930841.1215</v>
      </c>
      <c r="P3909" s="10">
        <f>'data on outstanding creditors'!$E3909-'data on outstanding creditors'!$O3909</f>
        <v>65158.8785</v>
      </c>
      <c r="Q3909" s="7">
        <f>DAY('data on outstanding creditors'!$B3909)</f>
        <v>22</v>
      </c>
      <c r="R3909" s="7">
        <f>MONTH('data on outstanding creditors'!$B3909)</f>
        <v>10</v>
      </c>
      <c r="S3909" s="7">
        <f>YEAR('data on outstanding creditors'!$B3909)</f>
        <v>2025</v>
      </c>
      <c r="T3909" s="11" t="str">
        <f>'data on outstanding creditors'!$C3909&amp;" "&amp;'data on outstanding creditors'!$D3909&amp;" "&amp;TEXT('data on outstanding creditors'!$E3909,"#,##0.00")</f>
        <v>บ.เอซีซี เมดิคอล โซลูชั่น IV-202510-0007 996,000.00</v>
      </c>
      <c r="U3909" s="12"/>
    </row>
    <row r="3910" ht="13.5" customHeight="1">
      <c r="A3910" s="1" t="s">
        <v>6222</v>
      </c>
      <c r="B3910" s="2">
        <v>45888.0</v>
      </c>
      <c r="C3910" s="9" t="s">
        <v>4653</v>
      </c>
      <c r="D3910" s="1" t="s">
        <v>6223</v>
      </c>
      <c r="E3910" s="4">
        <v>12500.0</v>
      </c>
      <c r="F3910" s="4"/>
      <c r="G3910" s="4"/>
      <c r="H3910" s="4">
        <f>'data on outstanding creditors'!$E3910-'data on outstanding creditors'!$F3910-'data on outstanding creditors'!$G3910</f>
        <v>12500</v>
      </c>
      <c r="I3910" s="2"/>
      <c r="J3910" s="1"/>
      <c r="K3910" s="2"/>
      <c r="L3910" s="5"/>
      <c r="M3910" s="9" t="s">
        <v>6224</v>
      </c>
      <c r="N3910" s="9" t="s">
        <v>49</v>
      </c>
      <c r="O3910" s="10">
        <f>'data on outstanding creditors'!$E3910*100/107</f>
        <v>11682.24299</v>
      </c>
      <c r="P3910" s="10">
        <f>'data on outstanding creditors'!$E3910-'data on outstanding creditors'!$O3910</f>
        <v>817.7570093</v>
      </c>
      <c r="Q3910" s="7">
        <f>DAY('data on outstanding creditors'!$B3910)</f>
        <v>19</v>
      </c>
      <c r="R3910" s="7">
        <f>MONTH('data on outstanding creditors'!$B3910)</f>
        <v>8</v>
      </c>
      <c r="S3910" s="7">
        <f>YEAR('data on outstanding creditors'!$B3910)</f>
        <v>2025</v>
      </c>
      <c r="T3910" s="11" t="str">
        <f>'data on outstanding creditors'!$C3910&amp;" "&amp;'data on outstanding creditors'!$D3910&amp;" "&amp;TEXT('data on outstanding creditors'!$E3910,"#,##0.00")</f>
        <v>บ.สยามรัฐไดนาโม 002/0076 12,500.00</v>
      </c>
      <c r="U3910" s="12"/>
    </row>
    <row r="3911" ht="13.5" customHeight="1">
      <c r="A3911" s="1" t="s">
        <v>6225</v>
      </c>
      <c r="B3911" s="2">
        <v>45926.0</v>
      </c>
      <c r="C3911" s="9" t="s">
        <v>1125</v>
      </c>
      <c r="D3911" s="1" t="s">
        <v>6226</v>
      </c>
      <c r="E3911" s="4">
        <v>20000.0</v>
      </c>
      <c r="F3911" s="4"/>
      <c r="G3911" s="4"/>
      <c r="H3911" s="4">
        <f>'data on outstanding creditors'!$E3911-'data on outstanding creditors'!$F3911-'data on outstanding creditors'!$G3911</f>
        <v>20000</v>
      </c>
      <c r="I3911" s="2"/>
      <c r="J3911" s="1"/>
      <c r="K3911" s="2"/>
      <c r="L3911" s="5"/>
      <c r="M3911" s="9" t="s">
        <v>6224</v>
      </c>
      <c r="N3911" s="9" t="s">
        <v>49</v>
      </c>
      <c r="O3911" s="10">
        <f>'data on outstanding creditors'!$E3911*100/107</f>
        <v>18691.58879</v>
      </c>
      <c r="P3911" s="10">
        <f>'data on outstanding creditors'!$E3911-'data on outstanding creditors'!$O3911</f>
        <v>1308.411215</v>
      </c>
      <c r="Q3911" s="7">
        <f>DAY('data on outstanding creditors'!$B3911)</f>
        <v>26</v>
      </c>
      <c r="R3911" s="7">
        <f>MONTH('data on outstanding creditors'!$B3911)</f>
        <v>9</v>
      </c>
      <c r="S3911" s="7">
        <f>YEAR('data on outstanding creditors'!$B3911)</f>
        <v>2025</v>
      </c>
      <c r="T3911" s="11" t="str">
        <f>'data on outstanding creditors'!$C3911&amp;" "&amp;'data on outstanding creditors'!$D3911&amp;" "&amp;TEXT('data on outstanding creditors'!$E3911,"#,##0.00")</f>
        <v>หจก.เอ็นบี ซัพพลาย เอ็นจิเนียริ่ง(ประเทศไทย) INV2025090013 20,000.00</v>
      </c>
      <c r="U3911" s="12"/>
    </row>
    <row r="3912" ht="13.5" customHeight="1">
      <c r="A3912" s="1"/>
      <c r="B3912" s="2">
        <v>45961.0</v>
      </c>
      <c r="C3912" s="9" t="s">
        <v>434</v>
      </c>
      <c r="D3912" s="1" t="s">
        <v>6227</v>
      </c>
      <c r="E3912" s="4">
        <v>301576.93</v>
      </c>
      <c r="F3912" s="4"/>
      <c r="G3912" s="4"/>
      <c r="H3912" s="4">
        <f>'data on outstanding creditors'!$E3912-'data on outstanding creditors'!$F3912-'data on outstanding creditors'!$G3912</f>
        <v>301576.93</v>
      </c>
      <c r="I3912" s="2"/>
      <c r="J3912" s="1"/>
      <c r="K3912" s="2"/>
      <c r="L3912" s="5"/>
      <c r="M3912" s="9" t="s">
        <v>436</v>
      </c>
      <c r="N3912" s="9" t="s">
        <v>205</v>
      </c>
      <c r="O3912" s="10">
        <f>'data on outstanding creditors'!$E3912*100/107</f>
        <v>281847.5981</v>
      </c>
      <c r="P3912" s="10">
        <f>'data on outstanding creditors'!$E3912-'data on outstanding creditors'!$O3912</f>
        <v>19729.33187</v>
      </c>
      <c r="Q3912" s="7">
        <f>DAY('data on outstanding creditors'!$B3912)</f>
        <v>31</v>
      </c>
      <c r="R3912" s="7">
        <f>MONTH('data on outstanding creditors'!$B3912)</f>
        <v>10</v>
      </c>
      <c r="S3912" s="7">
        <f>YEAR('data on outstanding creditors'!$B3912)</f>
        <v>2025</v>
      </c>
      <c r="T3912" s="11" t="str">
        <f>'data on outstanding creditors'!$C3912&amp;" "&amp;'data on outstanding creditors'!$D3912&amp;" "&amp;TEXT('data on outstanding creditors'!$E3912,"#,##0.00")</f>
        <v>การประปาส่วนภูมิภาค 1139680120809 301,576.93</v>
      </c>
      <c r="U3912" s="12"/>
    </row>
    <row r="3913" ht="13.5" customHeight="1">
      <c r="A3913" s="1"/>
      <c r="B3913" s="2">
        <v>45839.0</v>
      </c>
      <c r="C3913" s="9" t="s">
        <v>6228</v>
      </c>
      <c r="D3913" s="1" t="s">
        <v>6229</v>
      </c>
      <c r="E3913" s="4">
        <v>300666.15</v>
      </c>
      <c r="F3913" s="4"/>
      <c r="G3913" s="4"/>
      <c r="H3913" s="4">
        <f>'data on outstanding creditors'!$E3913-'data on outstanding creditors'!$F3913-'data on outstanding creditors'!$G3913</f>
        <v>300666.15</v>
      </c>
      <c r="I3913" s="2"/>
      <c r="J3913" s="1" t="s">
        <v>646</v>
      </c>
      <c r="K3913" s="2">
        <v>45887.0</v>
      </c>
      <c r="L3913" s="5"/>
      <c r="M3913" s="9" t="s">
        <v>204</v>
      </c>
      <c r="N3913" s="9" t="s">
        <v>49</v>
      </c>
      <c r="O3913" s="10">
        <f>'data on outstanding creditors'!$E3913*100/107</f>
        <v>280996.4019</v>
      </c>
      <c r="P3913" s="10">
        <f>'data on outstanding creditors'!$E3913-'data on outstanding creditors'!$O3913</f>
        <v>19669.74813</v>
      </c>
      <c r="Q3913" s="7">
        <f>DAY('data on outstanding creditors'!$B3913)</f>
        <v>1</v>
      </c>
      <c r="R3913" s="7">
        <f>MONTH('data on outstanding creditors'!$B3913)</f>
        <v>7</v>
      </c>
      <c r="S3913" s="7">
        <f>YEAR('data on outstanding creditors'!$B3913)</f>
        <v>2025</v>
      </c>
      <c r="T3913" s="11" t="str">
        <f>'data on outstanding creditors'!$C3913&amp;" "&amp;'data on outstanding creditors'!$D3913&amp;" "&amp;TEXT('data on outstanding creditors'!$E3913,"#,##0.00")</f>
        <v>ค่าไฟ บ.พี.ซี.ดี.วาย คอร์ปอเรชั่น NAR2025-07 300,666.15</v>
      </c>
      <c r="U3913" s="12"/>
    </row>
    <row r="3914" ht="13.5" customHeight="1">
      <c r="A3914" s="1"/>
      <c r="B3914" s="2">
        <v>45870.0</v>
      </c>
      <c r="C3914" s="9" t="s">
        <v>6228</v>
      </c>
      <c r="D3914" s="1" t="s">
        <v>6230</v>
      </c>
      <c r="E3914" s="4">
        <v>365510.18</v>
      </c>
      <c r="F3914" s="4"/>
      <c r="G3914" s="4"/>
      <c r="H3914" s="4">
        <f>'data on outstanding creditors'!$E3914-'data on outstanding creditors'!$F3914-'data on outstanding creditors'!$G3914</f>
        <v>365510.18</v>
      </c>
      <c r="I3914" s="2"/>
      <c r="J3914" s="1" t="s">
        <v>646</v>
      </c>
      <c r="K3914" s="2">
        <v>45944.0</v>
      </c>
      <c r="L3914" s="5"/>
      <c r="M3914" s="9" t="s">
        <v>204</v>
      </c>
      <c r="N3914" s="9" t="s">
        <v>49</v>
      </c>
      <c r="O3914" s="10">
        <f>'data on outstanding creditors'!$E3914*100/107</f>
        <v>341598.2991</v>
      </c>
      <c r="P3914" s="10">
        <f>'data on outstanding creditors'!$E3914-'data on outstanding creditors'!$O3914</f>
        <v>23911.88093</v>
      </c>
      <c r="Q3914" s="7">
        <f>DAY('data on outstanding creditors'!$B3914)</f>
        <v>1</v>
      </c>
      <c r="R3914" s="7">
        <f>MONTH('data on outstanding creditors'!$B3914)</f>
        <v>8</v>
      </c>
      <c r="S3914" s="7">
        <f>YEAR('data on outstanding creditors'!$B3914)</f>
        <v>2025</v>
      </c>
      <c r="T3914" s="11" t="str">
        <f>'data on outstanding creditors'!$C3914&amp;" "&amp;'data on outstanding creditors'!$D3914&amp;" "&amp;TEXT('data on outstanding creditors'!$E3914,"#,##0.00")</f>
        <v>ค่าไฟ บ.พี.ซี.ดี.วาย คอร์ปอเรชั่น NAR2025-08 365,510.18</v>
      </c>
      <c r="U3914" s="12"/>
    </row>
    <row r="3915" ht="13.5" customHeight="1">
      <c r="A3915" s="1"/>
      <c r="B3915" s="2">
        <v>45901.0</v>
      </c>
      <c r="C3915" s="9" t="s">
        <v>6228</v>
      </c>
      <c r="D3915" s="1" t="s">
        <v>6231</v>
      </c>
      <c r="E3915" s="4">
        <v>373912.14</v>
      </c>
      <c r="F3915" s="4"/>
      <c r="G3915" s="4"/>
      <c r="H3915" s="4">
        <f>'data on outstanding creditors'!$E3915-'data on outstanding creditors'!$F3915-'data on outstanding creditors'!$G3915</f>
        <v>373912.14</v>
      </c>
      <c r="I3915" s="2"/>
      <c r="J3915" s="1"/>
      <c r="K3915" s="2"/>
      <c r="L3915" s="5"/>
      <c r="M3915" s="9" t="s">
        <v>204</v>
      </c>
      <c r="N3915" s="9" t="s">
        <v>49</v>
      </c>
      <c r="O3915" s="10">
        <f>'data on outstanding creditors'!$E3915*100/107</f>
        <v>349450.5981</v>
      </c>
      <c r="P3915" s="10">
        <f>'data on outstanding creditors'!$E3915-'data on outstanding creditors'!$O3915</f>
        <v>24461.54187</v>
      </c>
      <c r="Q3915" s="7">
        <f>DAY('data on outstanding creditors'!$B3915)</f>
        <v>1</v>
      </c>
      <c r="R3915" s="7">
        <f>MONTH('data on outstanding creditors'!$B3915)</f>
        <v>9</v>
      </c>
      <c r="S3915" s="7">
        <f>YEAR('data on outstanding creditors'!$B3915)</f>
        <v>2025</v>
      </c>
      <c r="T3915" s="11" t="str">
        <f>'data on outstanding creditors'!$C3915&amp;" "&amp;'data on outstanding creditors'!$D3915&amp;" "&amp;TEXT('data on outstanding creditors'!$E3915,"#,##0.00")</f>
        <v>ค่าไฟ บ.พี.ซี.ดี.วาย คอร์ปอเรชั่น NAR2025-09 373,912.14</v>
      </c>
      <c r="U3915" s="12"/>
    </row>
    <row r="3916" ht="13.5" customHeight="1">
      <c r="A3916" s="1"/>
      <c r="B3916" s="2">
        <v>45931.0</v>
      </c>
      <c r="C3916" s="9" t="s">
        <v>6228</v>
      </c>
      <c r="D3916" s="1" t="s">
        <v>6232</v>
      </c>
      <c r="E3916" s="4">
        <v>276820.24</v>
      </c>
      <c r="F3916" s="4"/>
      <c r="G3916" s="4"/>
      <c r="H3916" s="4">
        <f>'data on outstanding creditors'!$E3916-'data on outstanding creditors'!$F3916-'data on outstanding creditors'!$G3916</f>
        <v>276820.24</v>
      </c>
      <c r="I3916" s="2"/>
      <c r="J3916" s="1"/>
      <c r="K3916" s="2"/>
      <c r="L3916" s="5"/>
      <c r="M3916" s="9" t="s">
        <v>204</v>
      </c>
      <c r="N3916" s="9" t="s">
        <v>49</v>
      </c>
      <c r="O3916" s="10">
        <f>'data on outstanding creditors'!$E3916*100/107</f>
        <v>258710.5047</v>
      </c>
      <c r="P3916" s="10">
        <f>'data on outstanding creditors'!$E3916-'data on outstanding creditors'!$O3916</f>
        <v>18109.73533</v>
      </c>
      <c r="Q3916" s="7">
        <f>DAY('data on outstanding creditors'!$B3916)</f>
        <v>1</v>
      </c>
      <c r="R3916" s="7">
        <f>MONTH('data on outstanding creditors'!$B3916)</f>
        <v>10</v>
      </c>
      <c r="S3916" s="7">
        <f>YEAR('data on outstanding creditors'!$B3916)</f>
        <v>2025</v>
      </c>
      <c r="T3916" s="11" t="str">
        <f>'data on outstanding creditors'!$C3916&amp;" "&amp;'data on outstanding creditors'!$D3916&amp;" "&amp;TEXT('data on outstanding creditors'!$E3916,"#,##0.00")</f>
        <v>ค่าไฟ บ.พี.ซี.ดี.วาย คอร์ปอเรชั่น NAR2025-10 276,820.24</v>
      </c>
      <c r="U3916" s="12"/>
    </row>
    <row r="3917" ht="13.5" customHeight="1">
      <c r="A3917" s="1"/>
      <c r="B3917" s="2">
        <v>45961.0</v>
      </c>
      <c r="C3917" s="9" t="s">
        <v>437</v>
      </c>
      <c r="D3917" s="1" t="s">
        <v>6233</v>
      </c>
      <c r="E3917" s="4">
        <v>1169781.88</v>
      </c>
      <c r="F3917" s="4"/>
      <c r="G3917" s="4"/>
      <c r="H3917" s="4">
        <f>'data on outstanding creditors'!$E3917-'data on outstanding creditors'!$F3917-'data on outstanding creditors'!$G3917</f>
        <v>1169781.88</v>
      </c>
      <c r="I3917" s="2"/>
      <c r="J3917" s="1"/>
      <c r="K3917" s="2"/>
      <c r="L3917" s="5"/>
      <c r="M3917" s="9" t="s">
        <v>204</v>
      </c>
      <c r="N3917" s="9" t="s">
        <v>205</v>
      </c>
      <c r="O3917" s="10">
        <f>'data on outstanding creditors'!$E3917*100/107</f>
        <v>1093254.093</v>
      </c>
      <c r="P3917" s="10">
        <f>'data on outstanding creditors'!$E3917-'data on outstanding creditors'!$O3917</f>
        <v>76527.78654</v>
      </c>
      <c r="Q3917" s="7">
        <f>DAY('data on outstanding creditors'!$B3917)</f>
        <v>31</v>
      </c>
      <c r="R3917" s="7">
        <f>MONTH('data on outstanding creditors'!$B3917)</f>
        <v>10</v>
      </c>
      <c r="S3917" s="7">
        <f>YEAR('data on outstanding creditors'!$B3917)</f>
        <v>2025</v>
      </c>
      <c r="T3917" s="11" t="str">
        <f>'data on outstanding creditors'!$C3917&amp;" "&amp;'data on outstanding creditors'!$D3917&amp;" "&amp;TEXT('data on outstanding creditors'!$E3917,"#,##0.00")</f>
        <v>การไฟฟ้าส่วนภูมิภาค 858010458811 1,169,781.88</v>
      </c>
      <c r="U3917" s="12"/>
    </row>
    <row r="3918" ht="13.5" customHeight="1">
      <c r="A3918" s="1"/>
      <c r="B3918" s="2">
        <v>45961.0</v>
      </c>
      <c r="C3918" s="9" t="s">
        <v>202</v>
      </c>
      <c r="D3918" s="1" t="s">
        <v>6234</v>
      </c>
      <c r="E3918" s="4">
        <v>6951.89</v>
      </c>
      <c r="F3918" s="4"/>
      <c r="G3918" s="4"/>
      <c r="H3918" s="4">
        <f>'data on outstanding creditors'!$E3918-'data on outstanding creditors'!$F3918-'data on outstanding creditors'!$G3918</f>
        <v>6951.89</v>
      </c>
      <c r="I3918" s="2"/>
      <c r="J3918" s="1"/>
      <c r="K3918" s="2"/>
      <c r="L3918" s="5"/>
      <c r="M3918" s="9" t="s">
        <v>204</v>
      </c>
      <c r="N3918" s="9" t="s">
        <v>205</v>
      </c>
      <c r="O3918" s="10">
        <f>'data on outstanding creditors'!$E3918*100/107</f>
        <v>6497.093458</v>
      </c>
      <c r="P3918" s="10">
        <f>'data on outstanding creditors'!$E3918-'data on outstanding creditors'!$O3918</f>
        <v>454.7965421</v>
      </c>
      <c r="Q3918" s="7">
        <f>DAY('data on outstanding creditors'!$B3918)</f>
        <v>31</v>
      </c>
      <c r="R3918" s="7">
        <f>MONTH('data on outstanding creditors'!$B3918)</f>
        <v>10</v>
      </c>
      <c r="S3918" s="7">
        <f>YEAR('data on outstanding creditors'!$B3918)</f>
        <v>2025</v>
      </c>
      <c r="T3918" s="11" t="str">
        <f>'data on outstanding creditors'!$C3918&amp;" "&amp;'data on outstanding creditors'!$D3918&amp;" "&amp;TEXT('data on outstanding creditors'!$E3918,"#,##0.00")</f>
        <v>การไฟฟ้าส่วนภูมิภาค PCC คลินิกหมอครอบครัวนางรอง อบต.นางรอง 885203746384 6,951.89</v>
      </c>
      <c r="U3918" s="12"/>
    </row>
    <row r="3919" ht="13.5" customHeight="1">
      <c r="A3919" s="1"/>
      <c r="B3919" s="2">
        <v>45961.0</v>
      </c>
      <c r="C3919" s="9" t="s">
        <v>206</v>
      </c>
      <c r="D3919" s="1" t="s">
        <v>6235</v>
      </c>
      <c r="E3919" s="4">
        <v>9300.28</v>
      </c>
      <c r="F3919" s="4"/>
      <c r="G3919" s="4"/>
      <c r="H3919" s="4">
        <f>'data on outstanding creditors'!$E3919-'data on outstanding creditors'!$F3919-'data on outstanding creditors'!$G3919</f>
        <v>9300.28</v>
      </c>
      <c r="I3919" s="2"/>
      <c r="J3919" s="1"/>
      <c r="K3919" s="2"/>
      <c r="L3919" s="5"/>
      <c r="M3919" s="9" t="s">
        <v>204</v>
      </c>
      <c r="N3919" s="9" t="s">
        <v>205</v>
      </c>
      <c r="O3919" s="10">
        <f>'data on outstanding creditors'!$E3919*100/107</f>
        <v>8691.850467</v>
      </c>
      <c r="P3919" s="10">
        <f>'data on outstanding creditors'!$E3919-'data on outstanding creditors'!$O3919</f>
        <v>608.4295327</v>
      </c>
      <c r="Q3919" s="7">
        <f>DAY('data on outstanding creditors'!$B3919)</f>
        <v>31</v>
      </c>
      <c r="R3919" s="7">
        <f>MONTH('data on outstanding creditors'!$B3919)</f>
        <v>10</v>
      </c>
      <c r="S3919" s="7">
        <f>YEAR('data on outstanding creditors'!$B3919)</f>
        <v>2025</v>
      </c>
      <c r="T3919" s="11" t="str">
        <f>'data on outstanding creditors'!$C3919&amp;" "&amp;'data on outstanding creditors'!$D3919&amp;" "&amp;TEXT('data on outstanding creditors'!$E3919,"#,##0.00")</f>
        <v>การไฟฟ้าส่วนภูมิภาค PCC หนองตาหมู่ 876003746099 9,300.28</v>
      </c>
      <c r="U3919" s="12"/>
    </row>
    <row r="3920" ht="13.5" customHeight="1">
      <c r="A3920" s="1" t="s">
        <v>6236</v>
      </c>
      <c r="B3920" s="2">
        <v>45862.0</v>
      </c>
      <c r="C3920" s="9" t="s">
        <v>232</v>
      </c>
      <c r="D3920" s="1" t="s">
        <v>6237</v>
      </c>
      <c r="E3920" s="4">
        <v>3841.3</v>
      </c>
      <c r="F3920" s="4"/>
      <c r="G3920" s="4"/>
      <c r="H3920" s="4">
        <f>'data on outstanding creditors'!$E3920-'data on outstanding creditors'!$F3920-'data on outstanding creditors'!$G3920</f>
        <v>3841.3</v>
      </c>
      <c r="I3920" s="2"/>
      <c r="J3920" s="1" t="s">
        <v>646</v>
      </c>
      <c r="K3920" s="2">
        <v>45960.0</v>
      </c>
      <c r="L3920" s="5"/>
      <c r="M3920" s="9" t="s">
        <v>211</v>
      </c>
      <c r="N3920" s="9" t="s">
        <v>49</v>
      </c>
      <c r="O3920" s="10">
        <f>'data on outstanding creditors'!$E3920*100/107</f>
        <v>3590</v>
      </c>
      <c r="P3920" s="10">
        <f>'data on outstanding creditors'!$E3920-'data on outstanding creditors'!$O3920</f>
        <v>251.3</v>
      </c>
      <c r="Q3920" s="7">
        <f>DAY('data on outstanding creditors'!$B3920)</f>
        <v>24</v>
      </c>
      <c r="R3920" s="7">
        <f>MONTH('data on outstanding creditors'!$B3920)</f>
        <v>7</v>
      </c>
      <c r="S3920" s="7">
        <f>YEAR('data on outstanding creditors'!$B3920)</f>
        <v>2025</v>
      </c>
      <c r="T3920" s="11" t="str">
        <f>'data on outstanding creditors'!$C3920&amp;" "&amp;'data on outstanding creditors'!$D3920&amp;" "&amp;TEXT('data on outstanding creditors'!$E3920,"#,##0.00")</f>
        <v>ค่าเน็ต TOT 4463J5093 0000908846783 3,841.30</v>
      </c>
      <c r="U3920" s="12"/>
    </row>
    <row r="3921" ht="13.5" customHeight="1">
      <c r="A3921" s="1" t="s">
        <v>6238</v>
      </c>
      <c r="B3921" s="2">
        <v>45862.0</v>
      </c>
      <c r="C3921" s="9" t="s">
        <v>229</v>
      </c>
      <c r="D3921" s="1" t="s">
        <v>6239</v>
      </c>
      <c r="E3921" s="4">
        <v>1082.84</v>
      </c>
      <c r="F3921" s="4"/>
      <c r="G3921" s="4"/>
      <c r="H3921" s="4">
        <f>'data on outstanding creditors'!$E3921-'data on outstanding creditors'!$F3921-'data on outstanding creditors'!$G3921</f>
        <v>1082.84</v>
      </c>
      <c r="I3921" s="2"/>
      <c r="J3921" s="1" t="s">
        <v>646</v>
      </c>
      <c r="K3921" s="2">
        <v>45960.0</v>
      </c>
      <c r="L3921" s="5"/>
      <c r="M3921" s="9" t="s">
        <v>211</v>
      </c>
      <c r="N3921" s="9" t="s">
        <v>49</v>
      </c>
      <c r="O3921" s="10">
        <f>'data on outstanding creditors'!$E3921*100/107</f>
        <v>1012</v>
      </c>
      <c r="P3921" s="10">
        <f>'data on outstanding creditors'!$E3921-'data on outstanding creditors'!$O3921</f>
        <v>70.84</v>
      </c>
      <c r="Q3921" s="7">
        <f>DAY('data on outstanding creditors'!$B3921)</f>
        <v>24</v>
      </c>
      <c r="R3921" s="7">
        <f>MONTH('data on outstanding creditors'!$B3921)</f>
        <v>7</v>
      </c>
      <c r="S3921" s="7">
        <f>YEAR('data on outstanding creditors'!$B3921)</f>
        <v>2025</v>
      </c>
      <c r="T3921" s="11" t="str">
        <f>'data on outstanding creditors'!$C3921&amp;" "&amp;'data on outstanding creditors'!$D3921&amp;" "&amp;TEXT('data on outstanding creditors'!$E3921,"#,##0.00")</f>
        <v>ค่าเน็ต TOT 044-666049 0000908573774 1,082.84</v>
      </c>
      <c r="U3921" s="12"/>
    </row>
    <row r="3922" ht="13.5" customHeight="1">
      <c r="A3922" s="1" t="s">
        <v>6240</v>
      </c>
      <c r="B3922" s="2">
        <v>45862.0</v>
      </c>
      <c r="C3922" s="9" t="s">
        <v>226</v>
      </c>
      <c r="D3922" s="1" t="s">
        <v>6241</v>
      </c>
      <c r="E3922" s="4">
        <v>1070.0</v>
      </c>
      <c r="F3922" s="4"/>
      <c r="G3922" s="4"/>
      <c r="H3922" s="4">
        <f>'data on outstanding creditors'!$E3922-'data on outstanding creditors'!$F3922-'data on outstanding creditors'!$G3922</f>
        <v>1070</v>
      </c>
      <c r="I3922" s="2"/>
      <c r="J3922" s="1" t="s">
        <v>646</v>
      </c>
      <c r="K3922" s="2">
        <v>45960.0</v>
      </c>
      <c r="L3922" s="5"/>
      <c r="M3922" s="9" t="s">
        <v>211</v>
      </c>
      <c r="N3922" s="9" t="s">
        <v>49</v>
      </c>
      <c r="O3922" s="10">
        <f>'data on outstanding creditors'!$E3922*100/107</f>
        <v>1000</v>
      </c>
      <c r="P3922" s="10">
        <f>'data on outstanding creditors'!$E3922-'data on outstanding creditors'!$O3922</f>
        <v>70</v>
      </c>
      <c r="Q3922" s="7">
        <f>DAY('data on outstanding creditors'!$B3922)</f>
        <v>24</v>
      </c>
      <c r="R3922" s="7">
        <f>MONTH('data on outstanding creditors'!$B3922)</f>
        <v>7</v>
      </c>
      <c r="S3922" s="7">
        <f>YEAR('data on outstanding creditors'!$B3922)</f>
        <v>2025</v>
      </c>
      <c r="T3922" s="11" t="str">
        <f>'data on outstanding creditors'!$C3922&amp;" "&amp;'data on outstanding creditors'!$D3922&amp;" "&amp;TEXT('data on outstanding creditors'!$E3922,"#,##0.00")</f>
        <v>ค่าเน็ต TOT 044-666033 0000908573775 1,070.00</v>
      </c>
      <c r="U3922" s="12"/>
    </row>
    <row r="3923" ht="13.5" customHeight="1">
      <c r="A3923" s="1" t="s">
        <v>6242</v>
      </c>
      <c r="B3923" s="2">
        <v>45911.0</v>
      </c>
      <c r="C3923" s="9" t="s">
        <v>209</v>
      </c>
      <c r="D3923" s="1" t="s">
        <v>6243</v>
      </c>
      <c r="E3923" s="4">
        <v>5774.79</v>
      </c>
      <c r="F3923" s="4"/>
      <c r="G3923" s="4"/>
      <c r="H3923" s="4">
        <f>'data on outstanding creditors'!$E3923-'data on outstanding creditors'!$F3923-'data on outstanding creditors'!$G3923</f>
        <v>5774.79</v>
      </c>
      <c r="I3923" s="2"/>
      <c r="J3923" s="1"/>
      <c r="K3923" s="2"/>
      <c r="L3923" s="5"/>
      <c r="M3923" s="9" t="s">
        <v>211</v>
      </c>
      <c r="N3923" s="9" t="s">
        <v>49</v>
      </c>
      <c r="O3923" s="10">
        <f>'data on outstanding creditors'!$E3923*100/107</f>
        <v>5397</v>
      </c>
      <c r="P3923" s="10">
        <f>'data on outstanding creditors'!$E3923-'data on outstanding creditors'!$O3923</f>
        <v>377.79</v>
      </c>
      <c r="Q3923" s="7">
        <f>DAY('data on outstanding creditors'!$B3923)</f>
        <v>11</v>
      </c>
      <c r="R3923" s="7">
        <f>MONTH('data on outstanding creditors'!$B3923)</f>
        <v>9</v>
      </c>
      <c r="S3923" s="7">
        <f>YEAR('data on outstanding creditors'!$B3923)</f>
        <v>2025</v>
      </c>
      <c r="T3923" s="11" t="str">
        <f>'data on outstanding creditors'!$C3923&amp;" "&amp;'data on outstanding creditors'!$D3923&amp;" "&amp;TEXT('data on outstanding creditors'!$E3923,"#,##0.00")</f>
        <v>ค่าเน็ต AIS 32400052359265 W-IN-18-6809-2002931 5,774.79</v>
      </c>
      <c r="U3923" s="12"/>
    </row>
    <row r="3924" ht="13.5" customHeight="1">
      <c r="A3924" s="1" t="s">
        <v>6244</v>
      </c>
      <c r="B3924" s="2">
        <v>45919.0</v>
      </c>
      <c r="C3924" s="9" t="s">
        <v>219</v>
      </c>
      <c r="D3924" s="1" t="s">
        <v>6245</v>
      </c>
      <c r="E3924" s="4">
        <v>963.0</v>
      </c>
      <c r="F3924" s="4"/>
      <c r="G3924" s="4"/>
      <c r="H3924" s="4">
        <f>'data on outstanding creditors'!$E3924-'data on outstanding creditors'!$F3924-'data on outstanding creditors'!$G3924</f>
        <v>963</v>
      </c>
      <c r="I3924" s="2"/>
      <c r="J3924" s="1" t="s">
        <v>646</v>
      </c>
      <c r="K3924" s="2">
        <v>45960.0</v>
      </c>
      <c r="L3924" s="5"/>
      <c r="M3924" s="9" t="s">
        <v>211</v>
      </c>
      <c r="N3924" s="9" t="s">
        <v>49</v>
      </c>
      <c r="O3924" s="10">
        <f>'data on outstanding creditors'!$E3924*100/107</f>
        <v>900</v>
      </c>
      <c r="P3924" s="10">
        <f>'data on outstanding creditors'!$E3924-'data on outstanding creditors'!$O3924</f>
        <v>63</v>
      </c>
      <c r="Q3924" s="7">
        <f>DAY('data on outstanding creditors'!$B3924)</f>
        <v>19</v>
      </c>
      <c r="R3924" s="7">
        <f>MONTH('data on outstanding creditors'!$B3924)</f>
        <v>9</v>
      </c>
      <c r="S3924" s="7">
        <f>YEAR('data on outstanding creditors'!$B3924)</f>
        <v>2025</v>
      </c>
      <c r="T3924" s="11" t="str">
        <f>'data on outstanding creditors'!$C3924&amp;" "&amp;'data on outstanding creditors'!$D3924&amp;" "&amp;TEXT('data on outstanding creditors'!$E3924,"#,##0.00")</f>
        <v>ค่าโทร TOT 4464J1423 0000913583750 963.00</v>
      </c>
      <c r="U3924" s="12"/>
    </row>
    <row r="3925" ht="13.5" customHeight="1">
      <c r="A3925" s="1" t="s">
        <v>6246</v>
      </c>
      <c r="B3925" s="2">
        <v>45919.0</v>
      </c>
      <c r="C3925" s="9" t="s">
        <v>216</v>
      </c>
      <c r="D3925" s="1" t="s">
        <v>6247</v>
      </c>
      <c r="E3925" s="4">
        <v>963.0</v>
      </c>
      <c r="F3925" s="4"/>
      <c r="G3925" s="4"/>
      <c r="H3925" s="4">
        <f>'data on outstanding creditors'!$E3925-'data on outstanding creditors'!$F3925-'data on outstanding creditors'!$G3925</f>
        <v>963</v>
      </c>
      <c r="I3925" s="2"/>
      <c r="J3925" s="1" t="s">
        <v>646</v>
      </c>
      <c r="K3925" s="2">
        <v>45960.0</v>
      </c>
      <c r="L3925" s="5"/>
      <c r="M3925" s="9" t="s">
        <v>211</v>
      </c>
      <c r="N3925" s="9" t="s">
        <v>49</v>
      </c>
      <c r="O3925" s="10">
        <f>'data on outstanding creditors'!$E3925*100/107</f>
        <v>900</v>
      </c>
      <c r="P3925" s="10">
        <f>'data on outstanding creditors'!$E3925-'data on outstanding creditors'!$O3925</f>
        <v>63</v>
      </c>
      <c r="Q3925" s="7">
        <f>DAY('data on outstanding creditors'!$B3925)</f>
        <v>19</v>
      </c>
      <c r="R3925" s="7">
        <f>MONTH('data on outstanding creditors'!$B3925)</f>
        <v>9</v>
      </c>
      <c r="S3925" s="7">
        <f>YEAR('data on outstanding creditors'!$B3925)</f>
        <v>2025</v>
      </c>
      <c r="T3925" s="11" t="str">
        <f>'data on outstanding creditors'!$C3925&amp;" "&amp;'data on outstanding creditors'!$D3925&amp;" "&amp;TEXT('data on outstanding creditors'!$E3925,"#,##0.00")</f>
        <v>ค่าเน็ต TOT 4463J0033 0000913820011 963.00</v>
      </c>
      <c r="U3925" s="12"/>
    </row>
    <row r="3926" ht="13.5" customHeight="1">
      <c r="A3926" s="1" t="s">
        <v>6248</v>
      </c>
      <c r="B3926" s="2">
        <v>45919.0</v>
      </c>
      <c r="C3926" s="9" t="s">
        <v>232</v>
      </c>
      <c r="D3926" s="1" t="s">
        <v>6249</v>
      </c>
      <c r="E3926" s="4">
        <v>3841.3</v>
      </c>
      <c r="F3926" s="4"/>
      <c r="G3926" s="4"/>
      <c r="H3926" s="4">
        <f>'data on outstanding creditors'!$E3926-'data on outstanding creditors'!$F3926-'data on outstanding creditors'!$G3926</f>
        <v>3841.3</v>
      </c>
      <c r="I3926" s="2"/>
      <c r="J3926" s="1" t="s">
        <v>646</v>
      </c>
      <c r="K3926" s="2">
        <v>45960.0</v>
      </c>
      <c r="L3926" s="5"/>
      <c r="M3926" s="9" t="s">
        <v>211</v>
      </c>
      <c r="N3926" s="9" t="s">
        <v>49</v>
      </c>
      <c r="O3926" s="10">
        <f>'data on outstanding creditors'!$E3926*100/107</f>
        <v>3590</v>
      </c>
      <c r="P3926" s="10">
        <f>'data on outstanding creditors'!$E3926-'data on outstanding creditors'!$O3926</f>
        <v>251.3</v>
      </c>
      <c r="Q3926" s="7">
        <f>DAY('data on outstanding creditors'!$B3926)</f>
        <v>19</v>
      </c>
      <c r="R3926" s="7">
        <f>MONTH('data on outstanding creditors'!$B3926)</f>
        <v>9</v>
      </c>
      <c r="S3926" s="7">
        <f>YEAR('data on outstanding creditors'!$B3926)</f>
        <v>2025</v>
      </c>
      <c r="T3926" s="11" t="str">
        <f>'data on outstanding creditors'!$C3926&amp;" "&amp;'data on outstanding creditors'!$D3926&amp;" "&amp;TEXT('data on outstanding creditors'!$E3926,"#,##0.00")</f>
        <v>ค่าเน็ต TOT 4463J5093 0000913776982 3,841.30</v>
      </c>
      <c r="U3926" s="12"/>
    </row>
    <row r="3927" ht="13.5" customHeight="1">
      <c r="A3927" s="1" t="s">
        <v>6250</v>
      </c>
      <c r="B3927" s="2">
        <v>45919.0</v>
      </c>
      <c r="C3927" s="9" t="s">
        <v>229</v>
      </c>
      <c r="D3927" s="1" t="s">
        <v>6251</v>
      </c>
      <c r="E3927" s="4">
        <v>1070.0</v>
      </c>
      <c r="F3927" s="4"/>
      <c r="G3927" s="4"/>
      <c r="H3927" s="4">
        <f>'data on outstanding creditors'!$E3927-'data on outstanding creditors'!$F3927-'data on outstanding creditors'!$G3927</f>
        <v>1070</v>
      </c>
      <c r="I3927" s="2"/>
      <c r="J3927" s="1" t="s">
        <v>646</v>
      </c>
      <c r="K3927" s="2">
        <v>45960.0</v>
      </c>
      <c r="L3927" s="5"/>
      <c r="M3927" s="9" t="s">
        <v>211</v>
      </c>
      <c r="N3927" s="9" t="s">
        <v>49</v>
      </c>
      <c r="O3927" s="10">
        <f>'data on outstanding creditors'!$E3927*100/107</f>
        <v>1000</v>
      </c>
      <c r="P3927" s="10">
        <f>'data on outstanding creditors'!$E3927-'data on outstanding creditors'!$O3927</f>
        <v>70</v>
      </c>
      <c r="Q3927" s="7">
        <f>DAY('data on outstanding creditors'!$B3927)</f>
        <v>19</v>
      </c>
      <c r="R3927" s="7">
        <f>MONTH('data on outstanding creditors'!$B3927)</f>
        <v>9</v>
      </c>
      <c r="S3927" s="7">
        <f>YEAR('data on outstanding creditors'!$B3927)</f>
        <v>2025</v>
      </c>
      <c r="T3927" s="11" t="str">
        <f>'data on outstanding creditors'!$C3927&amp;" "&amp;'data on outstanding creditors'!$D3927&amp;" "&amp;TEXT('data on outstanding creditors'!$E3927,"#,##0.00")</f>
        <v>ค่าเน็ต TOT 044-666049 0000913546253 1,070.00</v>
      </c>
      <c r="U3927" s="12"/>
    </row>
    <row r="3928" ht="13.5" customHeight="1">
      <c r="A3928" s="1" t="s">
        <v>6252</v>
      </c>
      <c r="B3928" s="2">
        <v>45919.0</v>
      </c>
      <c r="C3928" s="9" t="s">
        <v>226</v>
      </c>
      <c r="D3928" s="1" t="s">
        <v>6253</v>
      </c>
      <c r="E3928" s="4">
        <v>1070.0</v>
      </c>
      <c r="F3928" s="4"/>
      <c r="G3928" s="4"/>
      <c r="H3928" s="4">
        <f>'data on outstanding creditors'!$E3928-'data on outstanding creditors'!$F3928-'data on outstanding creditors'!$G3928</f>
        <v>1070</v>
      </c>
      <c r="I3928" s="2"/>
      <c r="J3928" s="1" t="s">
        <v>646</v>
      </c>
      <c r="K3928" s="2">
        <v>45960.0</v>
      </c>
      <c r="L3928" s="5"/>
      <c r="M3928" s="9" t="s">
        <v>211</v>
      </c>
      <c r="N3928" s="9" t="s">
        <v>49</v>
      </c>
      <c r="O3928" s="10">
        <f>'data on outstanding creditors'!$E3928*100/107</f>
        <v>1000</v>
      </c>
      <c r="P3928" s="10">
        <f>'data on outstanding creditors'!$E3928-'data on outstanding creditors'!$O3928</f>
        <v>70</v>
      </c>
      <c r="Q3928" s="7">
        <f>DAY('data on outstanding creditors'!$B3928)</f>
        <v>19</v>
      </c>
      <c r="R3928" s="7">
        <f>MONTH('data on outstanding creditors'!$B3928)</f>
        <v>9</v>
      </c>
      <c r="S3928" s="7">
        <f>YEAR('data on outstanding creditors'!$B3928)</f>
        <v>2025</v>
      </c>
      <c r="T3928" s="11" t="str">
        <f>'data on outstanding creditors'!$C3928&amp;" "&amp;'data on outstanding creditors'!$D3928&amp;" "&amp;TEXT('data on outstanding creditors'!$E3928,"#,##0.00")</f>
        <v>ค่าเน็ต TOT 044-666033 0000913546254 1,070.00</v>
      </c>
      <c r="U3928" s="12"/>
    </row>
    <row r="3929" ht="13.5" customHeight="1">
      <c r="A3929" s="1" t="s">
        <v>6254</v>
      </c>
      <c r="B3929" s="2">
        <v>45929.0</v>
      </c>
      <c r="C3929" s="9" t="s">
        <v>213</v>
      </c>
      <c r="D3929" s="1" t="s">
        <v>6255</v>
      </c>
      <c r="E3929" s="4">
        <v>23000.0</v>
      </c>
      <c r="F3929" s="4"/>
      <c r="G3929" s="4"/>
      <c r="H3929" s="4">
        <f>'data on outstanding creditors'!$E3929-'data on outstanding creditors'!$F3929-'data on outstanding creditors'!$G3929</f>
        <v>23000</v>
      </c>
      <c r="I3929" s="2"/>
      <c r="J3929" s="1"/>
      <c r="K3929" s="2"/>
      <c r="L3929" s="5"/>
      <c r="M3929" s="9" t="s">
        <v>211</v>
      </c>
      <c r="N3929" s="9" t="s">
        <v>49</v>
      </c>
      <c r="O3929" s="10">
        <f>'data on outstanding creditors'!$E3929*100/107</f>
        <v>21495.3271</v>
      </c>
      <c r="P3929" s="10">
        <f>'data on outstanding creditors'!$E3929-'data on outstanding creditors'!$O3929</f>
        <v>1504.672897</v>
      </c>
      <c r="Q3929" s="7">
        <f>DAY('data on outstanding creditors'!$B3929)</f>
        <v>29</v>
      </c>
      <c r="R3929" s="7">
        <f>MONTH('data on outstanding creditors'!$B3929)</f>
        <v>9</v>
      </c>
      <c r="S3929" s="7">
        <f>YEAR('data on outstanding creditors'!$B3929)</f>
        <v>2025</v>
      </c>
      <c r="T3929" s="11" t="str">
        <f>'data on outstanding creditors'!$C3929&amp;" "&amp;'data on outstanding creditors'!$D3929&amp;" "&amp;TEXT('data on outstanding creditors'!$E3929,"#,##0.00")</f>
        <v>ค่าเน็ต AIS 31600010113324 W-IN-18-6809-2007130 23,000.00</v>
      </c>
      <c r="U3929" s="12"/>
    </row>
    <row r="3930" ht="13.5" customHeight="1">
      <c r="A3930" s="1" t="s">
        <v>6256</v>
      </c>
      <c r="B3930" s="2">
        <v>45944.0</v>
      </c>
      <c r="C3930" s="9" t="s">
        <v>213</v>
      </c>
      <c r="D3930" s="1" t="s">
        <v>6257</v>
      </c>
      <c r="E3930" s="4">
        <v>23000.0</v>
      </c>
      <c r="F3930" s="4"/>
      <c r="G3930" s="4"/>
      <c r="H3930" s="4">
        <f>'data on outstanding creditors'!$E3930-'data on outstanding creditors'!$F3930-'data on outstanding creditors'!$G3930</f>
        <v>23000</v>
      </c>
      <c r="I3930" s="2"/>
      <c r="J3930" s="1"/>
      <c r="K3930" s="2"/>
      <c r="L3930" s="5"/>
      <c r="M3930" s="9" t="s">
        <v>211</v>
      </c>
      <c r="N3930" s="9" t="s">
        <v>49</v>
      </c>
      <c r="O3930" s="10">
        <f>'data on outstanding creditors'!$E3930*100/107</f>
        <v>21495.3271</v>
      </c>
      <c r="P3930" s="10">
        <f>'data on outstanding creditors'!$E3930-'data on outstanding creditors'!$O3930</f>
        <v>1504.672897</v>
      </c>
      <c r="Q3930" s="7">
        <f>DAY('data on outstanding creditors'!$B3930)</f>
        <v>14</v>
      </c>
      <c r="R3930" s="7">
        <f>MONTH('data on outstanding creditors'!$B3930)</f>
        <v>10</v>
      </c>
      <c r="S3930" s="7">
        <f>YEAR('data on outstanding creditors'!$B3930)</f>
        <v>2025</v>
      </c>
      <c r="T3930" s="11" t="str">
        <f>'data on outstanding creditors'!$C3930&amp;" "&amp;'data on outstanding creditors'!$D3930&amp;" "&amp;TEXT('data on outstanding creditors'!$E3930,"#,##0.00")</f>
        <v>ค่าเน็ต AIS 31600010113324 W-IN-18-6810-2006714 23,000.00</v>
      </c>
      <c r="U3930" s="12"/>
    </row>
    <row r="3931" ht="13.5" customHeight="1">
      <c r="A3931" s="1" t="s">
        <v>6258</v>
      </c>
      <c r="B3931" s="2">
        <v>45944.0</v>
      </c>
      <c r="C3931" s="9" t="s">
        <v>209</v>
      </c>
      <c r="D3931" s="1" t="s">
        <v>6259</v>
      </c>
      <c r="E3931" s="4">
        <v>5774.79</v>
      </c>
      <c r="F3931" s="4"/>
      <c r="G3931" s="4"/>
      <c r="H3931" s="4">
        <f>'data on outstanding creditors'!$E3931-'data on outstanding creditors'!$F3931-'data on outstanding creditors'!$G3931</f>
        <v>5774.79</v>
      </c>
      <c r="I3931" s="2"/>
      <c r="J3931" s="1"/>
      <c r="K3931" s="2"/>
      <c r="L3931" s="5"/>
      <c r="M3931" s="9" t="s">
        <v>211</v>
      </c>
      <c r="N3931" s="9" t="s">
        <v>49</v>
      </c>
      <c r="O3931" s="10">
        <f>'data on outstanding creditors'!$E3931*100/107</f>
        <v>5397</v>
      </c>
      <c r="P3931" s="10">
        <f>'data on outstanding creditors'!$E3931-'data on outstanding creditors'!$O3931</f>
        <v>377.79</v>
      </c>
      <c r="Q3931" s="7">
        <f>DAY('data on outstanding creditors'!$B3931)</f>
        <v>14</v>
      </c>
      <c r="R3931" s="7">
        <f>MONTH('data on outstanding creditors'!$B3931)</f>
        <v>10</v>
      </c>
      <c r="S3931" s="7">
        <f>YEAR('data on outstanding creditors'!$B3931)</f>
        <v>2025</v>
      </c>
      <c r="T3931" s="11" t="str">
        <f>'data on outstanding creditors'!$C3931&amp;" "&amp;'data on outstanding creditors'!$D3931&amp;" "&amp;TEXT('data on outstanding creditors'!$E3931,"#,##0.00")</f>
        <v>ค่าเน็ต AIS 32400052359265 W-IN-18-6810-2009694 5,774.79</v>
      </c>
      <c r="U3931" s="12"/>
    </row>
    <row r="3932" ht="13.5" customHeight="1">
      <c r="A3932" s="1" t="s">
        <v>6260</v>
      </c>
      <c r="B3932" s="2">
        <v>45957.0</v>
      </c>
      <c r="C3932" s="9" t="s">
        <v>216</v>
      </c>
      <c r="D3932" s="1" t="s">
        <v>6261</v>
      </c>
      <c r="E3932" s="4">
        <v>963.0</v>
      </c>
      <c r="F3932" s="4"/>
      <c r="G3932" s="4"/>
      <c r="H3932" s="4">
        <f>'data on outstanding creditors'!$E3932-'data on outstanding creditors'!$F3932-'data on outstanding creditors'!$G3932</f>
        <v>963</v>
      </c>
      <c r="I3932" s="2"/>
      <c r="J3932" s="1"/>
      <c r="K3932" s="2"/>
      <c r="L3932" s="5"/>
      <c r="M3932" s="9" t="s">
        <v>211</v>
      </c>
      <c r="N3932" s="9" t="s">
        <v>49</v>
      </c>
      <c r="O3932" s="10">
        <f>'data on outstanding creditors'!$E3932*100/107</f>
        <v>900</v>
      </c>
      <c r="P3932" s="10">
        <f>'data on outstanding creditors'!$E3932-'data on outstanding creditors'!$O3932</f>
        <v>63</v>
      </c>
      <c r="Q3932" s="7">
        <f>DAY('data on outstanding creditors'!$B3932)</f>
        <v>27</v>
      </c>
      <c r="R3932" s="7">
        <f>MONTH('data on outstanding creditors'!$B3932)</f>
        <v>10</v>
      </c>
      <c r="S3932" s="7">
        <f>YEAR('data on outstanding creditors'!$B3932)</f>
        <v>2025</v>
      </c>
      <c r="T3932" s="11" t="str">
        <f>'data on outstanding creditors'!$C3932&amp;" "&amp;'data on outstanding creditors'!$D3932&amp;" "&amp;TEXT('data on outstanding creditors'!$E3932,"#,##0.00")</f>
        <v>ค่าเน็ต TOT 4463J0033 0000916293876 963.00</v>
      </c>
      <c r="U3932" s="12"/>
    </row>
    <row r="3933" ht="13.5" customHeight="1">
      <c r="A3933" s="1" t="s">
        <v>6262</v>
      </c>
      <c r="B3933" s="2">
        <v>45957.0</v>
      </c>
      <c r="C3933" s="9" t="s">
        <v>219</v>
      </c>
      <c r="D3933" s="1" t="s">
        <v>6263</v>
      </c>
      <c r="E3933" s="4">
        <v>963.0</v>
      </c>
      <c r="F3933" s="4"/>
      <c r="G3933" s="4"/>
      <c r="H3933" s="4">
        <f>'data on outstanding creditors'!$E3933-'data on outstanding creditors'!$F3933-'data on outstanding creditors'!$G3933</f>
        <v>963</v>
      </c>
      <c r="I3933" s="2"/>
      <c r="J3933" s="1"/>
      <c r="K3933" s="2"/>
      <c r="L3933" s="5"/>
      <c r="M3933" s="9" t="s">
        <v>211</v>
      </c>
      <c r="N3933" s="9" t="s">
        <v>49</v>
      </c>
      <c r="O3933" s="10">
        <f>'data on outstanding creditors'!$E3933*100/107</f>
        <v>900</v>
      </c>
      <c r="P3933" s="10">
        <f>'data on outstanding creditors'!$E3933-'data on outstanding creditors'!$O3933</f>
        <v>63</v>
      </c>
      <c r="Q3933" s="7">
        <f>DAY('data on outstanding creditors'!$B3933)</f>
        <v>27</v>
      </c>
      <c r="R3933" s="7">
        <f>MONTH('data on outstanding creditors'!$B3933)</f>
        <v>10</v>
      </c>
      <c r="S3933" s="7">
        <f>YEAR('data on outstanding creditors'!$B3933)</f>
        <v>2025</v>
      </c>
      <c r="T3933" s="11" t="str">
        <f>'data on outstanding creditors'!$C3933&amp;" "&amp;'data on outstanding creditors'!$D3933&amp;" "&amp;TEXT('data on outstanding creditors'!$E3933,"#,##0.00")</f>
        <v>ค่าโทร TOT 4464J1423 0000916153878 963.00</v>
      </c>
      <c r="U3933" s="12"/>
    </row>
    <row r="3934" ht="13.5" customHeight="1">
      <c r="A3934" s="1" t="s">
        <v>6264</v>
      </c>
      <c r="B3934" s="2">
        <v>45957.0</v>
      </c>
      <c r="C3934" s="9" t="s">
        <v>232</v>
      </c>
      <c r="D3934" s="1" t="s">
        <v>6265</v>
      </c>
      <c r="E3934" s="4">
        <v>3841.3</v>
      </c>
      <c r="F3934" s="4"/>
      <c r="G3934" s="4"/>
      <c r="H3934" s="4">
        <f>'data on outstanding creditors'!$E3934-'data on outstanding creditors'!$F3934-'data on outstanding creditors'!$G3934</f>
        <v>3841.3</v>
      </c>
      <c r="I3934" s="2"/>
      <c r="J3934" s="1"/>
      <c r="K3934" s="2"/>
      <c r="L3934" s="5"/>
      <c r="M3934" s="9" t="s">
        <v>211</v>
      </c>
      <c r="N3934" s="9" t="s">
        <v>49</v>
      </c>
      <c r="O3934" s="10">
        <f>'data on outstanding creditors'!$E3934*100/107</f>
        <v>3590</v>
      </c>
      <c r="P3934" s="10">
        <f>'data on outstanding creditors'!$E3934-'data on outstanding creditors'!$O3934</f>
        <v>251.3</v>
      </c>
      <c r="Q3934" s="7">
        <f>DAY('data on outstanding creditors'!$B3934)</f>
        <v>27</v>
      </c>
      <c r="R3934" s="7">
        <f>MONTH('data on outstanding creditors'!$B3934)</f>
        <v>10</v>
      </c>
      <c r="S3934" s="7">
        <f>YEAR('data on outstanding creditors'!$B3934)</f>
        <v>2025</v>
      </c>
      <c r="T3934" s="11" t="str">
        <f>'data on outstanding creditors'!$C3934&amp;" "&amp;'data on outstanding creditors'!$D3934&amp;" "&amp;TEXT('data on outstanding creditors'!$E3934,"#,##0.00")</f>
        <v>ค่าเน็ต TOT 4463J5093 0000916317455 3,841.30</v>
      </c>
      <c r="U3934" s="12"/>
    </row>
    <row r="3935" ht="13.5" customHeight="1">
      <c r="A3935" s="1" t="s">
        <v>6266</v>
      </c>
      <c r="B3935" s="2">
        <v>45957.0</v>
      </c>
      <c r="C3935" s="9" t="s">
        <v>229</v>
      </c>
      <c r="D3935" s="1" t="s">
        <v>6267</v>
      </c>
      <c r="E3935" s="4">
        <v>1076.42</v>
      </c>
      <c r="F3935" s="4"/>
      <c r="G3935" s="4"/>
      <c r="H3935" s="4">
        <f>'data on outstanding creditors'!$E3935-'data on outstanding creditors'!$F3935-'data on outstanding creditors'!$G3935</f>
        <v>1076.42</v>
      </c>
      <c r="I3935" s="2"/>
      <c r="J3935" s="1"/>
      <c r="K3935" s="2"/>
      <c r="L3935" s="5"/>
      <c r="M3935" s="9" t="s">
        <v>211</v>
      </c>
      <c r="N3935" s="9" t="s">
        <v>49</v>
      </c>
      <c r="O3935" s="10">
        <f>'data on outstanding creditors'!$E3935*100/107</f>
        <v>1006</v>
      </c>
      <c r="P3935" s="10">
        <f>'data on outstanding creditors'!$E3935-'data on outstanding creditors'!$O3935</f>
        <v>70.42</v>
      </c>
      <c r="Q3935" s="7">
        <f>DAY('data on outstanding creditors'!$B3935)</f>
        <v>27</v>
      </c>
      <c r="R3935" s="7">
        <f>MONTH('data on outstanding creditors'!$B3935)</f>
        <v>10</v>
      </c>
      <c r="S3935" s="7">
        <f>YEAR('data on outstanding creditors'!$B3935)</f>
        <v>2025</v>
      </c>
      <c r="T3935" s="11" t="str">
        <f>'data on outstanding creditors'!$C3935&amp;" "&amp;'data on outstanding creditors'!$D3935&amp;" "&amp;TEXT('data on outstanding creditors'!$E3935,"#,##0.00")</f>
        <v>ค่าเน็ต TOT 044-666049 0000916026811 1,076.42</v>
      </c>
      <c r="U3935" s="12"/>
    </row>
    <row r="3936" ht="13.5" customHeight="1">
      <c r="A3936" s="1" t="s">
        <v>6268</v>
      </c>
      <c r="B3936" s="2">
        <v>45957.0</v>
      </c>
      <c r="C3936" s="9" t="s">
        <v>226</v>
      </c>
      <c r="D3936" s="1" t="s">
        <v>6269</v>
      </c>
      <c r="E3936" s="4">
        <v>1070.0</v>
      </c>
      <c r="F3936" s="4"/>
      <c r="G3936" s="4"/>
      <c r="H3936" s="4">
        <f>'data on outstanding creditors'!$E3936-'data on outstanding creditors'!$F3936-'data on outstanding creditors'!$G3936</f>
        <v>1070</v>
      </c>
      <c r="I3936" s="2"/>
      <c r="J3936" s="1"/>
      <c r="K3936" s="2"/>
      <c r="L3936" s="5"/>
      <c r="M3936" s="9" t="s">
        <v>211</v>
      </c>
      <c r="N3936" s="9" t="s">
        <v>49</v>
      </c>
      <c r="O3936" s="10">
        <f>'data on outstanding creditors'!$E3936*100/107</f>
        <v>1000</v>
      </c>
      <c r="P3936" s="10">
        <f>'data on outstanding creditors'!$E3936-'data on outstanding creditors'!$O3936</f>
        <v>70</v>
      </c>
      <c r="Q3936" s="7">
        <f>DAY('data on outstanding creditors'!$B3936)</f>
        <v>27</v>
      </c>
      <c r="R3936" s="7">
        <f>MONTH('data on outstanding creditors'!$B3936)</f>
        <v>10</v>
      </c>
      <c r="S3936" s="7">
        <f>YEAR('data on outstanding creditors'!$B3936)</f>
        <v>2025</v>
      </c>
      <c r="T3936" s="11" t="str">
        <f>'data on outstanding creditors'!$C3936&amp;" "&amp;'data on outstanding creditors'!$D3936&amp;" "&amp;TEXT('data on outstanding creditors'!$E3936,"#,##0.00")</f>
        <v>ค่าเน็ต TOT 044-666033 0000916026812 1,070.00</v>
      </c>
      <c r="U3936" s="12"/>
    </row>
    <row r="3937" ht="13.5" customHeight="1">
      <c r="A3937" s="1"/>
      <c r="B3937" s="2">
        <v>45961.0</v>
      </c>
      <c r="C3937" s="9" t="s">
        <v>517</v>
      </c>
      <c r="D3937" s="1" t="s">
        <v>6270</v>
      </c>
      <c r="E3937" s="4">
        <v>5198.0</v>
      </c>
      <c r="F3937" s="4"/>
      <c r="G3937" s="4"/>
      <c r="H3937" s="4">
        <f>'data on outstanding creditors'!$E3937-'data on outstanding creditors'!$F3937-'data on outstanding creditors'!$G3937</f>
        <v>5198</v>
      </c>
      <c r="I3937" s="2"/>
      <c r="J3937" s="1"/>
      <c r="K3937" s="2"/>
      <c r="L3937" s="5"/>
      <c r="M3937" s="9" t="s">
        <v>519</v>
      </c>
      <c r="N3937" s="9" t="s">
        <v>49</v>
      </c>
      <c r="O3937" s="10">
        <f>'data on outstanding creditors'!$E3937*100/107</f>
        <v>4857.943925</v>
      </c>
      <c r="P3937" s="10">
        <f>'data on outstanding creditors'!$E3937-'data on outstanding creditors'!$O3937</f>
        <v>340.0560748</v>
      </c>
      <c r="Q3937" s="7">
        <f>DAY('data on outstanding creditors'!$B3937)</f>
        <v>31</v>
      </c>
      <c r="R3937" s="7">
        <f>MONTH('data on outstanding creditors'!$B3937)</f>
        <v>10</v>
      </c>
      <c r="S3937" s="7">
        <f>YEAR('data on outstanding creditors'!$B3937)</f>
        <v>2025</v>
      </c>
      <c r="T3937" s="11" t="str">
        <f>'data on outstanding creditors'!$C3937&amp;" "&amp;'data on outstanding creditors'!$D3937&amp;" "&amp;TEXT('data on outstanding creditors'!$E3937,"#,##0.00")</f>
        <v>บ.ไปรษณีย์ไทย  จำกัด A31110-6810-0432 5,198.00</v>
      </c>
      <c r="U3937" s="12"/>
    </row>
  </sheetData>
  <customSheetViews>
    <customSheetView guid="{5781F24C-10C7-44BB-9B75-71AE431020B7}" filter="1" showAutoFilter="1">
      <autoFilter ref="$A$1:$T$3937"/>
      <extLst>
        <ext uri="GoogleSheetsCustomDataVersion1">
          <go:sheetsCustomData xmlns:go="http://customooxmlschemas.google.com/" filterViewId="90866362"/>
        </ext>
      </extLst>
    </customSheetView>
  </customSheetViews>
  <dataValidations>
    <dataValidation type="custom" allowBlank="1" showErrorMessage="1" sqref="T1:T463 T464:U2146 U2147 T2148:U3937">
      <formula1>COUNTIF(T:T,T1)=1</formula1>
    </dataValidation>
    <dataValidation type="custom" allowBlank="1" showInputMessage="1" showErrorMessage="1" prompt="เลขที่ แผนจัดซื้อจัดจ้าง ใช้ไปแล้ว" sqref="A1:A3765 A3767:A3937">
      <formula1>COUNTIF(A:A,A1)=1</formula1>
    </dataValidation>
  </dataValidations>
  <printOptions gridLines="1"/>
  <pageMargins bottom="0.21" footer="0.0" header="0.0" left="0.7086614173228347" right="0.7086614173228347" top="0.2755905511811024"/>
  <pageSetup paperSize="9" scale="95" orientation="portrait"/>
  <headerFooter>
    <oddFooter>&amp;Rนาย รัตนไพบูลย์ วิเศษนคร         เจ้าพนักงานเครื่องคอมพิวเตอร์       &amp;D  &amp;T</oddFooter>
  </headerFooter>
  <drawing r:id="rId2"/>
  <legacyDrawing r:id="rId3"/>
  <tableParts count="1">
    <tablePart r:id="rId5"/>
  </tableParts>
  <extLst>
    <ext uri="{3A4CF648-6AED-40f4-86FF-DC5316D8AED3}">
      <x14:slicerList>
        <x14:slicer r:id="rId6"/>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2023-10-18T02:17:56Z</dcterms:created>
  <dc:creator>ไอร์ ณ.อิสานใต้</dc:creator>
</cp:coreProperties>
</file>